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45" yWindow="0" windowWidth="18660" windowHeight="11490" tabRatio="824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bench Comparison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  <externalReference r:id="rId15"/>
  </externalReferences>
  <definedNames>
    <definedName name="_xlnm._FilterDatabase" localSheetId="6" hidden="1">'bench Comparison'!$A$1:$N$350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curve!$G$37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curve!$I$42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curve!$G$38</definedName>
    <definedName name="oisCurve">curve!$I$29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overview!$I$10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25725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6"/>
  </pivotCaches>
</workbook>
</file>

<file path=xl/calcChain.xml><?xml version="1.0" encoding="utf-8"?>
<calcChain xmlns="http://schemas.openxmlformats.org/spreadsheetml/2006/main">
  <c r="I3" i="1" l="1"/>
  <c r="K14" i="1"/>
  <c r="K15" i="1"/>
  <c r="K16" i="1"/>
  <c r="K17" i="1"/>
  <c r="K18" i="1"/>
  <c r="K14" i="1" a="1"/>
  <c r="K19" i="1"/>
  <c r="I20" i="1"/>
  <c r="I19" i="1"/>
  <c r="I18" i="1"/>
  <c r="I17" i="1"/>
  <c r="I16" i="1"/>
  <c r="I15" i="1"/>
  <c r="I14" i="1"/>
  <c r="V3" i="14"/>
  <c r="N5" i="14"/>
  <c r="Q5" i="14"/>
  <c r="S5" i="14"/>
  <c r="V5" i="14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V2" i="14"/>
  <c r="S193" i="13"/>
  <c r="T193" i="13"/>
  <c r="AA193" i="13"/>
  <c r="Z193" i="13"/>
  <c r="H193" i="13"/>
  <c r="AB193" i="13"/>
  <c r="B193" i="13"/>
  <c r="Y193" i="13"/>
  <c r="Q3" i="14"/>
  <c r="X193" i="13"/>
  <c r="N3" i="14"/>
  <c r="W193" i="13"/>
  <c r="V193" i="13"/>
  <c r="M2" i="14" l="1"/>
  <c r="S2" i="14"/>
  <c r="S3" i="14"/>
  <c r="N2" i="14"/>
  <c r="R3" i="14"/>
  <c r="M14" i="1"/>
  <c r="B110" i="13"/>
  <c r="AC193" i="13"/>
  <c r="H110" i="13"/>
  <c r="Q2" i="14"/>
  <c r="W3" i="14" l="1"/>
  <c r="K2" i="14"/>
  <c r="S110" i="13"/>
  <c r="T110" i="13"/>
  <c r="R2" i="14"/>
  <c r="Y110" i="13"/>
  <c r="V110" i="13"/>
  <c r="X110" i="13"/>
  <c r="Z110" i="13"/>
  <c r="AA110" i="13"/>
  <c r="AB110" i="13"/>
  <c r="W110" i="13"/>
  <c r="E104" i="2" l="1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W2" i="14" l="1"/>
  <c r="U286" i="13"/>
  <c r="T286" i="13"/>
  <c r="S286" i="13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U285" i="13" l="1"/>
  <c r="T285" i="13"/>
  <c r="S285" i="13"/>
  <c r="AC286" i="13"/>
  <c r="AA284" i="13"/>
  <c r="X284" i="13"/>
  <c r="B285" i="13"/>
  <c r="AB284" i="13"/>
  <c r="Y284" i="13"/>
  <c r="H190" i="13"/>
  <c r="W284" i="13"/>
  <c r="Z284" i="13"/>
  <c r="V284" i="13"/>
  <c r="U284" i="13" l="1"/>
  <c r="T284" i="13"/>
  <c r="S284" i="13"/>
  <c r="AB283" i="13"/>
  <c r="W283" i="13"/>
  <c r="B284" i="13"/>
  <c r="Z283" i="13"/>
  <c r="X283" i="13"/>
  <c r="AC285" i="13"/>
  <c r="AA283" i="13"/>
  <c r="V283" i="13"/>
  <c r="Y283" i="13"/>
  <c r="U283" i="13" l="1"/>
  <c r="T283" i="13"/>
  <c r="S283" i="13"/>
  <c r="AC284" i="13"/>
  <c r="B283" i="13"/>
  <c r="S279" i="13" l="1"/>
  <c r="T279" i="13"/>
  <c r="U279" i="13"/>
  <c r="B279" i="13"/>
  <c r="AC283" i="13"/>
  <c r="Y279" i="13"/>
  <c r="W279" i="13"/>
  <c r="V279" i="13"/>
  <c r="AB279" i="13"/>
  <c r="B280" i="13"/>
  <c r="N14" i="1"/>
  <c r="X279" i="13"/>
  <c r="AA279" i="13"/>
  <c r="Z279" i="13"/>
  <c r="S280" i="13" l="1"/>
  <c r="T280" i="13"/>
  <c r="U280" i="13"/>
  <c r="V280" i="13"/>
  <c r="X280" i="13"/>
  <c r="Y280" i="13"/>
  <c r="I11" i="1"/>
  <c r="W280" i="13"/>
  <c r="AB280" i="13"/>
  <c r="AC279" i="13"/>
  <c r="Z280" i="13"/>
  <c r="AA280" i="13"/>
  <c r="B281" i="13"/>
  <c r="S281" i="13" l="1"/>
  <c r="T281" i="13"/>
  <c r="U281" i="13"/>
  <c r="AC280" i="13"/>
  <c r="Y281" i="13"/>
  <c r="B282" i="13"/>
  <c r="AB281" i="13"/>
  <c r="V281" i="13"/>
  <c r="Z281" i="13"/>
  <c r="AA281" i="13"/>
  <c r="X281" i="13"/>
  <c r="W281" i="13"/>
  <c r="S282" i="13" l="1"/>
  <c r="T282" i="13"/>
  <c r="U282" i="13"/>
  <c r="S188" i="13"/>
  <c r="T188" i="13"/>
  <c r="Y282" i="13"/>
  <c r="AB188" i="13"/>
  <c r="AA282" i="13"/>
  <c r="Z188" i="13"/>
  <c r="X282" i="13"/>
  <c r="AB282" i="13"/>
  <c r="Y188" i="13"/>
  <c r="B188" i="13"/>
  <c r="W282" i="13"/>
  <c r="V188" i="13"/>
  <c r="V282" i="13"/>
  <c r="AC281" i="13"/>
  <c r="W188" i="13"/>
  <c r="AA188" i="13"/>
  <c r="X188" i="13"/>
  <c r="Z282" i="13"/>
  <c r="S273" i="13" l="1"/>
  <c r="T273" i="13"/>
  <c r="U273" i="13"/>
  <c r="AB273" i="13"/>
  <c r="W273" i="13"/>
  <c r="Z273" i="13"/>
  <c r="B274" i="13"/>
  <c r="AC188" i="13"/>
  <c r="Y273" i="13"/>
  <c r="AA273" i="13"/>
  <c r="AC282" i="13"/>
  <c r="V273" i="13"/>
  <c r="X273" i="13"/>
  <c r="B273" i="13"/>
  <c r="S274" i="13" l="1"/>
  <c r="T274" i="13"/>
  <c r="U274" i="13"/>
  <c r="Z274" i="13"/>
  <c r="Y274" i="13"/>
  <c r="AB274" i="13"/>
  <c r="V274" i="13"/>
  <c r="X274" i="13"/>
  <c r="W274" i="13"/>
  <c r="AA274" i="13"/>
  <c r="B275" i="13"/>
  <c r="AC273" i="13"/>
  <c r="S275" i="13" l="1"/>
  <c r="T275" i="13"/>
  <c r="U275" i="13"/>
  <c r="V275" i="13"/>
  <c r="W275" i="13"/>
  <c r="B276" i="13"/>
  <c r="Z275" i="13"/>
  <c r="X275" i="13"/>
  <c r="AC274" i="13"/>
  <c r="AA275" i="13"/>
  <c r="Y275" i="13"/>
  <c r="AB275" i="13"/>
  <c r="S276" i="13" l="1"/>
  <c r="T276" i="13"/>
  <c r="U276" i="13"/>
  <c r="X276" i="13"/>
  <c r="W276" i="13"/>
  <c r="AB276" i="13"/>
  <c r="B277" i="13"/>
  <c r="Z276" i="13"/>
  <c r="AC275" i="13"/>
  <c r="AA276" i="13"/>
  <c r="V276" i="13"/>
  <c r="Y276" i="13"/>
  <c r="S277" i="13" l="1"/>
  <c r="T277" i="13"/>
  <c r="U277" i="13"/>
  <c r="V277" i="13"/>
  <c r="Y277" i="13"/>
  <c r="AA277" i="13"/>
  <c r="W277" i="13"/>
  <c r="X277" i="13"/>
  <c r="AC276" i="13"/>
  <c r="AB277" i="13"/>
  <c r="B278" i="13"/>
  <c r="Z277" i="13"/>
  <c r="S278" i="13" l="1"/>
  <c r="T278" i="13"/>
  <c r="U278" i="13"/>
  <c r="W278" i="13"/>
  <c r="Z278" i="13"/>
  <c r="X278" i="13"/>
  <c r="AA278" i="13"/>
  <c r="AB278" i="13"/>
  <c r="V278" i="13"/>
  <c r="AC277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B235" i="13"/>
  <c r="V235" i="13"/>
  <c r="Y235" i="13"/>
  <c r="AC278" i="13"/>
  <c r="Z235" i="13"/>
  <c r="X235" i="13"/>
  <c r="B235" i="13"/>
  <c r="AA235" i="13"/>
  <c r="W235" i="13"/>
  <c r="T135" i="16" l="1"/>
  <c r="S135" i="16"/>
  <c r="R135" i="16"/>
  <c r="Y133" i="16"/>
  <c r="AB135" i="16"/>
  <c r="AA133" i="16"/>
  <c r="B135" i="16"/>
  <c r="AB133" i="16"/>
  <c r="Y135" i="16"/>
  <c r="AA135" i="16"/>
  <c r="AC235" i="13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AC53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Z91" i="19"/>
  <c r="Z52" i="19"/>
  <c r="AE81" i="16"/>
  <c r="Z72" i="19"/>
  <c r="Z49" i="19"/>
  <c r="Z54" i="19"/>
  <c r="Z70" i="19"/>
  <c r="Z65" i="19"/>
  <c r="Z79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Z75" i="19"/>
  <c r="Z47" i="19"/>
  <c r="Z85" i="19"/>
  <c r="Z46" i="19"/>
  <c r="Z107" i="19"/>
  <c r="Z71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Z39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D30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I86" i="16"/>
  <c r="Z38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I81" i="16"/>
  <c r="C39" i="19"/>
  <c r="AK56" i="19"/>
  <c r="AK103" i="19"/>
  <c r="AJ79" i="19"/>
  <c r="AJ48" i="19"/>
  <c r="AE88" i="19"/>
  <c r="AD43" i="19"/>
  <c r="AH64" i="19"/>
  <c r="K20" i="19"/>
  <c r="AJ93" i="19"/>
  <c r="AE48" i="19"/>
  <c r="AG122" i="19"/>
  <c r="P3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L1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D31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D20" i="19"/>
  <c r="AJ62" i="19"/>
  <c r="AD123" i="19"/>
  <c r="AJ127" i="19"/>
  <c r="AG96" i="19"/>
  <c r="AD92" i="19"/>
  <c r="AD78" i="19"/>
  <c r="AJ65" i="19"/>
  <c r="AK61" i="19"/>
  <c r="AK102" i="19"/>
  <c r="P41" i="19" l="1"/>
  <c r="L19" i="19"/>
  <c r="O36" i="19"/>
  <c r="O32" i="19"/>
  <c r="C32" i="19"/>
  <c r="P38" i="19"/>
  <c r="K9" i="19"/>
  <c r="D9" i="19"/>
  <c r="P40" i="19"/>
  <c r="D16" i="19"/>
  <c r="K16" i="19"/>
  <c r="AJ39" i="19"/>
  <c r="AA37" i="19"/>
  <c r="E18" i="19"/>
  <c r="AK39" i="19"/>
  <c r="D14" i="19"/>
  <c r="AE39" i="19"/>
  <c r="K14" i="19"/>
  <c r="AD39" i="19"/>
  <c r="D12" i="19"/>
  <c r="AG39" i="19"/>
  <c r="D17" i="19"/>
  <c r="K17" i="19"/>
  <c r="K11" i="19"/>
  <c r="K12" i="19"/>
  <c r="C40" i="19"/>
  <c r="AH39" i="19"/>
  <c r="P33" i="19"/>
  <c r="D15" i="19"/>
  <c r="AF90" i="19" l="1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P43" i="19"/>
  <c r="P36" i="19"/>
  <c r="P39" i="19"/>
  <c r="I30" i="19"/>
  <c r="AB37" i="19"/>
  <c r="K15" i="19"/>
  <c r="K13" i="19"/>
  <c r="E30" i="19"/>
  <c r="D11" i="19"/>
  <c r="J30" i="19"/>
  <c r="K22" i="19"/>
  <c r="D13" i="19"/>
  <c r="D22" i="19"/>
  <c r="E31" i="19"/>
  <c r="P42" i="19" l="1"/>
  <c r="J40" i="19"/>
  <c r="K42" i="19" s="1"/>
  <c r="AF37" i="19"/>
  <c r="AI37" i="19" s="1"/>
  <c r="E32" i="19"/>
  <c r="J31" i="19"/>
  <c r="I31" i="19"/>
  <c r="J32" i="19" l="1"/>
  <c r="I32" i="19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Z214" i="13"/>
  <c r="AB214" i="13"/>
  <c r="V214" i="13"/>
  <c r="X214" i="13"/>
  <c r="W214" i="13"/>
  <c r="AC175" i="13"/>
  <c r="Y214" i="13"/>
  <c r="AA214" i="13"/>
  <c r="K48" i="10" l="1"/>
  <c r="K47" i="10"/>
  <c r="K46" i="10"/>
  <c r="K45" i="10"/>
  <c r="K44" i="10"/>
  <c r="K43" i="10"/>
  <c r="K5" i="10"/>
  <c r="K25" i="10"/>
  <c r="K20" i="10"/>
  <c r="K8" i="10"/>
  <c r="AC214" i="13"/>
  <c r="K24" i="10"/>
  <c r="K22" i="10"/>
  <c r="K27" i="10"/>
  <c r="K4" i="10"/>
  <c r="K26" i="10"/>
  <c r="K7" i="10"/>
  <c r="K15" i="10"/>
  <c r="K21" i="10"/>
  <c r="K18" i="10"/>
  <c r="K6" i="10"/>
  <c r="K14" i="10"/>
  <c r="K23" i="10"/>
  <c r="K3" i="10"/>
  <c r="K19" i="10"/>
  <c r="K17" i="10"/>
  <c r="K16" i="10"/>
  <c r="I175" i="13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I214" i="13"/>
  <c r="B9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K13" i="10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K9" i="10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K12" i="10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K11" i="10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J42" i="10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K10" i="10"/>
  <c r="X16" i="16"/>
  <c r="Y102" i="16"/>
  <c r="AA87" i="16"/>
  <c r="AA14" i="16"/>
  <c r="I63" i="16"/>
  <c r="Y115" i="16"/>
  <c r="AB13" i="16"/>
  <c r="AB14" i="16"/>
  <c r="C7" i="16" l="1"/>
  <c r="C13" i="16"/>
  <c r="C11" i="16"/>
  <c r="S10" i="16"/>
  <c r="R10" i="16"/>
  <c r="AE99" i="16"/>
  <c r="AD114" i="16"/>
  <c r="AD110" i="16"/>
  <c r="I35" i="16"/>
  <c r="AD109" i="16"/>
  <c r="AE18" i="16"/>
  <c r="AD90" i="16"/>
  <c r="I51" i="16"/>
  <c r="AD116" i="16"/>
  <c r="AD105" i="16"/>
  <c r="AE16" i="16"/>
  <c r="AD95" i="16"/>
  <c r="I60" i="16"/>
  <c r="AE11" i="16"/>
  <c r="I29" i="16"/>
  <c r="I40" i="16"/>
  <c r="AE97" i="16"/>
  <c r="AE113" i="16"/>
  <c r="AD117" i="16"/>
  <c r="AD99" i="16"/>
  <c r="I28" i="16"/>
  <c r="AD18" i="16"/>
  <c r="AE124" i="16"/>
  <c r="AE101" i="16"/>
  <c r="AE109" i="16"/>
  <c r="AD123" i="16"/>
  <c r="I21" i="16"/>
  <c r="AE118" i="16"/>
  <c r="AE104" i="16"/>
  <c r="I41" i="16"/>
  <c r="AD13" i="16"/>
  <c r="AD115" i="16"/>
  <c r="I62" i="16"/>
  <c r="I55" i="16"/>
  <c r="AD121" i="16"/>
  <c r="AD127" i="16"/>
  <c r="I31" i="16"/>
  <c r="AE14" i="16"/>
  <c r="AD3" i="16"/>
  <c r="AE13" i="16"/>
  <c r="AD122" i="16"/>
  <c r="AE122" i="16"/>
  <c r="B10" i="16"/>
  <c r="I50" i="16"/>
  <c r="I33" i="16"/>
  <c r="AE5" i="16"/>
  <c r="AD120" i="16"/>
  <c r="AD20" i="16"/>
  <c r="AD87" i="16"/>
  <c r="AD101" i="16"/>
  <c r="AD129" i="16"/>
  <c r="I39" i="16"/>
  <c r="I32" i="16"/>
  <c r="K32" i="16" s="1"/>
  <c r="AE88" i="16"/>
  <c r="AE93" i="16"/>
  <c r="AD113" i="16"/>
  <c r="AE106" i="16"/>
  <c r="AE129" i="16"/>
  <c r="AE9" i="16"/>
  <c r="I61" i="16"/>
  <c r="I27" i="16"/>
  <c r="AE94" i="16"/>
  <c r="I23" i="16"/>
  <c r="I44" i="16"/>
  <c r="I53" i="16"/>
  <c r="AE95" i="16"/>
  <c r="AD11" i="16"/>
  <c r="AD119" i="16"/>
  <c r="AE17" i="16"/>
  <c r="I57" i="16"/>
  <c r="I24" i="16"/>
  <c r="I26" i="16"/>
  <c r="K26" i="16" s="1"/>
  <c r="J26" i="16"/>
  <c r="AD94" i="16"/>
  <c r="AE6" i="16"/>
  <c r="AD128" i="16"/>
  <c r="AE114" i="16"/>
  <c r="AE105" i="16"/>
  <c r="AE98" i="16"/>
  <c r="I70" i="16"/>
  <c r="AD17" i="16"/>
  <c r="AE121" i="16"/>
  <c r="J24" i="16"/>
  <c r="AE20" i="16"/>
  <c r="I66" i="16"/>
  <c r="I54" i="16"/>
  <c r="AE92" i="16"/>
  <c r="AD15" i="16"/>
  <c r="AD4" i="16"/>
  <c r="AD5" i="16"/>
  <c r="AD2" i="16"/>
  <c r="AE120" i="16"/>
  <c r="AE111" i="16"/>
  <c r="AE125" i="16"/>
  <c r="I47" i="16"/>
  <c r="AD89" i="16"/>
  <c r="AD111" i="16"/>
  <c r="AE91" i="16"/>
  <c r="I36" i="16"/>
  <c r="AD98" i="16"/>
  <c r="I48" i="16"/>
  <c r="I25" i="16"/>
  <c r="I46" i="16"/>
  <c r="AD16" i="16"/>
  <c r="AD19" i="16"/>
  <c r="AD104" i="16"/>
  <c r="I42" i="10"/>
  <c r="AE3" i="16"/>
  <c r="AD125" i="16"/>
  <c r="AD145" i="16"/>
  <c r="AD108" i="16"/>
  <c r="AD10" i="16"/>
  <c r="I34" i="16"/>
  <c r="I64" i="16"/>
  <c r="I30" i="16"/>
  <c r="AD146" i="16"/>
  <c r="N17" i="10"/>
  <c r="N11" i="10"/>
  <c r="AE89" i="16"/>
  <c r="I59" i="16"/>
  <c r="I67" i="16"/>
  <c r="I65" i="16"/>
  <c r="AD102" i="16"/>
  <c r="AE8" i="16"/>
  <c r="I68" i="16"/>
  <c r="I74" i="16"/>
  <c r="AD93" i="16"/>
  <c r="AD97" i="16"/>
  <c r="AE116" i="16"/>
  <c r="I43" i="16"/>
  <c r="AE128" i="16"/>
  <c r="AE10" i="16"/>
  <c r="N16" i="10"/>
  <c r="AD12" i="16"/>
  <c r="AD96" i="16"/>
  <c r="AD126" i="16"/>
  <c r="AE96" i="16"/>
  <c r="AE123" i="16"/>
  <c r="AD9" i="16"/>
  <c r="AD107" i="16"/>
  <c r="I73" i="16"/>
  <c r="AE145" i="16"/>
  <c r="N10" i="10"/>
  <c r="K28" i="16"/>
  <c r="J28" i="16"/>
  <c r="I71" i="16"/>
  <c r="AE112" i="16"/>
  <c r="AE19" i="16"/>
  <c r="AD100" i="16"/>
  <c r="AE119" i="16"/>
  <c r="AE100" i="16"/>
  <c r="AE115" i="16"/>
  <c r="AD91" i="16"/>
  <c r="I37" i="16"/>
  <c r="AD8" i="16"/>
  <c r="AE2" i="16"/>
  <c r="AE117" i="16"/>
  <c r="AD88" i="16"/>
  <c r="I49" i="16"/>
  <c r="N8" i="10"/>
  <c r="AE12" i="16"/>
  <c r="I69" i="16"/>
  <c r="AD14" i="16"/>
  <c r="AE4" i="16"/>
  <c r="I45" i="16"/>
  <c r="AD112" i="16"/>
  <c r="I72" i="16"/>
  <c r="I42" i="16"/>
  <c r="K30" i="16"/>
  <c r="N7" i="10"/>
  <c r="N22" i="10"/>
  <c r="N23" i="10"/>
  <c r="N25" i="10"/>
  <c r="AE15" i="16"/>
  <c r="AE103" i="16"/>
  <c r="AD103" i="16"/>
  <c r="AE126" i="16"/>
  <c r="AE87" i="16"/>
  <c r="AD124" i="16"/>
  <c r="AD6" i="16"/>
  <c r="AE7" i="16"/>
  <c r="AE110" i="16"/>
  <c r="AE102" i="16"/>
  <c r="AD118" i="16"/>
  <c r="AE90" i="16"/>
  <c r="I56" i="16"/>
  <c r="AE127" i="16"/>
  <c r="N9" i="10"/>
  <c r="I38" i="16"/>
  <c r="AD92" i="16"/>
  <c r="AE108" i="16"/>
  <c r="AE107" i="16"/>
  <c r="AE146" i="16"/>
  <c r="I22" i="16"/>
  <c r="AD7" i="16"/>
  <c r="I58" i="16"/>
  <c r="I52" i="16"/>
  <c r="N6" i="10"/>
  <c r="N26" i="10"/>
  <c r="N18" i="10"/>
  <c r="J23" i="16"/>
  <c r="K23" i="16"/>
  <c r="N5" i="10"/>
  <c r="N24" i="10"/>
  <c r="N20" i="10"/>
  <c r="N3" i="10"/>
  <c r="N12" i="10"/>
  <c r="N21" i="10"/>
  <c r="N4" i="10"/>
  <c r="N14" i="10"/>
  <c r="N19" i="10"/>
  <c r="N13" i="10"/>
  <c r="N15" i="10"/>
  <c r="N27" i="10"/>
  <c r="J22" i="16"/>
  <c r="K22" i="16"/>
  <c r="K37" i="16"/>
  <c r="J37" i="16"/>
  <c r="Q28" i="16" l="1"/>
  <c r="Q26" i="16"/>
  <c r="Q23" i="16"/>
  <c r="Q37" i="16"/>
  <c r="Q22" i="16"/>
  <c r="C10" i="16"/>
  <c r="S9" i="16"/>
  <c r="R9" i="16"/>
  <c r="I8" i="16"/>
  <c r="I93" i="16"/>
  <c r="I14" i="16"/>
  <c r="K35" i="16"/>
  <c r="I6" i="16"/>
  <c r="I123" i="16"/>
  <c r="K34" i="16"/>
  <c r="I12" i="16"/>
  <c r="J31" i="16"/>
  <c r="I119" i="16"/>
  <c r="I99" i="16"/>
  <c r="K21" i="16"/>
  <c r="I146" i="16"/>
  <c r="I109" i="16"/>
  <c r="I105" i="16"/>
  <c r="I3" i="16"/>
  <c r="I92" i="16"/>
  <c r="K31" i="16"/>
  <c r="I98" i="16"/>
  <c r="J32" i="16"/>
  <c r="I2" i="16"/>
  <c r="I95" i="16"/>
  <c r="I19" i="16"/>
  <c r="B9" i="16"/>
  <c r="K24" i="16"/>
  <c r="J33" i="16"/>
  <c r="I126" i="16"/>
  <c r="J30" i="16"/>
  <c r="I125" i="16"/>
  <c r="I129" i="16"/>
  <c r="I117" i="16"/>
  <c r="I121" i="16"/>
  <c r="I120" i="16"/>
  <c r="I118" i="16"/>
  <c r="K36" i="16"/>
  <c r="I90" i="16"/>
  <c r="I7" i="16"/>
  <c r="I17" i="16"/>
  <c r="J27" i="16"/>
  <c r="I111" i="16"/>
  <c r="I107" i="16"/>
  <c r="I113" i="16"/>
  <c r="I20" i="16"/>
  <c r="J35" i="16"/>
  <c r="I127" i="16"/>
  <c r="K29" i="16"/>
  <c r="K38" i="16"/>
  <c r="I4" i="16"/>
  <c r="I101" i="16"/>
  <c r="K27" i="16"/>
  <c r="I124" i="16"/>
  <c r="I89" i="16"/>
  <c r="J36" i="16"/>
  <c r="I94" i="16"/>
  <c r="I115" i="16"/>
  <c r="I102" i="16"/>
  <c r="I108" i="16"/>
  <c r="I16" i="16"/>
  <c r="I9" i="16"/>
  <c r="I122" i="16"/>
  <c r="I96" i="16"/>
  <c r="I88" i="16"/>
  <c r="I116" i="16"/>
  <c r="I100" i="16"/>
  <c r="I10" i="16"/>
  <c r="J21" i="16"/>
  <c r="K33" i="16"/>
  <c r="I13" i="16"/>
  <c r="J38" i="16"/>
  <c r="I103" i="16"/>
  <c r="J29" i="16"/>
  <c r="I91" i="16"/>
  <c r="J25" i="16"/>
  <c r="I114" i="16"/>
  <c r="I104" i="16"/>
  <c r="I11" i="16"/>
  <c r="J34" i="16"/>
  <c r="I145" i="16"/>
  <c r="I128" i="16"/>
  <c r="I112" i="16"/>
  <c r="I5" i="16"/>
  <c r="I110" i="16"/>
  <c r="I87" i="16"/>
  <c r="I18" i="16"/>
  <c r="I97" i="16"/>
  <c r="K25" i="16"/>
  <c r="I15" i="16"/>
  <c r="Q30" i="16" l="1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P19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D9" i="10"/>
  <c r="B10" i="10"/>
  <c r="E9" i="10"/>
  <c r="S120" i="13" l="1"/>
  <c r="D10" i="10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F1" i="2" l="1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E10" i="10"/>
  <c r="D1" i="7"/>
  <c r="B11" i="10"/>
  <c r="J1" i="6"/>
  <c r="BF6" i="2" l="1"/>
  <c r="BB2" i="7" s="1"/>
  <c r="BE6" i="2" s="1"/>
  <c r="D11" i="10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K1" i="6"/>
  <c r="E11" i="10"/>
  <c r="B12" i="10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12" i="10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B13" i="10"/>
  <c r="L1" i="6"/>
  <c r="F1" i="7"/>
  <c r="E12" i="10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D13" i="10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B14" i="10"/>
  <c r="E13" i="10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D14" i="10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B15" i="10"/>
  <c r="M1" i="6"/>
  <c r="E14" i="10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D15" i="10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E15" i="10"/>
  <c r="N1" i="6"/>
  <c r="H1" i="7"/>
  <c r="B16" i="10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D16" i="10"/>
  <c r="M97" i="6"/>
  <c r="M84" i="6"/>
  <c r="M91" i="6"/>
  <c r="M55" i="6"/>
  <c r="M68" i="6"/>
  <c r="M77" i="6"/>
  <c r="M30" i="6"/>
  <c r="H27" i="7"/>
  <c r="K31" i="2" s="1"/>
  <c r="K1" i="2"/>
  <c r="K5" i="2" s="1"/>
  <c r="E16" i="10"/>
  <c r="I1" i="7"/>
  <c r="B17" i="10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D17" i="10"/>
  <c r="N30" i="6"/>
  <c r="N63" i="6"/>
  <c r="N58" i="6"/>
  <c r="N98" i="6"/>
  <c r="N68" i="6"/>
  <c r="N66" i="6"/>
  <c r="I27" i="7"/>
  <c r="L31" i="2" s="1"/>
  <c r="O1" i="6"/>
  <c r="J1" i="7"/>
  <c r="E17" i="10"/>
  <c r="B18" i="10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D18" i="10"/>
  <c r="O70" i="6"/>
  <c r="O48" i="6"/>
  <c r="O98" i="6"/>
  <c r="O90" i="6"/>
  <c r="O76" i="6"/>
  <c r="O94" i="6"/>
  <c r="O47" i="6"/>
  <c r="O95" i="6"/>
  <c r="O62" i="6"/>
  <c r="O53" i="6"/>
  <c r="O92" i="6"/>
  <c r="B19" i="10"/>
  <c r="P1" i="6"/>
  <c r="K1" i="7"/>
  <c r="E18" i="10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D19" i="10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Q1" i="6"/>
  <c r="E19" i="10"/>
  <c r="B20" i="10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D20" i="10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E20" i="10"/>
  <c r="M1" i="7"/>
  <c r="R1" i="6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S1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T1" i="6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U1" i="6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V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W1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X1" i="6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Y1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Z1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AA1" i="6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B1" i="6"/>
  <c r="AC1" i="6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D1" i="6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E1" i="6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AF1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G1" i="6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H1" i="6"/>
  <c r="AB1" i="7"/>
  <c r="AI1" i="6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J1" i="6"/>
  <c r="AK1" i="6" s="1"/>
  <c r="AD1" i="7"/>
  <c r="AE1" i="7" s="1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E73" i="7" s="1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E3" i="7"/>
  <c r="AH7" i="2" s="1"/>
  <c r="AE66" i="7"/>
  <c r="AH70" i="2" s="1"/>
  <c r="AE24" i="7"/>
  <c r="AH28" i="2" s="1"/>
  <c r="AE95" i="7"/>
  <c r="AH99" i="2" s="1"/>
  <c r="AE82" i="7"/>
  <c r="AH86" i="2" s="1"/>
  <c r="AE44" i="7"/>
  <c r="AH48" i="2" s="1"/>
  <c r="AE22" i="7"/>
  <c r="AH26" i="2" s="1"/>
  <c r="AE23" i="7"/>
  <c r="AE27" i="7"/>
  <c r="AH31" i="2" s="1"/>
  <c r="AE96" i="7"/>
  <c r="AE19" i="7"/>
  <c r="AH23" i="2" s="1"/>
  <c r="AE70" i="7"/>
  <c r="AH74" i="2" s="1"/>
  <c r="AE33" i="7"/>
  <c r="AH37" i="2" s="1"/>
  <c r="AE38" i="7"/>
  <c r="AH42" i="2" s="1"/>
  <c r="AE85" i="7"/>
  <c r="AH89" i="2" s="1"/>
  <c r="AE14" i="7"/>
  <c r="AH18" i="2" s="1"/>
  <c r="AE69" i="7"/>
  <c r="AH73" i="2" s="1"/>
  <c r="AE46" i="7"/>
  <c r="AH50" i="2" s="1"/>
  <c r="AE53" i="7"/>
  <c r="AJ53" i="6" s="1"/>
  <c r="AE12" i="7"/>
  <c r="AH16" i="2" s="1"/>
  <c r="AE79" i="7"/>
  <c r="AH83" i="2" s="1"/>
  <c r="AE35" i="7"/>
  <c r="AH39" i="2" s="1"/>
  <c r="AE71" i="7"/>
  <c r="AH75" i="2" s="1"/>
  <c r="AE65" i="7"/>
  <c r="AE63" i="7"/>
  <c r="AH67" i="2" s="1"/>
  <c r="AE25" i="7"/>
  <c r="AE21" i="7"/>
  <c r="AH25" i="2" s="1"/>
  <c r="AE49" i="7"/>
  <c r="AE74" i="7"/>
  <c r="AH78" i="2" s="1"/>
  <c r="AE7" i="7"/>
  <c r="AE92" i="7"/>
  <c r="AH96" i="2" s="1"/>
  <c r="AE31" i="7"/>
  <c r="AE40" i="7"/>
  <c r="AH44" i="2" s="1"/>
  <c r="AE10" i="7"/>
  <c r="AH14" i="2" s="1"/>
  <c r="AE54" i="7"/>
  <c r="AE59" i="7"/>
  <c r="AH63" i="2" s="1"/>
  <c r="AE81" i="7"/>
  <c r="AE36" i="7"/>
  <c r="AH40" i="2" s="1"/>
  <c r="AE45" i="7"/>
  <c r="AH49" i="2" s="1"/>
  <c r="AE75" i="7"/>
  <c r="AH79" i="2" s="1"/>
  <c r="AE94" i="7"/>
  <c r="AH98" i="2" s="1"/>
  <c r="AE6" i="7"/>
  <c r="AH10" i="2" s="1"/>
  <c r="AE47" i="7"/>
  <c r="AH51" i="2" s="1"/>
  <c r="AE26" i="7"/>
  <c r="AH30" i="2" s="1"/>
  <c r="AE90" i="7"/>
  <c r="AJ90" i="6" s="1"/>
  <c r="AE87" i="7"/>
  <c r="AH91" i="2" s="1"/>
  <c r="AE89" i="7"/>
  <c r="AE51" i="7"/>
  <c r="AH55" i="2" s="1"/>
  <c r="AE17" i="7"/>
  <c r="AE9" i="7"/>
  <c r="AH13" i="2" s="1"/>
  <c r="AE88" i="7"/>
  <c r="AH92" i="2" s="1"/>
  <c r="AE13" i="7"/>
  <c r="AH17" i="2" s="1"/>
  <c r="AE61" i="7"/>
  <c r="AJ61" i="6" s="1"/>
  <c r="AE91" i="7"/>
  <c r="AJ91" i="6" s="1"/>
  <c r="AE86" i="7"/>
  <c r="AE55" i="7"/>
  <c r="AH59" i="2" s="1"/>
  <c r="AE83" i="7"/>
  <c r="AH87" i="2" s="1"/>
  <c r="AE52" i="7"/>
  <c r="AH56" i="2" s="1"/>
  <c r="AE34" i="7"/>
  <c r="AH38" i="2" s="1"/>
  <c r="AE39" i="7"/>
  <c r="AH43" i="2" s="1"/>
  <c r="AE68" i="7"/>
  <c r="AE5" i="7"/>
  <c r="AH9" i="2" s="1"/>
  <c r="AE76" i="7"/>
  <c r="AH80" i="2" s="1"/>
  <c r="AE8" i="7"/>
  <c r="AH12" i="2" s="1"/>
  <c r="AE41" i="7"/>
  <c r="AH45" i="2" s="1"/>
  <c r="AE48" i="7"/>
  <c r="AH52" i="2" s="1"/>
  <c r="AI88" i="6"/>
  <c r="AE72" i="7"/>
  <c r="AH76" i="2" s="1"/>
  <c r="AD18" i="7"/>
  <c r="AF22" i="2"/>
  <c r="AF33" i="2"/>
  <c r="AH29" i="6"/>
  <c r="AD29" i="7"/>
  <c r="AG76" i="2"/>
  <c r="AG81" i="2"/>
  <c r="AE77" i="7"/>
  <c r="AJ77" i="6" s="1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J39" i="6"/>
  <c r="AJ51" i="6"/>
  <c r="AJ63" i="6"/>
  <c r="AJ33" i="6"/>
  <c r="AJ86" i="6"/>
  <c r="AH90" i="2"/>
  <c r="AJ94" i="6"/>
  <c r="AJ38" i="6"/>
  <c r="AJ89" i="6"/>
  <c r="AH93" i="2"/>
  <c r="AJ65" i="6"/>
  <c r="AH69" i="2"/>
  <c r="AH57" i="2"/>
  <c r="AJ44" i="6"/>
  <c r="AJ54" i="6"/>
  <c r="AJ45" i="6"/>
  <c r="AJ69" i="6"/>
  <c r="AJ23" i="6"/>
  <c r="AH27" i="2"/>
  <c r="AJ46" i="6"/>
  <c r="AJ48" i="6"/>
  <c r="AH21" i="2"/>
  <c r="AJ21" i="6"/>
  <c r="AJ55" i="6"/>
  <c r="AJ24" i="6"/>
  <c r="AJ66" i="6"/>
  <c r="AJ35" i="6"/>
  <c r="AJ96" i="6"/>
  <c r="AH100" i="2"/>
  <c r="AJ75" i="6"/>
  <c r="AJ92" i="6"/>
  <c r="AJ19" i="6"/>
  <c r="AJ79" i="6"/>
  <c r="AJ52" i="6"/>
  <c r="AJ26" i="6"/>
  <c r="AJ31" i="6"/>
  <c r="AH35" i="2"/>
  <c r="AJ85" i="6"/>
  <c r="AJ27" i="6"/>
  <c r="AJ36" i="6"/>
  <c r="AJ81" i="6"/>
  <c r="AH85" i="2"/>
  <c r="AJ71" i="6"/>
  <c r="AJ74" i="6"/>
  <c r="AJ95" i="6"/>
  <c r="AJ25" i="6"/>
  <c r="AH29" i="2"/>
  <c r="AJ68" i="6"/>
  <c r="AH72" i="2"/>
  <c r="AH11" i="2"/>
  <c r="AH99" i="6"/>
  <c r="AF103" i="2"/>
  <c r="AH78" i="6"/>
  <c r="AD78" i="7"/>
  <c r="AG82" i="2" s="1"/>
  <c r="AH1" i="2"/>
  <c r="AH5" i="2" s="1"/>
  <c r="AD99" i="7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Q12" i="10"/>
  <c r="E2" i="6"/>
  <c r="AB195" i="13"/>
  <c r="Z90" i="13"/>
  <c r="Y4" i="13"/>
  <c r="V149" i="13"/>
  <c r="Y139" i="13"/>
  <c r="AA105" i="13"/>
  <c r="AB199" i="13"/>
  <c r="Z234" i="13"/>
  <c r="Y102" i="13"/>
  <c r="V83" i="13"/>
  <c r="W151" i="13"/>
  <c r="E26" i="10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E24" i="10"/>
  <c r="AB246" i="13"/>
  <c r="W127" i="13"/>
  <c r="AA146" i="13"/>
  <c r="Z73" i="13"/>
  <c r="AB117" i="13"/>
  <c r="Q15" i="10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Q3" i="10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E21" i="10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E7" i="10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E30" i="10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E34" i="10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E28" i="10"/>
  <c r="AA230" i="13"/>
  <c r="V194" i="13"/>
  <c r="AA154" i="13"/>
  <c r="W116" i="13"/>
  <c r="F13" i="6"/>
  <c r="B163" i="13"/>
  <c r="Z130" i="13"/>
  <c r="W18" i="13"/>
  <c r="B202" i="13"/>
  <c r="Q10" i="10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R5" i="14" s="1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E35" i="10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E5" i="10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Q5" i="10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Q13" i="10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Q9" i="10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E3" i="10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Q14" i="10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E33" i="10"/>
  <c r="Y32" i="13"/>
  <c r="B81" i="13"/>
  <c r="Y153" i="13"/>
  <c r="E6" i="10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Q8" i="10"/>
  <c r="X204" i="13"/>
  <c r="AB80" i="13"/>
  <c r="Z26" i="13"/>
  <c r="Z195" i="13"/>
  <c r="X33" i="13"/>
  <c r="J45" i="16"/>
  <c r="AA167" i="13"/>
  <c r="AB167" i="13"/>
  <c r="AB132" i="13"/>
  <c r="AB66" i="13"/>
  <c r="E29" i="10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E27" i="10"/>
  <c r="J101" i="16"/>
  <c r="Z104" i="13"/>
  <c r="AB174" i="13"/>
  <c r="V167" i="13"/>
  <c r="B191" i="13"/>
  <c r="Y263" i="13"/>
  <c r="W145" i="13"/>
  <c r="Q4" i="10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E25" i="10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Q17" i="10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AL1" i="6"/>
  <c r="J65" i="16"/>
  <c r="Y101" i="13"/>
  <c r="AB159" i="13"/>
  <c r="Y211" i="13"/>
  <c r="Y25" i="13"/>
  <c r="Q19" i="10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Q16" i="10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Q7" i="10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E4" i="10"/>
  <c r="Y134" i="13"/>
  <c r="W266" i="13"/>
  <c r="E31" i="10"/>
  <c r="Z210" i="13"/>
  <c r="AB97" i="13"/>
  <c r="E22" i="10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Q18" i="10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Q6" i="10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E8" i="10"/>
  <c r="B242" i="13"/>
  <c r="V204" i="13"/>
  <c r="E23" i="10"/>
  <c r="AB56" i="13"/>
  <c r="AB29" i="13"/>
  <c r="Y146" i="13"/>
  <c r="W33" i="13"/>
  <c r="Z228" i="13"/>
  <c r="V43" i="13"/>
  <c r="X144" i="13"/>
  <c r="Y54" i="13"/>
  <c r="AB231" i="13"/>
  <c r="W224" i="13"/>
  <c r="V199" i="13"/>
  <c r="P2" i="14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Q11" i="10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E32" i="10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T3" i="14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T2" i="14"/>
  <c r="T5" i="14"/>
  <c r="P5" i="14"/>
  <c r="P3" i="14"/>
  <c r="K5" i="14" l="1"/>
  <c r="W5" i="14"/>
  <c r="H4" i="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O10" i="6"/>
  <c r="L10" i="6"/>
  <c r="K10" i="6"/>
  <c r="P10" i="6"/>
  <c r="G10" i="6"/>
  <c r="N10" i="6"/>
  <c r="Q10" i="6"/>
  <c r="I10" i="6"/>
  <c r="J10" i="6"/>
  <c r="H10" i="6"/>
  <c r="M10" i="6"/>
  <c r="H2" i="6"/>
  <c r="AI82" i="6"/>
  <c r="AD37" i="7"/>
  <c r="AH77" i="2"/>
  <c r="AJ73" i="6"/>
  <c r="AI35" i="6"/>
  <c r="AH44" i="6"/>
  <c r="AG35" i="2"/>
  <c r="AI73" i="6"/>
  <c r="AG100" i="2"/>
  <c r="AI39" i="6"/>
  <c r="AH95" i="2"/>
  <c r="AJ82" i="6"/>
  <c r="AI71" i="6"/>
  <c r="AI41" i="6"/>
  <c r="AI45" i="6"/>
  <c r="AG49" i="2"/>
  <c r="AI46" i="6"/>
  <c r="AG50" i="2"/>
  <c r="AI33" i="6"/>
  <c r="AG37" i="2"/>
  <c r="I11" i="6"/>
  <c r="O11" i="6"/>
  <c r="J11" i="6"/>
  <c r="K11" i="6"/>
  <c r="R11" i="6"/>
  <c r="G11" i="6"/>
  <c r="M11" i="6"/>
  <c r="H11" i="6"/>
  <c r="L11" i="6"/>
  <c r="P11" i="6"/>
  <c r="N11" i="6"/>
  <c r="Q11" i="6"/>
  <c r="S11" i="6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AJ3" i="6"/>
  <c r="M3" i="6"/>
  <c r="Q3" i="6"/>
  <c r="AB3" i="6"/>
  <c r="X3" i="6"/>
  <c r="J3" i="6"/>
  <c r="K3" i="6"/>
  <c r="G3" i="6"/>
  <c r="H3" i="6"/>
  <c r="AF3" i="6"/>
  <c r="H8" i="6"/>
  <c r="G8" i="6"/>
  <c r="I5" i="6"/>
  <c r="H5" i="6"/>
  <c r="J5" i="6"/>
  <c r="G5" i="6"/>
  <c r="J2" i="6"/>
  <c r="I2" i="6"/>
  <c r="W10" i="6"/>
  <c r="AG10" i="6"/>
  <c r="Y10" i="6"/>
  <c r="AA10" i="6"/>
  <c r="AB10" i="6"/>
  <c r="AH10" i="6"/>
  <c r="U10" i="6"/>
  <c r="X10" i="6"/>
  <c r="AE10" i="6"/>
  <c r="AJ10" i="6"/>
  <c r="AF10" i="6"/>
  <c r="Z10" i="6"/>
  <c r="AI10" i="6"/>
  <c r="R10" i="6"/>
  <c r="AC10" i="6"/>
  <c r="T10" i="6"/>
  <c r="V10" i="6"/>
  <c r="S10" i="6"/>
  <c r="AD10" i="6"/>
  <c r="L14" i="6"/>
  <c r="I14" i="6"/>
  <c r="H14" i="6"/>
  <c r="M14" i="6"/>
  <c r="J14" i="6"/>
  <c r="G14" i="6"/>
  <c r="K14" i="6"/>
  <c r="K3" i="14"/>
  <c r="Q53" i="16"/>
  <c r="Q88" i="16"/>
  <c r="Q16" i="16"/>
  <c r="Q106" i="16"/>
  <c r="Q84" i="16"/>
  <c r="Q76" i="16"/>
  <c r="Q85" i="16"/>
  <c r="AC7" i="6"/>
  <c r="AE7" i="6"/>
  <c r="L7" i="6"/>
  <c r="AB7" i="6"/>
  <c r="AJ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Q122" i="16"/>
  <c r="Q94" i="16"/>
  <c r="Q91" i="16"/>
  <c r="Q18" i="16"/>
  <c r="Q107" i="16"/>
  <c r="Q48" i="1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Q99" i="16"/>
  <c r="Q44" i="16"/>
  <c r="Q103" i="16"/>
  <c r="Q100" i="16"/>
  <c r="Q31" i="10"/>
  <c r="Q5" i="16"/>
  <c r="Q26" i="10"/>
  <c r="Q13" i="16"/>
  <c r="Q65" i="16"/>
  <c r="Q69" i="16"/>
  <c r="Q111" i="16"/>
  <c r="Q38" i="10"/>
  <c r="Q110" i="16"/>
  <c r="Q82" i="16"/>
  <c r="Q95" i="16"/>
  <c r="Q66" i="16"/>
  <c r="Q97" i="16"/>
  <c r="E5" i="1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Q71" i="16"/>
  <c r="Q62" i="16"/>
  <c r="Q54" i="16"/>
  <c r="Q121" i="16"/>
  <c r="Q59" i="16"/>
  <c r="Q120" i="16"/>
  <c r="Q43" i="16"/>
  <c r="Q50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AJ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Q24" i="10"/>
  <c r="Y8" i="6"/>
  <c r="O8" i="6"/>
  <c r="K8" i="6"/>
  <c r="AE8" i="6"/>
  <c r="I8" i="6"/>
  <c r="L8" i="6"/>
  <c r="AD8" i="6"/>
  <c r="AH8" i="6"/>
  <c r="V8" i="6"/>
  <c r="M8" i="6"/>
  <c r="AC8" i="6"/>
  <c r="AJ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23" i="10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Q11" i="16"/>
  <c r="Q60" i="16"/>
  <c r="Q4" i="16"/>
  <c r="Q125" i="16"/>
  <c r="Q119" i="16"/>
  <c r="Q32" i="10"/>
  <c r="Q27" i="10"/>
  <c r="Q33" i="10"/>
  <c r="Q86" i="16"/>
  <c r="Q109" i="16"/>
  <c r="J12" i="6"/>
  <c r="S12" i="6"/>
  <c r="AD12" i="6"/>
  <c r="Z12" i="6"/>
  <c r="AH12" i="6"/>
  <c r="AJ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39" i="16"/>
  <c r="Q20" i="16"/>
  <c r="Q81" i="16"/>
  <c r="Q40" i="1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Q124" i="16"/>
  <c r="R214" i="13"/>
  <c r="Q75" i="16"/>
  <c r="Q12" i="16"/>
  <c r="Q127" i="16"/>
  <c r="Q105" i="16"/>
  <c r="Q114" i="16"/>
  <c r="Q89" i="16"/>
  <c r="Q77" i="16"/>
  <c r="Q93" i="16"/>
  <c r="Q6" i="16"/>
  <c r="Q15" i="16"/>
  <c r="D5" i="1"/>
  <c r="Q63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J6" i="6"/>
  <c r="AH6" i="6"/>
  <c r="J6" i="6"/>
  <c r="AA6" i="6"/>
  <c r="AE6" i="6"/>
  <c r="X6" i="6"/>
  <c r="Q46" i="16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J22" i="6"/>
  <c r="AB22" i="6"/>
  <c r="R22" i="6"/>
  <c r="S22" i="6"/>
  <c r="G22" i="6"/>
  <c r="U22" i="6"/>
  <c r="M22" i="6"/>
  <c r="V22" i="6"/>
  <c r="T22" i="6"/>
  <c r="I22" i="6"/>
  <c r="AG22" i="6"/>
  <c r="Q9" i="16"/>
  <c r="Q42" i="1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AJ9" i="6"/>
  <c r="R9" i="6"/>
  <c r="I9" i="6"/>
  <c r="V9" i="6"/>
  <c r="Q9" i="6"/>
  <c r="H9" i="6"/>
  <c r="Z9" i="6"/>
  <c r="AC9" i="6"/>
  <c r="S9" i="6"/>
  <c r="W17" i="6"/>
  <c r="L17" i="6"/>
  <c r="AD17" i="6"/>
  <c r="AJ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Q104" i="16"/>
  <c r="Q57" i="16"/>
  <c r="Q126" i="16"/>
  <c r="Q83" i="16"/>
  <c r="Q145" i="16"/>
  <c r="Q25" i="10"/>
  <c r="Q70" i="16"/>
  <c r="R53" i="13"/>
  <c r="Q8" i="16"/>
  <c r="Q68" i="16"/>
  <c r="Q78" i="16"/>
  <c r="Q123" i="16"/>
  <c r="Q64" i="16"/>
  <c r="Q35" i="10"/>
  <c r="Q79" i="16"/>
  <c r="Q47" i="16"/>
  <c r="Q41" i="16"/>
  <c r="Q17" i="16"/>
  <c r="Q80" i="16"/>
  <c r="Q117" i="16"/>
  <c r="Q58" i="16"/>
  <c r="Q146" i="16"/>
  <c r="Q128" i="16"/>
  <c r="K5" i="6"/>
  <c r="AA5" i="6"/>
  <c r="L5" i="6"/>
  <c r="O5" i="6"/>
  <c r="W5" i="6"/>
  <c r="R5" i="6"/>
  <c r="S5" i="6"/>
  <c r="AI5" i="6"/>
  <c r="Q5" i="6"/>
  <c r="AE5" i="6"/>
  <c r="AG5" i="6"/>
  <c r="AJ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F5" i="1"/>
  <c r="Q2" i="16"/>
  <c r="Q74" i="16"/>
  <c r="Q90" i="16"/>
  <c r="Q14" i="16"/>
  <c r="Q92" i="16"/>
  <c r="Q34" i="10"/>
  <c r="Q73" i="16"/>
  <c r="Q102" i="16"/>
  <c r="Q108" i="16"/>
  <c r="Q3" i="16"/>
  <c r="Q116" i="16"/>
  <c r="Q39" i="10"/>
  <c r="Q55" i="16"/>
  <c r="Q67" i="16"/>
  <c r="Q30" i="10"/>
  <c r="Q28" i="10"/>
  <c r="Q45" i="16"/>
  <c r="Q98" i="16"/>
  <c r="Q87" i="16"/>
  <c r="Q19" i="16"/>
  <c r="Q113" i="16"/>
  <c r="Q29" i="10"/>
  <c r="Q49" i="16"/>
  <c r="Q96" i="16"/>
  <c r="Q52" i="16"/>
  <c r="R175" i="13"/>
  <c r="Q10" i="16"/>
  <c r="Q37" i="10"/>
  <c r="Q112" i="16"/>
  <c r="Q72" i="16"/>
  <c r="Q7" i="16"/>
  <c r="Q129" i="16"/>
  <c r="Q101" i="16"/>
  <c r="Q56" i="16"/>
  <c r="Q115" i="16"/>
  <c r="Q51" i="16"/>
  <c r="Q61" i="16"/>
  <c r="AD14" i="6"/>
  <c r="U14" i="6"/>
  <c r="AA14" i="6"/>
  <c r="S14" i="6"/>
  <c r="V14" i="6"/>
  <c r="X14" i="6"/>
  <c r="N14" i="6"/>
  <c r="AG14" i="6"/>
  <c r="T14" i="6"/>
  <c r="AJ14" i="6"/>
  <c r="AB14" i="6"/>
  <c r="AF14" i="6"/>
  <c r="P14" i="6"/>
  <c r="O14" i="6"/>
  <c r="Y14" i="6"/>
  <c r="W14" i="6"/>
  <c r="AE14" i="6"/>
  <c r="Z14" i="6"/>
  <c r="Q14" i="6"/>
  <c r="AC14" i="6"/>
  <c r="AH14" i="6"/>
  <c r="R14" i="6"/>
  <c r="Q118" i="16"/>
  <c r="Q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I17" i="6"/>
  <c r="AG21" i="2"/>
  <c r="AI66" i="6"/>
  <c r="AG70" i="2"/>
  <c r="T190" i="13"/>
  <c r="S190" i="13"/>
  <c r="AG18" i="2"/>
  <c r="AI14" i="6"/>
  <c r="AI3" i="6"/>
  <c r="AG7" i="2"/>
  <c r="AJ41" i="6"/>
  <c r="AJ83" i="6"/>
  <c r="AG65" i="2"/>
  <c r="AI83" i="6"/>
  <c r="AI86" i="6"/>
  <c r="AG90" i="2"/>
  <c r="AJ76" i="6"/>
  <c r="AI60" i="6"/>
  <c r="AG64" i="2"/>
  <c r="AI43" i="6"/>
  <c r="AI44" i="6"/>
  <c r="AJ59" i="6"/>
  <c r="AE43" i="7"/>
  <c r="AE60" i="7"/>
  <c r="AF60" i="7" s="1"/>
  <c r="AF14" i="7"/>
  <c r="AI18" i="2" s="1"/>
  <c r="AF59" i="7"/>
  <c r="AI63" i="2" s="1"/>
  <c r="AF45" i="7"/>
  <c r="AI49" i="2" s="1"/>
  <c r="AF40" i="7"/>
  <c r="AI44" i="2" s="1"/>
  <c r="AF72" i="7"/>
  <c r="AK72" i="6" s="1"/>
  <c r="AF83" i="7"/>
  <c r="AK83" i="6" s="1"/>
  <c r="AF81" i="7"/>
  <c r="AI85" i="2" s="1"/>
  <c r="AF7" i="7"/>
  <c r="AF66" i="7"/>
  <c r="AF53" i="7"/>
  <c r="AF27" i="7"/>
  <c r="AK27" i="6" s="1"/>
  <c r="AF69" i="7"/>
  <c r="AK69" i="6" s="1"/>
  <c r="AF13" i="7"/>
  <c r="AI17" i="2" s="1"/>
  <c r="AF23" i="7"/>
  <c r="AK23" i="6" s="1"/>
  <c r="AF55" i="7"/>
  <c r="AF87" i="7"/>
  <c r="AF24" i="7"/>
  <c r="AF68" i="7"/>
  <c r="AK68" i="6" s="1"/>
  <c r="AF33" i="7"/>
  <c r="AI37" i="2" s="1"/>
  <c r="AF85" i="7"/>
  <c r="AI89" i="2" s="1"/>
  <c r="AF25" i="7"/>
  <c r="AK25" i="6" s="1"/>
  <c r="AF46" i="7"/>
  <c r="AI50" i="2" s="1"/>
  <c r="AF35" i="7"/>
  <c r="AI39" i="2" s="1"/>
  <c r="AF94" i="7"/>
  <c r="AF96" i="7"/>
  <c r="AF71" i="7"/>
  <c r="AK71" i="6" s="1"/>
  <c r="AF92" i="7"/>
  <c r="AK92" i="6" s="1"/>
  <c r="AF86" i="7"/>
  <c r="AI90" i="2" s="1"/>
  <c r="AF31" i="7"/>
  <c r="AK31" i="6" s="1"/>
  <c r="AF39" i="7"/>
  <c r="AF19" i="7"/>
  <c r="AF73" i="7"/>
  <c r="AF9" i="7"/>
  <c r="AK9" i="6" s="1"/>
  <c r="AF5" i="7"/>
  <c r="AI9" i="2" s="1"/>
  <c r="AF8" i="7"/>
  <c r="AF90" i="7"/>
  <c r="AK90" i="6" s="1"/>
  <c r="AF22" i="7"/>
  <c r="AK22" i="6" s="1"/>
  <c r="AF41" i="7"/>
  <c r="AI45" i="2" s="1"/>
  <c r="AF10" i="7"/>
  <c r="AF52" i="7"/>
  <c r="AF65" i="7"/>
  <c r="AF79" i="7"/>
  <c r="AI83" i="2" s="1"/>
  <c r="AF61" i="7"/>
  <c r="AI65" i="2" s="1"/>
  <c r="AF63" i="7"/>
  <c r="AK63" i="6" s="1"/>
  <c r="AF36" i="7"/>
  <c r="AF89" i="7"/>
  <c r="AI93" i="2" s="1"/>
  <c r="AF75" i="7"/>
  <c r="AF48" i="7"/>
  <c r="AI52" i="2" s="1"/>
  <c r="AF6" i="7"/>
  <c r="AK6" i="6" s="1"/>
  <c r="AF21" i="7"/>
  <c r="AK21" i="6" s="1"/>
  <c r="AF51" i="7"/>
  <c r="AF44" i="7"/>
  <c r="AF74" i="7"/>
  <c r="AK74" i="6" s="1"/>
  <c r="AF17" i="7"/>
  <c r="AI21" i="2" s="1"/>
  <c r="AF82" i="7"/>
  <c r="AF95" i="7"/>
  <c r="AF91" i="7"/>
  <c r="AK91" i="6" s="1"/>
  <c r="AF38" i="7"/>
  <c r="AI42" i="2" s="1"/>
  <c r="AF26" i="7"/>
  <c r="AF47" i="7"/>
  <c r="AF54" i="7"/>
  <c r="AI58" i="2" s="1"/>
  <c r="AF49" i="7"/>
  <c r="AK49" i="6" s="1"/>
  <c r="AF12" i="7"/>
  <c r="AI16" i="2" s="1"/>
  <c r="AH58" i="2"/>
  <c r="AF70" i="7"/>
  <c r="AJ49" i="6"/>
  <c r="AH53" i="2"/>
  <c r="AJ88" i="6"/>
  <c r="AJ47" i="6"/>
  <c r="AF34" i="7"/>
  <c r="AI38" i="2" s="1"/>
  <c r="AJ70" i="6"/>
  <c r="AH94" i="2"/>
  <c r="AJ40" i="6"/>
  <c r="AJ87" i="6"/>
  <c r="AJ34" i="6"/>
  <c r="AF88" i="7"/>
  <c r="AI92" i="2" s="1"/>
  <c r="AH65" i="2"/>
  <c r="AF76" i="7"/>
  <c r="AK76" i="6" s="1"/>
  <c r="AF3" i="7"/>
  <c r="AJ72" i="6"/>
  <c r="AG22" i="2"/>
  <c r="AI18" i="6"/>
  <c r="AE18" i="7"/>
  <c r="AE29" i="7"/>
  <c r="AG33" i="2"/>
  <c r="AI29" i="6"/>
  <c r="AH81" i="2"/>
  <c r="AF77" i="7"/>
  <c r="AG97" i="2"/>
  <c r="AI93" i="6"/>
  <c r="AE93" i="7"/>
  <c r="AE11" i="7"/>
  <c r="AG15" i="2"/>
  <c r="AI11" i="6"/>
  <c r="AG66" i="2"/>
  <c r="AI62" i="6"/>
  <c r="AE62" i="7"/>
  <c r="AE97" i="7"/>
  <c r="AG101" i="2"/>
  <c r="AI97" i="6"/>
  <c r="AG102" i="2"/>
  <c r="AI98" i="6"/>
  <c r="AE98" i="7"/>
  <c r="AG19" i="2"/>
  <c r="AI15" i="6"/>
  <c r="AE15" i="7"/>
  <c r="AI57" i="6"/>
  <c r="AG61" i="2"/>
  <c r="AE57" i="7"/>
  <c r="AI42" i="6"/>
  <c r="AE42" i="7"/>
  <c r="AH46" i="2" s="1"/>
  <c r="AE67" i="7"/>
  <c r="AG71" i="2"/>
  <c r="AI67" i="6"/>
  <c r="AG32" i="2"/>
  <c r="AE28" i="7"/>
  <c r="AI28" i="6"/>
  <c r="AG88" i="2"/>
  <c r="AI84" i="6"/>
  <c r="AE84" i="7"/>
  <c r="AE16" i="7"/>
  <c r="AG20" i="2"/>
  <c r="AI16" i="6"/>
  <c r="AE56" i="7"/>
  <c r="AG60" i="2"/>
  <c r="AI56" i="6"/>
  <c r="AG84" i="2"/>
  <c r="AI80" i="6"/>
  <c r="AE80" i="7"/>
  <c r="AI4" i="6"/>
  <c r="AG8" i="2"/>
  <c r="AE4" i="7"/>
  <c r="A25" i="2"/>
  <c r="B24" i="2"/>
  <c r="AE2" i="7"/>
  <c r="AG6" i="2"/>
  <c r="AI2" i="6"/>
  <c r="AE32" i="7"/>
  <c r="AH36" i="2" s="1"/>
  <c r="AI32" i="6"/>
  <c r="AG62" i="2"/>
  <c r="AI58" i="6"/>
  <c r="AE58" i="7"/>
  <c r="AG68" i="2"/>
  <c r="AE64" i="7"/>
  <c r="AI64" i="6"/>
  <c r="AG34" i="2"/>
  <c r="AI30" i="6"/>
  <c r="AE30" i="7"/>
  <c r="AG24" i="2"/>
  <c r="AE20" i="7"/>
  <c r="AI20" i="6"/>
  <c r="AG54" i="2"/>
  <c r="AI50" i="6"/>
  <c r="AE50" i="7"/>
  <c r="AK87" i="6"/>
  <c r="AI91" i="2"/>
  <c r="AK66" i="6"/>
  <c r="AI70" i="2"/>
  <c r="AK33" i="6"/>
  <c r="AI73" i="2"/>
  <c r="AI26" i="2"/>
  <c r="AK75" i="6"/>
  <c r="AI79" i="2"/>
  <c r="AK26" i="6"/>
  <c r="AI30" i="2"/>
  <c r="AK95" i="6"/>
  <c r="AI99" i="2"/>
  <c r="AK82" i="6"/>
  <c r="AI86" i="2"/>
  <c r="AK35" i="6"/>
  <c r="AK52" i="6"/>
  <c r="AI56" i="2"/>
  <c r="AK53" i="6"/>
  <c r="AI57" i="2"/>
  <c r="AK19" i="6"/>
  <c r="AI23" i="2"/>
  <c r="AK70" i="6"/>
  <c r="AI74" i="2"/>
  <c r="AK65" i="6"/>
  <c r="AI69" i="2"/>
  <c r="AI99" i="6"/>
  <c r="AG103" i="2"/>
  <c r="AI13" i="2"/>
  <c r="AK94" i="6"/>
  <c r="AI98" i="2"/>
  <c r="AK24" i="6"/>
  <c r="AI28" i="2"/>
  <c r="AK51" i="6"/>
  <c r="AI55" i="2"/>
  <c r="AI31" i="2"/>
  <c r="AK8" i="6"/>
  <c r="AI12" i="2"/>
  <c r="AI95" i="2"/>
  <c r="AK48" i="6"/>
  <c r="AK73" i="6"/>
  <c r="AI77" i="2"/>
  <c r="AK40" i="6"/>
  <c r="AI96" i="2"/>
  <c r="AK55" i="6"/>
  <c r="AI59" i="2"/>
  <c r="AK10" i="6"/>
  <c r="AI14" i="2"/>
  <c r="AK7" i="6"/>
  <c r="AI11" i="2"/>
  <c r="AK96" i="6"/>
  <c r="AI100" i="2"/>
  <c r="AK85" i="6"/>
  <c r="AI78" i="6"/>
  <c r="AE78" i="7"/>
  <c r="AH82" i="2" s="1"/>
  <c r="AK14" i="6"/>
  <c r="AK59" i="6"/>
  <c r="AI1" i="2"/>
  <c r="AI5" i="2" s="1"/>
  <c r="AE99" i="7"/>
  <c r="AC124" i="13"/>
  <c r="AC125" i="13"/>
  <c r="AC168" i="13"/>
  <c r="AC75" i="13"/>
  <c r="AC253" i="13"/>
  <c r="AC25" i="13"/>
  <c r="AC37" i="13"/>
  <c r="AC57" i="13"/>
  <c r="AC80" i="13"/>
  <c r="AG1" i="7"/>
  <c r="AC107" i="13"/>
  <c r="AC68" i="13"/>
  <c r="AC41" i="13"/>
  <c r="AC123" i="13"/>
  <c r="AC141" i="13"/>
  <c r="AC81" i="13"/>
  <c r="AC153" i="13"/>
  <c r="I25" i="13"/>
  <c r="AC10" i="13"/>
  <c r="AC63" i="13"/>
  <c r="AC45" i="13"/>
  <c r="AC154" i="13"/>
  <c r="AC150" i="13"/>
  <c r="AC94" i="13"/>
  <c r="AC19" i="13"/>
  <c r="AC129" i="13"/>
  <c r="AC58" i="13"/>
  <c r="AC33" i="13"/>
  <c r="AC11" i="13"/>
  <c r="AC32" i="13"/>
  <c r="AC59" i="13"/>
  <c r="AC140" i="13"/>
  <c r="AC128" i="13"/>
  <c r="AC239" i="13"/>
  <c r="AC118" i="13"/>
  <c r="AC259" i="13"/>
  <c r="AC17" i="13"/>
  <c r="AC6" i="13"/>
  <c r="I94" i="13"/>
  <c r="AC212" i="13"/>
  <c r="AC72" i="13"/>
  <c r="AC147" i="13"/>
  <c r="AC208" i="13"/>
  <c r="AC242" i="13"/>
  <c r="AC76" i="13"/>
  <c r="AC4" i="13"/>
  <c r="I154" i="13"/>
  <c r="AC194" i="13"/>
  <c r="AC31" i="13"/>
  <c r="AC86" i="13"/>
  <c r="AC2" i="13"/>
  <c r="AC233" i="13"/>
  <c r="AC145" i="13"/>
  <c r="AC27" i="13"/>
  <c r="AC155" i="13"/>
  <c r="AC236" i="13"/>
  <c r="AC162" i="13"/>
  <c r="AC21" i="13"/>
  <c r="AC137" i="13"/>
  <c r="AC99" i="13"/>
  <c r="I99" i="13" s="1"/>
  <c r="AC71" i="13"/>
  <c r="AC258" i="13"/>
  <c r="AC96" i="13"/>
  <c r="I96" i="13" s="1"/>
  <c r="AC133" i="13"/>
  <c r="AC254" i="13"/>
  <c r="AC40" i="13"/>
  <c r="AC228" i="13"/>
  <c r="AC185" i="13"/>
  <c r="AC268" i="13"/>
  <c r="AC248" i="13"/>
  <c r="AC78" i="13"/>
  <c r="AC164" i="13"/>
  <c r="AC187" i="13"/>
  <c r="I187" i="13" s="1"/>
  <c r="K187" i="13" s="1"/>
  <c r="I248" i="13"/>
  <c r="AC149" i="13"/>
  <c r="AC262" i="13"/>
  <c r="AC132" i="13"/>
  <c r="I132" i="13" s="1"/>
  <c r="AC257" i="13"/>
  <c r="AC98" i="13"/>
  <c r="I98" i="13" s="1"/>
  <c r="AC202" i="13"/>
  <c r="AC82" i="13"/>
  <c r="AC55" i="13"/>
  <c r="AC183" i="13"/>
  <c r="AC225" i="13"/>
  <c r="AC211" i="13"/>
  <c r="AC158" i="13"/>
  <c r="AC205" i="13"/>
  <c r="AC184" i="13"/>
  <c r="AC90" i="13"/>
  <c r="AC121" i="13"/>
  <c r="AC36" i="13"/>
  <c r="AC199" i="13"/>
  <c r="AC120" i="13"/>
  <c r="AC95" i="13"/>
  <c r="K98" i="13"/>
  <c r="J99" i="13"/>
  <c r="J98" i="13"/>
  <c r="J132" i="13"/>
  <c r="AC84" i="13"/>
  <c r="AC7" i="13"/>
  <c r="AC261" i="13"/>
  <c r="AC190" i="13"/>
  <c r="I190" i="13" s="1"/>
  <c r="AC200" i="13"/>
  <c r="I200" i="13" s="1"/>
  <c r="J200" i="13" s="1"/>
  <c r="AC66" i="13"/>
  <c r="I66" i="13" s="1"/>
  <c r="AC92" i="13"/>
  <c r="AC97" i="13"/>
  <c r="AC234" i="13"/>
  <c r="I234" i="13" s="1"/>
  <c r="AC243" i="13"/>
  <c r="AC85" i="13"/>
  <c r="AC50" i="13"/>
  <c r="AC166" i="13"/>
  <c r="AC83" i="13"/>
  <c r="AC24" i="13"/>
  <c r="AC101" i="13"/>
  <c r="AC170" i="13"/>
  <c r="AC196" i="13"/>
  <c r="I107" i="13"/>
  <c r="AC130" i="13"/>
  <c r="AC23" i="13"/>
  <c r="AC264" i="13"/>
  <c r="AC218" i="13"/>
  <c r="AC267" i="13"/>
  <c r="AC28" i="13"/>
  <c r="AC251" i="13"/>
  <c r="AC77" i="13"/>
  <c r="AC266" i="13"/>
  <c r="AC8" i="13"/>
  <c r="I59" i="13"/>
  <c r="K59" i="13" s="1"/>
  <c r="AC43" i="13"/>
  <c r="AC143" i="13"/>
  <c r="I4" i="13"/>
  <c r="J66" i="13"/>
  <c r="AC93" i="13"/>
  <c r="I93" i="13" s="1"/>
  <c r="AC131" i="13"/>
  <c r="AC226" i="13"/>
  <c r="AC172" i="13"/>
  <c r="AC222" i="13"/>
  <c r="AC116" i="13"/>
  <c r="K4" i="13"/>
  <c r="AC176" i="13"/>
  <c r="AC42" i="13"/>
  <c r="I254" i="13"/>
  <c r="AC238" i="13"/>
  <c r="AC26" i="13"/>
  <c r="AC231" i="13"/>
  <c r="AC241" i="13"/>
  <c r="AC247" i="13"/>
  <c r="AC263" i="13"/>
  <c r="AC108" i="13"/>
  <c r="K96" i="13"/>
  <c r="AC216" i="13"/>
  <c r="I216" i="13" s="1"/>
  <c r="AC115" i="13"/>
  <c r="AC127" i="13"/>
  <c r="AC112" i="13"/>
  <c r="AC160" i="13"/>
  <c r="AC56" i="13"/>
  <c r="AC148" i="13"/>
  <c r="AC186" i="13"/>
  <c r="I186" i="13" s="1"/>
  <c r="AC100" i="13"/>
  <c r="AC203" i="13"/>
  <c r="AC163" i="13"/>
  <c r="AC87" i="13"/>
  <c r="AC15" i="13"/>
  <c r="AC103" i="13"/>
  <c r="I241" i="13"/>
  <c r="AC113" i="13"/>
  <c r="AC139" i="13"/>
  <c r="I139" i="13" s="1"/>
  <c r="AC171" i="13"/>
  <c r="K99" i="13"/>
  <c r="AC220" i="13"/>
  <c r="I257" i="13"/>
  <c r="J257" i="13" s="1"/>
  <c r="I81" i="13"/>
  <c r="J81" i="13" s="1"/>
  <c r="I37" i="13"/>
  <c r="K37" i="13" s="1"/>
  <c r="I103" i="13"/>
  <c r="K103" i="13" s="1"/>
  <c r="AC271" i="13"/>
  <c r="AC219" i="13"/>
  <c r="I238" i="13"/>
  <c r="K238" i="13" s="1"/>
  <c r="I166" i="13"/>
  <c r="J37" i="13"/>
  <c r="AC213" i="13"/>
  <c r="AC210" i="13"/>
  <c r="AC73" i="13"/>
  <c r="AC270" i="13"/>
  <c r="AC244" i="13"/>
  <c r="K81" i="13"/>
  <c r="K107" i="13"/>
  <c r="AC49" i="13"/>
  <c r="AC265" i="13"/>
  <c r="J186" i="13"/>
  <c r="AC229" i="13"/>
  <c r="AC195" i="13"/>
  <c r="AC35" i="13"/>
  <c r="AC16" i="13"/>
  <c r="AC114" i="13"/>
  <c r="I114" i="13" s="1"/>
  <c r="K200" i="13"/>
  <c r="AC47" i="13"/>
  <c r="I150" i="13"/>
  <c r="AC201" i="13"/>
  <c r="AC67" i="13"/>
  <c r="J190" i="13"/>
  <c r="AM1" i="6"/>
  <c r="AC232" i="13"/>
  <c r="AC62" i="13"/>
  <c r="I62" i="13" s="1"/>
  <c r="AC122" i="13"/>
  <c r="AC165" i="13"/>
  <c r="AC61" i="13"/>
  <c r="I61" i="13" s="1"/>
  <c r="AC180" i="13"/>
  <c r="I180" i="13" s="1"/>
  <c r="K180" i="13" s="1"/>
  <c r="AC9" i="13"/>
  <c r="I9" i="13" s="1"/>
  <c r="AC54" i="13"/>
  <c r="AC204" i="13"/>
  <c r="AC156" i="13"/>
  <c r="I247" i="13"/>
  <c r="AC22" i="13"/>
  <c r="AC51" i="13"/>
  <c r="I133" i="13"/>
  <c r="AC173" i="13"/>
  <c r="AC52" i="13"/>
  <c r="AC14" i="13"/>
  <c r="K94" i="13"/>
  <c r="AC189" i="13"/>
  <c r="AC18" i="13"/>
  <c r="AC197" i="13"/>
  <c r="I101" i="13"/>
  <c r="K101" i="13" s="1"/>
  <c r="I33" i="13"/>
  <c r="K33" i="13" s="1"/>
  <c r="I183" i="13"/>
  <c r="I129" i="13"/>
  <c r="K129" i="13" s="1"/>
  <c r="AC104" i="13"/>
  <c r="AC29" i="13"/>
  <c r="AC69" i="13"/>
  <c r="AC209" i="13"/>
  <c r="I125" i="13"/>
  <c r="J125" i="13" s="1"/>
  <c r="I197" i="13"/>
  <c r="J197" i="13" s="1"/>
  <c r="AC60" i="13"/>
  <c r="I69" i="13"/>
  <c r="AC109" i="13"/>
  <c r="I17" i="13"/>
  <c r="AC221" i="13"/>
  <c r="AC256" i="13"/>
  <c r="AC169" i="13"/>
  <c r="I169" i="13" s="1"/>
  <c r="K169" i="13" s="1"/>
  <c r="AC136" i="13"/>
  <c r="AC178" i="13"/>
  <c r="AC65" i="13"/>
  <c r="I65" i="13" s="1"/>
  <c r="AC174" i="13"/>
  <c r="AC38" i="13"/>
  <c r="AC39" i="13"/>
  <c r="I47" i="13"/>
  <c r="AC34" i="13"/>
  <c r="I34" i="13" s="1"/>
  <c r="K34" i="13" s="1"/>
  <c r="AC134" i="13"/>
  <c r="I57" i="13"/>
  <c r="J57" i="13" s="1"/>
  <c r="AC13" i="13"/>
  <c r="AC144" i="13"/>
  <c r="AC237" i="13"/>
  <c r="I237" i="13" s="1"/>
  <c r="AC46" i="13"/>
  <c r="AC119" i="13"/>
  <c r="AC12" i="13"/>
  <c r="AC269" i="13"/>
  <c r="AC89" i="13"/>
  <c r="I89" i="13" s="1"/>
  <c r="J89" i="13" s="1"/>
  <c r="AC79" i="13"/>
  <c r="AC177" i="13"/>
  <c r="AC250" i="13"/>
  <c r="AC245" i="13"/>
  <c r="AC44" i="13"/>
  <c r="I44" i="13" s="1"/>
  <c r="I269" i="13"/>
  <c r="AC20" i="13"/>
  <c r="AC240" i="13"/>
  <c r="I124" i="13"/>
  <c r="K124" i="13" s="1"/>
  <c r="AC246" i="13"/>
  <c r="I6" i="13"/>
  <c r="J6" i="13" s="1"/>
  <c r="AC217" i="13"/>
  <c r="AC223" i="13"/>
  <c r="I144" i="13"/>
  <c r="AC105" i="13"/>
  <c r="AC151" i="13"/>
  <c r="I178" i="13"/>
  <c r="K178" i="13" s="1"/>
  <c r="AC161" i="13"/>
  <c r="I67" i="13"/>
  <c r="AC227" i="13"/>
  <c r="AC159" i="13"/>
  <c r="AC230" i="13"/>
  <c r="I71" i="13"/>
  <c r="J71" i="13" s="1"/>
  <c r="I73" i="13"/>
  <c r="AC272" i="13"/>
  <c r="AC138" i="13"/>
  <c r="J103" i="13"/>
  <c r="AC3" i="13"/>
  <c r="I56" i="13"/>
  <c r="K237" i="13"/>
  <c r="K132" i="13"/>
  <c r="K6" i="13"/>
  <c r="K71" i="13"/>
  <c r="K93" i="13"/>
  <c r="J69" i="13"/>
  <c r="AC64" i="13"/>
  <c r="I64" i="13" s="1"/>
  <c r="J64" i="13" s="1"/>
  <c r="AC260" i="13"/>
  <c r="J107" i="13"/>
  <c r="I143" i="13"/>
  <c r="J187" i="13"/>
  <c r="AC182" i="13"/>
  <c r="AC252" i="13"/>
  <c r="AC192" i="13"/>
  <c r="AC106" i="13"/>
  <c r="I106" i="13" s="1"/>
  <c r="AC91" i="13"/>
  <c r="I91" i="13" s="1"/>
  <c r="AC224" i="13"/>
  <c r="I92" i="13"/>
  <c r="AC48" i="13"/>
  <c r="AC167" i="13"/>
  <c r="AC191" i="13"/>
  <c r="I191" i="13" s="1"/>
  <c r="AC135" i="13"/>
  <c r="I135" i="13" s="1"/>
  <c r="AC126" i="13"/>
  <c r="AC88" i="13"/>
  <c r="K190" i="13"/>
  <c r="AC206" i="13"/>
  <c r="I206" i="13" s="1"/>
  <c r="AC215" i="13"/>
  <c r="I215" i="13" s="1"/>
  <c r="AC102" i="13"/>
  <c r="I102" i="13" s="1"/>
  <c r="AC157" i="13"/>
  <c r="I157" i="13" s="1"/>
  <c r="AC111" i="13"/>
  <c r="AC117" i="13"/>
  <c r="I117" i="13" s="1"/>
  <c r="AC198" i="13"/>
  <c r="I198" i="13" s="1"/>
  <c r="I58" i="13"/>
  <c r="AC146" i="13"/>
  <c r="I146" i="13" s="1"/>
  <c r="J146" i="13" s="1"/>
  <c r="I262" i="13"/>
  <c r="J262" i="13" s="1"/>
  <c r="I85" i="13"/>
  <c r="J85" i="13" s="1"/>
  <c r="AC70" i="13"/>
  <c r="I232" i="13"/>
  <c r="AC249" i="13"/>
  <c r="I249" i="13" s="1"/>
  <c r="AC5" i="13"/>
  <c r="AC142" i="13"/>
  <c r="AC179" i="13"/>
  <c r="AC255" i="13"/>
  <c r="AC181" i="13"/>
  <c r="AC152" i="13"/>
  <c r="I152" i="13" s="1"/>
  <c r="AC30" i="13"/>
  <c r="J237" i="13"/>
  <c r="AC207" i="13"/>
  <c r="I24" i="13"/>
  <c r="AC74" i="13"/>
  <c r="J234" i="13"/>
  <c r="K234" i="13"/>
  <c r="J216" i="13"/>
  <c r="K216" i="13"/>
  <c r="J241" i="13"/>
  <c r="J139" i="13"/>
  <c r="K139" i="13"/>
  <c r="J114" i="13"/>
  <c r="J150" i="13"/>
  <c r="K150" i="13"/>
  <c r="K62" i="13"/>
  <c r="J62" i="13"/>
  <c r="J9" i="13"/>
  <c r="K9" i="13"/>
  <c r="K247" i="13"/>
  <c r="J247" i="13"/>
  <c r="J44" i="13"/>
  <c r="K44" i="13"/>
  <c r="J67" i="13"/>
  <c r="K67" i="13"/>
  <c r="J73" i="13"/>
  <c r="K73" i="13"/>
  <c r="K106" i="13"/>
  <c r="J106" i="13"/>
  <c r="J92" i="13"/>
  <c r="K92" i="13"/>
  <c r="J191" i="13"/>
  <c r="K191" i="13"/>
  <c r="K135" i="13"/>
  <c r="J135" i="13"/>
  <c r="K206" i="13"/>
  <c r="J215" i="13"/>
  <c r="K198" i="13"/>
  <c r="J58" i="13"/>
  <c r="K232" i="13"/>
  <c r="J232" i="13"/>
  <c r="K152" i="13"/>
  <c r="J24" i="13"/>
  <c r="K24" i="13"/>
  <c r="AI75" i="2" l="1"/>
  <c r="AG41" i="2"/>
  <c r="AE37" i="7"/>
  <c r="AK5" i="6"/>
  <c r="AI72" i="2"/>
  <c r="AK45" i="6"/>
  <c r="I3" i="14"/>
  <c r="AK54" i="6"/>
  <c r="AI35" i="2"/>
  <c r="AI29" i="2"/>
  <c r="AI27" i="2"/>
  <c r="AI78" i="2"/>
  <c r="AI94" i="2"/>
  <c r="AI87" i="2"/>
  <c r="AK47" i="6"/>
  <c r="AI51" i="2"/>
  <c r="AK44" i="6"/>
  <c r="AI48" i="2"/>
  <c r="AK36" i="6"/>
  <c r="AI40" i="2"/>
  <c r="AK39" i="6"/>
  <c r="AI43" i="2"/>
  <c r="AF43" i="7"/>
  <c r="AI47" i="2" s="1"/>
  <c r="AH47" i="2"/>
  <c r="P3" i="2"/>
  <c r="P4" i="2" s="1"/>
  <c r="AK89" i="6"/>
  <c r="AK41" i="6"/>
  <c r="AK46" i="6"/>
  <c r="AK17" i="6"/>
  <c r="AK81" i="6"/>
  <c r="AK13" i="6"/>
  <c r="AI67" i="2"/>
  <c r="AI53" i="2"/>
  <c r="X3" i="2"/>
  <c r="X4" i="2" s="1"/>
  <c r="S3" i="2"/>
  <c r="S4" i="2" s="1"/>
  <c r="I3" i="2"/>
  <c r="I4" i="2" s="1"/>
  <c r="E3" i="2"/>
  <c r="E4" i="2" s="1"/>
  <c r="W3" i="2"/>
  <c r="W4" i="2" s="1"/>
  <c r="Y3" i="2"/>
  <c r="Y4" i="2" s="1"/>
  <c r="AA3" i="2"/>
  <c r="AA4" i="2" s="1"/>
  <c r="AD3" i="2"/>
  <c r="J3" i="2"/>
  <c r="J4" i="2" s="1"/>
  <c r="AF3" i="2"/>
  <c r="N3" i="2"/>
  <c r="N4" i="2" s="1"/>
  <c r="T3" i="2"/>
  <c r="T4" i="2" s="1"/>
  <c r="F3" i="2"/>
  <c r="F4" i="2" s="1"/>
  <c r="AB3" i="2"/>
  <c r="M3" i="2"/>
  <c r="M4" i="2" s="1"/>
  <c r="O3" i="2"/>
  <c r="O4" i="2" s="1"/>
  <c r="Z3" i="2"/>
  <c r="Z4" i="2" s="1"/>
  <c r="R3" i="2"/>
  <c r="R4" i="2" s="1"/>
  <c r="AE3" i="2"/>
  <c r="Q3" i="2"/>
  <c r="Q4" i="2" s="1"/>
  <c r="G3" i="2"/>
  <c r="G4" i="2" s="1"/>
  <c r="L3" i="2"/>
  <c r="L4" i="2" s="1"/>
  <c r="H3" i="2"/>
  <c r="H4" i="2" s="1"/>
  <c r="K3" i="2"/>
  <c r="K4" i="2" s="1"/>
  <c r="AC3" i="2"/>
  <c r="V3" i="2"/>
  <c r="V4" i="2" s="1"/>
  <c r="U3" i="2"/>
  <c r="U4" i="2" s="1"/>
  <c r="S107" i="13"/>
  <c r="T107" i="13"/>
  <c r="AG24" i="7"/>
  <c r="AJ28" i="2" s="1"/>
  <c r="AG63" i="7"/>
  <c r="AG14" i="7"/>
  <c r="AJ18" i="2" s="1"/>
  <c r="AG53" i="7"/>
  <c r="AG87" i="7"/>
  <c r="AG36" i="7"/>
  <c r="AJ40" i="2" s="1"/>
  <c r="AG85" i="7"/>
  <c r="AG44" i="7"/>
  <c r="AJ48" i="2" s="1"/>
  <c r="AG39" i="7"/>
  <c r="AJ43" i="2" s="1"/>
  <c r="AG51" i="7"/>
  <c r="AG74" i="7"/>
  <c r="AG81" i="7"/>
  <c r="AG12" i="7"/>
  <c r="AG27" i="7"/>
  <c r="AG25" i="7"/>
  <c r="AG92" i="7"/>
  <c r="AG95" i="7"/>
  <c r="AJ99" i="2" s="1"/>
  <c r="AG71" i="7"/>
  <c r="AG68" i="7"/>
  <c r="AG69" i="7"/>
  <c r="AG13" i="7"/>
  <c r="AG70" i="7"/>
  <c r="AG46" i="7"/>
  <c r="AJ50" i="2" s="1"/>
  <c r="AG47" i="7"/>
  <c r="AJ51" i="2" s="1"/>
  <c r="AG5" i="7"/>
  <c r="AL5" i="6" s="1"/>
  <c r="AG33" i="7"/>
  <c r="AJ37" i="2" s="1"/>
  <c r="AG52" i="7"/>
  <c r="AG23" i="7"/>
  <c r="AG49" i="7"/>
  <c r="AG6" i="7"/>
  <c r="AG17" i="7"/>
  <c r="AG26" i="7"/>
  <c r="AG82" i="7"/>
  <c r="AJ86" i="2" s="1"/>
  <c r="AG59" i="7"/>
  <c r="AJ63" i="2" s="1"/>
  <c r="AG8" i="7"/>
  <c r="AG65" i="7"/>
  <c r="AG19" i="7"/>
  <c r="AG35" i="7"/>
  <c r="AJ39" i="2" s="1"/>
  <c r="AG86" i="7"/>
  <c r="AG9" i="7"/>
  <c r="AJ13" i="2" s="1"/>
  <c r="AG40" i="7"/>
  <c r="AJ44" i="2" s="1"/>
  <c r="AG7" i="7"/>
  <c r="AG10" i="7"/>
  <c r="AG73" i="7"/>
  <c r="AG76" i="7"/>
  <c r="AJ80" i="2" s="1"/>
  <c r="AG90" i="7"/>
  <c r="AG55" i="7"/>
  <c r="AG61" i="7"/>
  <c r="AJ65" i="2" s="1"/>
  <c r="AG91" i="7"/>
  <c r="AG94" i="7"/>
  <c r="AG31" i="7"/>
  <c r="AG48" i="7"/>
  <c r="AJ52" i="2" s="1"/>
  <c r="AG88" i="7"/>
  <c r="AJ92" i="2" s="1"/>
  <c r="AG66" i="7"/>
  <c r="AG45" i="7"/>
  <c r="AJ49" i="2" s="1"/>
  <c r="AG75" i="7"/>
  <c r="AJ79" i="2" s="1"/>
  <c r="AG96" i="7"/>
  <c r="AG21" i="7"/>
  <c r="AG89" i="7"/>
  <c r="AG54" i="7"/>
  <c r="AG22" i="7"/>
  <c r="AG83" i="7"/>
  <c r="AG41" i="7"/>
  <c r="AJ45" i="2" s="1"/>
  <c r="AG34" i="7"/>
  <c r="AJ38" i="2" s="1"/>
  <c r="AG77" i="7"/>
  <c r="AG38" i="7"/>
  <c r="AJ42" i="2" s="1"/>
  <c r="AG79" i="7"/>
  <c r="R98" i="13"/>
  <c r="R107" i="13"/>
  <c r="R237" i="13"/>
  <c r="R99" i="13"/>
  <c r="R216" i="13"/>
  <c r="R150" i="13"/>
  <c r="R67" i="13"/>
  <c r="R37" i="13"/>
  <c r="R132" i="13"/>
  <c r="R139" i="13"/>
  <c r="R71" i="13"/>
  <c r="R73" i="13"/>
  <c r="R92" i="13"/>
  <c r="R9" i="13"/>
  <c r="R247" i="13"/>
  <c r="R81" i="13"/>
  <c r="R6" i="13"/>
  <c r="R187" i="13"/>
  <c r="R62" i="13"/>
  <c r="R103" i="13"/>
  <c r="R24" i="13"/>
  <c r="R106" i="13"/>
  <c r="R234" i="13"/>
  <c r="R44" i="13"/>
  <c r="R190" i="13"/>
  <c r="R200" i="13"/>
  <c r="R191" i="13"/>
  <c r="R135" i="13"/>
  <c r="R232" i="13"/>
  <c r="AI10" i="2"/>
  <c r="AI25" i="2"/>
  <c r="AK86" i="6"/>
  <c r="AK88" i="6"/>
  <c r="AK38" i="6"/>
  <c r="AK60" i="6"/>
  <c r="AG60" i="7"/>
  <c r="AI64" i="2"/>
  <c r="AK79" i="6"/>
  <c r="AK61" i="6"/>
  <c r="AG72" i="7"/>
  <c r="AI76" i="2"/>
  <c r="AH64" i="2"/>
  <c r="AJ60" i="6"/>
  <c r="AJ43" i="6"/>
  <c r="AK12" i="6"/>
  <c r="AK34" i="6"/>
  <c r="AK77" i="6"/>
  <c r="AI7" i="2"/>
  <c r="AK3" i="6"/>
  <c r="AI80" i="2"/>
  <c r="AG3" i="7"/>
  <c r="AJ7" i="2" s="1"/>
  <c r="AF18" i="7"/>
  <c r="AH22" i="2"/>
  <c r="AJ18" i="6"/>
  <c r="AH33" i="2"/>
  <c r="AJ29" i="6"/>
  <c r="AF29" i="7"/>
  <c r="AI81" i="2"/>
  <c r="AH97" i="2"/>
  <c r="AJ93" i="6"/>
  <c r="AF93" i="7"/>
  <c r="AL76" i="6"/>
  <c r="AH15" i="2"/>
  <c r="AJ11" i="6"/>
  <c r="AF11" i="7"/>
  <c r="AF42" i="7"/>
  <c r="AI46" i="2" s="1"/>
  <c r="AJ42" i="6"/>
  <c r="AJ98" i="6"/>
  <c r="AF98" i="7"/>
  <c r="AH102" i="2"/>
  <c r="AH71" i="2"/>
  <c r="AJ67" i="6"/>
  <c r="AF67" i="7"/>
  <c r="AH66" i="2"/>
  <c r="AJ62" i="6"/>
  <c r="AF62" i="7"/>
  <c r="AH19" i="2"/>
  <c r="AF15" i="7"/>
  <c r="AJ15" i="6"/>
  <c r="AF97" i="7"/>
  <c r="AH101" i="2"/>
  <c r="AJ97" i="6"/>
  <c r="AH61" i="2"/>
  <c r="AJ57" i="6"/>
  <c r="AF57" i="7"/>
  <c r="AF28" i="7"/>
  <c r="AH32" i="2"/>
  <c r="AJ28" i="6"/>
  <c r="AF84" i="7"/>
  <c r="AH88" i="2"/>
  <c r="AJ84" i="6"/>
  <c r="AH84" i="2"/>
  <c r="AJ80" i="6"/>
  <c r="AF80" i="7"/>
  <c r="AH20" i="2"/>
  <c r="AJ16" i="6"/>
  <c r="AF16" i="7"/>
  <c r="AH60" i="2"/>
  <c r="AF56" i="7"/>
  <c r="AJ56" i="6"/>
  <c r="AH8" i="2"/>
  <c r="AJ4" i="6"/>
  <c r="AF4" i="7"/>
  <c r="A26" i="2"/>
  <c r="B25" i="2"/>
  <c r="AH62" i="2"/>
  <c r="AJ58" i="6"/>
  <c r="AF58" i="7"/>
  <c r="AF2" i="7"/>
  <c r="AH6" i="2"/>
  <c r="AJ2" i="6"/>
  <c r="AF64" i="7"/>
  <c r="AH68" i="2"/>
  <c r="AJ64" i="6"/>
  <c r="AF32" i="7"/>
  <c r="AI36" i="2" s="1"/>
  <c r="AJ32" i="6"/>
  <c r="AJ87" i="2"/>
  <c r="AL83" i="6"/>
  <c r="AJ50" i="6"/>
  <c r="AF50" i="7"/>
  <c r="AH54" i="2"/>
  <c r="AJ30" i="6"/>
  <c r="AF30" i="7"/>
  <c r="AH34" i="2"/>
  <c r="AH24" i="2"/>
  <c r="AF20" i="7"/>
  <c r="AJ20" i="6"/>
  <c r="AG3" i="2"/>
  <c r="AL51" i="6"/>
  <c r="AJ55" i="2"/>
  <c r="AL69" i="6"/>
  <c r="AJ73" i="2"/>
  <c r="AL40" i="6"/>
  <c r="AL35" i="6"/>
  <c r="AL49" i="6"/>
  <c r="AJ53" i="2"/>
  <c r="AL85" i="6"/>
  <c r="AJ89" i="2"/>
  <c r="AL36" i="6"/>
  <c r="AL60" i="6"/>
  <c r="AJ64" i="2"/>
  <c r="AL12" i="6"/>
  <c r="AJ16" i="2"/>
  <c r="AL90" i="6"/>
  <c r="AJ94" i="2"/>
  <c r="AL31" i="6"/>
  <c r="AJ35" i="2"/>
  <c r="AL6" i="6"/>
  <c r="AJ10" i="2"/>
  <c r="AL70" i="6"/>
  <c r="AJ74" i="2"/>
  <c r="AL23" i="6"/>
  <c r="AJ27" i="2"/>
  <c r="AL52" i="6"/>
  <c r="AJ56" i="2"/>
  <c r="AL8" i="6"/>
  <c r="AJ12" i="2"/>
  <c r="AL46" i="6"/>
  <c r="AJ99" i="6"/>
  <c r="AH103" i="2"/>
  <c r="AL92" i="6"/>
  <c r="AJ96" i="2"/>
  <c r="AL45" i="6"/>
  <c r="AL22" i="6"/>
  <c r="AJ26" i="2"/>
  <c r="AL86" i="6"/>
  <c r="AJ90" i="2"/>
  <c r="AL87" i="6"/>
  <c r="AJ91" i="2"/>
  <c r="AL47" i="6"/>
  <c r="AL54" i="6"/>
  <c r="AJ58" i="2"/>
  <c r="AL44" i="6"/>
  <c r="AL38" i="6"/>
  <c r="AL89" i="6"/>
  <c r="AJ93" i="2"/>
  <c r="AL79" i="6"/>
  <c r="AJ83" i="2"/>
  <c r="AL10" i="6"/>
  <c r="AJ14" i="2"/>
  <c r="AL55" i="6"/>
  <c r="AJ59" i="2"/>
  <c r="AL7" i="6"/>
  <c r="AJ11" i="2"/>
  <c r="AL26" i="6"/>
  <c r="AJ30" i="2"/>
  <c r="AL13" i="6"/>
  <c r="AJ17" i="2"/>
  <c r="AL17" i="6"/>
  <c r="AJ21" i="2"/>
  <c r="AL91" i="6"/>
  <c r="AJ95" i="2"/>
  <c r="AL27" i="6"/>
  <c r="AJ31" i="2"/>
  <c r="AL65" i="6"/>
  <c r="AJ69" i="2"/>
  <c r="AL33" i="6"/>
  <c r="AL81" i="6"/>
  <c r="AJ85" i="2"/>
  <c r="AL21" i="6"/>
  <c r="AJ25" i="2"/>
  <c r="AL48" i="6"/>
  <c r="AL19" i="6"/>
  <c r="AJ23" i="2"/>
  <c r="AL41" i="6"/>
  <c r="AL77" i="6"/>
  <c r="AJ81" i="2"/>
  <c r="AL68" i="6"/>
  <c r="AJ72" i="2"/>
  <c r="AL53" i="6"/>
  <c r="AJ57" i="2"/>
  <c r="AJ9" i="2"/>
  <c r="AL73" i="6"/>
  <c r="AJ77" i="2"/>
  <c r="AL96" i="6"/>
  <c r="AJ100" i="2"/>
  <c r="AL74" i="6"/>
  <c r="AJ78" i="2"/>
  <c r="AL25" i="6"/>
  <c r="AJ29" i="2"/>
  <c r="AL71" i="6"/>
  <c r="AJ75" i="2"/>
  <c r="AL94" i="6"/>
  <c r="AJ98" i="2"/>
  <c r="AL63" i="6"/>
  <c r="AJ67" i="2"/>
  <c r="AL66" i="6"/>
  <c r="AJ70" i="2"/>
  <c r="AJ78" i="6"/>
  <c r="AF78" i="7"/>
  <c r="AI82" i="2" s="1"/>
  <c r="AL14" i="6"/>
  <c r="AL88" i="6"/>
  <c r="AL59" i="6"/>
  <c r="AJ1" i="2"/>
  <c r="AJ5" i="2" s="1"/>
  <c r="AF99" i="7"/>
  <c r="J198" i="13"/>
  <c r="I3" i="13"/>
  <c r="J269" i="13"/>
  <c r="I173" i="13"/>
  <c r="I210" i="13"/>
  <c r="I148" i="13"/>
  <c r="J148" i="13" s="1"/>
  <c r="I43" i="13"/>
  <c r="I36" i="13"/>
  <c r="I78" i="13"/>
  <c r="K78" i="13" s="1"/>
  <c r="I10" i="13"/>
  <c r="J238" i="13"/>
  <c r="I239" i="13"/>
  <c r="K117" i="13"/>
  <c r="I42" i="13"/>
  <c r="I156" i="13"/>
  <c r="I138" i="13"/>
  <c r="I11" i="13"/>
  <c r="I109" i="13"/>
  <c r="I204" i="13"/>
  <c r="J178" i="13"/>
  <c r="I196" i="13"/>
  <c r="I84" i="13"/>
  <c r="I68" i="13"/>
  <c r="K133" i="13"/>
  <c r="J166" i="13"/>
  <c r="I195" i="13"/>
  <c r="K47" i="13"/>
  <c r="I192" i="13"/>
  <c r="I251" i="13"/>
  <c r="I19" i="13"/>
  <c r="K85" i="13"/>
  <c r="J144" i="13"/>
  <c r="K138" i="13"/>
  <c r="K196" i="13"/>
  <c r="J19" i="13"/>
  <c r="K58" i="13"/>
  <c r="K56" i="13"/>
  <c r="I20" i="13"/>
  <c r="I189" i="13"/>
  <c r="I49" i="13"/>
  <c r="I203" i="13"/>
  <c r="J203" i="13" s="1"/>
  <c r="J4" i="13"/>
  <c r="I199" i="13"/>
  <c r="J248" i="13"/>
  <c r="I63" i="13"/>
  <c r="I137" i="13"/>
  <c r="I12" i="13"/>
  <c r="J47" i="13"/>
  <c r="K64" i="13"/>
  <c r="I51" i="13"/>
  <c r="J117" i="13"/>
  <c r="I179" i="13"/>
  <c r="I88" i="13"/>
  <c r="K146" i="13"/>
  <c r="I87" i="13"/>
  <c r="I205" i="13"/>
  <c r="I130" i="13"/>
  <c r="K144" i="13"/>
  <c r="K125" i="13"/>
  <c r="K249" i="13"/>
  <c r="I30" i="13"/>
  <c r="I113" i="13"/>
  <c r="I258" i="13"/>
  <c r="J258" i="13" s="1"/>
  <c r="K148" i="13"/>
  <c r="J93" i="13"/>
  <c r="I147" i="13"/>
  <c r="I134" i="13"/>
  <c r="J134" i="13" s="1"/>
  <c r="J59" i="13"/>
  <c r="J239" i="13"/>
  <c r="J196" i="13"/>
  <c r="J42" i="13"/>
  <c r="I70" i="13"/>
  <c r="I260" i="13"/>
  <c r="I240" i="13"/>
  <c r="J240" i="13" s="1"/>
  <c r="K183" i="13"/>
  <c r="I16" i="13"/>
  <c r="I15" i="13"/>
  <c r="I131" i="13"/>
  <c r="J131" i="13" s="1"/>
  <c r="I243" i="13"/>
  <c r="J243" i="13" s="1"/>
  <c r="I149" i="13"/>
  <c r="J94" i="13"/>
  <c r="J157" i="13"/>
  <c r="AN1" i="6"/>
  <c r="K203" i="13"/>
  <c r="I236" i="13"/>
  <c r="K236" i="13" s="1"/>
  <c r="I250" i="13"/>
  <c r="I174" i="13"/>
  <c r="K174" i="13" s="1"/>
  <c r="I211" i="13"/>
  <c r="I140" i="13"/>
  <c r="I184" i="13"/>
  <c r="J34" i="13"/>
  <c r="K61" i="13"/>
  <c r="J140" i="13"/>
  <c r="K186" i="13"/>
  <c r="I177" i="13"/>
  <c r="K177" i="13" s="1"/>
  <c r="I2" i="13"/>
  <c r="I118" i="13"/>
  <c r="K157" i="13"/>
  <c r="I27" i="13"/>
  <c r="K27" i="13" s="1"/>
  <c r="I171" i="13"/>
  <c r="K171" i="13" s="1"/>
  <c r="I97" i="13"/>
  <c r="J56" i="13"/>
  <c r="J101" i="13"/>
  <c r="I50" i="13"/>
  <c r="J97" i="13"/>
  <c r="K239" i="13"/>
  <c r="J174" i="13"/>
  <c r="K130" i="13"/>
  <c r="K84" i="13"/>
  <c r="J50" i="13"/>
  <c r="I164" i="13"/>
  <c r="K164" i="13" s="1"/>
  <c r="K89" i="13"/>
  <c r="K87" i="13"/>
  <c r="K258" i="13"/>
  <c r="J249" i="13"/>
  <c r="I252" i="13"/>
  <c r="I217" i="13"/>
  <c r="I104" i="13"/>
  <c r="K114" i="13"/>
  <c r="K241" i="13"/>
  <c r="I226" i="13"/>
  <c r="J226" i="13" s="1"/>
  <c r="I170" i="13"/>
  <c r="K170" i="13" s="1"/>
  <c r="I202" i="13"/>
  <c r="I72" i="13"/>
  <c r="J72" i="13" s="1"/>
  <c r="I229" i="13"/>
  <c r="K262" i="13"/>
  <c r="I224" i="13"/>
  <c r="K269" i="13"/>
  <c r="I120" i="13"/>
  <c r="K120" i="13" s="1"/>
  <c r="K72" i="13"/>
  <c r="I48" i="13"/>
  <c r="K48" i="13" s="1"/>
  <c r="I261" i="13"/>
  <c r="I119" i="13"/>
  <c r="J119" i="13" s="1"/>
  <c r="I231" i="13"/>
  <c r="K231" i="13" s="1"/>
  <c r="I28" i="13"/>
  <c r="I263" i="13"/>
  <c r="J263" i="13" s="1"/>
  <c r="J143" i="13"/>
  <c r="I245" i="13"/>
  <c r="I38" i="13"/>
  <c r="J38" i="13" s="1"/>
  <c r="J36" i="13"/>
  <c r="I45" i="13"/>
  <c r="I218" i="13"/>
  <c r="K66" i="13"/>
  <c r="I95" i="13"/>
  <c r="K95" i="13" s="1"/>
  <c r="I82" i="13"/>
  <c r="J82" i="13" s="1"/>
  <c r="I40" i="13"/>
  <c r="J91" i="13"/>
  <c r="I255" i="13"/>
  <c r="I32" i="13"/>
  <c r="J43" i="13"/>
  <c r="K137" i="13"/>
  <c r="J12" i="13"/>
  <c r="K261" i="13"/>
  <c r="K119" i="13"/>
  <c r="J231" i="13"/>
  <c r="J164" i="13"/>
  <c r="K263" i="13"/>
  <c r="K245" i="13"/>
  <c r="K38" i="13"/>
  <c r="J84" i="13"/>
  <c r="J251" i="13"/>
  <c r="K50" i="13"/>
  <c r="J192" i="13"/>
  <c r="I83" i="13"/>
  <c r="I272" i="13"/>
  <c r="I39" i="13"/>
  <c r="I76" i="13"/>
  <c r="J28" i="13"/>
  <c r="I181" i="13"/>
  <c r="I223" i="13"/>
  <c r="K17" i="13"/>
  <c r="J61" i="13"/>
  <c r="I220" i="13"/>
  <c r="K220" i="13" s="1"/>
  <c r="I222" i="13"/>
  <c r="I23" i="13"/>
  <c r="I55" i="13"/>
  <c r="J154" i="13"/>
  <c r="I123" i="13"/>
  <c r="I270" i="13"/>
  <c r="J270" i="13" s="1"/>
  <c r="I212" i="13"/>
  <c r="I75" i="13"/>
  <c r="K229" i="13"/>
  <c r="I35" i="13"/>
  <c r="K240" i="13"/>
  <c r="I228" i="13"/>
  <c r="I161" i="13"/>
  <c r="I163" i="13"/>
  <c r="I60" i="13"/>
  <c r="J220" i="13"/>
  <c r="I253" i="13"/>
  <c r="K211" i="13"/>
  <c r="I244" i="13"/>
  <c r="I7" i="13"/>
  <c r="I167" i="13"/>
  <c r="K154" i="13"/>
  <c r="I172" i="13"/>
  <c r="I14" i="13"/>
  <c r="I108" i="13"/>
  <c r="K108" i="13" s="1"/>
  <c r="J199" i="13"/>
  <c r="I265" i="13"/>
  <c r="K265" i="13" s="1"/>
  <c r="J124" i="13"/>
  <c r="I112" i="13"/>
  <c r="K112" i="13" s="1"/>
  <c r="K91" i="13"/>
  <c r="J68" i="13"/>
  <c r="I209" i="13"/>
  <c r="I100" i="13"/>
  <c r="J254" i="13"/>
  <c r="K14" i="13"/>
  <c r="J137" i="13"/>
  <c r="K12" i="13"/>
  <c r="K75" i="13"/>
  <c r="J261" i="13"/>
  <c r="J163" i="13"/>
  <c r="J204" i="13"/>
  <c r="K253" i="13"/>
  <c r="K7" i="13"/>
  <c r="K2" i="13"/>
  <c r="J108" i="13"/>
  <c r="K195" i="13"/>
  <c r="J113" i="13"/>
  <c r="K147" i="13"/>
  <c r="J32" i="13"/>
  <c r="K218" i="13"/>
  <c r="K113" i="13"/>
  <c r="J147" i="13"/>
  <c r="K102" i="13"/>
  <c r="I194" i="13"/>
  <c r="I160" i="13"/>
  <c r="I227" i="13"/>
  <c r="K109" i="13"/>
  <c r="J27" i="13"/>
  <c r="J152" i="13"/>
  <c r="J206" i="13"/>
  <c r="I105" i="13"/>
  <c r="I221" i="13"/>
  <c r="I54" i="13"/>
  <c r="I271" i="13"/>
  <c r="J271" i="13" s="1"/>
  <c r="I176" i="13"/>
  <c r="I77" i="13"/>
  <c r="I225" i="13"/>
  <c r="I233" i="13"/>
  <c r="I141" i="13"/>
  <c r="I155" i="13"/>
  <c r="I5" i="13"/>
  <c r="I127" i="13"/>
  <c r="K248" i="13"/>
  <c r="J17" i="13"/>
  <c r="I256" i="13"/>
  <c r="I80" i="13"/>
  <c r="K80" i="13" s="1"/>
  <c r="I264" i="13"/>
  <c r="K65" i="13"/>
  <c r="I208" i="13"/>
  <c r="I126" i="13"/>
  <c r="J126" i="13" s="1"/>
  <c r="K228" i="13"/>
  <c r="J169" i="13"/>
  <c r="I182" i="13"/>
  <c r="K182" i="13" s="1"/>
  <c r="K57" i="13"/>
  <c r="K143" i="13"/>
  <c r="I116" i="13"/>
  <c r="K257" i="13"/>
  <c r="I115" i="13"/>
  <c r="J115" i="13" s="1"/>
  <c r="J170" i="13"/>
  <c r="K243" i="13"/>
  <c r="I21" i="13"/>
  <c r="I268" i="13"/>
  <c r="J194" i="13"/>
  <c r="J40" i="13"/>
  <c r="I86" i="13"/>
  <c r="J86" i="13" s="1"/>
  <c r="I111" i="13"/>
  <c r="J111" i="13" s="1"/>
  <c r="K156" i="13"/>
  <c r="J155" i="13"/>
  <c r="K212" i="13"/>
  <c r="J127" i="13"/>
  <c r="J272" i="13"/>
  <c r="K163" i="13"/>
  <c r="J39" i="13"/>
  <c r="K204" i="13"/>
  <c r="J253" i="13"/>
  <c r="J7" i="13"/>
  <c r="J2" i="13"/>
  <c r="J195" i="13"/>
  <c r="K100" i="13"/>
  <c r="J202" i="13"/>
  <c r="I219" i="13"/>
  <c r="K270" i="13"/>
  <c r="I158" i="13"/>
  <c r="I267" i="13"/>
  <c r="J267" i="13" s="1"/>
  <c r="J138" i="13"/>
  <c r="K255" i="13"/>
  <c r="I207" i="13"/>
  <c r="K215" i="13"/>
  <c r="I159" i="13"/>
  <c r="I136" i="13"/>
  <c r="I22" i="13"/>
  <c r="K166" i="13"/>
  <c r="K254" i="13"/>
  <c r="I266" i="13"/>
  <c r="I90" i="13"/>
  <c r="I145" i="13"/>
  <c r="I153" i="13"/>
  <c r="I242" i="13"/>
  <c r="I185" i="13"/>
  <c r="J183" i="13"/>
  <c r="J65" i="13"/>
  <c r="I29" i="13"/>
  <c r="AH1" i="7"/>
  <c r="K226" i="13"/>
  <c r="I52" i="13"/>
  <c r="I201" i="13"/>
  <c r="K201" i="13" s="1"/>
  <c r="I246" i="13"/>
  <c r="I13" i="13"/>
  <c r="K271" i="13"/>
  <c r="J83" i="13"/>
  <c r="J33" i="13"/>
  <c r="I165" i="13"/>
  <c r="J96" i="13"/>
  <c r="K69" i="13"/>
  <c r="I142" i="13"/>
  <c r="J142" i="13" s="1"/>
  <c r="I122" i="13"/>
  <c r="K122" i="13" s="1"/>
  <c r="J78" i="13"/>
  <c r="K83" i="13"/>
  <c r="I151" i="13"/>
  <c r="K151" i="13" s="1"/>
  <c r="I46" i="13"/>
  <c r="K46" i="13" s="1"/>
  <c r="K179" i="13"/>
  <c r="K131" i="13"/>
  <c r="K197" i="13"/>
  <c r="I259" i="13"/>
  <c r="AI1" i="7"/>
  <c r="J177" i="13"/>
  <c r="K155" i="13"/>
  <c r="J212" i="13"/>
  <c r="K127" i="13"/>
  <c r="K51" i="13"/>
  <c r="K272" i="13"/>
  <c r="K264" i="13"/>
  <c r="K39" i="13"/>
  <c r="J109" i="13"/>
  <c r="J87" i="13"/>
  <c r="K126" i="13"/>
  <c r="J182" i="13"/>
  <c r="K45" i="13"/>
  <c r="J218" i="13"/>
  <c r="K115" i="13"/>
  <c r="K30" i="13"/>
  <c r="J171" i="13"/>
  <c r="K192" i="13"/>
  <c r="J255" i="13"/>
  <c r="K111" i="13"/>
  <c r="J129" i="13"/>
  <c r="I41" i="13"/>
  <c r="I18" i="13"/>
  <c r="K43" i="13"/>
  <c r="K90" i="13"/>
  <c r="J180" i="13"/>
  <c r="I168" i="13"/>
  <c r="J11" i="13"/>
  <c r="J122" i="13"/>
  <c r="I74" i="13"/>
  <c r="J102" i="13"/>
  <c r="I230" i="13"/>
  <c r="I79" i="13"/>
  <c r="J133" i="13"/>
  <c r="I213" i="13"/>
  <c r="I26" i="13"/>
  <c r="I8" i="13"/>
  <c r="I121" i="13"/>
  <c r="I162" i="13"/>
  <c r="K25" i="13"/>
  <c r="I31" i="13"/>
  <c r="K31" i="13" s="1"/>
  <c r="I128" i="13"/>
  <c r="J25" i="13"/>
  <c r="J51" i="13"/>
  <c r="J45" i="13"/>
  <c r="K19" i="13"/>
  <c r="K3" i="13"/>
  <c r="J3" i="13"/>
  <c r="J173" i="13"/>
  <c r="K210" i="13"/>
  <c r="J10" i="13"/>
  <c r="J20" i="13"/>
  <c r="K189" i="13"/>
  <c r="J49" i="13"/>
  <c r="K49" i="13"/>
  <c r="K63" i="13"/>
  <c r="J63" i="13"/>
  <c r="K88" i="13"/>
  <c r="J88" i="13"/>
  <c r="J205" i="13"/>
  <c r="K205" i="13"/>
  <c r="K70" i="13"/>
  <c r="J70" i="13"/>
  <c r="K260" i="13"/>
  <c r="J260" i="13"/>
  <c r="J16" i="13"/>
  <c r="J15" i="13"/>
  <c r="K15" i="13"/>
  <c r="J149" i="13"/>
  <c r="K149" i="13"/>
  <c r="K250" i="13"/>
  <c r="J250" i="13"/>
  <c r="K184" i="13"/>
  <c r="J184" i="13"/>
  <c r="K118" i="13"/>
  <c r="K252" i="13"/>
  <c r="J252" i="13"/>
  <c r="K217" i="13"/>
  <c r="J104" i="13"/>
  <c r="K104" i="13"/>
  <c r="K224" i="13"/>
  <c r="J76" i="13"/>
  <c r="K76" i="13"/>
  <c r="K181" i="13"/>
  <c r="J181" i="13"/>
  <c r="K223" i="13"/>
  <c r="J222" i="13"/>
  <c r="K222" i="13"/>
  <c r="K23" i="13"/>
  <c r="K55" i="13"/>
  <c r="J55" i="13"/>
  <c r="K123" i="13"/>
  <c r="J123" i="13"/>
  <c r="J35" i="13"/>
  <c r="K35" i="13"/>
  <c r="J161" i="13"/>
  <c r="K161" i="13"/>
  <c r="J60" i="13"/>
  <c r="J244" i="13"/>
  <c r="J167" i="13"/>
  <c r="K167" i="13"/>
  <c r="J172" i="13"/>
  <c r="J209" i="13"/>
  <c r="K209" i="13"/>
  <c r="K160" i="13"/>
  <c r="J160" i="13"/>
  <c r="J227" i="13"/>
  <c r="K227" i="13"/>
  <c r="K105" i="13"/>
  <c r="J105" i="13"/>
  <c r="K221" i="13"/>
  <c r="J54" i="13"/>
  <c r="K54" i="13"/>
  <c r="K176" i="13"/>
  <c r="J176" i="13"/>
  <c r="J77" i="13"/>
  <c r="J225" i="13"/>
  <c r="J233" i="13"/>
  <c r="J141" i="13"/>
  <c r="K141" i="13"/>
  <c r="J5" i="13"/>
  <c r="K5" i="13"/>
  <c r="K256" i="13"/>
  <c r="J256" i="13"/>
  <c r="K208" i="13"/>
  <c r="J208" i="13"/>
  <c r="J116" i="13"/>
  <c r="K116" i="13"/>
  <c r="K21" i="13"/>
  <c r="J21" i="13"/>
  <c r="J268" i="13"/>
  <c r="K268" i="13"/>
  <c r="J219" i="13"/>
  <c r="K219" i="13"/>
  <c r="K158" i="13"/>
  <c r="K207" i="13"/>
  <c r="J207" i="13"/>
  <c r="J159" i="13"/>
  <c r="J136" i="13"/>
  <c r="K136" i="13"/>
  <c r="J22" i="13"/>
  <c r="K22" i="13"/>
  <c r="J266" i="13"/>
  <c r="K266" i="13"/>
  <c r="K145" i="13"/>
  <c r="K153" i="13"/>
  <c r="K242" i="13"/>
  <c r="J242" i="13"/>
  <c r="K185" i="13"/>
  <c r="J185" i="13"/>
  <c r="K29" i="13"/>
  <c r="J29" i="13"/>
  <c r="J52" i="13"/>
  <c r="K52" i="13"/>
  <c r="J246" i="13"/>
  <c r="K246" i="13"/>
  <c r="J13" i="13"/>
  <c r="K13" i="13"/>
  <c r="J165" i="13"/>
  <c r="K165" i="13"/>
  <c r="K259" i="13"/>
  <c r="J259" i="13"/>
  <c r="K41" i="13"/>
  <c r="J41" i="13"/>
  <c r="J18" i="13"/>
  <c r="K18" i="13"/>
  <c r="J168" i="13"/>
  <c r="K168" i="13"/>
  <c r="K74" i="13"/>
  <c r="J74" i="13"/>
  <c r="J230" i="13"/>
  <c r="J79" i="13"/>
  <c r="K79" i="13"/>
  <c r="K213" i="13"/>
  <c r="J213" i="13"/>
  <c r="J26" i="13"/>
  <c r="K8" i="13"/>
  <c r="J8" i="13"/>
  <c r="K121" i="13"/>
  <c r="J121" i="13"/>
  <c r="K162" i="13"/>
  <c r="K128" i="13"/>
  <c r="J128" i="13"/>
  <c r="AL24" i="6" l="1"/>
  <c r="AH41" i="2"/>
  <c r="AJ37" i="6"/>
  <c r="AF37" i="7"/>
  <c r="AL95" i="6"/>
  <c r="AL82" i="6"/>
  <c r="AL9" i="6"/>
  <c r="AL34" i="6"/>
  <c r="AL39" i="6"/>
  <c r="AL75" i="6"/>
  <c r="AL61" i="6"/>
  <c r="AG43" i="7"/>
  <c r="AK43" i="6"/>
  <c r="R121" i="13"/>
  <c r="R8" i="13"/>
  <c r="R79" i="13"/>
  <c r="R74" i="13"/>
  <c r="R266" i="13"/>
  <c r="R22" i="13"/>
  <c r="R136" i="13"/>
  <c r="R207" i="13"/>
  <c r="R54" i="13"/>
  <c r="R105" i="13"/>
  <c r="R55" i="13"/>
  <c r="R222" i="13"/>
  <c r="R181" i="13"/>
  <c r="R104" i="13"/>
  <c r="R149" i="13"/>
  <c r="R15" i="13"/>
  <c r="R260" i="13"/>
  <c r="R70" i="13"/>
  <c r="R63" i="13"/>
  <c r="R49" i="13"/>
  <c r="R3" i="13"/>
  <c r="R215" i="13"/>
  <c r="R206" i="13"/>
  <c r="R152" i="13"/>
  <c r="R241" i="13"/>
  <c r="R114" i="13"/>
  <c r="R94" i="13"/>
  <c r="R4" i="13"/>
  <c r="R58" i="13"/>
  <c r="R198" i="13"/>
  <c r="R19" i="13"/>
  <c r="R50" i="13"/>
  <c r="R111" i="13"/>
  <c r="R147" i="13"/>
  <c r="R255" i="13"/>
  <c r="R227" i="13"/>
  <c r="R192" i="13"/>
  <c r="R268" i="13"/>
  <c r="R113" i="13"/>
  <c r="R171" i="13"/>
  <c r="R21" i="13"/>
  <c r="R195" i="13"/>
  <c r="R108" i="13"/>
  <c r="R115" i="13"/>
  <c r="R122" i="13"/>
  <c r="R160" i="13"/>
  <c r="R218" i="13"/>
  <c r="R76" i="13"/>
  <c r="R84" i="13"/>
  <c r="R2" i="13"/>
  <c r="R45" i="13"/>
  <c r="R116" i="13"/>
  <c r="R38" i="13"/>
  <c r="R165" i="13"/>
  <c r="R128" i="13"/>
  <c r="R196" i="13"/>
  <c r="R7" i="13"/>
  <c r="R182" i="13"/>
  <c r="R205" i="13"/>
  <c r="R263" i="13"/>
  <c r="R253" i="13"/>
  <c r="R126" i="13"/>
  <c r="R13" i="13"/>
  <c r="R164" i="13"/>
  <c r="R204" i="13"/>
  <c r="R87" i="13"/>
  <c r="R208" i="13"/>
  <c r="R246" i="13"/>
  <c r="R219" i="13"/>
  <c r="R109" i="13"/>
  <c r="R184" i="13"/>
  <c r="R231" i="13"/>
  <c r="R39" i="13"/>
  <c r="R88" i="13"/>
  <c r="R119" i="13"/>
  <c r="R163" i="13"/>
  <c r="R52" i="13"/>
  <c r="R18" i="13"/>
  <c r="R261" i="13"/>
  <c r="R272" i="13"/>
  <c r="R174" i="13"/>
  <c r="R41" i="13"/>
  <c r="R51" i="13"/>
  <c r="R250" i="13"/>
  <c r="R256" i="13"/>
  <c r="R29" i="13"/>
  <c r="R35" i="13"/>
  <c r="R127" i="13"/>
  <c r="R185" i="13"/>
  <c r="R239" i="13"/>
  <c r="R12" i="13"/>
  <c r="R212" i="13"/>
  <c r="R5" i="13"/>
  <c r="R242" i="13"/>
  <c r="R137" i="13"/>
  <c r="R155" i="13"/>
  <c r="R101" i="13"/>
  <c r="R197" i="13"/>
  <c r="R93" i="13"/>
  <c r="R180" i="13"/>
  <c r="R123" i="13"/>
  <c r="R124" i="13"/>
  <c r="R257" i="13"/>
  <c r="R125" i="13"/>
  <c r="R69" i="13"/>
  <c r="R57" i="13"/>
  <c r="R33" i="13"/>
  <c r="R178" i="13"/>
  <c r="R186" i="13"/>
  <c r="R169" i="13"/>
  <c r="R34" i="13"/>
  <c r="R220" i="13"/>
  <c r="R146" i="13"/>
  <c r="R213" i="13"/>
  <c r="R226" i="13"/>
  <c r="AH53" i="7"/>
  <c r="AH77" i="7"/>
  <c r="AH45" i="7"/>
  <c r="AK49" i="2" s="1"/>
  <c r="AH25" i="7"/>
  <c r="AH96" i="7"/>
  <c r="AH74" i="7"/>
  <c r="AH35" i="7"/>
  <c r="AK39" i="2" s="1"/>
  <c r="AH46" i="7"/>
  <c r="AK50" i="2" s="1"/>
  <c r="AH83" i="7"/>
  <c r="AH59" i="7"/>
  <c r="AK63" i="2" s="1"/>
  <c r="AH7" i="7"/>
  <c r="AH10" i="7"/>
  <c r="AH24" i="7"/>
  <c r="AH89" i="7"/>
  <c r="AH73" i="7"/>
  <c r="AH91" i="7"/>
  <c r="AH34" i="7"/>
  <c r="AK38" i="2" s="1"/>
  <c r="AH26" i="7"/>
  <c r="AH52" i="7"/>
  <c r="AH66" i="7"/>
  <c r="AH27" i="7"/>
  <c r="AH61" i="7"/>
  <c r="AH33" i="7"/>
  <c r="AK37" i="2" s="1"/>
  <c r="AH54" i="7"/>
  <c r="AH19" i="7"/>
  <c r="AH40" i="7"/>
  <c r="AK44" i="2" s="1"/>
  <c r="AH38" i="7"/>
  <c r="AK42" i="2" s="1"/>
  <c r="AH13" i="7"/>
  <c r="AH55" i="7"/>
  <c r="AH6" i="7"/>
  <c r="AH71" i="7"/>
  <c r="AH5" i="7"/>
  <c r="AH22" i="7"/>
  <c r="AH39" i="7"/>
  <c r="AK43" i="2" s="1"/>
  <c r="AH88" i="7"/>
  <c r="AK92" i="2" s="1"/>
  <c r="AH90" i="7"/>
  <c r="AH41" i="7"/>
  <c r="AK45" i="2" s="1"/>
  <c r="AH23" i="7"/>
  <c r="AH68" i="7"/>
  <c r="AH47" i="7"/>
  <c r="AK51" i="2" s="1"/>
  <c r="AH70" i="7"/>
  <c r="AH31" i="7"/>
  <c r="AH49" i="7"/>
  <c r="AH60" i="7"/>
  <c r="AH75" i="7"/>
  <c r="AH76" i="7"/>
  <c r="AH8" i="7"/>
  <c r="AH36" i="7"/>
  <c r="AK40" i="2" s="1"/>
  <c r="AH87" i="7"/>
  <c r="AH63" i="7"/>
  <c r="AH51" i="7"/>
  <c r="AH92" i="7"/>
  <c r="AH86" i="7"/>
  <c r="AH82" i="7"/>
  <c r="AH43" i="7"/>
  <c r="AK47" i="2" s="1"/>
  <c r="AH85" i="7"/>
  <c r="AH95" i="7"/>
  <c r="AH69" i="7"/>
  <c r="AH9" i="7"/>
  <c r="AH72" i="7"/>
  <c r="AH14" i="7"/>
  <c r="AK18" i="2" s="1"/>
  <c r="AH81" i="7"/>
  <c r="AH79" i="7"/>
  <c r="AH65" i="7"/>
  <c r="AH12" i="7"/>
  <c r="AH48" i="7"/>
  <c r="AK52" i="2" s="1"/>
  <c r="AH44" i="7"/>
  <c r="AK48" i="2" s="1"/>
  <c r="AH17" i="7"/>
  <c r="AH94" i="7"/>
  <c r="AH21" i="7"/>
  <c r="R72" i="13"/>
  <c r="R240" i="13"/>
  <c r="R64" i="13"/>
  <c r="R141" i="13"/>
  <c r="R262" i="13"/>
  <c r="R129" i="13"/>
  <c r="R238" i="13"/>
  <c r="T183" i="13"/>
  <c r="R259" i="13"/>
  <c r="R154" i="13"/>
  <c r="R25" i="13"/>
  <c r="R203" i="13"/>
  <c r="R243" i="13"/>
  <c r="R89" i="13"/>
  <c r="R168" i="13"/>
  <c r="R148" i="13"/>
  <c r="R96" i="13"/>
  <c r="R56" i="13"/>
  <c r="R85" i="13"/>
  <c r="R248" i="13"/>
  <c r="R271" i="13"/>
  <c r="R78" i="13"/>
  <c r="R59" i="13"/>
  <c r="R183" i="13"/>
  <c r="R102" i="13"/>
  <c r="R166" i="13"/>
  <c r="R258" i="13"/>
  <c r="R27" i="13"/>
  <c r="R249" i="13"/>
  <c r="R254" i="13"/>
  <c r="R138" i="13"/>
  <c r="R61" i="13"/>
  <c r="R66" i="13"/>
  <c r="R209" i="13"/>
  <c r="R91" i="13"/>
  <c r="R170" i="13"/>
  <c r="R269" i="13"/>
  <c r="R157" i="13"/>
  <c r="R161" i="13"/>
  <c r="R270" i="13"/>
  <c r="R83" i="13"/>
  <c r="R167" i="13"/>
  <c r="R65" i="13"/>
  <c r="R17" i="13"/>
  <c r="R117" i="13"/>
  <c r="R177" i="13"/>
  <c r="R144" i="13"/>
  <c r="R131" i="13"/>
  <c r="R176" i="13"/>
  <c r="R43" i="13"/>
  <c r="R133" i="13"/>
  <c r="R143" i="13"/>
  <c r="R47" i="13"/>
  <c r="R252" i="13"/>
  <c r="AH3" i="7"/>
  <c r="AM3" i="6" s="1"/>
  <c r="AL3" i="6"/>
  <c r="AJ76" i="2"/>
  <c r="AL72" i="6"/>
  <c r="AI22" i="2"/>
  <c r="AK18" i="6"/>
  <c r="AG18" i="7"/>
  <c r="AG29" i="7"/>
  <c r="AI33" i="2"/>
  <c r="AK29" i="6"/>
  <c r="AI76" i="7"/>
  <c r="AL80" i="2" s="1"/>
  <c r="AI72" i="7"/>
  <c r="AG93" i="7"/>
  <c r="AI97" i="2"/>
  <c r="AK93" i="6"/>
  <c r="AK76" i="2"/>
  <c r="AM72" i="6"/>
  <c r="AK80" i="2"/>
  <c r="AM76" i="6"/>
  <c r="AI15" i="2"/>
  <c r="AK11" i="6"/>
  <c r="AG11" i="7"/>
  <c r="AI101" i="2"/>
  <c r="AK97" i="6"/>
  <c r="AG97" i="7"/>
  <c r="AI71" i="2"/>
  <c r="AK67" i="6"/>
  <c r="AG67" i="7"/>
  <c r="AG42" i="7"/>
  <c r="AJ46" i="2" s="1"/>
  <c r="AK42" i="6"/>
  <c r="AG62" i="7"/>
  <c r="AI66" i="2"/>
  <c r="AK62" i="6"/>
  <c r="AG57" i="7"/>
  <c r="AI61" i="2"/>
  <c r="AK57" i="6"/>
  <c r="AI102" i="2"/>
  <c r="AG98" i="7"/>
  <c r="AK98" i="6"/>
  <c r="AG15" i="7"/>
  <c r="AI19" i="2"/>
  <c r="AK15" i="6"/>
  <c r="AI32" i="2"/>
  <c r="AK28" i="6"/>
  <c r="AG28" i="7"/>
  <c r="AI20" i="2"/>
  <c r="AK16" i="6"/>
  <c r="AG16" i="7"/>
  <c r="AG84" i="7"/>
  <c r="AI88" i="2"/>
  <c r="AK84" i="6"/>
  <c r="AG56" i="7"/>
  <c r="AI60" i="2"/>
  <c r="AK56" i="6"/>
  <c r="AG80" i="7"/>
  <c r="AI84" i="2"/>
  <c r="AK80" i="6"/>
  <c r="AI8" i="2"/>
  <c r="AK4" i="6"/>
  <c r="AG4" i="7"/>
  <c r="AH3" i="2"/>
  <c r="A27" i="2"/>
  <c r="B26" i="2"/>
  <c r="AG58" i="7"/>
  <c r="AI62" i="2"/>
  <c r="AK58" i="6"/>
  <c r="AI6" i="2"/>
  <c r="AG2" i="7"/>
  <c r="AK2" i="6"/>
  <c r="AK32" i="6"/>
  <c r="AG32" i="7"/>
  <c r="AJ36" i="2" s="1"/>
  <c r="AG64" i="7"/>
  <c r="AK64" i="6"/>
  <c r="AI68" i="2"/>
  <c r="AK87" i="2"/>
  <c r="AM83" i="6"/>
  <c r="AI83" i="7"/>
  <c r="AG50" i="7"/>
  <c r="AI54" i="2"/>
  <c r="AK50" i="6"/>
  <c r="AI34" i="2"/>
  <c r="AK30" i="6"/>
  <c r="AG30" i="7"/>
  <c r="AI24" i="2"/>
  <c r="AG20" i="7"/>
  <c r="AK20" i="6"/>
  <c r="AB4" i="2"/>
  <c r="AM74" i="6"/>
  <c r="AK78" i="2"/>
  <c r="AM63" i="6"/>
  <c r="AK67" i="2"/>
  <c r="AM27" i="6"/>
  <c r="AK31" i="2"/>
  <c r="AM7" i="6"/>
  <c r="AK11" i="2"/>
  <c r="AM68" i="6"/>
  <c r="AK72" i="2"/>
  <c r="AM92" i="6"/>
  <c r="AK96" i="2"/>
  <c r="AM9" i="6"/>
  <c r="AK13" i="2"/>
  <c r="AM10" i="6"/>
  <c r="AK14" i="2"/>
  <c r="AM94" i="6"/>
  <c r="AK98" i="2"/>
  <c r="AM17" i="6"/>
  <c r="AK21" i="2"/>
  <c r="AM19" i="6"/>
  <c r="AK23" i="2"/>
  <c r="AM73" i="6"/>
  <c r="AK77" i="2"/>
  <c r="AM85" i="6"/>
  <c r="AK89" i="2"/>
  <c r="AM33" i="6"/>
  <c r="AM52" i="6"/>
  <c r="AK56" i="2"/>
  <c r="AM69" i="6"/>
  <c r="AK73" i="2"/>
  <c r="AK99" i="6"/>
  <c r="AI103" i="2"/>
  <c r="AM26" i="6"/>
  <c r="AK30" i="2"/>
  <c r="AM5" i="6"/>
  <c r="AK9" i="2"/>
  <c r="AM91" i="6"/>
  <c r="AK95" i="2"/>
  <c r="AM60" i="6"/>
  <c r="AK64" i="2"/>
  <c r="AM13" i="6"/>
  <c r="AK17" i="2"/>
  <c r="AM53" i="6"/>
  <c r="AK57" i="2"/>
  <c r="AM95" i="6"/>
  <c r="AK99" i="2"/>
  <c r="AM70" i="6"/>
  <c r="AK74" i="2"/>
  <c r="AM23" i="6"/>
  <c r="AK27" i="2"/>
  <c r="AM25" i="6"/>
  <c r="AK29" i="2"/>
  <c r="AM31" i="6"/>
  <c r="AK35" i="2"/>
  <c r="AM6" i="6"/>
  <c r="AK10" i="2"/>
  <c r="AM48" i="6"/>
  <c r="AM89" i="6"/>
  <c r="AK93" i="2"/>
  <c r="AM55" i="6"/>
  <c r="AK59" i="2"/>
  <c r="AM77" i="6"/>
  <c r="AK81" i="2"/>
  <c r="AM81" i="6"/>
  <c r="AK85" i="2"/>
  <c r="AM46" i="6"/>
  <c r="AM45" i="6"/>
  <c r="AM65" i="6"/>
  <c r="AK69" i="2"/>
  <c r="AM8" i="6"/>
  <c r="AK12" i="2"/>
  <c r="AM35" i="6"/>
  <c r="AM86" i="6"/>
  <c r="AK90" i="2"/>
  <c r="AM21" i="6"/>
  <c r="AK25" i="2"/>
  <c r="AM61" i="6"/>
  <c r="AK65" i="2"/>
  <c r="AM79" i="6"/>
  <c r="AK83" i="2"/>
  <c r="AM38" i="6"/>
  <c r="AM34" i="6"/>
  <c r="AM96" i="6"/>
  <c r="AK100" i="2"/>
  <c r="AM51" i="6"/>
  <c r="AK55" i="2"/>
  <c r="AM87" i="6"/>
  <c r="AK91" i="2"/>
  <c r="AM36" i="6"/>
  <c r="AM90" i="6"/>
  <c r="AK94" i="2"/>
  <c r="AM47" i="6"/>
  <c r="AM54" i="6"/>
  <c r="AK58" i="2"/>
  <c r="AM22" i="6"/>
  <c r="AK26" i="2"/>
  <c r="AM82" i="6"/>
  <c r="AK86" i="2"/>
  <c r="AM49" i="6"/>
  <c r="AK53" i="2"/>
  <c r="AM40" i="6"/>
  <c r="AM39" i="6"/>
  <c r="AM71" i="6"/>
  <c r="AK75" i="2"/>
  <c r="AM44" i="6"/>
  <c r="AM75" i="6"/>
  <c r="AK79" i="2"/>
  <c r="AM12" i="6"/>
  <c r="AK16" i="2"/>
  <c r="AM24" i="6"/>
  <c r="AK28" i="2"/>
  <c r="AM41" i="6"/>
  <c r="AM66" i="6"/>
  <c r="AK70" i="2"/>
  <c r="AK78" i="6"/>
  <c r="AG78" i="7"/>
  <c r="AJ82" i="2" s="1"/>
  <c r="AM43" i="6"/>
  <c r="AI43" i="7"/>
  <c r="AL47" i="2" s="1"/>
  <c r="AM14" i="6"/>
  <c r="AI14" i="7"/>
  <c r="AL18" i="2" s="1"/>
  <c r="AM88" i="6"/>
  <c r="AI88" i="7"/>
  <c r="AL92" i="2" s="1"/>
  <c r="AM59" i="6"/>
  <c r="AI59" i="7"/>
  <c r="AL63" i="2" s="1"/>
  <c r="AK1" i="2"/>
  <c r="AK5" i="2" s="1"/>
  <c r="AG99" i="7"/>
  <c r="AI90" i="7"/>
  <c r="AI8" i="7"/>
  <c r="AI22" i="7"/>
  <c r="AI7" i="7"/>
  <c r="AI66" i="7"/>
  <c r="AI81" i="7"/>
  <c r="AI53" i="7"/>
  <c r="AI33" i="7"/>
  <c r="AL37" i="2" s="1"/>
  <c r="AI63" i="7"/>
  <c r="AI45" i="7"/>
  <c r="AL49" i="2" s="1"/>
  <c r="AI55" i="7"/>
  <c r="AI52" i="7"/>
  <c r="AI23" i="7"/>
  <c r="AI87" i="7"/>
  <c r="AI65" i="7"/>
  <c r="AI10" i="7"/>
  <c r="AI41" i="7"/>
  <c r="AL45" i="2" s="1"/>
  <c r="AI36" i="7"/>
  <c r="AL40" i="2" s="1"/>
  <c r="AI79" i="7"/>
  <c r="AI68" i="7"/>
  <c r="AI12" i="7"/>
  <c r="AI24" i="7"/>
  <c r="AI61" i="7"/>
  <c r="AI77" i="7"/>
  <c r="AI60" i="7"/>
  <c r="AI69" i="7"/>
  <c r="AI27" i="7"/>
  <c r="AI13" i="7"/>
  <c r="AI89" i="7"/>
  <c r="AI25" i="7"/>
  <c r="AI75" i="7"/>
  <c r="AI85" i="7"/>
  <c r="AI82" i="7"/>
  <c r="AI94" i="7"/>
  <c r="AI35" i="7"/>
  <c r="AL39" i="2" s="1"/>
  <c r="AI39" i="7"/>
  <c r="AL43" i="2" s="1"/>
  <c r="AI86" i="7"/>
  <c r="AI74" i="7"/>
  <c r="AI21" i="7"/>
  <c r="AI92" i="7"/>
  <c r="AI96" i="7"/>
  <c r="AI6" i="7"/>
  <c r="AI73" i="7"/>
  <c r="AI47" i="7"/>
  <c r="AL51" i="2" s="1"/>
  <c r="AI48" i="7"/>
  <c r="AL52" i="2" s="1"/>
  <c r="AI38" i="7"/>
  <c r="AL42" i="2" s="1"/>
  <c r="AI49" i="7"/>
  <c r="AI95" i="7"/>
  <c r="AI34" i="7"/>
  <c r="AL38" i="2" s="1"/>
  <c r="AI40" i="7"/>
  <c r="AL44" i="2" s="1"/>
  <c r="AI31" i="7"/>
  <c r="AI17" i="7"/>
  <c r="AI71" i="7"/>
  <c r="AI91" i="7"/>
  <c r="AI19" i="7"/>
  <c r="AI70" i="7"/>
  <c r="AI44" i="7"/>
  <c r="AL48" i="2" s="1"/>
  <c r="AI46" i="7"/>
  <c r="AL50" i="2" s="1"/>
  <c r="AI54" i="7"/>
  <c r="AI51" i="7"/>
  <c r="AI9" i="7"/>
  <c r="AI26" i="7"/>
  <c r="AI5" i="7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AO1" i="6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AJ47" i="2" l="1"/>
  <c r="AL43" i="6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K7" i="2"/>
  <c r="AI3" i="7"/>
  <c r="AH18" i="7"/>
  <c r="AJ22" i="2"/>
  <c r="AL18" i="6"/>
  <c r="AL29" i="6"/>
  <c r="AJ33" i="2"/>
  <c r="AH29" i="7"/>
  <c r="AN76" i="6"/>
  <c r="AL76" i="2"/>
  <c r="AN72" i="6"/>
  <c r="AJ72" i="7"/>
  <c r="AJ76" i="7"/>
  <c r="AO76" i="6" s="1"/>
  <c r="AJ97" i="2"/>
  <c r="AL93" i="6"/>
  <c r="AH93" i="7"/>
  <c r="AJ15" i="2"/>
  <c r="AL11" i="6"/>
  <c r="AH11" i="7"/>
  <c r="AH42" i="7"/>
  <c r="AK46" i="2" s="1"/>
  <c r="AL42" i="6"/>
  <c r="AJ102" i="2"/>
  <c r="AL98" i="6"/>
  <c r="AH98" i="7"/>
  <c r="AJ66" i="2"/>
  <c r="AL62" i="6"/>
  <c r="AH62" i="7"/>
  <c r="AH15" i="7"/>
  <c r="AJ19" i="2"/>
  <c r="AL15" i="6"/>
  <c r="AJ101" i="2"/>
  <c r="AL97" i="6"/>
  <c r="AH97" i="7"/>
  <c r="AL57" i="6"/>
  <c r="AH57" i="7"/>
  <c r="AJ61" i="2"/>
  <c r="AL67" i="6"/>
  <c r="AH67" i="7"/>
  <c r="AJ71" i="2"/>
  <c r="AJ32" i="2"/>
  <c r="AL28" i="6"/>
  <c r="AH28" i="7"/>
  <c r="AL80" i="6"/>
  <c r="AJ84" i="2"/>
  <c r="AH80" i="7"/>
  <c r="AJ20" i="2"/>
  <c r="AH16" i="7"/>
  <c r="AL16" i="6"/>
  <c r="AJ88" i="2"/>
  <c r="AL84" i="6"/>
  <c r="AH84" i="7"/>
  <c r="AL56" i="6"/>
  <c r="AH56" i="7"/>
  <c r="AJ60" i="2"/>
  <c r="AH4" i="7"/>
  <c r="AJ8" i="2"/>
  <c r="AL4" i="6"/>
  <c r="AI3" i="2"/>
  <c r="A28" i="2"/>
  <c r="B27" i="2"/>
  <c r="AH64" i="7"/>
  <c r="AJ68" i="2"/>
  <c r="AL64" i="6"/>
  <c r="AH32" i="7"/>
  <c r="AK36" i="2" s="1"/>
  <c r="AL32" i="6"/>
  <c r="AJ6" i="2"/>
  <c r="AH2" i="7"/>
  <c r="AL2" i="6"/>
  <c r="AJ62" i="2"/>
  <c r="AL58" i="6"/>
  <c r="AH58" i="7"/>
  <c r="AL87" i="2"/>
  <c r="AN83" i="6"/>
  <c r="AJ83" i="7"/>
  <c r="AH50" i="7"/>
  <c r="AJ54" i="2"/>
  <c r="AL50" i="6"/>
  <c r="AJ34" i="2"/>
  <c r="AL30" i="6"/>
  <c r="AH30" i="7"/>
  <c r="AJ24" i="2"/>
  <c r="AH20" i="7"/>
  <c r="AL20" i="6"/>
  <c r="AC4" i="2"/>
  <c r="AN5" i="6"/>
  <c r="AL9" i="2"/>
  <c r="AN46" i="6"/>
  <c r="AN17" i="6"/>
  <c r="AL21" i="2"/>
  <c r="AN48" i="6"/>
  <c r="AN27" i="6"/>
  <c r="AL31" i="2"/>
  <c r="AN41" i="6"/>
  <c r="AL99" i="6"/>
  <c r="AJ103" i="2"/>
  <c r="AN13" i="6"/>
  <c r="AL17" i="2"/>
  <c r="AN61" i="6"/>
  <c r="AL65" i="2"/>
  <c r="AN36" i="6"/>
  <c r="AN33" i="6"/>
  <c r="AN90" i="6"/>
  <c r="AL94" i="2"/>
  <c r="AN38" i="6"/>
  <c r="AN71" i="6"/>
  <c r="AL75" i="2"/>
  <c r="AN82" i="6"/>
  <c r="AL86" i="2"/>
  <c r="AN89" i="6"/>
  <c r="AL93" i="2"/>
  <c r="AN79" i="6"/>
  <c r="AL83" i="2"/>
  <c r="AN63" i="6"/>
  <c r="AL67" i="2"/>
  <c r="AN8" i="6"/>
  <c r="AL12" i="2"/>
  <c r="AN51" i="6"/>
  <c r="AL55" i="2"/>
  <c r="AN23" i="6"/>
  <c r="AL27" i="2"/>
  <c r="AN22" i="6"/>
  <c r="AL26" i="2"/>
  <c r="AN54" i="6"/>
  <c r="AL58" i="2"/>
  <c r="AN49" i="6"/>
  <c r="AL53" i="2"/>
  <c r="AN19" i="6"/>
  <c r="AL23" i="2"/>
  <c r="AN95" i="6"/>
  <c r="AL99" i="2"/>
  <c r="AN96" i="6"/>
  <c r="AL100" i="2"/>
  <c r="AN35" i="6"/>
  <c r="AN25" i="6"/>
  <c r="AL29" i="2"/>
  <c r="AN45" i="6"/>
  <c r="AN7" i="6"/>
  <c r="AL11" i="2"/>
  <c r="AN94" i="6"/>
  <c r="AL98" i="2"/>
  <c r="AN39" i="6"/>
  <c r="AN68" i="6"/>
  <c r="AL72" i="2"/>
  <c r="AN55" i="6"/>
  <c r="AL59" i="2"/>
  <c r="AN21" i="6"/>
  <c r="AL25" i="2"/>
  <c r="AN91" i="6"/>
  <c r="AL95" i="2"/>
  <c r="AN70" i="6"/>
  <c r="AL74" i="2"/>
  <c r="AN6" i="6"/>
  <c r="AL10" i="2"/>
  <c r="AN77" i="6"/>
  <c r="AL81" i="2"/>
  <c r="AN87" i="6"/>
  <c r="AL91" i="2"/>
  <c r="AN66" i="6"/>
  <c r="AL70" i="2"/>
  <c r="AN9" i="6"/>
  <c r="AL13" i="2"/>
  <c r="AN44" i="6"/>
  <c r="AN40" i="6"/>
  <c r="AN73" i="6"/>
  <c r="AL77" i="2"/>
  <c r="AN86" i="6"/>
  <c r="AL90" i="2"/>
  <c r="AN75" i="6"/>
  <c r="AL79" i="2"/>
  <c r="AN60" i="6"/>
  <c r="AL64" i="2"/>
  <c r="AN12" i="6"/>
  <c r="AL16" i="2"/>
  <c r="AN65" i="6"/>
  <c r="AL69" i="2"/>
  <c r="AN81" i="6"/>
  <c r="AL85" i="2"/>
  <c r="AN92" i="6"/>
  <c r="AL96" i="2"/>
  <c r="AN34" i="6"/>
  <c r="AN26" i="6"/>
  <c r="AL30" i="2"/>
  <c r="AN31" i="6"/>
  <c r="AL35" i="2"/>
  <c r="AN47" i="6"/>
  <c r="AN74" i="6"/>
  <c r="AL78" i="2"/>
  <c r="AN85" i="6"/>
  <c r="AL89" i="2"/>
  <c r="AN69" i="6"/>
  <c r="AL73" i="2"/>
  <c r="AN24" i="6"/>
  <c r="AL28" i="2"/>
  <c r="AN10" i="6"/>
  <c r="AL14" i="2"/>
  <c r="AN52" i="6"/>
  <c r="AL56" i="2"/>
  <c r="AN53" i="6"/>
  <c r="AL57" i="2"/>
  <c r="AL78" i="6"/>
  <c r="AH78" i="7"/>
  <c r="AK82" i="2" s="1"/>
  <c r="AN43" i="6"/>
  <c r="AJ43" i="7"/>
  <c r="AM47" i="2" s="1"/>
  <c r="AN14" i="6"/>
  <c r="AJ14" i="7"/>
  <c r="AM18" i="2" s="1"/>
  <c r="AN59" i="6"/>
  <c r="AJ59" i="7"/>
  <c r="AM63" i="2" s="1"/>
  <c r="AN88" i="6"/>
  <c r="AJ88" i="7"/>
  <c r="AM92" i="2" s="1"/>
  <c r="AL1" i="2"/>
  <c r="AL5" i="2" s="1"/>
  <c r="AH99" i="7"/>
  <c r="AJ53" i="7"/>
  <c r="AJ66" i="7"/>
  <c r="AJ90" i="7"/>
  <c r="AJ81" i="7"/>
  <c r="AJ7" i="7"/>
  <c r="AJ22" i="7"/>
  <c r="AJ8" i="7"/>
  <c r="AJ60" i="7"/>
  <c r="AJ61" i="7"/>
  <c r="AJ24" i="7"/>
  <c r="AJ79" i="7"/>
  <c r="AJ36" i="7"/>
  <c r="AM40" i="2" s="1"/>
  <c r="AJ41" i="7"/>
  <c r="AM45" i="2" s="1"/>
  <c r="AJ10" i="7"/>
  <c r="AJ65" i="7"/>
  <c r="AJ45" i="7"/>
  <c r="AM49" i="2" s="1"/>
  <c r="AJ33" i="7"/>
  <c r="AM37" i="2" s="1"/>
  <c r="AJ13" i="7"/>
  <c r="AJ27" i="7"/>
  <c r="AJ69" i="7"/>
  <c r="AJ77" i="7"/>
  <c r="AJ12" i="7"/>
  <c r="AJ68" i="7"/>
  <c r="AJ87" i="7"/>
  <c r="AJ23" i="7"/>
  <c r="AJ52" i="7"/>
  <c r="AJ55" i="7"/>
  <c r="AJ63" i="7"/>
  <c r="AJ89" i="7"/>
  <c r="AJ85" i="7"/>
  <c r="AJ75" i="7"/>
  <c r="AJ25" i="7"/>
  <c r="AJ54" i="7"/>
  <c r="AJ46" i="7"/>
  <c r="AM50" i="2" s="1"/>
  <c r="AJ70" i="7"/>
  <c r="AJ19" i="7"/>
  <c r="AJ71" i="7"/>
  <c r="AJ34" i="7"/>
  <c r="AM38" i="2" s="1"/>
  <c r="AJ95" i="7"/>
  <c r="AJ49" i="7"/>
  <c r="AJ38" i="7"/>
  <c r="AM42" i="2" s="1"/>
  <c r="AJ73" i="7"/>
  <c r="AJ74" i="7"/>
  <c r="AJ86" i="7"/>
  <c r="AJ35" i="7"/>
  <c r="AM39" i="2" s="1"/>
  <c r="AJ82" i="7"/>
  <c r="AJ51" i="7"/>
  <c r="AJ44" i="7"/>
  <c r="AM48" i="2" s="1"/>
  <c r="AJ91" i="7"/>
  <c r="AJ17" i="7"/>
  <c r="AJ31" i="7"/>
  <c r="AJ40" i="7"/>
  <c r="AM44" i="2" s="1"/>
  <c r="AJ48" i="7"/>
  <c r="AM52" i="2" s="1"/>
  <c r="AJ47" i="7"/>
  <c r="AM51" i="2" s="1"/>
  <c r="AJ6" i="7"/>
  <c r="AJ96" i="7"/>
  <c r="AJ92" i="7"/>
  <c r="AJ21" i="7"/>
  <c r="AJ39" i="7"/>
  <c r="AM43" i="2" s="1"/>
  <c r="AJ94" i="7"/>
  <c r="AJ9" i="7"/>
  <c r="AJ26" i="7"/>
  <c r="AJ5" i="7"/>
  <c r="AK1" i="7"/>
  <c r="AP1" i="6"/>
  <c r="AJ41" i="2" l="1"/>
  <c r="AL37" i="6"/>
  <c r="AH37" i="7"/>
  <c r="AL7" i="2"/>
  <c r="AN3" i="6"/>
  <c r="AJ3" i="7"/>
  <c r="AK22" i="2"/>
  <c r="AM18" i="6"/>
  <c r="AI18" i="7"/>
  <c r="AI29" i="7"/>
  <c r="AK33" i="2"/>
  <c r="AM29" i="6"/>
  <c r="AK76" i="7"/>
  <c r="AN80" i="2" s="1"/>
  <c r="AM80" i="2"/>
  <c r="AM76" i="2"/>
  <c r="AO72" i="6"/>
  <c r="AK72" i="7"/>
  <c r="AN76" i="2" s="1"/>
  <c r="AK97" i="2"/>
  <c r="AM93" i="6"/>
  <c r="AI93" i="7"/>
  <c r="A29" i="2"/>
  <c r="B28" i="2"/>
  <c r="AK15" i="2"/>
  <c r="AM11" i="6"/>
  <c r="AI11" i="7"/>
  <c r="AI57" i="7"/>
  <c r="AK61" i="2"/>
  <c r="AM57" i="6"/>
  <c r="AI62" i="7"/>
  <c r="AK66" i="2"/>
  <c r="AM62" i="6"/>
  <c r="AI42" i="7"/>
  <c r="AL46" i="2" s="1"/>
  <c r="AM42" i="6"/>
  <c r="AI15" i="7"/>
  <c r="AK19" i="2"/>
  <c r="AM15" i="6"/>
  <c r="AK71" i="2"/>
  <c r="AM67" i="6"/>
  <c r="AI67" i="7"/>
  <c r="AK102" i="2"/>
  <c r="AI98" i="7"/>
  <c r="AM98" i="6"/>
  <c r="AI97" i="7"/>
  <c r="AK101" i="2"/>
  <c r="AM97" i="6"/>
  <c r="AK32" i="2"/>
  <c r="AI28" i="7"/>
  <c r="AM28" i="6"/>
  <c r="AM84" i="6"/>
  <c r="AI84" i="7"/>
  <c r="AK88" i="2"/>
  <c r="AI56" i="7"/>
  <c r="AK60" i="2"/>
  <c r="AM56" i="6"/>
  <c r="AI80" i="7"/>
  <c r="AK84" i="2"/>
  <c r="AM80" i="6"/>
  <c r="AM16" i="6"/>
  <c r="AI16" i="7"/>
  <c r="AK20" i="2"/>
  <c r="AM4" i="6"/>
  <c r="AK8" i="2"/>
  <c r="AI4" i="7"/>
  <c r="AK62" i="2"/>
  <c r="AM58" i="6"/>
  <c r="AI58" i="7"/>
  <c r="AM32" i="6"/>
  <c r="AI32" i="7"/>
  <c r="AL36" i="2" s="1"/>
  <c r="AK68" i="2"/>
  <c r="AI64" i="7"/>
  <c r="AM64" i="6"/>
  <c r="AM2" i="6"/>
  <c r="AI2" i="7"/>
  <c r="AK6" i="2"/>
  <c r="AK83" i="7"/>
  <c r="AM87" i="2"/>
  <c r="AO83" i="6"/>
  <c r="AI50" i="7"/>
  <c r="AK54" i="2"/>
  <c r="AM50" i="6"/>
  <c r="AK34" i="2"/>
  <c r="AM30" i="6"/>
  <c r="AI30" i="7"/>
  <c r="AK24" i="2"/>
  <c r="AI20" i="7"/>
  <c r="AM20" i="6"/>
  <c r="AJ3" i="2"/>
  <c r="AD4" i="2"/>
  <c r="AO92" i="6"/>
  <c r="AM96" i="2"/>
  <c r="AO17" i="6"/>
  <c r="AM21" i="2"/>
  <c r="AO74" i="6"/>
  <c r="AM78" i="2"/>
  <c r="AO71" i="6"/>
  <c r="AM75" i="2"/>
  <c r="AO12" i="6"/>
  <c r="AM16" i="2"/>
  <c r="AO79" i="6"/>
  <c r="AM83" i="2"/>
  <c r="AM99" i="6"/>
  <c r="AK103" i="2"/>
  <c r="AO31" i="6"/>
  <c r="AM35" i="2"/>
  <c r="AO63" i="6"/>
  <c r="AM67" i="2"/>
  <c r="AO68" i="6"/>
  <c r="AM72" i="2"/>
  <c r="AO45" i="6"/>
  <c r="AO36" i="6"/>
  <c r="AO60" i="6"/>
  <c r="AM64" i="2"/>
  <c r="AO53" i="6"/>
  <c r="AM57" i="2"/>
  <c r="AO5" i="6"/>
  <c r="AM9" i="2"/>
  <c r="AO21" i="6"/>
  <c r="AM25" i="2"/>
  <c r="AO34" i="6"/>
  <c r="AO89" i="6"/>
  <c r="AM93" i="2"/>
  <c r="AO33" i="6"/>
  <c r="AO41" i="6"/>
  <c r="AO66" i="6"/>
  <c r="AM70" i="2"/>
  <c r="AO25" i="6"/>
  <c r="AM29" i="2"/>
  <c r="AO82" i="6"/>
  <c r="AM86" i="2"/>
  <c r="AO87" i="6"/>
  <c r="AM91" i="2"/>
  <c r="AO13" i="6"/>
  <c r="AM17" i="2"/>
  <c r="AO10" i="6"/>
  <c r="AM14" i="2"/>
  <c r="AO90" i="6"/>
  <c r="AM94" i="2"/>
  <c r="AO40" i="6"/>
  <c r="AO95" i="6"/>
  <c r="AM99" i="2"/>
  <c r="AO49" i="6"/>
  <c r="AM53" i="2"/>
  <c r="AO46" i="6"/>
  <c r="AO27" i="6"/>
  <c r="AM31" i="2"/>
  <c r="AO65" i="6"/>
  <c r="AM69" i="2"/>
  <c r="AO61" i="6"/>
  <c r="AM65" i="2"/>
  <c r="AO81" i="6"/>
  <c r="AM85" i="2"/>
  <c r="AO94" i="6"/>
  <c r="AM98" i="2"/>
  <c r="AO47" i="6"/>
  <c r="AO85" i="6"/>
  <c r="AM89" i="2"/>
  <c r="AO7" i="6"/>
  <c r="AM11" i="2"/>
  <c r="AO39" i="6"/>
  <c r="AO38" i="6"/>
  <c r="AO69" i="6"/>
  <c r="AM73" i="2"/>
  <c r="AO9" i="6"/>
  <c r="AM13" i="2"/>
  <c r="AO6" i="6"/>
  <c r="AM10" i="2"/>
  <c r="AO44" i="6"/>
  <c r="AO73" i="6"/>
  <c r="AM77" i="2"/>
  <c r="AO70" i="6"/>
  <c r="AM74" i="2"/>
  <c r="AO75" i="6"/>
  <c r="AM79" i="2"/>
  <c r="AO52" i="6"/>
  <c r="AM56" i="2"/>
  <c r="AO77" i="6"/>
  <c r="AM81" i="2"/>
  <c r="AO24" i="6"/>
  <c r="AM28" i="2"/>
  <c r="AO22" i="6"/>
  <c r="AM26" i="2"/>
  <c r="AO86" i="6"/>
  <c r="AM90" i="2"/>
  <c r="AO35" i="6"/>
  <c r="AO54" i="6"/>
  <c r="AM58" i="2"/>
  <c r="AO48" i="6"/>
  <c r="AO51" i="6"/>
  <c r="AM55" i="2"/>
  <c r="AO23" i="6"/>
  <c r="AM27" i="2"/>
  <c r="AO26" i="6"/>
  <c r="AM30" i="2"/>
  <c r="AO96" i="6"/>
  <c r="AM100" i="2"/>
  <c r="AO91" i="6"/>
  <c r="AM95" i="2"/>
  <c r="AO19" i="6"/>
  <c r="AM23" i="2"/>
  <c r="AO55" i="6"/>
  <c r="AM59" i="2"/>
  <c r="AO8" i="6"/>
  <c r="AM12" i="2"/>
  <c r="AM78" i="6"/>
  <c r="AI78" i="7"/>
  <c r="AL82" i="2" s="1"/>
  <c r="AO43" i="6"/>
  <c r="AK43" i="7"/>
  <c r="AN47" i="2" s="1"/>
  <c r="AO14" i="6"/>
  <c r="AK14" i="7"/>
  <c r="AN18" i="2" s="1"/>
  <c r="AO88" i="6"/>
  <c r="AK88" i="7"/>
  <c r="AN92" i="2" s="1"/>
  <c r="AO59" i="6"/>
  <c r="AK59" i="7"/>
  <c r="AN63" i="2" s="1"/>
  <c r="AM1" i="2"/>
  <c r="AM5" i="2" s="1"/>
  <c r="AI99" i="7"/>
  <c r="AK8" i="7"/>
  <c r="AK7" i="7"/>
  <c r="AK53" i="7"/>
  <c r="AK22" i="7"/>
  <c r="AK81" i="7"/>
  <c r="AK90" i="7"/>
  <c r="AK66" i="7"/>
  <c r="AK63" i="7"/>
  <c r="AK87" i="7"/>
  <c r="AK68" i="7"/>
  <c r="AK77" i="7"/>
  <c r="AK69" i="7"/>
  <c r="AK33" i="7"/>
  <c r="AN37" i="2" s="1"/>
  <c r="AK65" i="7"/>
  <c r="AK41" i="7"/>
  <c r="AN45" i="2" s="1"/>
  <c r="AK24" i="7"/>
  <c r="AK61" i="7"/>
  <c r="AK60" i="7"/>
  <c r="AK55" i="7"/>
  <c r="AK52" i="7"/>
  <c r="AK23" i="7"/>
  <c r="AK12" i="7"/>
  <c r="AK27" i="7"/>
  <c r="AK13" i="7"/>
  <c r="AK45" i="7"/>
  <c r="AN49" i="2" s="1"/>
  <c r="AK10" i="7"/>
  <c r="AK36" i="7"/>
  <c r="AN40" i="2" s="1"/>
  <c r="AK79" i="7"/>
  <c r="AK89" i="7"/>
  <c r="AK25" i="7"/>
  <c r="AK75" i="7"/>
  <c r="AK85" i="7"/>
  <c r="AK39" i="7"/>
  <c r="AN43" i="2" s="1"/>
  <c r="AK92" i="7"/>
  <c r="AK96" i="7"/>
  <c r="AK48" i="7"/>
  <c r="AN52" i="2" s="1"/>
  <c r="AK40" i="7"/>
  <c r="AN44" i="2" s="1"/>
  <c r="AK31" i="7"/>
  <c r="AK44" i="7"/>
  <c r="AN48" i="2" s="1"/>
  <c r="AK35" i="7"/>
  <c r="AN39" i="2" s="1"/>
  <c r="AK73" i="7"/>
  <c r="AK49" i="7"/>
  <c r="AK34" i="7"/>
  <c r="AN38" i="2" s="1"/>
  <c r="AK71" i="7"/>
  <c r="AK70" i="7"/>
  <c r="AK46" i="7"/>
  <c r="AN50" i="2" s="1"/>
  <c r="AK94" i="7"/>
  <c r="AK21" i="7"/>
  <c r="AK6" i="7"/>
  <c r="AK47" i="7"/>
  <c r="AN51" i="2" s="1"/>
  <c r="AK17" i="7"/>
  <c r="AK91" i="7"/>
  <c r="AK51" i="7"/>
  <c r="AK82" i="7"/>
  <c r="AK86" i="7"/>
  <c r="AK74" i="7"/>
  <c r="AK38" i="7"/>
  <c r="AN42" i="2" s="1"/>
  <c r="AK95" i="7"/>
  <c r="AK19" i="7"/>
  <c r="AK54" i="7"/>
  <c r="AK9" i="7"/>
  <c r="AK26" i="7"/>
  <c r="AK5" i="7"/>
  <c r="AQ1" i="6"/>
  <c r="AL1" i="7"/>
  <c r="AK41" i="2" l="1"/>
  <c r="AM37" i="6"/>
  <c r="AI37" i="7"/>
  <c r="AM7" i="2"/>
  <c r="AO3" i="6"/>
  <c r="AK3" i="7"/>
  <c r="A30" i="2"/>
  <c r="A31" i="2" s="1"/>
  <c r="AL22" i="2"/>
  <c r="AN18" i="6"/>
  <c r="AJ18" i="7"/>
  <c r="AJ29" i="7"/>
  <c r="AL33" i="2"/>
  <c r="AN29" i="6"/>
  <c r="AP76" i="6"/>
  <c r="AL72" i="7"/>
  <c r="AL76" i="7"/>
  <c r="AO80" i="2" s="1"/>
  <c r="AP72" i="6"/>
  <c r="AJ93" i="7"/>
  <c r="AL97" i="2"/>
  <c r="AN93" i="6"/>
  <c r="B29" i="2"/>
  <c r="AL15" i="2"/>
  <c r="AN11" i="6"/>
  <c r="AJ11" i="7"/>
  <c r="AJ98" i="7"/>
  <c r="AL102" i="2"/>
  <c r="AN98" i="6"/>
  <c r="AL61" i="2"/>
  <c r="AN57" i="6"/>
  <c r="AJ57" i="7"/>
  <c r="AN15" i="6"/>
  <c r="AJ15" i="7"/>
  <c r="AL19" i="2"/>
  <c r="AL101" i="2"/>
  <c r="AN97" i="6"/>
  <c r="AJ97" i="7"/>
  <c r="AJ62" i="7"/>
  <c r="AL66" i="2"/>
  <c r="AN62" i="6"/>
  <c r="AL71" i="2"/>
  <c r="AN67" i="6"/>
  <c r="AJ67" i="7"/>
  <c r="AJ42" i="7"/>
  <c r="AM46" i="2" s="1"/>
  <c r="AN42" i="6"/>
  <c r="AJ28" i="7"/>
  <c r="AL32" i="2"/>
  <c r="AN28" i="6"/>
  <c r="AJ84" i="7"/>
  <c r="AL88" i="2"/>
  <c r="AN84" i="6"/>
  <c r="AL20" i="2"/>
  <c r="AN16" i="6"/>
  <c r="AJ16" i="7"/>
  <c r="AJ56" i="7"/>
  <c r="AL60" i="2"/>
  <c r="AN56" i="6"/>
  <c r="AL84" i="2"/>
  <c r="AJ80" i="7"/>
  <c r="AN80" i="6"/>
  <c r="AJ4" i="7"/>
  <c r="AL8" i="2"/>
  <c r="AN4" i="6"/>
  <c r="AJ2" i="7"/>
  <c r="AL6" i="2"/>
  <c r="AN2" i="6"/>
  <c r="AL62" i="2"/>
  <c r="AN58" i="6"/>
  <c r="AJ58" i="7"/>
  <c r="AJ32" i="7"/>
  <c r="AM36" i="2" s="1"/>
  <c r="AN32" i="6"/>
  <c r="AK3" i="2"/>
  <c r="AJ64" i="7"/>
  <c r="AL68" i="2"/>
  <c r="AN64" i="6"/>
  <c r="AL83" i="7"/>
  <c r="AN87" i="2"/>
  <c r="AP83" i="6"/>
  <c r="AL54" i="2"/>
  <c r="AN50" i="6"/>
  <c r="AJ50" i="7"/>
  <c r="AL34" i="2"/>
  <c r="AN30" i="6"/>
  <c r="AJ30" i="7"/>
  <c r="AL24" i="2"/>
  <c r="AJ20" i="7"/>
  <c r="AN20" i="6"/>
  <c r="AE4" i="2"/>
  <c r="AP26" i="6"/>
  <c r="AN30" i="2"/>
  <c r="AP31" i="6"/>
  <c r="AN35" i="2"/>
  <c r="AP85" i="6"/>
  <c r="AN89" i="2"/>
  <c r="AP27" i="6"/>
  <c r="AN31" i="2"/>
  <c r="AP69" i="6"/>
  <c r="AN73" i="2"/>
  <c r="AP66" i="6"/>
  <c r="AN70" i="2"/>
  <c r="AP46" i="6"/>
  <c r="AP13" i="6"/>
  <c r="AN17" i="2"/>
  <c r="AP60" i="6"/>
  <c r="AN64" i="2"/>
  <c r="AP33" i="6"/>
  <c r="AN99" i="6"/>
  <c r="AL103" i="2"/>
  <c r="AP5" i="6"/>
  <c r="AN9" i="2"/>
  <c r="AP91" i="6"/>
  <c r="AN95" i="2"/>
  <c r="AP35" i="6"/>
  <c r="AP45" i="6"/>
  <c r="AP63" i="6"/>
  <c r="AN67" i="2"/>
  <c r="AP8" i="6"/>
  <c r="AN12" i="2"/>
  <c r="AP44" i="6"/>
  <c r="AP51" i="6"/>
  <c r="AN55" i="2"/>
  <c r="AP55" i="6"/>
  <c r="AN59" i="2"/>
  <c r="AP7" i="6"/>
  <c r="AN11" i="2"/>
  <c r="AP95" i="6"/>
  <c r="AN99" i="2"/>
  <c r="AP39" i="6"/>
  <c r="AP21" i="6"/>
  <c r="AN25" i="2"/>
  <c r="AP49" i="6"/>
  <c r="AN53" i="2"/>
  <c r="AP92" i="6"/>
  <c r="AN96" i="2"/>
  <c r="AP52" i="6"/>
  <c r="AN56" i="2"/>
  <c r="AP65" i="6"/>
  <c r="AN69" i="2"/>
  <c r="AP87" i="6"/>
  <c r="AN91" i="2"/>
  <c r="AP53" i="6"/>
  <c r="AN57" i="2"/>
  <c r="AP94" i="6"/>
  <c r="AN98" i="2"/>
  <c r="AP19" i="6"/>
  <c r="AN23" i="2"/>
  <c r="AP82" i="6"/>
  <c r="AN86" i="2"/>
  <c r="AP96" i="6"/>
  <c r="AN100" i="2"/>
  <c r="AP41" i="6"/>
  <c r="AP22" i="6"/>
  <c r="AN26" i="2"/>
  <c r="AP17" i="6"/>
  <c r="AN21" i="2"/>
  <c r="AP73" i="6"/>
  <c r="AN77" i="2"/>
  <c r="AP25" i="6"/>
  <c r="AN29" i="2"/>
  <c r="AP23" i="6"/>
  <c r="AN27" i="2"/>
  <c r="AP86" i="6"/>
  <c r="AN90" i="2"/>
  <c r="AP6" i="6"/>
  <c r="AN10" i="2"/>
  <c r="AP71" i="6"/>
  <c r="AN75" i="2"/>
  <c r="AP48" i="6"/>
  <c r="AP36" i="6"/>
  <c r="AP12" i="6"/>
  <c r="AN16" i="2"/>
  <c r="AP24" i="6"/>
  <c r="AN28" i="2"/>
  <c r="AP68" i="6"/>
  <c r="AN72" i="2"/>
  <c r="AP81" i="6"/>
  <c r="AN85" i="2"/>
  <c r="AP38" i="6"/>
  <c r="AP89" i="6"/>
  <c r="AN93" i="2"/>
  <c r="AP54" i="6"/>
  <c r="AN58" i="2"/>
  <c r="AP34" i="6"/>
  <c r="AP10" i="6"/>
  <c r="AN14" i="2"/>
  <c r="AP9" i="6"/>
  <c r="AN13" i="2"/>
  <c r="AP74" i="6"/>
  <c r="AN78" i="2"/>
  <c r="AP47" i="6"/>
  <c r="AP70" i="6"/>
  <c r="AN74" i="2"/>
  <c r="AP40" i="6"/>
  <c r="AP75" i="6"/>
  <c r="AN79" i="2"/>
  <c r="AP79" i="6"/>
  <c r="AN83" i="2"/>
  <c r="AP61" i="6"/>
  <c r="AN65" i="2"/>
  <c r="AP77" i="6"/>
  <c r="AN81" i="2"/>
  <c r="AP90" i="6"/>
  <c r="AN94" i="2"/>
  <c r="AN78" i="6"/>
  <c r="AJ78" i="7"/>
  <c r="AM82" i="2" s="1"/>
  <c r="AP43" i="6"/>
  <c r="AL43" i="7"/>
  <c r="AO47" i="2" s="1"/>
  <c r="AP14" i="6"/>
  <c r="AL14" i="7"/>
  <c r="AO18" i="2" s="1"/>
  <c r="AP88" i="6"/>
  <c r="AL88" i="7"/>
  <c r="AO92" i="2" s="1"/>
  <c r="AP59" i="6"/>
  <c r="AL59" i="7"/>
  <c r="AO63" i="2" s="1"/>
  <c r="AN1" i="2"/>
  <c r="AN5" i="2" s="1"/>
  <c r="AJ99" i="7"/>
  <c r="AL90" i="7"/>
  <c r="AL22" i="7"/>
  <c r="AL66" i="7"/>
  <c r="AL81" i="7"/>
  <c r="AL53" i="7"/>
  <c r="AL7" i="7"/>
  <c r="AL8" i="7"/>
  <c r="AL79" i="7"/>
  <c r="AL10" i="7"/>
  <c r="AL13" i="7"/>
  <c r="AL23" i="7"/>
  <c r="AL52" i="7"/>
  <c r="AL61" i="7"/>
  <c r="AL33" i="7"/>
  <c r="AO37" i="2" s="1"/>
  <c r="AL68" i="7"/>
  <c r="AL63" i="7"/>
  <c r="AL36" i="7"/>
  <c r="AO40" i="2" s="1"/>
  <c r="AL45" i="7"/>
  <c r="AO49" i="2" s="1"/>
  <c r="AL27" i="7"/>
  <c r="AL12" i="7"/>
  <c r="AL55" i="7"/>
  <c r="AL60" i="7"/>
  <c r="AL24" i="7"/>
  <c r="AL41" i="7"/>
  <c r="AO45" i="2" s="1"/>
  <c r="AL65" i="7"/>
  <c r="AL69" i="7"/>
  <c r="AL77" i="7"/>
  <c r="AL87" i="7"/>
  <c r="AL89" i="7"/>
  <c r="AL25" i="7"/>
  <c r="AL85" i="7"/>
  <c r="AL75" i="7"/>
  <c r="AL19" i="7"/>
  <c r="AL95" i="7"/>
  <c r="AL86" i="7"/>
  <c r="AL91" i="7"/>
  <c r="AL21" i="7"/>
  <c r="AL94" i="7"/>
  <c r="AL46" i="7"/>
  <c r="AO50" i="2" s="1"/>
  <c r="AL71" i="7"/>
  <c r="AL34" i="7"/>
  <c r="AO38" i="2" s="1"/>
  <c r="AL73" i="7"/>
  <c r="AL44" i="7"/>
  <c r="AO48" i="2" s="1"/>
  <c r="AL31" i="7"/>
  <c r="AL40" i="7"/>
  <c r="AO44" i="2" s="1"/>
  <c r="AL48" i="7"/>
  <c r="AO52" i="2" s="1"/>
  <c r="AL96" i="7"/>
  <c r="AL39" i="7"/>
  <c r="AO43" i="2" s="1"/>
  <c r="AL54" i="7"/>
  <c r="AL38" i="7"/>
  <c r="AO42" i="2" s="1"/>
  <c r="AL74" i="7"/>
  <c r="AL82" i="7"/>
  <c r="AL51" i="7"/>
  <c r="AL17" i="7"/>
  <c r="AL47" i="7"/>
  <c r="AO51" i="2" s="1"/>
  <c r="AL6" i="7"/>
  <c r="AL70" i="7"/>
  <c r="AL49" i="7"/>
  <c r="AL35" i="7"/>
  <c r="AO39" i="2" s="1"/>
  <c r="AL92" i="7"/>
  <c r="AL9" i="7"/>
  <c r="AL26" i="7"/>
  <c r="AL5" i="7"/>
  <c r="AR1" i="6"/>
  <c r="AM1" i="7"/>
  <c r="AL41" i="2" l="1"/>
  <c r="AN37" i="6"/>
  <c r="AJ37" i="7"/>
  <c r="B31" i="2"/>
  <c r="A32" i="2"/>
  <c r="AP3" i="6"/>
  <c r="AN7" i="2"/>
  <c r="AL3" i="7"/>
  <c r="B30" i="2"/>
  <c r="AM22" i="2"/>
  <c r="AO18" i="6"/>
  <c r="AK18" i="7"/>
  <c r="AM33" i="2"/>
  <c r="AO29" i="6"/>
  <c r="AK29" i="7"/>
  <c r="AQ72" i="6"/>
  <c r="AO76" i="2"/>
  <c r="AM72" i="7"/>
  <c r="AP76" i="2" s="1"/>
  <c r="AQ76" i="6"/>
  <c r="AM76" i="7"/>
  <c r="AM97" i="2"/>
  <c r="AK93" i="7"/>
  <c r="AO93" i="6"/>
  <c r="AK11" i="7"/>
  <c r="AM15" i="2"/>
  <c r="AO11" i="6"/>
  <c r="AK98" i="7"/>
  <c r="AM102" i="2"/>
  <c r="AO98" i="6"/>
  <c r="AK67" i="7"/>
  <c r="AM71" i="2"/>
  <c r="AO67" i="6"/>
  <c r="AO42" i="6"/>
  <c r="AK42" i="7"/>
  <c r="AN46" i="2" s="1"/>
  <c r="AK97" i="7"/>
  <c r="AM101" i="2"/>
  <c r="AO97" i="6"/>
  <c r="AK62" i="7"/>
  <c r="AM66" i="2"/>
  <c r="AO62" i="6"/>
  <c r="AO57" i="6"/>
  <c r="AK57" i="7"/>
  <c r="AM61" i="2"/>
  <c r="AK15" i="7"/>
  <c r="AM19" i="2"/>
  <c r="AO15" i="6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2" i="7"/>
  <c r="AM6" i="2"/>
  <c r="AO2" i="6"/>
  <c r="AK64" i="7"/>
  <c r="AM68" i="2"/>
  <c r="AO64" i="6"/>
  <c r="AL3" i="2"/>
  <c r="AK58" i="7"/>
  <c r="AM62" i="2"/>
  <c r="AO58" i="6"/>
  <c r="AO32" i="6"/>
  <c r="AK32" i="7"/>
  <c r="AN36" i="2" s="1"/>
  <c r="AO87" i="2"/>
  <c r="AQ83" i="6"/>
  <c r="AM83" i="7"/>
  <c r="AK50" i="7"/>
  <c r="AM54" i="2"/>
  <c r="AO50" i="6"/>
  <c r="AO30" i="6"/>
  <c r="AM34" i="2"/>
  <c r="AK30" i="7"/>
  <c r="AM24" i="2"/>
  <c r="AK20" i="7"/>
  <c r="AO20" i="6"/>
  <c r="AF4" i="2"/>
  <c r="AQ38" i="6"/>
  <c r="AQ44" i="6"/>
  <c r="AQ91" i="6"/>
  <c r="AO95" i="2"/>
  <c r="AQ69" i="6"/>
  <c r="AO73" i="2"/>
  <c r="AQ27" i="6"/>
  <c r="AO31" i="2"/>
  <c r="AQ33" i="6"/>
  <c r="AQ13" i="6"/>
  <c r="AO17" i="2"/>
  <c r="AQ7" i="6"/>
  <c r="AO11" i="2"/>
  <c r="AQ85" i="6"/>
  <c r="AO89" i="2"/>
  <c r="AQ77" i="6"/>
  <c r="AO81" i="2"/>
  <c r="AQ12" i="6"/>
  <c r="AO16" i="2"/>
  <c r="AQ68" i="6"/>
  <c r="AO72" i="2"/>
  <c r="AQ8" i="6"/>
  <c r="AO12" i="2"/>
  <c r="AQ40" i="6"/>
  <c r="AQ21" i="6"/>
  <c r="AO25" i="2"/>
  <c r="AQ75" i="6"/>
  <c r="AO79" i="2"/>
  <c r="AQ87" i="6"/>
  <c r="AO91" i="2"/>
  <c r="AQ55" i="6"/>
  <c r="AO59" i="2"/>
  <c r="AQ23" i="6"/>
  <c r="AO27" i="2"/>
  <c r="AO99" i="6"/>
  <c r="AM103" i="2"/>
  <c r="AQ74" i="6"/>
  <c r="AO78" i="2"/>
  <c r="AQ60" i="6"/>
  <c r="AO64" i="2"/>
  <c r="AQ63" i="6"/>
  <c r="AO67" i="2"/>
  <c r="AQ52" i="6"/>
  <c r="AO56" i="2"/>
  <c r="AQ90" i="6"/>
  <c r="AO94" i="2"/>
  <c r="AQ5" i="6"/>
  <c r="AO9" i="2"/>
  <c r="AQ51" i="6"/>
  <c r="AO55" i="2"/>
  <c r="AQ89" i="6"/>
  <c r="AO93" i="2"/>
  <c r="AQ24" i="6"/>
  <c r="AO28" i="2"/>
  <c r="AQ79" i="6"/>
  <c r="AO83" i="2"/>
  <c r="AQ22" i="6"/>
  <c r="AO26" i="2"/>
  <c r="AQ9" i="6"/>
  <c r="AO13" i="2"/>
  <c r="AQ31" i="6"/>
  <c r="AO35" i="2"/>
  <c r="AQ70" i="6"/>
  <c r="AO74" i="2"/>
  <c r="AQ46" i="6"/>
  <c r="AQ17" i="6"/>
  <c r="AO21" i="2"/>
  <c r="AQ95" i="6"/>
  <c r="AO99" i="2"/>
  <c r="AQ66" i="6"/>
  <c r="AO70" i="2"/>
  <c r="AQ82" i="6"/>
  <c r="AO86" i="2"/>
  <c r="AQ94" i="6"/>
  <c r="AO98" i="2"/>
  <c r="AQ96" i="6"/>
  <c r="AO100" i="2"/>
  <c r="AQ35" i="6"/>
  <c r="AQ71" i="6"/>
  <c r="AO75" i="2"/>
  <c r="AQ41" i="6"/>
  <c r="AQ10" i="6"/>
  <c r="AO14" i="2"/>
  <c r="AQ92" i="6"/>
  <c r="AO96" i="2"/>
  <c r="AQ47" i="6"/>
  <c r="AQ54" i="6"/>
  <c r="AO58" i="2"/>
  <c r="AQ34" i="6"/>
  <c r="AQ25" i="6"/>
  <c r="AO29" i="2"/>
  <c r="AQ65" i="6"/>
  <c r="AO69" i="2"/>
  <c r="AQ36" i="6"/>
  <c r="AQ61" i="6"/>
  <c r="AO65" i="2"/>
  <c r="AQ81" i="6"/>
  <c r="AO85" i="2"/>
  <c r="AQ26" i="6"/>
  <c r="AO30" i="2"/>
  <c r="AQ48" i="6"/>
  <c r="AQ49" i="6"/>
  <c r="AO53" i="2"/>
  <c r="AQ19" i="6"/>
  <c r="AO23" i="2"/>
  <c r="AQ39" i="6"/>
  <c r="AQ6" i="6"/>
  <c r="AO10" i="2"/>
  <c r="AQ73" i="6"/>
  <c r="AO77" i="2"/>
  <c r="AQ86" i="6"/>
  <c r="AO90" i="2"/>
  <c r="AQ45" i="6"/>
  <c r="AQ53" i="6"/>
  <c r="AO57" i="2"/>
  <c r="AO78" i="6"/>
  <c r="AK78" i="7"/>
  <c r="AN82" i="2" s="1"/>
  <c r="AQ43" i="6"/>
  <c r="AM43" i="7"/>
  <c r="AP47" i="2" s="1"/>
  <c r="AQ14" i="6"/>
  <c r="AM14" i="7"/>
  <c r="AP18" i="2" s="1"/>
  <c r="AQ59" i="6"/>
  <c r="AM59" i="7"/>
  <c r="AP63" i="2" s="1"/>
  <c r="AQ88" i="6"/>
  <c r="AM88" i="7"/>
  <c r="AP92" i="2" s="1"/>
  <c r="AO1" i="2"/>
  <c r="AO5" i="2" s="1"/>
  <c r="AK99" i="7"/>
  <c r="AM8" i="7"/>
  <c r="AM66" i="7"/>
  <c r="AM90" i="7"/>
  <c r="AM7" i="7"/>
  <c r="AM53" i="7"/>
  <c r="AM81" i="7"/>
  <c r="AM22" i="7"/>
  <c r="AM87" i="7"/>
  <c r="AM77" i="7"/>
  <c r="AM69" i="7"/>
  <c r="AM41" i="7"/>
  <c r="AP45" i="2" s="1"/>
  <c r="AM55" i="7"/>
  <c r="AM27" i="7"/>
  <c r="AM63" i="7"/>
  <c r="AM33" i="7"/>
  <c r="AP37" i="2" s="1"/>
  <c r="AM13" i="7"/>
  <c r="AM10" i="7"/>
  <c r="AM65" i="7"/>
  <c r="AM24" i="7"/>
  <c r="AM60" i="7"/>
  <c r="AM12" i="7"/>
  <c r="AM45" i="7"/>
  <c r="AP49" i="2" s="1"/>
  <c r="AM36" i="7"/>
  <c r="AP40" i="2" s="1"/>
  <c r="AM68" i="7"/>
  <c r="AM61" i="7"/>
  <c r="AM52" i="7"/>
  <c r="AM23" i="7"/>
  <c r="AM79" i="7"/>
  <c r="AM89" i="7"/>
  <c r="AM85" i="7"/>
  <c r="AM25" i="7"/>
  <c r="AM75" i="7"/>
  <c r="AM35" i="7"/>
  <c r="AP39" i="2" s="1"/>
  <c r="AM70" i="7"/>
  <c r="AM6" i="7"/>
  <c r="AM51" i="7"/>
  <c r="AM82" i="7"/>
  <c r="AM38" i="7"/>
  <c r="AP42" i="2" s="1"/>
  <c r="AM96" i="7"/>
  <c r="AM44" i="7"/>
  <c r="AP48" i="2" s="1"/>
  <c r="AM46" i="7"/>
  <c r="AP50" i="2" s="1"/>
  <c r="AM21" i="7"/>
  <c r="AM91" i="7"/>
  <c r="AM19" i="7"/>
  <c r="AM92" i="7"/>
  <c r="AM49" i="7"/>
  <c r="AM47" i="7"/>
  <c r="AP51" i="2" s="1"/>
  <c r="AM17" i="7"/>
  <c r="AM74" i="7"/>
  <c r="AM54" i="7"/>
  <c r="AM39" i="7"/>
  <c r="AP43" i="2" s="1"/>
  <c r="AM48" i="7"/>
  <c r="AP52" i="2" s="1"/>
  <c r="AM40" i="7"/>
  <c r="AP44" i="2" s="1"/>
  <c r="AM31" i="7"/>
  <c r="AM73" i="7"/>
  <c r="AM34" i="7"/>
  <c r="AP38" i="2" s="1"/>
  <c r="AM71" i="7"/>
  <c r="AM94" i="7"/>
  <c r="AM86" i="7"/>
  <c r="AM95" i="7"/>
  <c r="AM9" i="7"/>
  <c r="AM26" i="7"/>
  <c r="AM5" i="7"/>
  <c r="AS1" i="6"/>
  <c r="AN1" i="7"/>
  <c r="AO1" i="7" s="1"/>
  <c r="AM41" i="2" l="1"/>
  <c r="AO37" i="6"/>
  <c r="AK37" i="7"/>
  <c r="AN76" i="7"/>
  <c r="AO76" i="7" s="1"/>
  <c r="AR80" i="2" s="1"/>
  <c r="B32" i="2"/>
  <c r="AO7" i="2"/>
  <c r="AQ3" i="6"/>
  <c r="AM3" i="7"/>
  <c r="AL18" i="7"/>
  <c r="AN22" i="2"/>
  <c r="AP18" i="6"/>
  <c r="AP29" i="6"/>
  <c r="AL29" i="7"/>
  <c r="AN33" i="2"/>
  <c r="AN72" i="7"/>
  <c r="AS72" i="6" s="1"/>
  <c r="AR72" i="6"/>
  <c r="AQ80" i="2"/>
  <c r="AS76" i="6"/>
  <c r="AP80" i="2"/>
  <c r="AR76" i="6"/>
  <c r="AN97" i="2"/>
  <c r="AL93" i="7"/>
  <c r="AP93" i="6"/>
  <c r="AN15" i="2"/>
  <c r="AP11" i="6"/>
  <c r="AL11" i="7"/>
  <c r="AL57" i="7"/>
  <c r="AN61" i="2"/>
  <c r="AP57" i="6"/>
  <c r="AP42" i="6"/>
  <c r="AL42" i="7"/>
  <c r="AO46" i="2" s="1"/>
  <c r="AL98" i="7"/>
  <c r="AN102" i="2"/>
  <c r="AP98" i="6"/>
  <c r="AP97" i="6"/>
  <c r="AL97" i="7"/>
  <c r="AN101" i="2"/>
  <c r="AL15" i="7"/>
  <c r="AN19" i="2"/>
  <c r="AP15" i="6"/>
  <c r="AN71" i="2"/>
  <c r="AP67" i="6"/>
  <c r="AL67" i="7"/>
  <c r="AN66" i="2"/>
  <c r="AP62" i="6"/>
  <c r="AL62" i="7"/>
  <c r="AN32" i="2"/>
  <c r="AP28" i="6"/>
  <c r="AL28" i="7"/>
  <c r="AL84" i="7"/>
  <c r="AN88" i="2"/>
  <c r="AP84" i="6"/>
  <c r="AN60" i="2"/>
  <c r="AP56" i="6"/>
  <c r="AL56" i="7"/>
  <c r="AN84" i="2"/>
  <c r="AP80" i="6"/>
  <c r="AL80" i="7"/>
  <c r="AL16" i="7"/>
  <c r="AN20" i="2"/>
  <c r="AP16" i="6"/>
  <c r="AL4" i="7"/>
  <c r="AN8" i="2"/>
  <c r="AP4" i="6"/>
  <c r="AL2" i="7"/>
  <c r="AN6" i="2"/>
  <c r="AP2" i="6"/>
  <c r="AN68" i="2"/>
  <c r="AP64" i="6"/>
  <c r="AL64" i="7"/>
  <c r="AL32" i="7"/>
  <c r="AO36" i="2" s="1"/>
  <c r="AP32" i="6"/>
  <c r="AM3" i="2"/>
  <c r="AN62" i="2"/>
  <c r="AP58" i="6"/>
  <c r="AL58" i="7"/>
  <c r="AR83" i="6"/>
  <c r="AN83" i="7"/>
  <c r="AP87" i="2"/>
  <c r="AL50" i="7"/>
  <c r="AN54" i="2"/>
  <c r="AP50" i="6"/>
  <c r="AN34" i="2"/>
  <c r="AL30" i="7"/>
  <c r="AP30" i="6"/>
  <c r="AN24" i="2"/>
  <c r="AL20" i="7"/>
  <c r="AP20" i="6"/>
  <c r="AG4" i="2"/>
  <c r="AR9" i="6"/>
  <c r="AP13" i="2"/>
  <c r="AR73" i="6"/>
  <c r="AP77" i="2"/>
  <c r="AR6" i="6"/>
  <c r="AP10" i="2"/>
  <c r="AR25" i="6"/>
  <c r="AP29" i="2"/>
  <c r="AR23" i="6"/>
  <c r="AP27" i="2"/>
  <c r="AR27" i="6"/>
  <c r="AP31" i="2"/>
  <c r="AR81" i="6"/>
  <c r="AP85" i="2"/>
  <c r="AR74" i="6"/>
  <c r="AP78" i="2"/>
  <c r="AR63" i="6"/>
  <c r="AP67" i="2"/>
  <c r="AR22" i="6"/>
  <c r="AP26" i="2"/>
  <c r="AP99" i="6"/>
  <c r="AN103" i="2"/>
  <c r="AR75" i="6"/>
  <c r="AP79" i="2"/>
  <c r="AR19" i="6"/>
  <c r="AP23" i="2"/>
  <c r="AR82" i="6"/>
  <c r="AP86" i="2"/>
  <c r="AR79" i="6"/>
  <c r="AP83" i="2"/>
  <c r="AR65" i="6"/>
  <c r="AP69" i="2"/>
  <c r="AR33" i="6"/>
  <c r="AR5" i="6"/>
  <c r="AP9" i="2"/>
  <c r="AR92" i="6"/>
  <c r="AP96" i="2"/>
  <c r="AR24" i="6"/>
  <c r="AP28" i="2"/>
  <c r="AR87" i="6"/>
  <c r="AP91" i="2"/>
  <c r="AR8" i="6"/>
  <c r="AP12" i="2"/>
  <c r="AR91" i="6"/>
  <c r="AP95" i="2"/>
  <c r="AR39" i="6"/>
  <c r="AR96" i="6"/>
  <c r="AP100" i="2"/>
  <c r="AR35" i="6"/>
  <c r="AR89" i="6"/>
  <c r="AP93" i="2"/>
  <c r="AR60" i="6"/>
  <c r="AP64" i="2"/>
  <c r="AR77" i="6"/>
  <c r="AP81" i="2"/>
  <c r="AR66" i="6"/>
  <c r="AP70" i="2"/>
  <c r="AR26" i="6"/>
  <c r="AP30" i="2"/>
  <c r="AR94" i="6"/>
  <c r="AP98" i="2"/>
  <c r="AR68" i="6"/>
  <c r="AP72" i="2"/>
  <c r="AR49" i="6"/>
  <c r="AP53" i="2"/>
  <c r="AR44" i="6"/>
  <c r="AR12" i="6"/>
  <c r="AP16" i="2"/>
  <c r="AR90" i="6"/>
  <c r="AP94" i="2"/>
  <c r="AR34" i="6"/>
  <c r="AR71" i="6"/>
  <c r="AP75" i="2"/>
  <c r="AR38" i="6"/>
  <c r="AR86" i="6"/>
  <c r="AP90" i="2"/>
  <c r="AR48" i="6"/>
  <c r="AR70" i="6"/>
  <c r="AP74" i="2"/>
  <c r="AR61" i="6"/>
  <c r="AP65" i="2"/>
  <c r="AR69" i="6"/>
  <c r="AP73" i="2"/>
  <c r="AR95" i="6"/>
  <c r="AP99" i="2"/>
  <c r="AR40" i="6"/>
  <c r="AR47" i="6"/>
  <c r="AR46" i="6"/>
  <c r="AR45" i="6"/>
  <c r="AR41" i="6"/>
  <c r="AR7" i="6"/>
  <c r="AP11" i="2"/>
  <c r="AR51" i="6"/>
  <c r="AP55" i="2"/>
  <c r="AR54" i="6"/>
  <c r="AP58" i="2"/>
  <c r="AR13" i="6"/>
  <c r="AP17" i="2"/>
  <c r="AR31" i="6"/>
  <c r="AP35" i="2"/>
  <c r="AR17" i="6"/>
  <c r="AP21" i="2"/>
  <c r="AR21" i="6"/>
  <c r="AP25" i="2"/>
  <c r="AR85" i="6"/>
  <c r="AP89" i="2"/>
  <c r="AR52" i="6"/>
  <c r="AP56" i="2"/>
  <c r="AR36" i="6"/>
  <c r="AR10" i="6"/>
  <c r="AP14" i="2"/>
  <c r="AR55" i="6"/>
  <c r="AP59" i="2"/>
  <c r="AR53" i="6"/>
  <c r="AP57" i="2"/>
  <c r="AP78" i="6"/>
  <c r="AL78" i="7"/>
  <c r="AO82" i="2" s="1"/>
  <c r="AR43" i="6"/>
  <c r="AN43" i="7"/>
  <c r="AQ47" i="2" s="1"/>
  <c r="AR14" i="6"/>
  <c r="AN14" i="7"/>
  <c r="AQ18" i="2" s="1"/>
  <c r="AR88" i="6"/>
  <c r="AN88" i="7"/>
  <c r="AQ92" i="2" s="1"/>
  <c r="AR59" i="6"/>
  <c r="AN59" i="7"/>
  <c r="AQ63" i="2" s="1"/>
  <c r="AP1" i="2"/>
  <c r="AP5" i="2" s="1"/>
  <c r="AL99" i="7"/>
  <c r="AN81" i="7"/>
  <c r="AN66" i="7"/>
  <c r="AN22" i="7"/>
  <c r="AN53" i="7"/>
  <c r="AN7" i="7"/>
  <c r="AN90" i="7"/>
  <c r="AN8" i="7"/>
  <c r="AN23" i="7"/>
  <c r="AN45" i="7"/>
  <c r="AQ49" i="2" s="1"/>
  <c r="AN60" i="7"/>
  <c r="AN10" i="7"/>
  <c r="AN63" i="7"/>
  <c r="AN55" i="7"/>
  <c r="AN69" i="7"/>
  <c r="AN87" i="7"/>
  <c r="AN79" i="7"/>
  <c r="AN52" i="7"/>
  <c r="AN61" i="7"/>
  <c r="AN68" i="7"/>
  <c r="AN36" i="7"/>
  <c r="AQ40" i="2" s="1"/>
  <c r="AN12" i="7"/>
  <c r="AN24" i="7"/>
  <c r="AN65" i="7"/>
  <c r="AN13" i="7"/>
  <c r="AN33" i="7"/>
  <c r="AQ37" i="2" s="1"/>
  <c r="AN27" i="7"/>
  <c r="AN41" i="7"/>
  <c r="AQ45" i="2" s="1"/>
  <c r="AN77" i="7"/>
  <c r="AN89" i="7"/>
  <c r="AN75" i="7"/>
  <c r="AN25" i="7"/>
  <c r="AN85" i="7"/>
  <c r="AN34" i="7"/>
  <c r="AQ38" i="2" s="1"/>
  <c r="AN73" i="7"/>
  <c r="AN31" i="7"/>
  <c r="AN48" i="7"/>
  <c r="AQ52" i="2" s="1"/>
  <c r="AN54" i="7"/>
  <c r="AN74" i="7"/>
  <c r="AN17" i="7"/>
  <c r="AN49" i="7"/>
  <c r="AN19" i="7"/>
  <c r="AN91" i="7"/>
  <c r="AN21" i="7"/>
  <c r="AN46" i="7"/>
  <c r="AQ50" i="2" s="1"/>
  <c r="AN38" i="7"/>
  <c r="AQ42" i="2" s="1"/>
  <c r="AN51" i="7"/>
  <c r="AN35" i="7"/>
  <c r="AQ39" i="2" s="1"/>
  <c r="AN95" i="7"/>
  <c r="AN86" i="7"/>
  <c r="AN94" i="7"/>
  <c r="AN71" i="7"/>
  <c r="AN40" i="7"/>
  <c r="AQ44" i="2" s="1"/>
  <c r="AN39" i="7"/>
  <c r="AQ43" i="2" s="1"/>
  <c r="AN47" i="7"/>
  <c r="AQ51" i="2" s="1"/>
  <c r="AN92" i="7"/>
  <c r="AN44" i="7"/>
  <c r="AQ48" i="2" s="1"/>
  <c r="AN96" i="7"/>
  <c r="AN82" i="7"/>
  <c r="AN6" i="7"/>
  <c r="AN70" i="7"/>
  <c r="AN9" i="7"/>
  <c r="AN26" i="7"/>
  <c r="AN5" i="7"/>
  <c r="AT1" i="6"/>
  <c r="AP1" i="7"/>
  <c r="AN41" i="2" l="1"/>
  <c r="AP37" i="6"/>
  <c r="AL37" i="7"/>
  <c r="AN3" i="7"/>
  <c r="AR3" i="6"/>
  <c r="AP7" i="2"/>
  <c r="AQ76" i="2"/>
  <c r="AO72" i="7"/>
  <c r="AP76" i="7"/>
  <c r="AS80" i="2" s="1"/>
  <c r="AO22" i="2"/>
  <c r="AQ18" i="6"/>
  <c r="AM18" i="7"/>
  <c r="AO33" i="2"/>
  <c r="AQ29" i="6"/>
  <c r="AM29" i="7"/>
  <c r="AT76" i="6"/>
  <c r="AO97" i="2"/>
  <c r="AM93" i="7"/>
  <c r="AQ93" i="6"/>
  <c r="AO15" i="2"/>
  <c r="AM11" i="7"/>
  <c r="AQ11" i="6"/>
  <c r="AQ57" i="6"/>
  <c r="AM57" i="7"/>
  <c r="AO61" i="2"/>
  <c r="AQ67" i="6"/>
  <c r="AM67" i="7"/>
  <c r="AO71" i="2"/>
  <c r="AO101" i="2"/>
  <c r="AQ97" i="6"/>
  <c r="AM97" i="7"/>
  <c r="AQ62" i="6"/>
  <c r="AM62" i="7"/>
  <c r="AO66" i="2"/>
  <c r="AO19" i="2"/>
  <c r="AQ15" i="6"/>
  <c r="AM15" i="7"/>
  <c r="AM42" i="7"/>
  <c r="AP46" i="2" s="1"/>
  <c r="AQ42" i="6"/>
  <c r="AM98" i="7"/>
  <c r="AO102" i="2"/>
  <c r="AQ98" i="6"/>
  <c r="AO32" i="2"/>
  <c r="AM28" i="7"/>
  <c r="AQ28" i="6"/>
  <c r="AQ80" i="6"/>
  <c r="AO84" i="2"/>
  <c r="AM80" i="7"/>
  <c r="AM84" i="7"/>
  <c r="AO88" i="2"/>
  <c r="AQ84" i="6"/>
  <c r="AQ16" i="6"/>
  <c r="AM16" i="7"/>
  <c r="AO20" i="2"/>
  <c r="AO60" i="2"/>
  <c r="AQ56" i="6"/>
  <c r="AM56" i="7"/>
  <c r="AO8" i="2"/>
  <c r="AM4" i="7"/>
  <c r="AQ4" i="6"/>
  <c r="AM2" i="7"/>
  <c r="AO6" i="2"/>
  <c r="AQ2" i="6"/>
  <c r="AO62" i="2"/>
  <c r="AQ58" i="6"/>
  <c r="AM58" i="7"/>
  <c r="AN3" i="2"/>
  <c r="AM64" i="7"/>
  <c r="AO68" i="2"/>
  <c r="AQ64" i="6"/>
  <c r="AM32" i="7"/>
  <c r="AP36" i="2" s="1"/>
  <c r="AQ32" i="6"/>
  <c r="AO83" i="7"/>
  <c r="AQ87" i="2"/>
  <c r="AS83" i="6"/>
  <c r="AM50" i="7"/>
  <c r="AO54" i="2"/>
  <c r="AQ50" i="6"/>
  <c r="AM30" i="7"/>
  <c r="AO34" i="2"/>
  <c r="AQ30" i="6"/>
  <c r="AO24" i="2"/>
  <c r="AM20" i="7"/>
  <c r="AQ20" i="6"/>
  <c r="AH4" i="2"/>
  <c r="AS74" i="6"/>
  <c r="AQ78" i="2"/>
  <c r="AS8" i="6"/>
  <c r="AQ12" i="2"/>
  <c r="AS26" i="6"/>
  <c r="AQ30" i="2"/>
  <c r="AS82" i="6"/>
  <c r="AQ86" i="2"/>
  <c r="AS39" i="6"/>
  <c r="AS51" i="6"/>
  <c r="AQ55" i="2"/>
  <c r="AS17" i="6"/>
  <c r="AQ21" i="2"/>
  <c r="AS25" i="6"/>
  <c r="AQ29" i="2"/>
  <c r="AS41" i="6"/>
  <c r="AS12" i="6"/>
  <c r="AQ16" i="2"/>
  <c r="AS79" i="6"/>
  <c r="AQ83" i="2"/>
  <c r="AS10" i="6"/>
  <c r="AQ14" i="2"/>
  <c r="AQ99" i="6"/>
  <c r="AO103" i="2"/>
  <c r="AS40" i="6"/>
  <c r="AS5" i="6"/>
  <c r="AQ9" i="2"/>
  <c r="AS6" i="6"/>
  <c r="AQ10" i="2"/>
  <c r="AS35" i="6"/>
  <c r="AS85" i="6"/>
  <c r="AQ89" i="2"/>
  <c r="AS77" i="6"/>
  <c r="AQ81" i="2"/>
  <c r="AS24" i="6"/>
  <c r="AQ28" i="2"/>
  <c r="AS23" i="6"/>
  <c r="AQ27" i="2"/>
  <c r="AS81" i="6"/>
  <c r="AQ85" i="2"/>
  <c r="AS96" i="6"/>
  <c r="AQ100" i="2"/>
  <c r="AS95" i="6"/>
  <c r="AQ99" i="2"/>
  <c r="AS49" i="6"/>
  <c r="AQ53" i="2"/>
  <c r="AS34" i="6"/>
  <c r="AS89" i="6"/>
  <c r="AQ93" i="2"/>
  <c r="AS65" i="6"/>
  <c r="AQ69" i="2"/>
  <c r="AS52" i="6"/>
  <c r="AQ56" i="2"/>
  <c r="AS66" i="6"/>
  <c r="AQ70" i="2"/>
  <c r="AS27" i="6"/>
  <c r="AQ31" i="2"/>
  <c r="AS47" i="6"/>
  <c r="AS19" i="6"/>
  <c r="AQ23" i="2"/>
  <c r="AS73" i="6"/>
  <c r="AQ77" i="2"/>
  <c r="AS61" i="6"/>
  <c r="AQ65" i="2"/>
  <c r="AS63" i="6"/>
  <c r="AQ67" i="2"/>
  <c r="AS22" i="6"/>
  <c r="AQ26" i="2"/>
  <c r="AS36" i="6"/>
  <c r="AS70" i="6"/>
  <c r="AQ74" i="2"/>
  <c r="AS92" i="6"/>
  <c r="AQ96" i="2"/>
  <c r="AS86" i="6"/>
  <c r="AQ90" i="2"/>
  <c r="AS91" i="6"/>
  <c r="AQ95" i="2"/>
  <c r="AS31" i="6"/>
  <c r="AQ35" i="2"/>
  <c r="AS13" i="6"/>
  <c r="AQ17" i="2"/>
  <c r="AS68" i="6"/>
  <c r="AQ72" i="2"/>
  <c r="AS55" i="6"/>
  <c r="AQ59" i="2"/>
  <c r="AS53" i="6"/>
  <c r="AQ57" i="2"/>
  <c r="AS75" i="6"/>
  <c r="AQ79" i="2"/>
  <c r="AS94" i="6"/>
  <c r="AQ98" i="2"/>
  <c r="AS21" i="6"/>
  <c r="AQ25" i="2"/>
  <c r="AS48" i="6"/>
  <c r="AS69" i="6"/>
  <c r="AQ73" i="2"/>
  <c r="AS45" i="6"/>
  <c r="AS7" i="6"/>
  <c r="AQ11" i="2"/>
  <c r="AS38" i="6"/>
  <c r="AS9" i="6"/>
  <c r="AQ13" i="2"/>
  <c r="AS44" i="6"/>
  <c r="AS71" i="6"/>
  <c r="AQ75" i="2"/>
  <c r="AS46" i="6"/>
  <c r="AS54" i="6"/>
  <c r="AQ58" i="2"/>
  <c r="AS33" i="6"/>
  <c r="AS87" i="6"/>
  <c r="AQ91" i="2"/>
  <c r="AS60" i="6"/>
  <c r="AQ64" i="2"/>
  <c r="AS90" i="6"/>
  <c r="AQ94" i="2"/>
  <c r="AQ78" i="6"/>
  <c r="AM78" i="7"/>
  <c r="AP82" i="2" s="1"/>
  <c r="AS43" i="6"/>
  <c r="AO43" i="7"/>
  <c r="AR47" i="2" s="1"/>
  <c r="AS14" i="6"/>
  <c r="AO14" i="7"/>
  <c r="AR18" i="2" s="1"/>
  <c r="AS88" i="6"/>
  <c r="AO88" i="7"/>
  <c r="AR92" i="2" s="1"/>
  <c r="AS59" i="6"/>
  <c r="AO59" i="7"/>
  <c r="AR63" i="2" s="1"/>
  <c r="AQ1" i="2"/>
  <c r="AQ5" i="2" s="1"/>
  <c r="AM99" i="7"/>
  <c r="AO8" i="7"/>
  <c r="AO90" i="7"/>
  <c r="AO7" i="7"/>
  <c r="AO22" i="7"/>
  <c r="AO66" i="7"/>
  <c r="AO81" i="7"/>
  <c r="AO53" i="7"/>
  <c r="AO77" i="7"/>
  <c r="AO41" i="7"/>
  <c r="AR45" i="2" s="1"/>
  <c r="AO27" i="7"/>
  <c r="AO13" i="7"/>
  <c r="AO65" i="7"/>
  <c r="AO68" i="7"/>
  <c r="AO52" i="7"/>
  <c r="AO79" i="7"/>
  <c r="AO87" i="7"/>
  <c r="AO69" i="7"/>
  <c r="AO55" i="7"/>
  <c r="AO45" i="7"/>
  <c r="AR49" i="2" s="1"/>
  <c r="AO23" i="7"/>
  <c r="AO33" i="7"/>
  <c r="AR37" i="2" s="1"/>
  <c r="AO24" i="7"/>
  <c r="AO12" i="7"/>
  <c r="AO36" i="7"/>
  <c r="AR40" i="2" s="1"/>
  <c r="AO61" i="7"/>
  <c r="AO63" i="7"/>
  <c r="AO10" i="7"/>
  <c r="AO60" i="7"/>
  <c r="AO89" i="7"/>
  <c r="AO85" i="7"/>
  <c r="AO25" i="7"/>
  <c r="AO75" i="7"/>
  <c r="AO70" i="7"/>
  <c r="AO96" i="7"/>
  <c r="AO47" i="7"/>
  <c r="AR51" i="2" s="1"/>
  <c r="AO40" i="7"/>
  <c r="AR44" i="2" s="1"/>
  <c r="AO35" i="7"/>
  <c r="AR39" i="2" s="1"/>
  <c r="AO51" i="7"/>
  <c r="AO46" i="7"/>
  <c r="AR50" i="2" s="1"/>
  <c r="AO91" i="7"/>
  <c r="AO49" i="7"/>
  <c r="AO54" i="7"/>
  <c r="AO34" i="7"/>
  <c r="AR38" i="2" s="1"/>
  <c r="AO6" i="7"/>
  <c r="AO82" i="7"/>
  <c r="AO44" i="7"/>
  <c r="AR48" i="2" s="1"/>
  <c r="AO92" i="7"/>
  <c r="AO39" i="7"/>
  <c r="AR43" i="2" s="1"/>
  <c r="AO71" i="7"/>
  <c r="AO94" i="7"/>
  <c r="AO86" i="7"/>
  <c r="AO95" i="7"/>
  <c r="AO38" i="7"/>
  <c r="AR42" i="2" s="1"/>
  <c r="AO21" i="7"/>
  <c r="AO19" i="7"/>
  <c r="AO17" i="7"/>
  <c r="AO74" i="7"/>
  <c r="AO48" i="7"/>
  <c r="AR52" i="2" s="1"/>
  <c r="AO31" i="7"/>
  <c r="AO73" i="7"/>
  <c r="AO26" i="7"/>
  <c r="AO9" i="7"/>
  <c r="AO5" i="7"/>
  <c r="AU1" i="6"/>
  <c r="AQ1" i="7"/>
  <c r="AO41" i="2" l="1"/>
  <c r="AQ37" i="6"/>
  <c r="AM37" i="7"/>
  <c r="AO3" i="7"/>
  <c r="AQ7" i="2"/>
  <c r="AS3" i="6"/>
  <c r="AQ76" i="7"/>
  <c r="AR76" i="2"/>
  <c r="AT72" i="6"/>
  <c r="AP72" i="7"/>
  <c r="AQ72" i="7" s="1"/>
  <c r="AU76" i="6"/>
  <c r="AP22" i="2"/>
  <c r="AR18" i="6"/>
  <c r="AN18" i="7"/>
  <c r="AP33" i="2"/>
  <c r="AR29" i="6"/>
  <c r="AN29" i="7"/>
  <c r="AP97" i="2"/>
  <c r="AR93" i="6"/>
  <c r="AN93" i="7"/>
  <c r="AP15" i="2"/>
  <c r="AR11" i="6"/>
  <c r="AN11" i="7"/>
  <c r="AP101" i="2"/>
  <c r="AR97" i="6"/>
  <c r="AN97" i="7"/>
  <c r="AN57" i="7"/>
  <c r="AP61" i="2"/>
  <c r="AR57" i="6"/>
  <c r="AR98" i="6"/>
  <c r="AN98" i="7"/>
  <c r="AP102" i="2"/>
  <c r="AR62" i="6"/>
  <c r="AN62" i="7"/>
  <c r="AP66" i="2"/>
  <c r="AN67" i="7"/>
  <c r="AP71" i="2"/>
  <c r="AR67" i="6"/>
  <c r="AR15" i="6"/>
  <c r="AN15" i="7"/>
  <c r="AP19" i="2"/>
  <c r="AR42" i="6"/>
  <c r="AN42" i="7"/>
  <c r="AQ46" i="2" s="1"/>
  <c r="AN28" i="7"/>
  <c r="AP32" i="2"/>
  <c r="AR28" i="6"/>
  <c r="AP84" i="2"/>
  <c r="AR80" i="6"/>
  <c r="AN80" i="7"/>
  <c r="AR56" i="6"/>
  <c r="AN56" i="7"/>
  <c r="AP60" i="2"/>
  <c r="AP88" i="2"/>
  <c r="AN84" i="7"/>
  <c r="AR84" i="6"/>
  <c r="AP20" i="2"/>
  <c r="AR16" i="6"/>
  <c r="AN16" i="7"/>
  <c r="AN4" i="7"/>
  <c r="AP8" i="2"/>
  <c r="AR4" i="6"/>
  <c r="AR32" i="6"/>
  <c r="AN32" i="7"/>
  <c r="AQ36" i="2" s="1"/>
  <c r="AO3" i="2"/>
  <c r="AN58" i="7"/>
  <c r="AP62" i="2"/>
  <c r="AR58" i="6"/>
  <c r="AN2" i="7"/>
  <c r="AP6" i="2"/>
  <c r="AR2" i="6"/>
  <c r="AN64" i="7"/>
  <c r="AP68" i="2"/>
  <c r="AR64" i="6"/>
  <c r="AP83" i="7"/>
  <c r="AR87" i="2"/>
  <c r="AT83" i="6"/>
  <c r="AP54" i="2"/>
  <c r="AR50" i="6"/>
  <c r="AN50" i="7"/>
  <c r="AN30" i="7"/>
  <c r="AP34" i="2"/>
  <c r="AR30" i="6"/>
  <c r="AP24" i="2"/>
  <c r="AN20" i="7"/>
  <c r="AR20" i="6"/>
  <c r="AI4" i="2"/>
  <c r="AT71" i="6"/>
  <c r="AR75" i="2"/>
  <c r="AT53" i="6"/>
  <c r="AR57" i="2"/>
  <c r="AT9" i="6"/>
  <c r="AR13" i="2"/>
  <c r="AT17" i="6"/>
  <c r="AR21" i="2"/>
  <c r="AT60" i="6"/>
  <c r="AR64" i="2"/>
  <c r="AT36" i="6"/>
  <c r="AT45" i="6"/>
  <c r="AR99" i="6"/>
  <c r="AP103" i="2"/>
  <c r="AT94" i="6"/>
  <c r="AR98" i="2"/>
  <c r="AT74" i="6"/>
  <c r="AR78" i="2"/>
  <c r="AT86" i="6"/>
  <c r="AR90" i="2"/>
  <c r="AT82" i="6"/>
  <c r="AR86" i="2"/>
  <c r="AT51" i="6"/>
  <c r="AR55" i="2"/>
  <c r="AT61" i="6"/>
  <c r="AR65" i="2"/>
  <c r="AT68" i="6"/>
  <c r="AR72" i="2"/>
  <c r="AT77" i="6"/>
  <c r="AR81" i="2"/>
  <c r="AT8" i="6"/>
  <c r="AR12" i="2"/>
  <c r="AT10" i="6"/>
  <c r="AR14" i="2"/>
  <c r="AT6" i="6"/>
  <c r="AR10" i="2"/>
  <c r="AT46" i="6"/>
  <c r="AT52" i="6"/>
  <c r="AR56" i="2"/>
  <c r="AT41" i="6"/>
  <c r="AT90" i="6"/>
  <c r="AR94" i="2"/>
  <c r="AT75" i="6"/>
  <c r="AR79" i="2"/>
  <c r="AT35" i="6"/>
  <c r="AT95" i="6"/>
  <c r="AR99" i="2"/>
  <c r="AT91" i="6"/>
  <c r="AR95" i="2"/>
  <c r="AT23" i="6"/>
  <c r="AR27" i="2"/>
  <c r="AT79" i="6"/>
  <c r="AR83" i="2"/>
  <c r="AT27" i="6"/>
  <c r="AR31" i="2"/>
  <c r="AT7" i="6"/>
  <c r="AR11" i="2"/>
  <c r="AT48" i="6"/>
  <c r="AT89" i="6"/>
  <c r="AR93" i="2"/>
  <c r="AT38" i="6"/>
  <c r="AT85" i="6"/>
  <c r="AR89" i="2"/>
  <c r="AT33" i="6"/>
  <c r="AT22" i="6"/>
  <c r="AR26" i="2"/>
  <c r="AT40" i="6"/>
  <c r="AT5" i="6"/>
  <c r="AR9" i="2"/>
  <c r="AT70" i="6"/>
  <c r="AR74" i="2"/>
  <c r="AT73" i="6"/>
  <c r="AR77" i="2"/>
  <c r="AT49" i="6"/>
  <c r="AR53" i="2"/>
  <c r="AT63" i="6"/>
  <c r="AR67" i="2"/>
  <c r="AT13" i="6"/>
  <c r="AR17" i="2"/>
  <c r="AT21" i="6"/>
  <c r="AR25" i="2"/>
  <c r="AT54" i="6"/>
  <c r="AR58" i="2"/>
  <c r="AT47" i="6"/>
  <c r="AT25" i="6"/>
  <c r="AR29" i="2"/>
  <c r="AT69" i="6"/>
  <c r="AR73" i="2"/>
  <c r="AT66" i="6"/>
  <c r="AR70" i="2"/>
  <c r="AV76" i="6"/>
  <c r="AT80" i="2"/>
  <c r="AT12" i="6"/>
  <c r="AR16" i="2"/>
  <c r="AT44" i="6"/>
  <c r="AT31" i="6"/>
  <c r="AR35" i="2"/>
  <c r="AT92" i="6"/>
  <c r="AR96" i="2"/>
  <c r="AT96" i="6"/>
  <c r="AR100" i="2"/>
  <c r="AT87" i="6"/>
  <c r="AR91" i="2"/>
  <c r="AT26" i="6"/>
  <c r="AR30" i="2"/>
  <c r="AT19" i="6"/>
  <c r="AR23" i="2"/>
  <c r="AT39" i="6"/>
  <c r="AT34" i="6"/>
  <c r="AT24" i="6"/>
  <c r="AR28" i="2"/>
  <c r="AT55" i="6"/>
  <c r="AR59" i="2"/>
  <c r="AT65" i="6"/>
  <c r="AR69" i="2"/>
  <c r="AT81" i="6"/>
  <c r="AR85" i="2"/>
  <c r="AR78" i="6"/>
  <c r="AN78" i="7"/>
  <c r="AQ82" i="2" s="1"/>
  <c r="AT43" i="6"/>
  <c r="AP43" i="7"/>
  <c r="AS47" i="2" s="1"/>
  <c r="AT14" i="6"/>
  <c r="AP14" i="7"/>
  <c r="AS18" i="2" s="1"/>
  <c r="AT88" i="6"/>
  <c r="AP88" i="7"/>
  <c r="AS92" i="2" s="1"/>
  <c r="AT59" i="6"/>
  <c r="AP59" i="7"/>
  <c r="AS63" i="2" s="1"/>
  <c r="AR1" i="2"/>
  <c r="AR5" i="2" s="1"/>
  <c r="AN99" i="7"/>
  <c r="AP53" i="7"/>
  <c r="AP66" i="7"/>
  <c r="AP8" i="7"/>
  <c r="AP81" i="7"/>
  <c r="AP22" i="7"/>
  <c r="AP7" i="7"/>
  <c r="AP90" i="7"/>
  <c r="AP10" i="7"/>
  <c r="AP63" i="7"/>
  <c r="AP61" i="7"/>
  <c r="AP12" i="7"/>
  <c r="AP23" i="7"/>
  <c r="AP69" i="7"/>
  <c r="AP79" i="7"/>
  <c r="AP13" i="7"/>
  <c r="AP27" i="7"/>
  <c r="AP60" i="7"/>
  <c r="AP36" i="7"/>
  <c r="AS40" i="2" s="1"/>
  <c r="AP24" i="7"/>
  <c r="AP33" i="7"/>
  <c r="AS37" i="2" s="1"/>
  <c r="AP45" i="7"/>
  <c r="AS49" i="2" s="1"/>
  <c r="AP55" i="7"/>
  <c r="AP87" i="7"/>
  <c r="AP52" i="7"/>
  <c r="AP68" i="7"/>
  <c r="AP65" i="7"/>
  <c r="AP41" i="7"/>
  <c r="AS45" i="2" s="1"/>
  <c r="AP77" i="7"/>
  <c r="AP89" i="7"/>
  <c r="AP75" i="7"/>
  <c r="AP25" i="7"/>
  <c r="AP85" i="7"/>
  <c r="AP73" i="7"/>
  <c r="AP31" i="7"/>
  <c r="AP48" i="7"/>
  <c r="AS52" i="2" s="1"/>
  <c r="AP17" i="7"/>
  <c r="AP19" i="7"/>
  <c r="AP21" i="7"/>
  <c r="AP71" i="7"/>
  <c r="AP49" i="7"/>
  <c r="AP91" i="7"/>
  <c r="AP35" i="7"/>
  <c r="AS39" i="2" s="1"/>
  <c r="AP40" i="7"/>
  <c r="AS44" i="2" s="1"/>
  <c r="AP96" i="7"/>
  <c r="AP74" i="7"/>
  <c r="AP38" i="7"/>
  <c r="AS42" i="2" s="1"/>
  <c r="AP95" i="7"/>
  <c r="AP86" i="7"/>
  <c r="AP94" i="7"/>
  <c r="AP39" i="7"/>
  <c r="AS43" i="2" s="1"/>
  <c r="AP92" i="7"/>
  <c r="AP44" i="7"/>
  <c r="AS48" i="2" s="1"/>
  <c r="AP82" i="7"/>
  <c r="AP6" i="7"/>
  <c r="AP34" i="7"/>
  <c r="AS38" i="2" s="1"/>
  <c r="AP54" i="7"/>
  <c r="AP46" i="7"/>
  <c r="AS50" i="2" s="1"/>
  <c r="AP51" i="7"/>
  <c r="AP47" i="7"/>
  <c r="AS51" i="2" s="1"/>
  <c r="AP70" i="7"/>
  <c r="AP9" i="7"/>
  <c r="AP26" i="7"/>
  <c r="AP5" i="7"/>
  <c r="AV1" i="6"/>
  <c r="AR1" i="7"/>
  <c r="AP41" i="2" l="1"/>
  <c r="AR37" i="6"/>
  <c r="AN37" i="7"/>
  <c r="AR7" i="2"/>
  <c r="AP3" i="7"/>
  <c r="AT3" i="6"/>
  <c r="AR76" i="7"/>
  <c r="AR72" i="7"/>
  <c r="AT76" i="2"/>
  <c r="AV72" i="6"/>
  <c r="AS76" i="2"/>
  <c r="AU72" i="6"/>
  <c r="AO18" i="7"/>
  <c r="AQ22" i="2"/>
  <c r="AS18" i="6"/>
  <c r="AO29" i="7"/>
  <c r="AQ33" i="2"/>
  <c r="AS29" i="6"/>
  <c r="AO93" i="7"/>
  <c r="AQ97" i="2"/>
  <c r="AS93" i="6"/>
  <c r="AQ15" i="2"/>
  <c r="AO11" i="7"/>
  <c r="AS11" i="6"/>
  <c r="AO15" i="7"/>
  <c r="AQ19" i="2"/>
  <c r="AS15" i="6"/>
  <c r="AO62" i="7"/>
  <c r="AQ66" i="2"/>
  <c r="AS62" i="6"/>
  <c r="AO97" i="7"/>
  <c r="AQ101" i="2"/>
  <c r="AS97" i="6"/>
  <c r="AQ61" i="2"/>
  <c r="AS57" i="6"/>
  <c r="AO57" i="7"/>
  <c r="AO42" i="7"/>
  <c r="AR46" i="2" s="1"/>
  <c r="AS42" i="6"/>
  <c r="AO67" i="7"/>
  <c r="AQ71" i="2"/>
  <c r="AS67" i="6"/>
  <c r="AO98" i="7"/>
  <c r="AQ102" i="2"/>
  <c r="AS98" i="6"/>
  <c r="AQ32" i="2"/>
  <c r="AO28" i="7"/>
  <c r="AS28" i="6"/>
  <c r="AQ84" i="2"/>
  <c r="AS80" i="6"/>
  <c r="AO80" i="7"/>
  <c r="AS16" i="6"/>
  <c r="AO16" i="7"/>
  <c r="AQ20" i="2"/>
  <c r="AO56" i="7"/>
  <c r="AQ60" i="2"/>
  <c r="AS56" i="6"/>
  <c r="AS84" i="6"/>
  <c r="AO84" i="7"/>
  <c r="AQ88" i="2"/>
  <c r="AS4" i="6"/>
  <c r="AQ8" i="2"/>
  <c r="AO4" i="7"/>
  <c r="AO64" i="7"/>
  <c r="AQ68" i="2"/>
  <c r="AS64" i="6"/>
  <c r="AO32" i="7"/>
  <c r="AR36" i="2" s="1"/>
  <c r="AS32" i="6"/>
  <c r="AO58" i="7"/>
  <c r="AQ62" i="2"/>
  <c r="AS58" i="6"/>
  <c r="AQ6" i="2"/>
  <c r="AO2" i="7"/>
  <c r="AS2" i="6"/>
  <c r="AU83" i="6"/>
  <c r="AQ83" i="7"/>
  <c r="AS87" i="2"/>
  <c r="AO50" i="7"/>
  <c r="AQ54" i="2"/>
  <c r="AS50" i="6"/>
  <c r="AQ34" i="2"/>
  <c r="AS30" i="6"/>
  <c r="AO30" i="7"/>
  <c r="AQ24" i="2"/>
  <c r="AO20" i="7"/>
  <c r="AS20" i="6"/>
  <c r="AP3" i="2"/>
  <c r="AJ4" i="2"/>
  <c r="AU90" i="6"/>
  <c r="AS94" i="2"/>
  <c r="AU25" i="6"/>
  <c r="AS29" i="2"/>
  <c r="AU21" i="6"/>
  <c r="AS25" i="2"/>
  <c r="AU85" i="6"/>
  <c r="AS89" i="2"/>
  <c r="AU41" i="6"/>
  <c r="AU45" i="6"/>
  <c r="AU61" i="6"/>
  <c r="AS65" i="2"/>
  <c r="AW72" i="6"/>
  <c r="AU76" i="2"/>
  <c r="AS99" i="6"/>
  <c r="AQ103" i="2"/>
  <c r="AU86" i="6"/>
  <c r="AS90" i="2"/>
  <c r="AU5" i="6"/>
  <c r="AS9" i="2"/>
  <c r="AU46" i="6"/>
  <c r="AU39" i="6"/>
  <c r="AU96" i="6"/>
  <c r="AS100" i="2"/>
  <c r="AU71" i="6"/>
  <c r="AS75" i="2"/>
  <c r="AU77" i="6"/>
  <c r="AS81" i="2"/>
  <c r="AU55" i="6"/>
  <c r="AS59" i="2"/>
  <c r="AU13" i="6"/>
  <c r="AS17" i="2"/>
  <c r="AU12" i="6"/>
  <c r="AS16" i="2"/>
  <c r="AU53" i="6"/>
  <c r="AS57" i="2"/>
  <c r="AU26" i="6"/>
  <c r="AS30" i="2"/>
  <c r="AU73" i="6"/>
  <c r="AS77" i="2"/>
  <c r="AU89" i="6"/>
  <c r="AS93" i="2"/>
  <c r="AU87" i="6"/>
  <c r="AS91" i="2"/>
  <c r="AU27" i="6"/>
  <c r="AS31" i="2"/>
  <c r="AU10" i="6"/>
  <c r="AS14" i="2"/>
  <c r="AU66" i="6"/>
  <c r="AS70" i="2"/>
  <c r="AU19" i="6"/>
  <c r="AS23" i="2"/>
  <c r="AU94" i="6"/>
  <c r="AS98" i="2"/>
  <c r="AU74" i="6"/>
  <c r="AS78" i="2"/>
  <c r="AU31" i="6"/>
  <c r="AS35" i="2"/>
  <c r="AU52" i="6"/>
  <c r="AS56" i="2"/>
  <c r="AU60" i="6"/>
  <c r="AS64" i="2"/>
  <c r="AU23" i="6"/>
  <c r="AS27" i="2"/>
  <c r="AU8" i="6"/>
  <c r="AS12" i="2"/>
  <c r="AU40" i="6"/>
  <c r="AU54" i="6"/>
  <c r="AS58" i="2"/>
  <c r="AU51" i="6"/>
  <c r="AS55" i="2"/>
  <c r="AU70" i="6"/>
  <c r="AS74" i="2"/>
  <c r="AU49" i="6"/>
  <c r="AS53" i="2"/>
  <c r="AU48" i="6"/>
  <c r="AU68" i="6"/>
  <c r="AS72" i="2"/>
  <c r="AU36" i="6"/>
  <c r="AU81" i="6"/>
  <c r="AS85" i="2"/>
  <c r="AU79" i="6"/>
  <c r="AS83" i="2"/>
  <c r="AU92" i="6"/>
  <c r="AS96" i="2"/>
  <c r="AU47" i="6"/>
  <c r="AU38" i="6"/>
  <c r="AU82" i="6"/>
  <c r="AS86" i="2"/>
  <c r="AU91" i="6"/>
  <c r="AS95" i="2"/>
  <c r="AU24" i="6"/>
  <c r="AS28" i="2"/>
  <c r="AU63" i="6"/>
  <c r="AS67" i="2"/>
  <c r="AU22" i="6"/>
  <c r="AS26" i="2"/>
  <c r="AU34" i="6"/>
  <c r="AU44" i="6"/>
  <c r="AU95" i="6"/>
  <c r="AS99" i="2"/>
  <c r="AU17" i="6"/>
  <c r="AS21" i="2"/>
  <c r="AU9" i="6"/>
  <c r="AS13" i="2"/>
  <c r="AU6" i="6"/>
  <c r="AS10" i="2"/>
  <c r="AU35" i="6"/>
  <c r="AU75" i="6"/>
  <c r="AS79" i="2"/>
  <c r="AU65" i="6"/>
  <c r="AS69" i="2"/>
  <c r="AU33" i="6"/>
  <c r="AU69" i="6"/>
  <c r="AS73" i="2"/>
  <c r="AU7" i="6"/>
  <c r="AS11" i="2"/>
  <c r="AW76" i="6"/>
  <c r="AU80" i="2"/>
  <c r="AS78" i="6"/>
  <c r="AO78" i="7"/>
  <c r="AR82" i="2" s="1"/>
  <c r="AU43" i="6"/>
  <c r="AQ43" i="7"/>
  <c r="AT47" i="2" s="1"/>
  <c r="AU14" i="6"/>
  <c r="AQ14" i="7"/>
  <c r="AT18" i="2" s="1"/>
  <c r="AU59" i="6"/>
  <c r="AQ59" i="7"/>
  <c r="AT63" i="2" s="1"/>
  <c r="AU88" i="6"/>
  <c r="AQ88" i="7"/>
  <c r="AT92" i="2" s="1"/>
  <c r="AS1" i="2"/>
  <c r="AS5" i="2" s="1"/>
  <c r="AO99" i="7"/>
  <c r="AQ22" i="7"/>
  <c r="AQ8" i="7"/>
  <c r="AQ53" i="7"/>
  <c r="AQ90" i="7"/>
  <c r="AQ7" i="7"/>
  <c r="AQ81" i="7"/>
  <c r="AQ66" i="7"/>
  <c r="AQ41" i="7"/>
  <c r="AT45" i="2" s="1"/>
  <c r="AQ65" i="7"/>
  <c r="AQ68" i="7"/>
  <c r="AQ87" i="7"/>
  <c r="AQ55" i="7"/>
  <c r="AQ45" i="7"/>
  <c r="AT49" i="2" s="1"/>
  <c r="AQ33" i="7"/>
  <c r="AT37" i="2" s="1"/>
  <c r="AQ24" i="7"/>
  <c r="AQ36" i="7"/>
  <c r="AT40" i="2" s="1"/>
  <c r="AQ69" i="7"/>
  <c r="AQ23" i="7"/>
  <c r="AQ12" i="7"/>
  <c r="AQ77" i="7"/>
  <c r="AQ52" i="7"/>
  <c r="AQ60" i="7"/>
  <c r="AQ27" i="7"/>
  <c r="AQ13" i="7"/>
  <c r="AQ79" i="7"/>
  <c r="AQ61" i="7"/>
  <c r="AQ63" i="7"/>
  <c r="AQ10" i="7"/>
  <c r="AQ89" i="7"/>
  <c r="AQ25" i="7"/>
  <c r="AQ75" i="7"/>
  <c r="AQ85" i="7"/>
  <c r="AQ70" i="7"/>
  <c r="AQ47" i="7"/>
  <c r="AT51" i="2" s="1"/>
  <c r="AQ51" i="7"/>
  <c r="AQ46" i="7"/>
  <c r="AT50" i="2" s="1"/>
  <c r="AQ34" i="7"/>
  <c r="AT38" i="2" s="1"/>
  <c r="AQ92" i="7"/>
  <c r="AQ94" i="7"/>
  <c r="AQ38" i="7"/>
  <c r="AT42" i="2" s="1"/>
  <c r="AQ74" i="7"/>
  <c r="AQ35" i="7"/>
  <c r="AT39" i="2" s="1"/>
  <c r="AQ19" i="7"/>
  <c r="AQ17" i="7"/>
  <c r="AQ73" i="7"/>
  <c r="AQ54" i="7"/>
  <c r="AQ6" i="7"/>
  <c r="AQ82" i="7"/>
  <c r="AQ44" i="7"/>
  <c r="AT48" i="2" s="1"/>
  <c r="AQ39" i="7"/>
  <c r="AT43" i="2" s="1"/>
  <c r="AQ86" i="7"/>
  <c r="AQ95" i="7"/>
  <c r="AQ96" i="7"/>
  <c r="AQ40" i="7"/>
  <c r="AT44" i="2" s="1"/>
  <c r="AQ91" i="7"/>
  <c r="AQ49" i="7"/>
  <c r="AQ71" i="7"/>
  <c r="AQ21" i="7"/>
  <c r="AQ48" i="7"/>
  <c r="AT52" i="2" s="1"/>
  <c r="AQ31" i="7"/>
  <c r="AQ9" i="7"/>
  <c r="AQ26" i="7"/>
  <c r="AQ5" i="7"/>
  <c r="AW1" i="6"/>
  <c r="AS1" i="7"/>
  <c r="AQ41" i="2" l="1"/>
  <c r="AS37" i="6"/>
  <c r="AO37" i="7"/>
  <c r="AS76" i="7"/>
  <c r="AX76" i="6" s="1"/>
  <c r="AS72" i="7"/>
  <c r="AV76" i="2" s="1"/>
  <c r="AU3" i="6"/>
  <c r="AQ3" i="7"/>
  <c r="AS7" i="2"/>
  <c r="AT18" i="6"/>
  <c r="AP18" i="7"/>
  <c r="AR22" i="2"/>
  <c r="AR33" i="2"/>
  <c r="AT29" i="6"/>
  <c r="AP29" i="7"/>
  <c r="AP93" i="7"/>
  <c r="AR97" i="2"/>
  <c r="AT93" i="6"/>
  <c r="AR15" i="2"/>
  <c r="AT11" i="6"/>
  <c r="AP11" i="7"/>
  <c r="AR19" i="2"/>
  <c r="AT15" i="6"/>
  <c r="AP15" i="7"/>
  <c r="AP98" i="7"/>
  <c r="AR102" i="2"/>
  <c r="AT98" i="6"/>
  <c r="AT57" i="6"/>
  <c r="AP57" i="7"/>
  <c r="AR61" i="2"/>
  <c r="AT62" i="6"/>
  <c r="AP62" i="7"/>
  <c r="AR66" i="2"/>
  <c r="AP42" i="7"/>
  <c r="AS46" i="2" s="1"/>
  <c r="AT42" i="6"/>
  <c r="AP97" i="7"/>
  <c r="AR101" i="2"/>
  <c r="AT97" i="6"/>
  <c r="AP67" i="7"/>
  <c r="AR71" i="2"/>
  <c r="AT67" i="6"/>
  <c r="AR32" i="2"/>
  <c r="AT28" i="6"/>
  <c r="AP28" i="7"/>
  <c r="AP84" i="7"/>
  <c r="AR88" i="2"/>
  <c r="AT84" i="6"/>
  <c r="AR84" i="2"/>
  <c r="AT80" i="6"/>
  <c r="AP80" i="7"/>
  <c r="AP16" i="7"/>
  <c r="AR20" i="2"/>
  <c r="AT16" i="6"/>
  <c r="AR60" i="2"/>
  <c r="AT56" i="6"/>
  <c r="AP56" i="7"/>
  <c r="AP4" i="7"/>
  <c r="AR8" i="2"/>
  <c r="AT4" i="6"/>
  <c r="AR68" i="2"/>
  <c r="AT64" i="6"/>
  <c r="AP64" i="7"/>
  <c r="AP2" i="7"/>
  <c r="AR6" i="2"/>
  <c r="AT2" i="6"/>
  <c r="AP32" i="7"/>
  <c r="AS36" i="2" s="1"/>
  <c r="AT32" i="6"/>
  <c r="AR62" i="2"/>
  <c r="AP58" i="7"/>
  <c r="AT58" i="6"/>
  <c r="AR83" i="7"/>
  <c r="AT87" i="2"/>
  <c r="AV83" i="6"/>
  <c r="AP50" i="7"/>
  <c r="AR54" i="2"/>
  <c r="AT50" i="6"/>
  <c r="AP30" i="7"/>
  <c r="AR34" i="2"/>
  <c r="AT30" i="6"/>
  <c r="AR24" i="2"/>
  <c r="AP20" i="7"/>
  <c r="AT20" i="6"/>
  <c r="AQ3" i="2"/>
  <c r="AK4" i="2"/>
  <c r="AV26" i="6"/>
  <c r="AT30" i="2"/>
  <c r="AV49" i="6"/>
  <c r="AT53" i="2"/>
  <c r="AV44" i="6"/>
  <c r="AV92" i="6"/>
  <c r="AT96" i="2"/>
  <c r="AV12" i="6"/>
  <c r="AT16" i="2"/>
  <c r="AV45" i="6"/>
  <c r="AV66" i="6"/>
  <c r="AT70" i="2"/>
  <c r="AT99" i="6"/>
  <c r="AR103" i="2"/>
  <c r="AV19" i="6"/>
  <c r="AT23" i="2"/>
  <c r="AV60" i="6"/>
  <c r="AT64" i="2"/>
  <c r="AV33" i="6"/>
  <c r="AV94" i="6"/>
  <c r="AT98" i="2"/>
  <c r="AV71" i="6"/>
  <c r="AT75" i="2"/>
  <c r="AV39" i="6"/>
  <c r="AV85" i="6"/>
  <c r="AT89" i="2"/>
  <c r="AV10" i="6"/>
  <c r="AT14" i="2"/>
  <c r="AV27" i="6"/>
  <c r="AT31" i="2"/>
  <c r="AV24" i="6"/>
  <c r="AT28" i="2"/>
  <c r="AV41" i="6"/>
  <c r="AV22" i="6"/>
  <c r="AT26" i="2"/>
  <c r="AV21" i="6"/>
  <c r="AT25" i="2"/>
  <c r="AV89" i="6"/>
  <c r="AT93" i="2"/>
  <c r="AV36" i="6"/>
  <c r="AV8" i="6"/>
  <c r="AT12" i="2"/>
  <c r="AV86" i="6"/>
  <c r="AT90" i="2"/>
  <c r="AV13" i="6"/>
  <c r="AT17" i="2"/>
  <c r="AV73" i="6"/>
  <c r="AT77" i="2"/>
  <c r="AV74" i="6"/>
  <c r="AT78" i="2"/>
  <c r="AV47" i="6"/>
  <c r="AV69" i="6"/>
  <c r="AT73" i="2"/>
  <c r="AV65" i="6"/>
  <c r="AT69" i="2"/>
  <c r="AV53" i="6"/>
  <c r="AT57" i="2"/>
  <c r="AV63" i="6"/>
  <c r="AT67" i="2"/>
  <c r="AV38" i="6"/>
  <c r="AV31" i="6"/>
  <c r="AT35" i="2"/>
  <c r="AV79" i="6"/>
  <c r="AT83" i="2"/>
  <c r="AV90" i="6"/>
  <c r="AT94" i="2"/>
  <c r="AV5" i="6"/>
  <c r="AT9" i="2"/>
  <c r="AV17" i="6"/>
  <c r="AT21" i="2"/>
  <c r="AV48" i="6"/>
  <c r="AV96" i="6"/>
  <c r="AT100" i="2"/>
  <c r="AV51" i="6"/>
  <c r="AT55" i="2"/>
  <c r="AV77" i="6"/>
  <c r="AT81" i="2"/>
  <c r="AV68" i="6"/>
  <c r="AT72" i="2"/>
  <c r="AV40" i="6"/>
  <c r="AV6" i="6"/>
  <c r="AT10" i="2"/>
  <c r="AV46" i="6"/>
  <c r="AV75" i="6"/>
  <c r="AT79" i="2"/>
  <c r="AV87" i="6"/>
  <c r="AT91" i="2"/>
  <c r="AV7" i="6"/>
  <c r="AT11" i="2"/>
  <c r="AV80" i="2"/>
  <c r="AV70" i="6"/>
  <c r="AT74" i="2"/>
  <c r="AV95" i="6"/>
  <c r="AT99" i="2"/>
  <c r="AV54" i="6"/>
  <c r="AT58" i="2"/>
  <c r="AV25" i="6"/>
  <c r="AT29" i="2"/>
  <c r="AV9" i="6"/>
  <c r="AT13" i="2"/>
  <c r="AV91" i="6"/>
  <c r="AT95" i="2"/>
  <c r="AV82" i="6"/>
  <c r="AT86" i="2"/>
  <c r="AV35" i="6"/>
  <c r="AV34" i="6"/>
  <c r="AV61" i="6"/>
  <c r="AT65" i="2"/>
  <c r="AV52" i="6"/>
  <c r="AT56" i="2"/>
  <c r="AV23" i="6"/>
  <c r="AT27" i="2"/>
  <c r="AV55" i="6"/>
  <c r="AT59" i="2"/>
  <c r="AV81" i="6"/>
  <c r="AT85" i="2"/>
  <c r="AT78" i="6"/>
  <c r="AP78" i="7"/>
  <c r="AS82" i="2" s="1"/>
  <c r="AV43" i="6"/>
  <c r="AR43" i="7"/>
  <c r="AU47" i="2" s="1"/>
  <c r="AV14" i="6"/>
  <c r="AR14" i="7"/>
  <c r="AU18" i="2" s="1"/>
  <c r="AV88" i="6"/>
  <c r="AR88" i="7"/>
  <c r="AU92" i="2" s="1"/>
  <c r="AV59" i="6"/>
  <c r="AR59" i="7"/>
  <c r="AU63" i="2" s="1"/>
  <c r="AT1" i="2"/>
  <c r="AT5" i="2" s="1"/>
  <c r="AP99" i="7"/>
  <c r="AR7" i="7"/>
  <c r="AR53" i="7"/>
  <c r="AR22" i="7"/>
  <c r="AR66" i="7"/>
  <c r="AR81" i="7"/>
  <c r="AR90" i="7"/>
  <c r="AR8" i="7"/>
  <c r="AR79" i="7"/>
  <c r="AR60" i="7"/>
  <c r="AR52" i="7"/>
  <c r="AR77" i="7"/>
  <c r="AR23" i="7"/>
  <c r="AR69" i="7"/>
  <c r="AR24" i="7"/>
  <c r="AR87" i="7"/>
  <c r="AR68" i="7"/>
  <c r="AR41" i="7"/>
  <c r="AU45" i="2" s="1"/>
  <c r="AR10" i="7"/>
  <c r="AR63" i="7"/>
  <c r="AR61" i="7"/>
  <c r="AR13" i="7"/>
  <c r="AR27" i="7"/>
  <c r="AR12" i="7"/>
  <c r="AR36" i="7"/>
  <c r="AU40" i="2" s="1"/>
  <c r="AR33" i="7"/>
  <c r="AU37" i="2" s="1"/>
  <c r="AR45" i="7"/>
  <c r="AU49" i="2" s="1"/>
  <c r="AR55" i="7"/>
  <c r="AR65" i="7"/>
  <c r="AR89" i="7"/>
  <c r="AR75" i="7"/>
  <c r="AR25" i="7"/>
  <c r="AR85" i="7"/>
  <c r="AR48" i="7"/>
  <c r="AU52" i="2" s="1"/>
  <c r="AR71" i="7"/>
  <c r="AR49" i="7"/>
  <c r="AR40" i="7"/>
  <c r="AU44" i="2" s="1"/>
  <c r="AR95" i="7"/>
  <c r="AR39" i="7"/>
  <c r="AU43" i="2" s="1"/>
  <c r="AR44" i="7"/>
  <c r="AU48" i="2" s="1"/>
  <c r="AR6" i="7"/>
  <c r="AR73" i="7"/>
  <c r="AR19" i="7"/>
  <c r="AR74" i="7"/>
  <c r="AR94" i="7"/>
  <c r="AR92" i="7"/>
  <c r="AR46" i="7"/>
  <c r="AU50" i="2" s="1"/>
  <c r="AR47" i="7"/>
  <c r="AU51" i="2" s="1"/>
  <c r="AR70" i="7"/>
  <c r="AR31" i="7"/>
  <c r="AR21" i="7"/>
  <c r="AR91" i="7"/>
  <c r="AR96" i="7"/>
  <c r="AR86" i="7"/>
  <c r="AR82" i="7"/>
  <c r="AR54" i="7"/>
  <c r="AR17" i="7"/>
  <c r="AR35" i="7"/>
  <c r="AU39" i="2" s="1"/>
  <c r="AR38" i="7"/>
  <c r="AU42" i="2" s="1"/>
  <c r="AR34" i="7"/>
  <c r="AU38" i="2" s="1"/>
  <c r="AR51" i="7"/>
  <c r="AR26" i="7"/>
  <c r="AR9" i="7"/>
  <c r="AR5" i="7"/>
  <c r="AX1" i="6"/>
  <c r="AT1" i="7"/>
  <c r="AR41" i="2" l="1"/>
  <c r="AP37" i="7"/>
  <c r="AT37" i="6"/>
  <c r="AX72" i="6"/>
  <c r="AT72" i="7"/>
  <c r="AT76" i="7"/>
  <c r="AR3" i="7"/>
  <c r="AT7" i="2"/>
  <c r="AV3" i="6"/>
  <c r="AU18" i="6"/>
  <c r="AS22" i="2"/>
  <c r="AQ18" i="7"/>
  <c r="AS33" i="2"/>
  <c r="AQ29" i="7"/>
  <c r="AU29" i="6"/>
  <c r="AQ93" i="7"/>
  <c r="AU93" i="6"/>
  <c r="AS97" i="2"/>
  <c r="AS15" i="2"/>
  <c r="AU11" i="6"/>
  <c r="AQ11" i="7"/>
  <c r="AU67" i="6"/>
  <c r="AQ67" i="7"/>
  <c r="AS71" i="2"/>
  <c r="AQ62" i="7"/>
  <c r="AS66" i="2"/>
  <c r="AU62" i="6"/>
  <c r="AS19" i="2"/>
  <c r="AQ15" i="7"/>
  <c r="AU15" i="6"/>
  <c r="AS102" i="2"/>
  <c r="AU98" i="6"/>
  <c r="AQ98" i="7"/>
  <c r="AQ42" i="7"/>
  <c r="AT46" i="2" s="1"/>
  <c r="AU42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S60" i="2"/>
  <c r="AU56" i="6"/>
  <c r="AQ56" i="7"/>
  <c r="AU80" i="6"/>
  <c r="AQ80" i="7"/>
  <c r="AS84" i="2"/>
  <c r="AU16" i="6"/>
  <c r="AS20" i="2"/>
  <c r="AQ16" i="7"/>
  <c r="AR3" i="2"/>
  <c r="AQ4" i="7"/>
  <c r="AS8" i="2"/>
  <c r="AU4" i="6"/>
  <c r="AQ58" i="7"/>
  <c r="AS62" i="2"/>
  <c r="AU58" i="6"/>
  <c r="AQ64" i="7"/>
  <c r="AS68" i="2"/>
  <c r="AU64" i="6"/>
  <c r="AS6" i="2"/>
  <c r="AU2" i="6"/>
  <c r="AQ2" i="7"/>
  <c r="AQ32" i="7"/>
  <c r="AT36" i="2" s="1"/>
  <c r="AU32" i="6"/>
  <c r="AU87" i="2"/>
  <c r="AW83" i="6"/>
  <c r="AS83" i="7"/>
  <c r="AS54" i="2"/>
  <c r="AU50" i="6"/>
  <c r="AQ50" i="7"/>
  <c r="AU30" i="6"/>
  <c r="AS34" i="2"/>
  <c r="AQ30" i="7"/>
  <c r="AS24" i="2"/>
  <c r="AQ20" i="7"/>
  <c r="AU20" i="6"/>
  <c r="AL4" i="2"/>
  <c r="AW26" i="6"/>
  <c r="AU30" i="2"/>
  <c r="AW95" i="6"/>
  <c r="AU99" i="2"/>
  <c r="AW25" i="6"/>
  <c r="AU29" i="2"/>
  <c r="AW45" i="6"/>
  <c r="AW61" i="6"/>
  <c r="AU65" i="2"/>
  <c r="AW52" i="6"/>
  <c r="AU56" i="2"/>
  <c r="AW90" i="6"/>
  <c r="AU94" i="2"/>
  <c r="AW55" i="6"/>
  <c r="AU59" i="2"/>
  <c r="AW13" i="6"/>
  <c r="AU17" i="2"/>
  <c r="AW69" i="6"/>
  <c r="AU73" i="2"/>
  <c r="AW8" i="6"/>
  <c r="AU12" i="2"/>
  <c r="AW5" i="6"/>
  <c r="AU9" i="2"/>
  <c r="AW96" i="6"/>
  <c r="AU100" i="2"/>
  <c r="AW92" i="6"/>
  <c r="AU96" i="2"/>
  <c r="AW44" i="6"/>
  <c r="AW65" i="6"/>
  <c r="AU69" i="2"/>
  <c r="AW27" i="6"/>
  <c r="AU31" i="2"/>
  <c r="AW24" i="6"/>
  <c r="AU28" i="2"/>
  <c r="AW77" i="6"/>
  <c r="AU81" i="2"/>
  <c r="AY72" i="6"/>
  <c r="AW76" i="2"/>
  <c r="AU99" i="6"/>
  <c r="AS103" i="2"/>
  <c r="AW91" i="6"/>
  <c r="AU95" i="2"/>
  <c r="AW87" i="6"/>
  <c r="AU91" i="2"/>
  <c r="AW7" i="6"/>
  <c r="AU11" i="2"/>
  <c r="AW94" i="6"/>
  <c r="AU98" i="2"/>
  <c r="AW6" i="6"/>
  <c r="AU10" i="2"/>
  <c r="AW38" i="6"/>
  <c r="AW73" i="6"/>
  <c r="AU77" i="2"/>
  <c r="AW48" i="6"/>
  <c r="AW89" i="6"/>
  <c r="AU93" i="2"/>
  <c r="AW68" i="6"/>
  <c r="AU72" i="2"/>
  <c r="AW53" i="6"/>
  <c r="AU57" i="2"/>
  <c r="AW85" i="6"/>
  <c r="AU89" i="2"/>
  <c r="AW46" i="6"/>
  <c r="AW34" i="6"/>
  <c r="AW19" i="6"/>
  <c r="AU23" i="2"/>
  <c r="AW12" i="6"/>
  <c r="AU16" i="2"/>
  <c r="AW79" i="6"/>
  <c r="AU83" i="2"/>
  <c r="AW39" i="6"/>
  <c r="AW86" i="6"/>
  <c r="AU90" i="2"/>
  <c r="AW47" i="6"/>
  <c r="AW70" i="6"/>
  <c r="AU74" i="2"/>
  <c r="AW22" i="6"/>
  <c r="AU26" i="2"/>
  <c r="AW51" i="6"/>
  <c r="AU55" i="2"/>
  <c r="AW54" i="6"/>
  <c r="AU58" i="2"/>
  <c r="AW31" i="6"/>
  <c r="AU35" i="2"/>
  <c r="AW49" i="6"/>
  <c r="AU53" i="2"/>
  <c r="AW36" i="6"/>
  <c r="AW10" i="6"/>
  <c r="AU14" i="2"/>
  <c r="AW23" i="6"/>
  <c r="AU27" i="2"/>
  <c r="AW66" i="6"/>
  <c r="AU70" i="2"/>
  <c r="AY76" i="6"/>
  <c r="AW80" i="2"/>
  <c r="AW9" i="6"/>
  <c r="AU13" i="2"/>
  <c r="AW35" i="6"/>
  <c r="AW82" i="6"/>
  <c r="AU86" i="2"/>
  <c r="AW71" i="6"/>
  <c r="AU75" i="2"/>
  <c r="AW41" i="6"/>
  <c r="AW17" i="6"/>
  <c r="AU21" i="2"/>
  <c r="AW21" i="6"/>
  <c r="AU25" i="2"/>
  <c r="AW74" i="6"/>
  <c r="AU78" i="2"/>
  <c r="AW40" i="6"/>
  <c r="AW75" i="6"/>
  <c r="AU79" i="2"/>
  <c r="AW33" i="6"/>
  <c r="AW63" i="6"/>
  <c r="AU67" i="2"/>
  <c r="AW60" i="6"/>
  <c r="AU64" i="2"/>
  <c r="AW81" i="6"/>
  <c r="AU85" i="2"/>
  <c r="AU78" i="6"/>
  <c r="AQ78" i="7"/>
  <c r="AT82" i="2" s="1"/>
  <c r="AW43" i="6"/>
  <c r="AS43" i="7"/>
  <c r="AV47" i="2" s="1"/>
  <c r="AW14" i="6"/>
  <c r="AS14" i="7"/>
  <c r="AV18" i="2" s="1"/>
  <c r="AW88" i="6"/>
  <c r="AS88" i="7"/>
  <c r="AV92" i="2" s="1"/>
  <c r="AW59" i="6"/>
  <c r="AS59" i="7"/>
  <c r="AV63" i="2" s="1"/>
  <c r="AU1" i="2"/>
  <c r="AU5" i="2" s="1"/>
  <c r="AQ99" i="7"/>
  <c r="AS8" i="7"/>
  <c r="AS81" i="7"/>
  <c r="AS66" i="7"/>
  <c r="AS7" i="7"/>
  <c r="AS90" i="7"/>
  <c r="AS22" i="7"/>
  <c r="AS53" i="7"/>
  <c r="AS65" i="7"/>
  <c r="AS36" i="7"/>
  <c r="AV40" i="2" s="1"/>
  <c r="AS12" i="7"/>
  <c r="AS27" i="7"/>
  <c r="AS63" i="7"/>
  <c r="AS41" i="7"/>
  <c r="AV45" i="2" s="1"/>
  <c r="AS68" i="7"/>
  <c r="AS87" i="7"/>
  <c r="AS24" i="7"/>
  <c r="AS69" i="7"/>
  <c r="AS52" i="7"/>
  <c r="AS60" i="7"/>
  <c r="AS79" i="7"/>
  <c r="AS55" i="7"/>
  <c r="AS45" i="7"/>
  <c r="AV49" i="2" s="1"/>
  <c r="AS33" i="7"/>
  <c r="AV37" i="2" s="1"/>
  <c r="AS13" i="7"/>
  <c r="AS61" i="7"/>
  <c r="AS10" i="7"/>
  <c r="AS23" i="7"/>
  <c r="AS77" i="7"/>
  <c r="AS89" i="7"/>
  <c r="AS75" i="7"/>
  <c r="AS85" i="7"/>
  <c r="AS25" i="7"/>
  <c r="AS17" i="7"/>
  <c r="AS54" i="7"/>
  <c r="AS82" i="7"/>
  <c r="AS86" i="7"/>
  <c r="AS91" i="7"/>
  <c r="AS70" i="7"/>
  <c r="AS46" i="7"/>
  <c r="AV50" i="2" s="1"/>
  <c r="AS74" i="7"/>
  <c r="AS19" i="7"/>
  <c r="AS73" i="7"/>
  <c r="AS44" i="7"/>
  <c r="AV48" i="2" s="1"/>
  <c r="AS95" i="7"/>
  <c r="AS48" i="7"/>
  <c r="AV52" i="2" s="1"/>
  <c r="AS51" i="7"/>
  <c r="AS34" i="7"/>
  <c r="AV38" i="2" s="1"/>
  <c r="AS38" i="7"/>
  <c r="AV42" i="2" s="1"/>
  <c r="AS35" i="7"/>
  <c r="AV39" i="2" s="1"/>
  <c r="AS96" i="7"/>
  <c r="AS21" i="7"/>
  <c r="AS31" i="7"/>
  <c r="AS47" i="7"/>
  <c r="AV51" i="2" s="1"/>
  <c r="AS92" i="7"/>
  <c r="AS94" i="7"/>
  <c r="AS6" i="7"/>
  <c r="AS39" i="7"/>
  <c r="AV43" i="2" s="1"/>
  <c r="AS40" i="7"/>
  <c r="AV44" i="2" s="1"/>
  <c r="AS49" i="7"/>
  <c r="AS71" i="7"/>
  <c r="AS9" i="7"/>
  <c r="AS26" i="7"/>
  <c r="AS5" i="7"/>
  <c r="AU1" i="7"/>
  <c r="AY1" i="6"/>
  <c r="AV1" i="7"/>
  <c r="AS41" i="2" l="1"/>
  <c r="AQ37" i="7"/>
  <c r="AU37" i="6"/>
  <c r="AU72" i="7"/>
  <c r="AV72" i="7" s="1"/>
  <c r="AU76" i="7"/>
  <c r="AS3" i="7"/>
  <c r="AU7" i="2"/>
  <c r="AW3" i="6"/>
  <c r="AT22" i="2"/>
  <c r="AR18" i="7"/>
  <c r="AV18" i="6"/>
  <c r="AR29" i="7"/>
  <c r="AT33" i="2"/>
  <c r="AV29" i="6"/>
  <c r="AR93" i="7"/>
  <c r="AT97" i="2"/>
  <c r="AV93" i="6"/>
  <c r="AT15" i="2"/>
  <c r="AV11" i="6"/>
  <c r="AR11" i="7"/>
  <c r="AR67" i="7"/>
  <c r="AT71" i="2"/>
  <c r="AV67" i="6"/>
  <c r="AT61" i="2"/>
  <c r="AR57" i="7"/>
  <c r="AV57" i="6"/>
  <c r="AR98" i="7"/>
  <c r="AT102" i="2"/>
  <c r="AV98" i="6"/>
  <c r="AV62" i="6"/>
  <c r="AR62" i="7"/>
  <c r="AT66" i="2"/>
  <c r="AR42" i="7"/>
  <c r="AU46" i="2" s="1"/>
  <c r="AV42" i="6"/>
  <c r="AT101" i="2"/>
  <c r="AV97" i="6"/>
  <c r="AR97" i="7"/>
  <c r="AR15" i="7"/>
  <c r="AT19" i="2"/>
  <c r="AV15" i="6"/>
  <c r="AT32" i="2"/>
  <c r="AV28" i="6"/>
  <c r="AR28" i="7"/>
  <c r="AR84" i="7"/>
  <c r="AT88" i="2"/>
  <c r="AV84" i="6"/>
  <c r="AT20" i="2"/>
  <c r="AV16" i="6"/>
  <c r="AR16" i="7"/>
  <c r="AR56" i="7"/>
  <c r="AT60" i="2"/>
  <c r="AV56" i="6"/>
  <c r="AV80" i="6"/>
  <c r="AR80" i="7"/>
  <c r="AT84" i="2"/>
  <c r="AV4" i="6"/>
  <c r="AR4" i="7"/>
  <c r="AT8" i="2"/>
  <c r="AV32" i="6"/>
  <c r="AR32" i="7"/>
  <c r="AU36" i="2" s="1"/>
  <c r="AT6" i="2"/>
  <c r="AR2" i="7"/>
  <c r="AV2" i="6"/>
  <c r="AR64" i="7"/>
  <c r="AV64" i="6"/>
  <c r="AT68" i="2"/>
  <c r="AT62" i="2"/>
  <c r="AR58" i="7"/>
  <c r="AV58" i="6"/>
  <c r="AV87" i="2"/>
  <c r="AT83" i="7"/>
  <c r="AX83" i="6"/>
  <c r="AV50" i="6"/>
  <c r="AT54" i="2"/>
  <c r="AR50" i="7"/>
  <c r="AR30" i="7"/>
  <c r="AT34" i="2"/>
  <c r="AV30" i="6"/>
  <c r="AT24" i="2"/>
  <c r="AR20" i="7"/>
  <c r="AV20" i="6"/>
  <c r="AS3" i="2"/>
  <c r="AM4" i="2"/>
  <c r="AX94" i="6"/>
  <c r="AV98" i="2"/>
  <c r="AX95" i="6"/>
  <c r="AV99" i="2"/>
  <c r="AX91" i="6"/>
  <c r="AV95" i="2"/>
  <c r="AX27" i="6"/>
  <c r="AV31" i="2"/>
  <c r="AX22" i="6"/>
  <c r="AV26" i="2"/>
  <c r="AX85" i="6"/>
  <c r="AV89" i="2"/>
  <c r="AX13" i="6"/>
  <c r="AV17" i="2"/>
  <c r="AX63" i="6"/>
  <c r="AV67" i="2"/>
  <c r="AX53" i="6"/>
  <c r="AV57" i="2"/>
  <c r="AV99" i="6"/>
  <c r="AT103" i="2"/>
  <c r="AX6" i="6"/>
  <c r="AV10" i="2"/>
  <c r="AX51" i="6"/>
  <c r="AV55" i="2"/>
  <c r="AX46" i="6"/>
  <c r="AX25" i="6"/>
  <c r="AV29" i="2"/>
  <c r="AX61" i="6"/>
  <c r="AV65" i="2"/>
  <c r="AX52" i="6"/>
  <c r="AV56" i="2"/>
  <c r="AX41" i="6"/>
  <c r="AZ72" i="6"/>
  <c r="AX76" i="2"/>
  <c r="AX9" i="6"/>
  <c r="AV13" i="2"/>
  <c r="AX5" i="6"/>
  <c r="AV9" i="2"/>
  <c r="AX74" i="6"/>
  <c r="AV78" i="2"/>
  <c r="AX10" i="6"/>
  <c r="AV14" i="2"/>
  <c r="AX60" i="6"/>
  <c r="AV64" i="2"/>
  <c r="AX68" i="6"/>
  <c r="AV72" i="2"/>
  <c r="AX8" i="6"/>
  <c r="AV12" i="2"/>
  <c r="AX48" i="6"/>
  <c r="AX38" i="6"/>
  <c r="AX89" i="6"/>
  <c r="AV93" i="2"/>
  <c r="AX79" i="6"/>
  <c r="AV83" i="2"/>
  <c r="AX87" i="6"/>
  <c r="AV91" i="2"/>
  <c r="AX65" i="6"/>
  <c r="AV69" i="2"/>
  <c r="AX81" i="6"/>
  <c r="AV85" i="2"/>
  <c r="AX70" i="6"/>
  <c r="AV74" i="2"/>
  <c r="AX23" i="6"/>
  <c r="AV27" i="2"/>
  <c r="AX24" i="6"/>
  <c r="AV28" i="2"/>
  <c r="AX66" i="6"/>
  <c r="AV70" i="2"/>
  <c r="AX26" i="6"/>
  <c r="AV30" i="2"/>
  <c r="AX96" i="6"/>
  <c r="AV100" i="2"/>
  <c r="AX34" i="6"/>
  <c r="AX21" i="6"/>
  <c r="AV25" i="2"/>
  <c r="AX49" i="6"/>
  <c r="AV53" i="2"/>
  <c r="AX19" i="6"/>
  <c r="AV23" i="2"/>
  <c r="AX36" i="6"/>
  <c r="AX71" i="6"/>
  <c r="AV75" i="2"/>
  <c r="AX47" i="6"/>
  <c r="AX35" i="6"/>
  <c r="AX73" i="6"/>
  <c r="AV77" i="2"/>
  <c r="AX82" i="6"/>
  <c r="AV86" i="2"/>
  <c r="AX75" i="6"/>
  <c r="AV79" i="2"/>
  <c r="AX45" i="6"/>
  <c r="AX69" i="6"/>
  <c r="AV73" i="2"/>
  <c r="AX12" i="6"/>
  <c r="AV16" i="2"/>
  <c r="AX7" i="6"/>
  <c r="AV11" i="2"/>
  <c r="AX39" i="6"/>
  <c r="AX40" i="6"/>
  <c r="AX17" i="6"/>
  <c r="AV21" i="2"/>
  <c r="AX31" i="6"/>
  <c r="AV35" i="2"/>
  <c r="AX54" i="6"/>
  <c r="AV58" i="2"/>
  <c r="AX55" i="6"/>
  <c r="AV59" i="2"/>
  <c r="AX92" i="6"/>
  <c r="AV96" i="2"/>
  <c r="AX44" i="6"/>
  <c r="AX86" i="6"/>
  <c r="AV90" i="2"/>
  <c r="AX77" i="6"/>
  <c r="AV81" i="2"/>
  <c r="AX33" i="6"/>
  <c r="AX90" i="6"/>
  <c r="AV94" i="2"/>
  <c r="AZ76" i="6"/>
  <c r="AX80" i="2"/>
  <c r="AV78" i="6"/>
  <c r="AR78" i="7"/>
  <c r="AU82" i="2" s="1"/>
  <c r="AX43" i="6"/>
  <c r="AT43" i="7"/>
  <c r="AW47" i="2" s="1"/>
  <c r="AX14" i="6"/>
  <c r="AT14" i="7"/>
  <c r="AW18" i="2" s="1"/>
  <c r="AX88" i="6"/>
  <c r="AT88" i="7"/>
  <c r="AW92" i="2" s="1"/>
  <c r="AX59" i="6"/>
  <c r="AT59" i="7"/>
  <c r="AW63" i="2" s="1"/>
  <c r="AV76" i="7"/>
  <c r="AV1" i="2"/>
  <c r="AV5" i="2" s="1"/>
  <c r="AR99" i="7"/>
  <c r="AT53" i="7"/>
  <c r="AT90" i="7"/>
  <c r="AT66" i="7"/>
  <c r="AT22" i="7"/>
  <c r="AT7" i="7"/>
  <c r="AT81" i="7"/>
  <c r="AT8" i="7"/>
  <c r="AT10" i="7"/>
  <c r="AT45" i="7"/>
  <c r="AW49" i="2" s="1"/>
  <c r="AT55" i="7"/>
  <c r="AT52" i="7"/>
  <c r="AT69" i="7"/>
  <c r="AT24" i="7"/>
  <c r="AT41" i="7"/>
  <c r="AW45" i="2" s="1"/>
  <c r="AT63" i="7"/>
  <c r="AT27" i="7"/>
  <c r="AT36" i="7"/>
  <c r="AW40" i="2" s="1"/>
  <c r="AT77" i="7"/>
  <c r="AT23" i="7"/>
  <c r="AT61" i="7"/>
  <c r="AT13" i="7"/>
  <c r="AT33" i="7"/>
  <c r="AW37" i="2" s="1"/>
  <c r="AT79" i="7"/>
  <c r="AT60" i="7"/>
  <c r="AT87" i="7"/>
  <c r="AT68" i="7"/>
  <c r="AT12" i="7"/>
  <c r="AT65" i="7"/>
  <c r="AT89" i="7"/>
  <c r="AT25" i="7"/>
  <c r="AT85" i="7"/>
  <c r="AT75" i="7"/>
  <c r="AT49" i="7"/>
  <c r="AT39" i="7"/>
  <c r="AW43" i="2" s="1"/>
  <c r="AT92" i="7"/>
  <c r="AT21" i="7"/>
  <c r="AT35" i="7"/>
  <c r="AW39" i="2" s="1"/>
  <c r="AT38" i="7"/>
  <c r="AW42" i="2" s="1"/>
  <c r="AT51" i="7"/>
  <c r="AT95" i="7"/>
  <c r="AT44" i="7"/>
  <c r="AW48" i="2" s="1"/>
  <c r="AT73" i="7"/>
  <c r="AT46" i="7"/>
  <c r="AW50" i="2" s="1"/>
  <c r="AT91" i="7"/>
  <c r="AT82" i="7"/>
  <c r="AT54" i="7"/>
  <c r="AT17" i="7"/>
  <c r="AT71" i="7"/>
  <c r="AT40" i="7"/>
  <c r="AW44" i="2" s="1"/>
  <c r="AT6" i="7"/>
  <c r="AT94" i="7"/>
  <c r="AT47" i="7"/>
  <c r="AW51" i="2" s="1"/>
  <c r="AT31" i="7"/>
  <c r="AT96" i="7"/>
  <c r="AT34" i="7"/>
  <c r="AW38" i="2" s="1"/>
  <c r="AT48" i="7"/>
  <c r="AW52" i="2" s="1"/>
  <c r="AT19" i="7"/>
  <c r="AT74" i="7"/>
  <c r="AT70" i="7"/>
  <c r="AT86" i="7"/>
  <c r="AT9" i="7"/>
  <c r="AT26" i="7"/>
  <c r="AT5" i="7"/>
  <c r="AW1" i="7"/>
  <c r="AZ1" i="6"/>
  <c r="AT41" i="2" l="1"/>
  <c r="AR37" i="7"/>
  <c r="AV37" i="6"/>
  <c r="AT3" i="7"/>
  <c r="AV7" i="2"/>
  <c r="AX3" i="6"/>
  <c r="AW18" i="6"/>
  <c r="AU22" i="2"/>
  <c r="AS18" i="7"/>
  <c r="AW29" i="6"/>
  <c r="AS29" i="7"/>
  <c r="AU33" i="2"/>
  <c r="AU97" i="2"/>
  <c r="AS93" i="7"/>
  <c r="AW93" i="6"/>
  <c r="AS11" i="7"/>
  <c r="AU15" i="2"/>
  <c r="AW11" i="6"/>
  <c r="AU71" i="2"/>
  <c r="AW67" i="6"/>
  <c r="AS67" i="7"/>
  <c r="AU101" i="2"/>
  <c r="AW97" i="6"/>
  <c r="AS97" i="7"/>
  <c r="AW15" i="6"/>
  <c r="AS15" i="7"/>
  <c r="AU19" i="2"/>
  <c r="AS62" i="7"/>
  <c r="AU66" i="2"/>
  <c r="AW62" i="6"/>
  <c r="AW42" i="6"/>
  <c r="AS42" i="7"/>
  <c r="AV46" i="2" s="1"/>
  <c r="AS57" i="7"/>
  <c r="AU61" i="2"/>
  <c r="AW57" i="6"/>
  <c r="AU102" i="2"/>
  <c r="AS98" i="7"/>
  <c r="AW98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T3" i="2"/>
  <c r="AS4" i="7"/>
  <c r="AU8" i="2"/>
  <c r="AW4" i="6"/>
  <c r="AS58" i="7"/>
  <c r="AU62" i="2"/>
  <c r="AW58" i="6"/>
  <c r="AS2" i="7"/>
  <c r="AU6" i="2"/>
  <c r="AW2" i="6"/>
  <c r="AS64" i="7"/>
  <c r="AU68" i="2"/>
  <c r="AW64" i="6"/>
  <c r="AS32" i="7"/>
  <c r="AV36" i="2" s="1"/>
  <c r="AW32" i="6"/>
  <c r="AY83" i="6"/>
  <c r="AU83" i="7"/>
  <c r="AW87" i="2"/>
  <c r="AU54" i="2"/>
  <c r="AW50" i="6"/>
  <c r="AS50" i="7"/>
  <c r="AS30" i="7"/>
  <c r="AU34" i="2"/>
  <c r="AW30" i="6"/>
  <c r="AU24" i="2"/>
  <c r="AS20" i="7"/>
  <c r="AW20" i="6"/>
  <c r="AN4" i="2"/>
  <c r="AY34" i="6"/>
  <c r="AY94" i="6"/>
  <c r="AW98" i="2"/>
  <c r="AY91" i="6"/>
  <c r="AW95" i="2"/>
  <c r="AY87" i="6"/>
  <c r="AW91" i="2"/>
  <c r="AY36" i="6"/>
  <c r="AY52" i="6"/>
  <c r="AW56" i="2"/>
  <c r="AY81" i="6"/>
  <c r="AW85" i="2"/>
  <c r="AY47" i="6"/>
  <c r="AY25" i="6"/>
  <c r="AW29" i="2"/>
  <c r="AY68" i="6"/>
  <c r="AW72" i="2"/>
  <c r="AY61" i="6"/>
  <c r="AW65" i="2"/>
  <c r="AY8" i="6"/>
  <c r="AW12" i="2"/>
  <c r="AY9" i="6"/>
  <c r="AW13" i="2"/>
  <c r="AY54" i="6"/>
  <c r="AW58" i="2"/>
  <c r="AY38" i="6"/>
  <c r="AY85" i="6"/>
  <c r="AW89" i="2"/>
  <c r="AY12" i="6"/>
  <c r="AW16" i="2"/>
  <c r="AY13" i="6"/>
  <c r="AW17" i="2"/>
  <c r="AY69" i="6"/>
  <c r="AW73" i="2"/>
  <c r="BA72" i="6"/>
  <c r="AY76" i="2"/>
  <c r="AW99" i="6"/>
  <c r="AU103" i="2"/>
  <c r="AY48" i="6"/>
  <c r="AY31" i="6"/>
  <c r="AW35" i="2"/>
  <c r="AY51" i="6"/>
  <c r="AW55" i="2"/>
  <c r="AY65" i="6"/>
  <c r="AW69" i="2"/>
  <c r="AY33" i="6"/>
  <c r="AY24" i="6"/>
  <c r="AW28" i="2"/>
  <c r="AY53" i="6"/>
  <c r="AW57" i="2"/>
  <c r="AY82" i="6"/>
  <c r="AW86" i="2"/>
  <c r="AY75" i="6"/>
  <c r="AW79" i="2"/>
  <c r="AY71" i="6"/>
  <c r="AW75" i="2"/>
  <c r="AY89" i="6"/>
  <c r="AW93" i="2"/>
  <c r="AY79" i="6"/>
  <c r="AW83" i="2"/>
  <c r="AY41" i="6"/>
  <c r="AY10" i="6"/>
  <c r="AW14" i="2"/>
  <c r="AY90" i="6"/>
  <c r="AW94" i="2"/>
  <c r="AY5" i="6"/>
  <c r="AW9" i="2"/>
  <c r="AY95" i="6"/>
  <c r="AW99" i="2"/>
  <c r="AY44" i="6"/>
  <c r="AY60" i="6"/>
  <c r="AW64" i="2"/>
  <c r="AY66" i="6"/>
  <c r="AW70" i="2"/>
  <c r="AY26" i="6"/>
  <c r="AW30" i="2"/>
  <c r="AY19" i="6"/>
  <c r="AW23" i="2"/>
  <c r="AY17" i="6"/>
  <c r="AW21" i="2"/>
  <c r="AY96" i="6"/>
  <c r="AW100" i="2"/>
  <c r="AY70" i="6"/>
  <c r="AW74" i="2"/>
  <c r="AY40" i="6"/>
  <c r="AY63" i="6"/>
  <c r="AW67" i="2"/>
  <c r="AY86" i="6"/>
  <c r="AW90" i="2"/>
  <c r="AY6" i="6"/>
  <c r="AW10" i="2"/>
  <c r="AY73" i="6"/>
  <c r="AW77" i="2"/>
  <c r="AY92" i="6"/>
  <c r="AW96" i="2"/>
  <c r="AY27" i="6"/>
  <c r="AW31" i="2"/>
  <c r="AY45" i="6"/>
  <c r="AY22" i="6"/>
  <c r="AW26" i="2"/>
  <c r="AY35" i="6"/>
  <c r="AY74" i="6"/>
  <c r="AW78" i="2"/>
  <c r="AY49" i="6"/>
  <c r="AW53" i="2"/>
  <c r="AY39" i="6"/>
  <c r="AY77" i="6"/>
  <c r="AW81" i="2"/>
  <c r="AY46" i="6"/>
  <c r="AY21" i="6"/>
  <c r="AW25" i="2"/>
  <c r="AY23" i="6"/>
  <c r="AW27" i="2"/>
  <c r="AY55" i="6"/>
  <c r="AW59" i="2"/>
  <c r="AY7" i="6"/>
  <c r="AW11" i="2"/>
  <c r="BA76" i="6"/>
  <c r="AY80" i="2"/>
  <c r="AW78" i="6"/>
  <c r="AS78" i="7"/>
  <c r="AV82" i="2" s="1"/>
  <c r="AY43" i="6"/>
  <c r="AU43" i="7"/>
  <c r="AX47" i="2" s="1"/>
  <c r="AY14" i="6"/>
  <c r="AU14" i="7"/>
  <c r="AX18" i="2" s="1"/>
  <c r="AY59" i="6"/>
  <c r="AU59" i="7"/>
  <c r="AX63" i="2" s="1"/>
  <c r="AY88" i="6"/>
  <c r="AU88" i="7"/>
  <c r="AX92" i="2" s="1"/>
  <c r="AW76" i="7"/>
  <c r="AW1" i="2"/>
  <c r="AW5" i="2" s="1"/>
  <c r="AS99" i="7"/>
  <c r="AU66" i="7"/>
  <c r="AU53" i="7"/>
  <c r="AU8" i="7"/>
  <c r="AU81" i="7"/>
  <c r="AU7" i="7"/>
  <c r="AU22" i="7"/>
  <c r="AU90" i="7"/>
  <c r="AW72" i="7"/>
  <c r="AU65" i="7"/>
  <c r="AU12" i="7"/>
  <c r="AU33" i="7"/>
  <c r="AX37" i="2" s="1"/>
  <c r="AU61" i="7"/>
  <c r="AU77" i="7"/>
  <c r="AU63" i="7"/>
  <c r="AU24" i="7"/>
  <c r="AU69" i="7"/>
  <c r="AU68" i="7"/>
  <c r="AU87" i="7"/>
  <c r="AU60" i="7"/>
  <c r="AU79" i="7"/>
  <c r="AU13" i="7"/>
  <c r="AU23" i="7"/>
  <c r="AU36" i="7"/>
  <c r="AX40" i="2" s="1"/>
  <c r="AU27" i="7"/>
  <c r="AU41" i="7"/>
  <c r="AX45" i="2" s="1"/>
  <c r="AU52" i="7"/>
  <c r="AU55" i="7"/>
  <c r="AU45" i="7"/>
  <c r="AX49" i="2" s="1"/>
  <c r="AU10" i="7"/>
  <c r="AU89" i="7"/>
  <c r="AU75" i="7"/>
  <c r="AU25" i="7"/>
  <c r="AU85" i="7"/>
  <c r="AU70" i="7"/>
  <c r="AU19" i="7"/>
  <c r="AU48" i="7"/>
  <c r="AX52" i="2" s="1"/>
  <c r="AU31" i="7"/>
  <c r="AU94" i="7"/>
  <c r="AU40" i="7"/>
  <c r="AX44" i="2" s="1"/>
  <c r="AU71" i="7"/>
  <c r="AU17" i="7"/>
  <c r="AU54" i="7"/>
  <c r="AU46" i="7"/>
  <c r="AX50" i="2" s="1"/>
  <c r="AU73" i="7"/>
  <c r="AU44" i="7"/>
  <c r="AX48" i="2" s="1"/>
  <c r="AU95" i="7"/>
  <c r="AU51" i="7"/>
  <c r="AU38" i="7"/>
  <c r="AX42" i="2" s="1"/>
  <c r="AU86" i="7"/>
  <c r="AU74" i="7"/>
  <c r="AU34" i="7"/>
  <c r="AX38" i="2" s="1"/>
  <c r="AU96" i="7"/>
  <c r="AU47" i="7"/>
  <c r="AX51" i="2" s="1"/>
  <c r="AU6" i="7"/>
  <c r="AU82" i="7"/>
  <c r="AU91" i="7"/>
  <c r="AU35" i="7"/>
  <c r="AX39" i="2" s="1"/>
  <c r="AU21" i="7"/>
  <c r="AU92" i="7"/>
  <c r="AU39" i="7"/>
  <c r="AX43" i="2" s="1"/>
  <c r="AU49" i="7"/>
  <c r="AU26" i="7"/>
  <c r="AU9" i="7"/>
  <c r="AU5" i="7"/>
  <c r="BA1" i="6"/>
  <c r="AX1" i="7"/>
  <c r="AU41" i="2" l="1"/>
  <c r="AW37" i="6"/>
  <c r="AS37" i="7"/>
  <c r="AU3" i="7"/>
  <c r="AW7" i="2"/>
  <c r="AY3" i="6"/>
  <c r="AV22" i="2"/>
  <c r="AX18" i="6"/>
  <c r="AT18" i="7"/>
  <c r="AT29" i="7"/>
  <c r="AV33" i="2"/>
  <c r="AX29" i="6"/>
  <c r="AX93" i="6"/>
  <c r="AT93" i="7"/>
  <c r="AV97" i="2"/>
  <c r="AV15" i="2"/>
  <c r="AX11" i="6"/>
  <c r="AT11" i="7"/>
  <c r="AV66" i="2"/>
  <c r="AX62" i="6"/>
  <c r="AT62" i="7"/>
  <c r="AV71" i="2"/>
  <c r="AX67" i="6"/>
  <c r="AT67" i="7"/>
  <c r="AV102" i="2"/>
  <c r="AX98" i="6"/>
  <c r="AT98" i="7"/>
  <c r="AT42" i="7"/>
  <c r="AW46" i="2" s="1"/>
  <c r="AX42" i="6"/>
  <c r="AT97" i="7"/>
  <c r="AV101" i="2"/>
  <c r="AX97" i="6"/>
  <c r="AV61" i="2"/>
  <c r="AX57" i="6"/>
  <c r="AT57" i="7"/>
  <c r="AT15" i="7"/>
  <c r="AV19" i="2"/>
  <c r="AX15" i="6"/>
  <c r="AT28" i="7"/>
  <c r="AV32" i="2"/>
  <c r="AX28" i="6"/>
  <c r="AT16" i="7"/>
  <c r="AV20" i="2"/>
  <c r="AX16" i="6"/>
  <c r="AT84" i="7"/>
  <c r="AV88" i="2"/>
  <c r="AX84" i="6"/>
  <c r="AX56" i="6"/>
  <c r="AT56" i="7"/>
  <c r="AV60" i="2"/>
  <c r="AX80" i="6"/>
  <c r="AT80" i="7"/>
  <c r="AV84" i="2"/>
  <c r="AV8" i="2"/>
  <c r="AT4" i="7"/>
  <c r="AX4" i="6"/>
  <c r="AV62" i="2"/>
  <c r="AT58" i="7"/>
  <c r="AX58" i="6"/>
  <c r="AX32" i="6"/>
  <c r="AT32" i="7"/>
  <c r="AW36" i="2" s="1"/>
  <c r="AV6" i="2"/>
  <c r="AX2" i="6"/>
  <c r="AT2" i="7"/>
  <c r="AU3" i="2"/>
  <c r="AT64" i="7"/>
  <c r="AV68" i="2"/>
  <c r="AX64" i="6"/>
  <c r="AX87" i="2"/>
  <c r="AZ83" i="6"/>
  <c r="AV83" i="7"/>
  <c r="AX50" i="6"/>
  <c r="AT50" i="7"/>
  <c r="AV54" i="2"/>
  <c r="AX30" i="6"/>
  <c r="AT30" i="7"/>
  <c r="AV34" i="2"/>
  <c r="AV24" i="2"/>
  <c r="AT20" i="7"/>
  <c r="AX20" i="6"/>
  <c r="AO4" i="2"/>
  <c r="AZ91" i="6"/>
  <c r="AX95" i="2"/>
  <c r="AZ34" i="6"/>
  <c r="AZ73" i="6"/>
  <c r="AX77" i="2"/>
  <c r="AZ31" i="6"/>
  <c r="AX35" i="2"/>
  <c r="AZ45" i="6"/>
  <c r="AZ13" i="6"/>
  <c r="AX17" i="2"/>
  <c r="AZ24" i="6"/>
  <c r="AX28" i="2"/>
  <c r="AZ90" i="6"/>
  <c r="AX94" i="2"/>
  <c r="AX99" i="6"/>
  <c r="AV103" i="2"/>
  <c r="AZ94" i="6"/>
  <c r="AX98" i="2"/>
  <c r="AZ10" i="6"/>
  <c r="AX14" i="2"/>
  <c r="AZ23" i="6"/>
  <c r="AX27" i="2"/>
  <c r="AZ69" i="6"/>
  <c r="AX73" i="2"/>
  <c r="AZ77" i="6"/>
  <c r="AX81" i="2"/>
  <c r="BB72" i="6"/>
  <c r="AZ76" i="2"/>
  <c r="AZ95" i="6"/>
  <c r="AX99" i="2"/>
  <c r="AZ85" i="6"/>
  <c r="AX89" i="2"/>
  <c r="AZ65" i="6"/>
  <c r="AX69" i="2"/>
  <c r="AZ66" i="6"/>
  <c r="AX70" i="2"/>
  <c r="AZ5" i="6"/>
  <c r="AX9" i="2"/>
  <c r="AZ70" i="6"/>
  <c r="AX74" i="2"/>
  <c r="AZ36" i="6"/>
  <c r="AZ12" i="6"/>
  <c r="AX16" i="2"/>
  <c r="AZ53" i="6"/>
  <c r="AX57" i="2"/>
  <c r="AZ9" i="6"/>
  <c r="AX13" i="2"/>
  <c r="AZ51" i="6"/>
  <c r="AX55" i="2"/>
  <c r="AZ96" i="6"/>
  <c r="AX100" i="2"/>
  <c r="AZ38" i="6"/>
  <c r="AZ71" i="6"/>
  <c r="AX75" i="2"/>
  <c r="AZ27" i="6"/>
  <c r="AX31" i="2"/>
  <c r="AZ68" i="6"/>
  <c r="AX72" i="2"/>
  <c r="AZ8" i="6"/>
  <c r="AX12" i="2"/>
  <c r="AZ44" i="6"/>
  <c r="AZ39" i="6"/>
  <c r="AZ75" i="6"/>
  <c r="AX79" i="2"/>
  <c r="AZ35" i="6"/>
  <c r="AZ92" i="6"/>
  <c r="AX96" i="2"/>
  <c r="AZ89" i="6"/>
  <c r="AX93" i="2"/>
  <c r="AZ47" i="6"/>
  <c r="AZ19" i="6"/>
  <c r="AX23" i="2"/>
  <c r="AZ41" i="6"/>
  <c r="AZ81" i="6"/>
  <c r="AX85" i="2"/>
  <c r="AZ6" i="6"/>
  <c r="AX10" i="2"/>
  <c r="AZ86" i="6"/>
  <c r="AX90" i="2"/>
  <c r="AZ54" i="6"/>
  <c r="AX58" i="2"/>
  <c r="AZ48" i="6"/>
  <c r="AZ25" i="6"/>
  <c r="AX29" i="2"/>
  <c r="AZ52" i="6"/>
  <c r="AX56" i="2"/>
  <c r="AZ60" i="6"/>
  <c r="AX64" i="2"/>
  <c r="AZ33" i="6"/>
  <c r="AZ7" i="6"/>
  <c r="AX11" i="2"/>
  <c r="BB76" i="6"/>
  <c r="AZ80" i="2"/>
  <c r="AZ21" i="6"/>
  <c r="AX25" i="2"/>
  <c r="AZ40" i="6"/>
  <c r="AZ49" i="6"/>
  <c r="AX53" i="2"/>
  <c r="AZ17" i="6"/>
  <c r="AX21" i="2"/>
  <c r="AZ87" i="6"/>
  <c r="AX91" i="2"/>
  <c r="AZ26" i="6"/>
  <c r="AX30" i="2"/>
  <c r="AZ82" i="6"/>
  <c r="AX86" i="2"/>
  <c r="AZ74" i="6"/>
  <c r="AX78" i="2"/>
  <c r="AZ46" i="6"/>
  <c r="AZ55" i="6"/>
  <c r="AX59" i="2"/>
  <c r="AZ79" i="6"/>
  <c r="AX83" i="2"/>
  <c r="AZ63" i="6"/>
  <c r="AX67" i="2"/>
  <c r="AZ61" i="6"/>
  <c r="AX65" i="2"/>
  <c r="AZ22" i="6"/>
  <c r="AX26" i="2"/>
  <c r="AX78" i="6"/>
  <c r="AT78" i="7"/>
  <c r="AW82" i="2" s="1"/>
  <c r="AZ43" i="6"/>
  <c r="AV43" i="7"/>
  <c r="AY47" i="2" s="1"/>
  <c r="AZ14" i="6"/>
  <c r="AV14" i="7"/>
  <c r="AY18" i="2" s="1"/>
  <c r="AZ88" i="6"/>
  <c r="AV88" i="7"/>
  <c r="AY92" i="2" s="1"/>
  <c r="AZ59" i="6"/>
  <c r="AV59" i="7"/>
  <c r="AY63" i="2" s="1"/>
  <c r="AX76" i="7"/>
  <c r="AX1" i="2"/>
  <c r="AX5" i="2" s="1"/>
  <c r="AT99" i="7"/>
  <c r="AV90" i="7"/>
  <c r="AV22" i="7"/>
  <c r="AV7" i="7"/>
  <c r="AV8" i="7"/>
  <c r="AV66" i="7"/>
  <c r="AV81" i="7"/>
  <c r="AV53" i="7"/>
  <c r="AX72" i="7"/>
  <c r="AV45" i="7"/>
  <c r="AY49" i="2" s="1"/>
  <c r="AV55" i="7"/>
  <c r="AV52" i="7"/>
  <c r="AV41" i="7"/>
  <c r="AY45" i="2" s="1"/>
  <c r="AV27" i="7"/>
  <c r="AV36" i="7"/>
  <c r="AY40" i="2" s="1"/>
  <c r="AV79" i="7"/>
  <c r="AV33" i="7"/>
  <c r="AY37" i="2" s="1"/>
  <c r="AV12" i="7"/>
  <c r="AV65" i="7"/>
  <c r="AV10" i="7"/>
  <c r="AV23" i="7"/>
  <c r="AV13" i="7"/>
  <c r="AV60" i="7"/>
  <c r="AV87" i="7"/>
  <c r="AV68" i="7"/>
  <c r="AV69" i="7"/>
  <c r="AV24" i="7"/>
  <c r="AV63" i="7"/>
  <c r="AV77" i="7"/>
  <c r="AV61" i="7"/>
  <c r="AV89" i="7"/>
  <c r="AV25" i="7"/>
  <c r="AV75" i="7"/>
  <c r="AV85" i="7"/>
  <c r="AV39" i="7"/>
  <c r="AY43" i="2" s="1"/>
  <c r="AV21" i="7"/>
  <c r="AV91" i="7"/>
  <c r="AV82" i="7"/>
  <c r="AV6" i="7"/>
  <c r="AV74" i="7"/>
  <c r="AV38" i="7"/>
  <c r="AY42" i="2" s="1"/>
  <c r="AV51" i="7"/>
  <c r="AV46" i="7"/>
  <c r="AY50" i="2" s="1"/>
  <c r="AV71" i="7"/>
  <c r="AV40" i="7"/>
  <c r="AY44" i="2" s="1"/>
  <c r="AV94" i="7"/>
  <c r="AV19" i="7"/>
  <c r="AV70" i="7"/>
  <c r="AV49" i="7"/>
  <c r="AV92" i="7"/>
  <c r="AV35" i="7"/>
  <c r="AY39" i="2" s="1"/>
  <c r="AV47" i="7"/>
  <c r="AY51" i="2" s="1"/>
  <c r="AV96" i="7"/>
  <c r="AV34" i="7"/>
  <c r="AY38" i="2" s="1"/>
  <c r="AV86" i="7"/>
  <c r="AV95" i="7"/>
  <c r="AV44" i="7"/>
  <c r="AY48" i="2" s="1"/>
  <c r="AV73" i="7"/>
  <c r="AV54" i="7"/>
  <c r="AV17" i="7"/>
  <c r="AV31" i="7"/>
  <c r="AV48" i="7"/>
  <c r="AY52" i="2" s="1"/>
  <c r="AV26" i="7"/>
  <c r="AV9" i="7"/>
  <c r="AV5" i="7"/>
  <c r="BB1" i="6"/>
  <c r="AV41" i="2" l="1"/>
  <c r="AX37" i="6"/>
  <c r="AV3" i="2" s="1"/>
  <c r="AT37" i="7"/>
  <c r="AV3" i="7"/>
  <c r="AX7" i="2"/>
  <c r="AZ3" i="6"/>
  <c r="AU18" i="7"/>
  <c r="AW22" i="2"/>
  <c r="AY18" i="6"/>
  <c r="AY29" i="6"/>
  <c r="AU29" i="7"/>
  <c r="AW33" i="2"/>
  <c r="AY93" i="6"/>
  <c r="AU93" i="7"/>
  <c r="AW97" i="2"/>
  <c r="AW15" i="2"/>
  <c r="AY11" i="6"/>
  <c r="AU11" i="7"/>
  <c r="AW102" i="2"/>
  <c r="AY98" i="6"/>
  <c r="AU98" i="7"/>
  <c r="AW61" i="2"/>
  <c r="AY57" i="6"/>
  <c r="AU57" i="7"/>
  <c r="AU42" i="7"/>
  <c r="AX46" i="2" s="1"/>
  <c r="AY42" i="6"/>
  <c r="AU15" i="7"/>
  <c r="AW19" i="2"/>
  <c r="AY15" i="6"/>
  <c r="AW66" i="2"/>
  <c r="AY62" i="6"/>
  <c r="AU62" i="7"/>
  <c r="AW101" i="2"/>
  <c r="AY97" i="6"/>
  <c r="AU97" i="7"/>
  <c r="AY67" i="6"/>
  <c r="AU67" i="7"/>
  <c r="AW71" i="2"/>
  <c r="AU28" i="7"/>
  <c r="AW32" i="2"/>
  <c r="AY28" i="6"/>
  <c r="AW20" i="2"/>
  <c r="AY16" i="6"/>
  <c r="AU16" i="7"/>
  <c r="AY80" i="6"/>
  <c r="AW84" i="2"/>
  <c r="AU80" i="7"/>
  <c r="AU84" i="7"/>
  <c r="AW88" i="2"/>
  <c r="AY84" i="6"/>
  <c r="AY56" i="6"/>
  <c r="AU56" i="7"/>
  <c r="AW60" i="2"/>
  <c r="AU4" i="7"/>
  <c r="AW8" i="2"/>
  <c r="AY4" i="6"/>
  <c r="AW62" i="2"/>
  <c r="AY58" i="6"/>
  <c r="AU58" i="7"/>
  <c r="AY64" i="6"/>
  <c r="AU64" i="7"/>
  <c r="AW68" i="2"/>
  <c r="AU32" i="7"/>
  <c r="AX36" i="2" s="1"/>
  <c r="AY32" i="6"/>
  <c r="AY2" i="6"/>
  <c r="AU2" i="7"/>
  <c r="AW6" i="2"/>
  <c r="AW83" i="7"/>
  <c r="AY87" i="2"/>
  <c r="BA83" i="6"/>
  <c r="AU50" i="7"/>
  <c r="AW54" i="2"/>
  <c r="AY50" i="6"/>
  <c r="AW34" i="2"/>
  <c r="AY30" i="6"/>
  <c r="AU30" i="7"/>
  <c r="AW24" i="2"/>
  <c r="AU20" i="7"/>
  <c r="AY20" i="6"/>
  <c r="AP4" i="2"/>
  <c r="BA26" i="6"/>
  <c r="AY30" i="2"/>
  <c r="BA73" i="6"/>
  <c r="AY77" i="2"/>
  <c r="BA47" i="6"/>
  <c r="BA40" i="6"/>
  <c r="BA6" i="6"/>
  <c r="AY10" i="2"/>
  <c r="BA75" i="6"/>
  <c r="AY79" i="2"/>
  <c r="BA77" i="6"/>
  <c r="AY81" i="2"/>
  <c r="BA36" i="6"/>
  <c r="BA81" i="6"/>
  <c r="AY85" i="2"/>
  <c r="BA69" i="6"/>
  <c r="AY73" i="2"/>
  <c r="BA10" i="6"/>
  <c r="AY14" i="2"/>
  <c r="BA79" i="6"/>
  <c r="AY83" i="2"/>
  <c r="BA53" i="6"/>
  <c r="AY57" i="2"/>
  <c r="AY99" i="6"/>
  <c r="AW103" i="2"/>
  <c r="BA94" i="6"/>
  <c r="AY98" i="2"/>
  <c r="BA17" i="6"/>
  <c r="AY21" i="2"/>
  <c r="BA61" i="6"/>
  <c r="AY65" i="2"/>
  <c r="BA24" i="6"/>
  <c r="AY28" i="2"/>
  <c r="BC72" i="6"/>
  <c r="BA76" i="2"/>
  <c r="BA34" i="6"/>
  <c r="BA63" i="6"/>
  <c r="AY67" i="2"/>
  <c r="BA23" i="6"/>
  <c r="AY27" i="2"/>
  <c r="BA45" i="6"/>
  <c r="BA90" i="6"/>
  <c r="AY94" i="2"/>
  <c r="BA9" i="6"/>
  <c r="AY13" i="2"/>
  <c r="BA5" i="6"/>
  <c r="AY9" i="2"/>
  <c r="BA19" i="6"/>
  <c r="AY23" i="2"/>
  <c r="BA70" i="6"/>
  <c r="AY74" i="2"/>
  <c r="BA38" i="6"/>
  <c r="BA39" i="6"/>
  <c r="BA89" i="6"/>
  <c r="AY93" i="2"/>
  <c r="BA13" i="6"/>
  <c r="AY17" i="2"/>
  <c r="BA33" i="6"/>
  <c r="BA55" i="6"/>
  <c r="AY59" i="2"/>
  <c r="BA22" i="6"/>
  <c r="AY26" i="2"/>
  <c r="BA54" i="6"/>
  <c r="AY58" i="2"/>
  <c r="BA49" i="6"/>
  <c r="AY53" i="2"/>
  <c r="BA7" i="6"/>
  <c r="AY11" i="2"/>
  <c r="BA96" i="6"/>
  <c r="AY100" i="2"/>
  <c r="BA86" i="6"/>
  <c r="AY90" i="2"/>
  <c r="BA21" i="6"/>
  <c r="AY25" i="2"/>
  <c r="BA60" i="6"/>
  <c r="AY64" i="2"/>
  <c r="BA52" i="6"/>
  <c r="AY56" i="2"/>
  <c r="BA95" i="6"/>
  <c r="AY99" i="2"/>
  <c r="BA92" i="6"/>
  <c r="AY96" i="2"/>
  <c r="BA46" i="6"/>
  <c r="BA91" i="6"/>
  <c r="AY95" i="2"/>
  <c r="BA87" i="6"/>
  <c r="AY91" i="2"/>
  <c r="BA12" i="6"/>
  <c r="AY16" i="2"/>
  <c r="BA41" i="6"/>
  <c r="BA8" i="6"/>
  <c r="AY12" i="2"/>
  <c r="BC76" i="6"/>
  <c r="BA80" i="2"/>
  <c r="BA85" i="6"/>
  <c r="AY89" i="2"/>
  <c r="BA74" i="6"/>
  <c r="AY78" i="2"/>
  <c r="BA31" i="6"/>
  <c r="AY35" i="2"/>
  <c r="BA48" i="6"/>
  <c r="BA51" i="6"/>
  <c r="AY55" i="2"/>
  <c r="BA44" i="6"/>
  <c r="BA35" i="6"/>
  <c r="BA71" i="6"/>
  <c r="AY75" i="2"/>
  <c r="BA82" i="6"/>
  <c r="AY86" i="2"/>
  <c r="BA25" i="6"/>
  <c r="AY29" i="2"/>
  <c r="BA68" i="6"/>
  <c r="AY72" i="2"/>
  <c r="BA65" i="6"/>
  <c r="AY69" i="2"/>
  <c r="BA27" i="6"/>
  <c r="AY31" i="2"/>
  <c r="BA66" i="6"/>
  <c r="AY70" i="2"/>
  <c r="AY78" i="6"/>
  <c r="AU78" i="7"/>
  <c r="AX82" i="2" s="1"/>
  <c r="BA43" i="6"/>
  <c r="AW43" i="7"/>
  <c r="AZ47" i="2" s="1"/>
  <c r="BA14" i="6"/>
  <c r="AW14" i="7"/>
  <c r="AZ18" i="2" s="1"/>
  <c r="BA88" i="6"/>
  <c r="AW88" i="7"/>
  <c r="AZ92" i="2" s="1"/>
  <c r="BA59" i="6"/>
  <c r="AW59" i="7"/>
  <c r="AZ63" i="2" s="1"/>
  <c r="AY1" i="2"/>
  <c r="AY5" i="2" s="1"/>
  <c r="AU99" i="7"/>
  <c r="AW81" i="7"/>
  <c r="AW7" i="7"/>
  <c r="AW53" i="7"/>
  <c r="AW66" i="7"/>
  <c r="AW8" i="7"/>
  <c r="AW22" i="7"/>
  <c r="AW90" i="7"/>
  <c r="AW77" i="7"/>
  <c r="AW63" i="7"/>
  <c r="AW60" i="7"/>
  <c r="AW13" i="7"/>
  <c r="AW23" i="7"/>
  <c r="AW79" i="7"/>
  <c r="AW36" i="7"/>
  <c r="AZ40" i="2" s="1"/>
  <c r="AW61" i="7"/>
  <c r="AW24" i="7"/>
  <c r="AW69" i="7"/>
  <c r="AW68" i="7"/>
  <c r="AW87" i="7"/>
  <c r="AW10" i="7"/>
  <c r="AW65" i="7"/>
  <c r="AW12" i="7"/>
  <c r="AW33" i="7"/>
  <c r="AZ37" i="2" s="1"/>
  <c r="AW27" i="7"/>
  <c r="AW41" i="7"/>
  <c r="AZ45" i="2" s="1"/>
  <c r="AW52" i="7"/>
  <c r="AW55" i="7"/>
  <c r="AW45" i="7"/>
  <c r="AZ49" i="2" s="1"/>
  <c r="AW89" i="7"/>
  <c r="AW75" i="7"/>
  <c r="AW25" i="7"/>
  <c r="AW85" i="7"/>
  <c r="AW48" i="7"/>
  <c r="AZ52" i="2" s="1"/>
  <c r="AW31" i="7"/>
  <c r="AW54" i="7"/>
  <c r="AW73" i="7"/>
  <c r="AW44" i="7"/>
  <c r="AZ48" i="2" s="1"/>
  <c r="AW34" i="7"/>
  <c r="AZ38" i="2" s="1"/>
  <c r="AW70" i="7"/>
  <c r="AW19" i="7"/>
  <c r="AW46" i="7"/>
  <c r="AZ50" i="2" s="1"/>
  <c r="AW38" i="7"/>
  <c r="AZ42" i="2" s="1"/>
  <c r="AW6" i="7"/>
  <c r="AW82" i="7"/>
  <c r="AW91" i="7"/>
  <c r="AW39" i="7"/>
  <c r="AZ43" i="2" s="1"/>
  <c r="AW17" i="7"/>
  <c r="AW95" i="7"/>
  <c r="AW86" i="7"/>
  <c r="AW96" i="7"/>
  <c r="AW47" i="7"/>
  <c r="AZ51" i="2" s="1"/>
  <c r="AW35" i="7"/>
  <c r="AZ39" i="2" s="1"/>
  <c r="AW92" i="7"/>
  <c r="AW49" i="7"/>
  <c r="AW94" i="7"/>
  <c r="AW40" i="7"/>
  <c r="AZ44" i="2" s="1"/>
  <c r="AW71" i="7"/>
  <c r="AW51" i="7"/>
  <c r="AW74" i="7"/>
  <c r="AW21" i="7"/>
  <c r="AW9" i="7"/>
  <c r="AW26" i="7"/>
  <c r="AW5" i="7"/>
  <c r="BC1" i="6"/>
  <c r="AW41" i="2" l="1"/>
  <c r="AY37" i="6"/>
  <c r="AU37" i="7"/>
  <c r="AW3" i="7"/>
  <c r="AY7" i="2"/>
  <c r="BA3" i="6"/>
  <c r="AV18" i="7"/>
  <c r="AX22" i="2"/>
  <c r="AZ18" i="6"/>
  <c r="AZ29" i="6"/>
  <c r="AV29" i="7"/>
  <c r="AX33" i="2"/>
  <c r="AX97" i="2"/>
  <c r="AZ93" i="6"/>
  <c r="AV93" i="7"/>
  <c r="AV11" i="7"/>
  <c r="AX15" i="2"/>
  <c r="AZ11" i="6"/>
  <c r="AV97" i="7"/>
  <c r="AX101" i="2"/>
  <c r="AZ97" i="6"/>
  <c r="AX19" i="2"/>
  <c r="AZ15" i="6"/>
  <c r="AV15" i="7"/>
  <c r="AX102" i="2"/>
  <c r="AZ98" i="6"/>
  <c r="AV98" i="7"/>
  <c r="AV67" i="7"/>
  <c r="AX71" i="2"/>
  <c r="AZ67" i="6"/>
  <c r="AV57" i="7"/>
  <c r="AX61" i="2"/>
  <c r="AZ57" i="6"/>
  <c r="AV62" i="7"/>
  <c r="AX66" i="2"/>
  <c r="AZ62" i="6"/>
  <c r="AV42" i="7"/>
  <c r="AY46" i="2" s="1"/>
  <c r="AZ42" i="6"/>
  <c r="AX32" i="2"/>
  <c r="AV28" i="7"/>
  <c r="AZ28" i="6"/>
  <c r="AZ56" i="6"/>
  <c r="AX60" i="2"/>
  <c r="AV56" i="7"/>
  <c r="AX20" i="2"/>
  <c r="AV16" i="7"/>
  <c r="AZ16" i="6"/>
  <c r="AZ80" i="6"/>
  <c r="AX84" i="2"/>
  <c r="AV80" i="7"/>
  <c r="AV84" i="7"/>
  <c r="AX88" i="2"/>
  <c r="AZ84" i="6"/>
  <c r="AX8" i="2"/>
  <c r="AZ4" i="6"/>
  <c r="AV4" i="7"/>
  <c r="AZ32" i="6"/>
  <c r="AV32" i="7"/>
  <c r="AY36" i="2" s="1"/>
  <c r="AX62" i="2"/>
  <c r="AZ58" i="6"/>
  <c r="AV58" i="7"/>
  <c r="AX6" i="2"/>
  <c r="AZ2" i="6"/>
  <c r="AV2" i="7"/>
  <c r="AX68" i="2"/>
  <c r="AZ64" i="6"/>
  <c r="AV64" i="7"/>
  <c r="AW3" i="2"/>
  <c r="AX83" i="7"/>
  <c r="AZ87" i="2"/>
  <c r="BB83" i="6"/>
  <c r="AX54" i="2"/>
  <c r="AZ50" i="6"/>
  <c r="AV50" i="7"/>
  <c r="AV30" i="7"/>
  <c r="AX34" i="2"/>
  <c r="AZ30" i="6"/>
  <c r="AX24" i="2"/>
  <c r="AV20" i="7"/>
  <c r="AZ20" i="6"/>
  <c r="AQ4" i="2"/>
  <c r="BB61" i="6"/>
  <c r="AZ65" i="2"/>
  <c r="BB90" i="6"/>
  <c r="AZ94" i="2"/>
  <c r="BB96" i="6"/>
  <c r="AZ100" i="2"/>
  <c r="BB74" i="6"/>
  <c r="AZ78" i="2"/>
  <c r="BB48" i="6"/>
  <c r="BB45" i="6"/>
  <c r="BB65" i="6"/>
  <c r="AZ69" i="2"/>
  <c r="BB13" i="6"/>
  <c r="AZ17" i="2"/>
  <c r="AZ99" i="6"/>
  <c r="AX103" i="2"/>
  <c r="BB51" i="6"/>
  <c r="AZ55" i="2"/>
  <c r="BB10" i="6"/>
  <c r="AZ14" i="2"/>
  <c r="BB19" i="6"/>
  <c r="AZ23" i="2"/>
  <c r="BB35" i="6"/>
  <c r="BB31" i="6"/>
  <c r="AZ35" i="2"/>
  <c r="BB89" i="6"/>
  <c r="AZ93" i="2"/>
  <c r="BB12" i="6"/>
  <c r="AZ16" i="2"/>
  <c r="BB24" i="6"/>
  <c r="AZ28" i="2"/>
  <c r="BB23" i="6"/>
  <c r="AZ27" i="2"/>
  <c r="BB81" i="6"/>
  <c r="AZ85" i="2"/>
  <c r="BB70" i="6"/>
  <c r="AZ74" i="2"/>
  <c r="BB47" i="6"/>
  <c r="BB46" i="6"/>
  <c r="BB33" i="6"/>
  <c r="BB69" i="6"/>
  <c r="AZ73" i="2"/>
  <c r="BB77" i="6"/>
  <c r="AZ81" i="2"/>
  <c r="BB7" i="6"/>
  <c r="AZ11" i="2"/>
  <c r="BB91" i="6"/>
  <c r="AZ95" i="2"/>
  <c r="BB17" i="6"/>
  <c r="AZ21" i="2"/>
  <c r="BB49" i="6"/>
  <c r="AZ53" i="2"/>
  <c r="BB95" i="6"/>
  <c r="AZ99" i="2"/>
  <c r="BB38" i="6"/>
  <c r="BB54" i="6"/>
  <c r="AZ58" i="2"/>
  <c r="BB53" i="6"/>
  <c r="AZ57" i="2"/>
  <c r="BB60" i="6"/>
  <c r="AZ64" i="2"/>
  <c r="BB92" i="6"/>
  <c r="AZ96" i="2"/>
  <c r="BB75" i="6"/>
  <c r="AZ79" i="2"/>
  <c r="BB68" i="6"/>
  <c r="AZ72" i="2"/>
  <c r="BB66" i="6"/>
  <c r="AZ70" i="2"/>
  <c r="BB55" i="6"/>
  <c r="AZ59" i="2"/>
  <c r="BB21" i="6"/>
  <c r="AZ25" i="2"/>
  <c r="BB94" i="6"/>
  <c r="AZ98" i="2"/>
  <c r="BB73" i="6"/>
  <c r="AZ77" i="2"/>
  <c r="BB26" i="6"/>
  <c r="AZ30" i="2"/>
  <c r="BB86" i="6"/>
  <c r="AZ90" i="2"/>
  <c r="BB6" i="6"/>
  <c r="AZ10" i="2"/>
  <c r="BB44" i="6"/>
  <c r="BB25" i="6"/>
  <c r="AZ29" i="2"/>
  <c r="BB41" i="6"/>
  <c r="BB87" i="6"/>
  <c r="AZ91" i="2"/>
  <c r="BB79" i="6"/>
  <c r="AZ83" i="2"/>
  <c r="BB8" i="6"/>
  <c r="AZ12" i="2"/>
  <c r="BB85" i="6"/>
  <c r="AZ89" i="2"/>
  <c r="BB39" i="6"/>
  <c r="BB9" i="6"/>
  <c r="AZ13" i="2"/>
  <c r="BB27" i="6"/>
  <c r="AZ31" i="2"/>
  <c r="BB40" i="6"/>
  <c r="BB5" i="6"/>
  <c r="AZ9" i="2"/>
  <c r="BB71" i="6"/>
  <c r="AZ75" i="2"/>
  <c r="BB82" i="6"/>
  <c r="AZ86" i="2"/>
  <c r="BB34" i="6"/>
  <c r="BB52" i="6"/>
  <c r="AZ56" i="2"/>
  <c r="BB36" i="6"/>
  <c r="BB63" i="6"/>
  <c r="AZ67" i="2"/>
  <c r="BB22" i="6"/>
  <c r="AZ26" i="2"/>
  <c r="AZ78" i="6"/>
  <c r="AV78" i="7"/>
  <c r="AY82" i="2" s="1"/>
  <c r="BB43" i="6"/>
  <c r="AX43" i="7"/>
  <c r="BA47" i="2" s="1"/>
  <c r="BB14" i="6"/>
  <c r="AX14" i="7"/>
  <c r="BA18" i="2" s="1"/>
  <c r="BB88" i="6"/>
  <c r="AX88" i="7"/>
  <c r="BA92" i="2" s="1"/>
  <c r="BB59" i="6"/>
  <c r="AX59" i="7"/>
  <c r="BA63" i="2" s="1"/>
  <c r="AZ1" i="2"/>
  <c r="AZ5" i="2" s="1"/>
  <c r="BA5" i="2" s="1"/>
  <c r="BB5" i="2" s="1"/>
  <c r="AV99" i="7"/>
  <c r="AX90" i="7"/>
  <c r="AX22" i="7"/>
  <c r="AX8" i="7"/>
  <c r="AX53" i="7"/>
  <c r="AX81" i="7"/>
  <c r="AX66" i="7"/>
  <c r="AX7" i="7"/>
  <c r="AX52" i="7"/>
  <c r="AX12" i="7"/>
  <c r="AX65" i="7"/>
  <c r="AX87" i="7"/>
  <c r="AX68" i="7"/>
  <c r="AX69" i="7"/>
  <c r="AX24" i="7"/>
  <c r="AX36" i="7"/>
  <c r="BA40" i="2" s="1"/>
  <c r="AX79" i="7"/>
  <c r="AX23" i="7"/>
  <c r="AX13" i="7"/>
  <c r="AX63" i="7"/>
  <c r="AX45" i="7"/>
  <c r="BA49" i="2" s="1"/>
  <c r="AX55" i="7"/>
  <c r="AX41" i="7"/>
  <c r="BA45" i="2" s="1"/>
  <c r="AX27" i="7"/>
  <c r="AX33" i="7"/>
  <c r="BA37" i="2" s="1"/>
  <c r="AX10" i="7"/>
  <c r="AX61" i="7"/>
  <c r="AX60" i="7"/>
  <c r="AX77" i="7"/>
  <c r="AX89" i="7"/>
  <c r="AX85" i="7"/>
  <c r="AX25" i="7"/>
  <c r="AX75" i="7"/>
  <c r="AX51" i="7"/>
  <c r="AX40" i="7"/>
  <c r="BA44" i="2" s="1"/>
  <c r="AX49" i="7"/>
  <c r="AX35" i="7"/>
  <c r="BA39" i="2" s="1"/>
  <c r="AX96" i="7"/>
  <c r="AX39" i="7"/>
  <c r="BA43" i="2" s="1"/>
  <c r="AX91" i="7"/>
  <c r="AX6" i="7"/>
  <c r="AX38" i="7"/>
  <c r="BA42" i="2" s="1"/>
  <c r="AX46" i="7"/>
  <c r="BA50" i="2" s="1"/>
  <c r="AX34" i="7"/>
  <c r="BA38" i="2" s="1"/>
  <c r="AX48" i="7"/>
  <c r="BA52" i="2" s="1"/>
  <c r="AX21" i="7"/>
  <c r="AX74" i="7"/>
  <c r="AX71" i="7"/>
  <c r="AX94" i="7"/>
  <c r="AX92" i="7"/>
  <c r="AX47" i="7"/>
  <c r="BA51" i="2" s="1"/>
  <c r="AX86" i="7"/>
  <c r="AX95" i="7"/>
  <c r="AX17" i="7"/>
  <c r="AX82" i="7"/>
  <c r="AX19" i="7"/>
  <c r="AX70" i="7"/>
  <c r="AX44" i="7"/>
  <c r="BA48" i="2" s="1"/>
  <c r="AX73" i="7"/>
  <c r="AX54" i="7"/>
  <c r="AX31" i="7"/>
  <c r="AX26" i="7"/>
  <c r="AX9" i="7"/>
  <c r="AX5" i="7"/>
  <c r="AX41" i="2" l="1"/>
  <c r="AZ37" i="6"/>
  <c r="AV37" i="7"/>
  <c r="AX3" i="7"/>
  <c r="AZ7" i="2"/>
  <c r="BB3" i="6"/>
  <c r="AW18" i="7"/>
  <c r="AY22" i="2"/>
  <c r="BA18" i="6"/>
  <c r="AY33" i="2"/>
  <c r="BA29" i="6"/>
  <c r="AW29" i="7"/>
  <c r="AW93" i="7"/>
  <c r="AY97" i="2"/>
  <c r="BA93" i="6"/>
  <c r="BC5" i="2"/>
  <c r="BB4" i="2"/>
  <c r="AY15" i="2"/>
  <c r="BA11" i="6"/>
  <c r="AW11" i="7"/>
  <c r="AW98" i="7"/>
  <c r="AY102" i="2"/>
  <c r="BA98" i="6"/>
  <c r="AY101" i="2"/>
  <c r="BA97" i="6"/>
  <c r="AW97" i="7"/>
  <c r="AW67" i="7"/>
  <c r="AY71" i="2"/>
  <c r="BA67" i="6"/>
  <c r="AW42" i="7"/>
  <c r="AZ46" i="2" s="1"/>
  <c r="BA42" i="6"/>
  <c r="AY61" i="2"/>
  <c r="BA57" i="6"/>
  <c r="AW57" i="7"/>
  <c r="AY19" i="2"/>
  <c r="BA15" i="6"/>
  <c r="AW15" i="7"/>
  <c r="AW62" i="7"/>
  <c r="AY66" i="2"/>
  <c r="BA62" i="6"/>
  <c r="AY32" i="2"/>
  <c r="BA28" i="6"/>
  <c r="AW28" i="7"/>
  <c r="AY84" i="2"/>
  <c r="AW80" i="7"/>
  <c r="BA80" i="6"/>
  <c r="BA84" i="6"/>
  <c r="AW84" i="7"/>
  <c r="AY88" i="2"/>
  <c r="AY60" i="2"/>
  <c r="BA56" i="6"/>
  <c r="AW56" i="7"/>
  <c r="AY20" i="2"/>
  <c r="AW16" i="7"/>
  <c r="BA16" i="6"/>
  <c r="AY8" i="2"/>
  <c r="AW4" i="7"/>
  <c r="BA4" i="6"/>
  <c r="AX3" i="2"/>
  <c r="AW2" i="7"/>
  <c r="AY6" i="2"/>
  <c r="BA2" i="6"/>
  <c r="AW32" i="7"/>
  <c r="AZ36" i="2" s="1"/>
  <c r="BA32" i="6"/>
  <c r="AW64" i="7"/>
  <c r="AY68" i="2"/>
  <c r="BA64" i="6"/>
  <c r="AY62" i="2"/>
  <c r="BA58" i="6"/>
  <c r="AW58" i="7"/>
  <c r="BA87" i="2"/>
  <c r="BC83" i="6"/>
  <c r="AY54" i="2"/>
  <c r="BA50" i="6"/>
  <c r="AW50" i="7"/>
  <c r="AW30" i="7"/>
  <c r="AY34" i="2"/>
  <c r="BA30" i="6"/>
  <c r="AY24" i="2"/>
  <c r="AW20" i="7"/>
  <c r="BA20" i="6"/>
  <c r="AR4" i="2"/>
  <c r="BC75" i="6"/>
  <c r="BA79" i="2"/>
  <c r="BC66" i="6"/>
  <c r="BA70" i="2"/>
  <c r="BC95" i="6"/>
  <c r="BA99" i="2"/>
  <c r="BC17" i="6"/>
  <c r="BA21" i="2"/>
  <c r="BC91" i="6"/>
  <c r="BA95" i="2"/>
  <c r="BC24" i="6"/>
  <c r="BA28" i="2"/>
  <c r="BC7" i="6"/>
  <c r="BA11" i="2"/>
  <c r="BA99" i="6"/>
  <c r="AY103" i="2"/>
  <c r="BC60" i="6"/>
  <c r="BA64" i="2"/>
  <c r="BC71" i="6"/>
  <c r="BA75" i="2"/>
  <c r="BC51" i="6"/>
  <c r="BA55" i="2"/>
  <c r="BC77" i="6"/>
  <c r="BA81" i="2"/>
  <c r="BC33" i="6"/>
  <c r="BC52" i="6"/>
  <c r="BA56" i="2"/>
  <c r="BC44" i="6"/>
  <c r="BC69" i="6"/>
  <c r="BA73" i="2"/>
  <c r="BC6" i="6"/>
  <c r="BA10" i="2"/>
  <c r="BC40" i="6"/>
  <c r="BC89" i="6"/>
  <c r="BA93" i="2"/>
  <c r="BC10" i="6"/>
  <c r="BA14" i="2"/>
  <c r="BC36" i="6"/>
  <c r="BC12" i="6"/>
  <c r="BA16" i="2"/>
  <c r="BC90" i="6"/>
  <c r="BA94" i="2"/>
  <c r="BC39" i="6"/>
  <c r="BC74" i="6"/>
  <c r="BA78" i="2"/>
  <c r="BC82" i="6"/>
  <c r="BA86" i="2"/>
  <c r="BC46" i="6"/>
  <c r="BC79" i="6"/>
  <c r="BA83" i="2"/>
  <c r="BC65" i="6"/>
  <c r="BA69" i="2"/>
  <c r="BC22" i="6"/>
  <c r="BA26" i="2"/>
  <c r="BC21" i="6"/>
  <c r="BA25" i="2"/>
  <c r="BC73" i="6"/>
  <c r="BA77" i="2"/>
  <c r="BC31" i="6"/>
  <c r="BA35" i="2"/>
  <c r="BC49" i="6"/>
  <c r="BA53" i="2"/>
  <c r="BC34" i="6"/>
  <c r="BC61" i="6"/>
  <c r="BA65" i="2"/>
  <c r="BC8" i="6"/>
  <c r="BA12" i="2"/>
  <c r="BC63" i="6"/>
  <c r="BA67" i="2"/>
  <c r="BC38" i="6"/>
  <c r="BC92" i="6"/>
  <c r="BA96" i="2"/>
  <c r="BC26" i="6"/>
  <c r="BA30" i="2"/>
  <c r="BC47" i="6"/>
  <c r="BC9" i="6"/>
  <c r="BA13" i="2"/>
  <c r="BC19" i="6"/>
  <c r="BA23" i="2"/>
  <c r="BC86" i="6"/>
  <c r="BA90" i="2"/>
  <c r="BC96" i="6"/>
  <c r="BA100" i="2"/>
  <c r="BC55" i="6"/>
  <c r="BA59" i="2"/>
  <c r="BC23" i="6"/>
  <c r="BA27" i="2"/>
  <c r="BC87" i="6"/>
  <c r="BA91" i="2"/>
  <c r="BC53" i="6"/>
  <c r="BA57" i="2"/>
  <c r="BC27" i="6"/>
  <c r="BA31" i="2"/>
  <c r="BC54" i="6"/>
  <c r="BA58" i="2"/>
  <c r="BC94" i="6"/>
  <c r="BA98" i="2"/>
  <c r="BC85" i="6"/>
  <c r="BA89" i="2"/>
  <c r="BC35" i="6"/>
  <c r="BC45" i="6"/>
  <c r="BC5" i="6"/>
  <c r="BA9" i="2"/>
  <c r="BC70" i="6"/>
  <c r="BA74" i="2"/>
  <c r="BC48" i="6"/>
  <c r="BC25" i="6"/>
  <c r="BA29" i="2"/>
  <c r="BC41" i="6"/>
  <c r="BC13" i="6"/>
  <c r="BA17" i="2"/>
  <c r="BC68" i="6"/>
  <c r="BA72" i="2"/>
  <c r="BC81" i="6"/>
  <c r="BA85" i="2"/>
  <c r="BA78" i="6"/>
  <c r="AW78" i="7"/>
  <c r="AZ82" i="2" s="1"/>
  <c r="BC43" i="6"/>
  <c r="BC14" i="6"/>
  <c r="BC88" i="6"/>
  <c r="BC59" i="6"/>
  <c r="AW99" i="7"/>
  <c r="AY41" i="2" l="1"/>
  <c r="AW37" i="7"/>
  <c r="BA37" i="6"/>
  <c r="BA7" i="2"/>
  <c r="BC3" i="6"/>
  <c r="BB18" i="6"/>
  <c r="AX18" i="7"/>
  <c r="AZ22" i="2"/>
  <c r="AZ33" i="2"/>
  <c r="BB29" i="6"/>
  <c r="AX29" i="7"/>
  <c r="AX93" i="7"/>
  <c r="AZ97" i="2"/>
  <c r="BB93" i="6"/>
  <c r="BD5" i="2"/>
  <c r="BC4" i="2"/>
  <c r="AZ15" i="2"/>
  <c r="BB11" i="6"/>
  <c r="AX11" i="7"/>
  <c r="BB98" i="6"/>
  <c r="AX98" i="7"/>
  <c r="AZ102" i="2"/>
  <c r="AX15" i="7"/>
  <c r="AZ19" i="2"/>
  <c r="BB15" i="6"/>
  <c r="AX42" i="7"/>
  <c r="BA46" i="2" s="1"/>
  <c r="BB42" i="6"/>
  <c r="BB62" i="6"/>
  <c r="AX62" i="7"/>
  <c r="AZ66" i="2"/>
  <c r="AZ101" i="2"/>
  <c r="BB97" i="6"/>
  <c r="AX97" i="7"/>
  <c r="BB57" i="6"/>
  <c r="AX57" i="7"/>
  <c r="AZ61" i="2"/>
  <c r="AX67" i="7"/>
  <c r="AZ71" i="2"/>
  <c r="BB67" i="6"/>
  <c r="AZ32" i="2"/>
  <c r="BB28" i="6"/>
  <c r="AX28" i="7"/>
  <c r="AX56" i="7"/>
  <c r="AZ60" i="2"/>
  <c r="BB56" i="6"/>
  <c r="AX80" i="7"/>
  <c r="AZ84" i="2"/>
  <c r="BB80" i="6"/>
  <c r="AZ20" i="2"/>
  <c r="BB16" i="6"/>
  <c r="AX16" i="7"/>
  <c r="AZ88" i="2"/>
  <c r="BB84" i="6"/>
  <c r="AX84" i="7"/>
  <c r="BB4" i="6"/>
  <c r="AX4" i="7"/>
  <c r="AZ8" i="2"/>
  <c r="AY3" i="2"/>
  <c r="AZ6" i="2"/>
  <c r="AX2" i="7"/>
  <c r="BB2" i="6"/>
  <c r="AZ62" i="2"/>
  <c r="BB58" i="6"/>
  <c r="AX58" i="7"/>
  <c r="BB32" i="6"/>
  <c r="AX32" i="7"/>
  <c r="BA36" i="2" s="1"/>
  <c r="AZ68" i="2"/>
  <c r="AX64" i="7"/>
  <c r="BB64" i="6"/>
  <c r="AZ54" i="2"/>
  <c r="BB50" i="6"/>
  <c r="AX50" i="7"/>
  <c r="AZ34" i="2"/>
  <c r="BB30" i="6"/>
  <c r="AX30" i="7"/>
  <c r="AZ24" i="2"/>
  <c r="AX20" i="7"/>
  <c r="BB20" i="6"/>
  <c r="AS4" i="2"/>
  <c r="BB99" i="6"/>
  <c r="AZ103" i="2"/>
  <c r="BB78" i="6"/>
  <c r="AX78" i="7"/>
  <c r="BA82" i="2" s="1"/>
  <c r="AX99" i="7"/>
  <c r="AZ41" i="2" l="1"/>
  <c r="AX37" i="7"/>
  <c r="BB37" i="6"/>
  <c r="BA22" i="2"/>
  <c r="BC18" i="6"/>
  <c r="BA33" i="2"/>
  <c r="BC29" i="6"/>
  <c r="BA97" i="2"/>
  <c r="BC93" i="6"/>
  <c r="BE5" i="2"/>
  <c r="BD4" i="2"/>
  <c r="BC11" i="6"/>
  <c r="BA15" i="2"/>
  <c r="BA61" i="2"/>
  <c r="BC57" i="6"/>
  <c r="BC98" i="6"/>
  <c r="BA102" i="2"/>
  <c r="BC67" i="6"/>
  <c r="BA71" i="2"/>
  <c r="BA66" i="2"/>
  <c r="BC62" i="6"/>
  <c r="BA19" i="2"/>
  <c r="BC15" i="6"/>
  <c r="BA101" i="2"/>
  <c r="BC97" i="6"/>
  <c r="BC42" i="6"/>
  <c r="BA32" i="2"/>
  <c r="BC28" i="6"/>
  <c r="BA20" i="2"/>
  <c r="BC16" i="6"/>
  <c r="BA60" i="2"/>
  <c r="BC56" i="6"/>
  <c r="BA88" i="2"/>
  <c r="BC84" i="6"/>
  <c r="BA84" i="2"/>
  <c r="BC80" i="6"/>
  <c r="BA8" i="2"/>
  <c r="BC4" i="6"/>
  <c r="BC32" i="6"/>
  <c r="BC2" i="6"/>
  <c r="BA6" i="2"/>
  <c r="BA68" i="2"/>
  <c r="BC64" i="6"/>
  <c r="BA62" i="2"/>
  <c r="BC58" i="6"/>
  <c r="BA54" i="2"/>
  <c r="BC50" i="6"/>
  <c r="AZ3" i="2"/>
  <c r="BA34" i="2"/>
  <c r="BC30" i="6"/>
  <c r="BA24" i="2"/>
  <c r="BC20" i="6"/>
  <c r="AT4" i="2"/>
  <c r="BC99" i="6"/>
  <c r="BA103" i="2"/>
  <c r="BC78" i="6"/>
  <c r="BA41" i="2" l="1"/>
  <c r="BC37" i="6"/>
  <c r="BA3" i="2" s="1"/>
  <c r="BF5" i="2"/>
  <c r="BF4" i="2" s="1"/>
  <c r="BE4" i="2"/>
  <c r="AU4" i="2"/>
  <c r="AV4" i="2" l="1"/>
  <c r="AW4" i="2" l="1"/>
  <c r="AX4" i="2" l="1"/>
  <c r="AY4" i="2" l="1"/>
  <c r="AZ4" i="2" l="1"/>
  <c r="BA4" i="2" l="1"/>
  <c r="AI138" i="19"/>
  <c r="AF138" i="19"/>
  <c r="AC138" i="19"/>
  <c r="I29" i="10" l="1"/>
  <c r="N149" i="13"/>
  <c r="N120" i="13"/>
  <c r="N152" i="13"/>
  <c r="N268" i="13"/>
  <c r="T39" i="10"/>
  <c r="N178" i="13"/>
  <c r="N283" i="13"/>
  <c r="N118" i="16"/>
  <c r="N54" i="16"/>
  <c r="U38" i="10"/>
  <c r="N3" i="16"/>
  <c r="N119" i="16"/>
  <c r="N217" i="13"/>
  <c r="N72" i="16"/>
  <c r="T33" i="10"/>
  <c r="N271" i="13"/>
  <c r="T31" i="10"/>
  <c r="W37" i="10"/>
  <c r="N227" i="13"/>
  <c r="N138" i="13"/>
  <c r="N282" i="13"/>
  <c r="N128" i="16"/>
  <c r="N67" i="13"/>
  <c r="W31" i="10"/>
  <c r="N128" i="13"/>
  <c r="M27" i="10"/>
  <c r="N122" i="16"/>
  <c r="P149" i="13"/>
  <c r="M7" i="10"/>
  <c r="N246" i="13"/>
  <c r="N205" i="13"/>
  <c r="N88" i="16"/>
  <c r="N32" i="16"/>
  <c r="N162" i="13"/>
  <c r="V18" i="10"/>
  <c r="T38" i="10"/>
  <c r="N210" i="13"/>
  <c r="U28" i="10"/>
  <c r="N73" i="13"/>
  <c r="N154" i="13"/>
  <c r="U33" i="10"/>
  <c r="N43" i="13"/>
  <c r="N51" i="16"/>
  <c r="S28" i="10"/>
  <c r="N28" i="16"/>
  <c r="N71" i="13"/>
  <c r="V30" i="10"/>
  <c r="P210" i="13"/>
  <c r="V32" i="10"/>
  <c r="S19" i="10"/>
  <c r="N75" i="16"/>
  <c r="T34" i="10"/>
  <c r="T37" i="10"/>
  <c r="V25" i="10"/>
  <c r="N251" i="13"/>
  <c r="N222" i="13"/>
  <c r="S27" i="10"/>
  <c r="V12" i="10"/>
  <c r="N125" i="13"/>
  <c r="S23" i="10"/>
  <c r="N221" i="13"/>
  <c r="N183" i="13"/>
  <c r="N135" i="13"/>
  <c r="W28" i="10"/>
  <c r="N179" i="13"/>
  <c r="O222" i="13"/>
  <c r="O43" i="13"/>
  <c r="N105" i="16"/>
  <c r="N213" i="13"/>
  <c r="N28" i="13"/>
  <c r="N54" i="13"/>
  <c r="V23" i="10"/>
  <c r="N151" i="13"/>
  <c r="N49" i="16"/>
  <c r="N121" i="16"/>
  <c r="P213" i="13"/>
  <c r="P151" i="13"/>
  <c r="AG37" i="19"/>
  <c r="S25" i="10"/>
  <c r="N36" i="13"/>
  <c r="V15" i="10"/>
  <c r="N269" i="13"/>
  <c r="N26" i="16"/>
  <c r="N127" i="16"/>
  <c r="N16" i="16"/>
  <c r="W33" i="10"/>
  <c r="N57" i="16"/>
  <c r="N59" i="13"/>
  <c r="O59" i="13" s="1"/>
  <c r="N209" i="13"/>
  <c r="N78" i="16"/>
  <c r="N4" i="16"/>
  <c r="M24" i="10"/>
  <c r="N38" i="16"/>
  <c r="N29" i="16"/>
  <c r="N218" i="13"/>
  <c r="N75" i="13"/>
  <c r="N41" i="13"/>
  <c r="O41" i="13" s="1"/>
  <c r="V3" i="10"/>
  <c r="N87" i="16"/>
  <c r="U31" i="10"/>
  <c r="T25" i="10"/>
  <c r="N112" i="13"/>
  <c r="P59" i="13"/>
  <c r="N134" i="16"/>
  <c r="N144" i="16"/>
  <c r="V27" i="10"/>
  <c r="M10" i="10"/>
  <c r="O75" i="13"/>
  <c r="N197" i="13"/>
  <c r="N63" i="13"/>
  <c r="O6" i="19"/>
  <c r="P218" i="13"/>
  <c r="N91" i="16"/>
  <c r="N195" i="13"/>
  <c r="N106" i="16"/>
  <c r="V31" i="10"/>
  <c r="N133" i="16"/>
  <c r="N20" i="16"/>
  <c r="N15" i="13"/>
  <c r="P15" i="13" s="1"/>
  <c r="N110" i="16"/>
  <c r="N65" i="13"/>
  <c r="O282" i="13"/>
  <c r="N142" i="16"/>
  <c r="N252" i="13"/>
  <c r="M15" i="10"/>
  <c r="N277" i="13"/>
  <c r="N6" i="13"/>
  <c r="N51" i="13"/>
  <c r="P67" i="13"/>
  <c r="S10" i="10"/>
  <c r="N107" i="16"/>
  <c r="O73" i="13"/>
  <c r="M19" i="10"/>
  <c r="N211" i="13"/>
  <c r="N30" i="16"/>
  <c r="O251" i="13"/>
  <c r="N166" i="13"/>
  <c r="M12" i="10"/>
  <c r="N3" i="13"/>
  <c r="N206" i="13"/>
  <c r="N85" i="16"/>
  <c r="N158" i="13"/>
  <c r="P221" i="13"/>
  <c r="O158" i="13"/>
  <c r="O128" i="13"/>
  <c r="S38" i="10"/>
  <c r="N76" i="13"/>
  <c r="P283" i="13"/>
  <c r="N140" i="13"/>
  <c r="N97" i="16"/>
  <c r="N14" i="13"/>
  <c r="N104" i="16"/>
  <c r="N83" i="13"/>
  <c r="S17" i="10"/>
  <c r="N139" i="16"/>
  <c r="O277" i="13"/>
  <c r="V10" i="10"/>
  <c r="N55" i="13"/>
  <c r="P55" i="13" s="1"/>
  <c r="N10" i="13"/>
  <c r="S37" i="10"/>
  <c r="N65" i="16"/>
  <c r="O55" i="13"/>
  <c r="O151" i="13"/>
  <c r="AJ37" i="19"/>
  <c r="O12" i="19"/>
  <c r="N242" i="13"/>
  <c r="V16" i="10"/>
  <c r="W27" i="10"/>
  <c r="N165" i="13"/>
  <c r="P165" i="13" s="1"/>
  <c r="N85" i="13"/>
  <c r="N106" i="13"/>
  <c r="N278" i="13"/>
  <c r="N194" i="13"/>
  <c r="N241" i="13"/>
  <c r="P241" i="13" s="1"/>
  <c r="N71" i="16"/>
  <c r="N129" i="13"/>
  <c r="N263" i="13"/>
  <c r="S12" i="10"/>
  <c r="N232" i="13"/>
  <c r="N176" i="13"/>
  <c r="M9" i="10"/>
  <c r="N98" i="13"/>
  <c r="N189" i="13"/>
  <c r="N214" i="13"/>
  <c r="N275" i="13"/>
  <c r="N111" i="13"/>
  <c r="N260" i="13"/>
  <c r="N87" i="13"/>
  <c r="O87" i="13" s="1"/>
  <c r="N19" i="16"/>
  <c r="V6" i="10"/>
  <c r="N146" i="16"/>
  <c r="N7" i="16"/>
  <c r="N140" i="16"/>
  <c r="N95" i="13"/>
  <c r="N137" i="13"/>
  <c r="P137" i="13" s="1"/>
  <c r="P242" i="13"/>
  <c r="U29" i="10"/>
  <c r="P95" i="13"/>
  <c r="N68" i="16"/>
  <c r="N148" i="13"/>
  <c r="S4" i="10"/>
  <c r="S29" i="10"/>
  <c r="M26" i="10"/>
  <c r="N138" i="16"/>
  <c r="N58" i="13"/>
  <c r="N82" i="16"/>
  <c r="T24" i="10"/>
  <c r="S24" i="10"/>
  <c r="N4" i="13"/>
  <c r="N31" i="13"/>
  <c r="N131" i="13"/>
  <c r="N33" i="16"/>
  <c r="S5" i="10"/>
  <c r="N33" i="13"/>
  <c r="O33" i="13" s="1"/>
  <c r="N230" i="13"/>
  <c r="P230" i="13" s="1"/>
  <c r="N26" i="13"/>
  <c r="N74" i="16"/>
  <c r="N16" i="13"/>
  <c r="P31" i="13"/>
  <c r="N102" i="16"/>
  <c r="N80" i="13"/>
  <c r="O178" i="13"/>
  <c r="P80" i="13"/>
  <c r="N132" i="13"/>
  <c r="P132" i="13" s="1"/>
  <c r="N52" i="16"/>
  <c r="S30" i="10"/>
  <c r="N188" i="13"/>
  <c r="T27" i="10"/>
  <c r="S34" i="10"/>
  <c r="N21" i="13"/>
  <c r="O165" i="13"/>
  <c r="N259" i="13"/>
  <c r="P51" i="13"/>
  <c r="T32" i="10"/>
  <c r="U27" i="10"/>
  <c r="S7" i="10"/>
  <c r="O241" i="13"/>
  <c r="N112" i="16"/>
  <c r="M11" i="10"/>
  <c r="N270" i="13"/>
  <c r="N279" i="13"/>
  <c r="T28" i="10"/>
  <c r="N124" i="13"/>
  <c r="P124" i="13" s="1"/>
  <c r="N76" i="16"/>
  <c r="N89" i="16"/>
  <c r="N46" i="16"/>
  <c r="N200" i="13"/>
  <c r="S26" i="10"/>
  <c r="N126" i="13"/>
  <c r="N12" i="16"/>
  <c r="N266" i="13"/>
  <c r="P87" i="13"/>
  <c r="P33" i="13"/>
  <c r="O54" i="13"/>
  <c r="O10" i="13"/>
  <c r="AH37" i="19"/>
  <c r="N177" i="13"/>
  <c r="N101" i="13"/>
  <c r="N96" i="16"/>
  <c r="N224" i="13"/>
  <c r="P224" i="13" s="1"/>
  <c r="O224" i="13"/>
  <c r="W26" i="10"/>
  <c r="N12" i="13"/>
  <c r="N41" i="16"/>
  <c r="N253" i="13"/>
  <c r="N68" i="13"/>
  <c r="O68" i="13" s="1"/>
  <c r="N115" i="16"/>
  <c r="N8" i="13"/>
  <c r="P177" i="13"/>
  <c r="N228" i="13"/>
  <c r="W35" i="10"/>
  <c r="O25" i="19"/>
  <c r="N35" i="13"/>
  <c r="O35" i="13" s="1"/>
  <c r="N254" i="13"/>
  <c r="V17" i="10"/>
  <c r="N249" i="13"/>
  <c r="N84" i="16"/>
  <c r="O19" i="19"/>
  <c r="P217" i="13"/>
  <c r="O275" i="13"/>
  <c r="N131" i="16"/>
  <c r="N105" i="13"/>
  <c r="P105" i="13" s="1"/>
  <c r="N255" i="13"/>
  <c r="N281" i="13"/>
  <c r="N225" i="13"/>
  <c r="N204" i="13"/>
  <c r="P204" i="13" s="1"/>
  <c r="N157" i="13"/>
  <c r="O157" i="13" s="1"/>
  <c r="N69" i="16"/>
  <c r="S13" i="10"/>
  <c r="N201" i="13"/>
  <c r="V7" i="10"/>
  <c r="P282" i="13"/>
  <c r="N99" i="16"/>
  <c r="N23" i="16"/>
  <c r="N208" i="13"/>
  <c r="N53" i="13"/>
  <c r="O53" i="13" s="1"/>
  <c r="N216" i="13"/>
  <c r="N74" i="13"/>
  <c r="N83" i="16"/>
  <c r="N40" i="13"/>
  <c r="P40" i="13" s="1"/>
  <c r="P128" i="13"/>
  <c r="N37" i="16"/>
  <c r="O9" i="19"/>
  <c r="N126" i="16"/>
  <c r="N77" i="13"/>
  <c r="O8" i="13"/>
  <c r="V13" i="10"/>
  <c r="N93" i="13"/>
  <c r="S18" i="10"/>
  <c r="N21" i="16"/>
  <c r="N103" i="13"/>
  <c r="N234" i="13"/>
  <c r="N63" i="16"/>
  <c r="S11" i="10"/>
  <c r="N125" i="16"/>
  <c r="N111" i="16"/>
  <c r="N267" i="13"/>
  <c r="N231" i="13"/>
  <c r="P129" i="13"/>
  <c r="N150" i="13"/>
  <c r="M16" i="10"/>
  <c r="W32" i="10"/>
  <c r="V24" i="10"/>
  <c r="O8" i="19"/>
  <c r="V35" i="10"/>
  <c r="N143" i="16"/>
  <c r="N73" i="16"/>
  <c r="W29" i="10"/>
  <c r="N2" i="16"/>
  <c r="P278" i="13"/>
  <c r="P178" i="13"/>
  <c r="O80" i="13"/>
  <c r="N261" i="13"/>
  <c r="V26" i="10"/>
  <c r="O4" i="13"/>
  <c r="O267" i="13"/>
  <c r="N89" i="13"/>
  <c r="O51" i="13"/>
  <c r="N49" i="13"/>
  <c r="V14" i="10"/>
  <c r="N159" i="13"/>
  <c r="P159" i="13" s="1"/>
  <c r="S36" i="10"/>
  <c r="N161" i="13"/>
  <c r="N156" i="13"/>
  <c r="N147" i="13"/>
  <c r="O147" i="13" s="1"/>
  <c r="N53" i="16"/>
  <c r="N116" i="16"/>
  <c r="N116" i="13"/>
  <c r="O189" i="13"/>
  <c r="P148" i="13"/>
  <c r="O279" i="13"/>
  <c r="P54" i="13"/>
  <c r="P10" i="13"/>
  <c r="AD37" i="19"/>
  <c r="S9" i="10"/>
  <c r="N136" i="16"/>
  <c r="N9" i="13"/>
  <c r="P9" i="13" s="1"/>
  <c r="N45" i="16"/>
  <c r="M8" i="10"/>
  <c r="N60" i="16"/>
  <c r="N27" i="16"/>
  <c r="N37" i="13"/>
  <c r="O37" i="13" s="1"/>
  <c r="N90" i="13"/>
  <c r="O90" i="13" s="1"/>
  <c r="N17" i="13"/>
  <c r="N110" i="13"/>
  <c r="O23" i="19"/>
  <c r="N133" i="13"/>
  <c r="N119" i="13"/>
  <c r="P119" i="13" s="1"/>
  <c r="N172" i="13"/>
  <c r="O172" i="13" s="1"/>
  <c r="M25" i="10"/>
  <c r="O22" i="19"/>
  <c r="S32" i="10"/>
  <c r="N100" i="16"/>
  <c r="N70" i="16"/>
  <c r="O101" i="13"/>
  <c r="O253" i="13"/>
  <c r="N35" i="16"/>
  <c r="O283" i="13"/>
  <c r="V28" i="10"/>
  <c r="N229" i="13"/>
  <c r="N66" i="13"/>
  <c r="O260" i="13"/>
  <c r="N182" i="13"/>
  <c r="O182" i="13" s="1"/>
  <c r="N181" i="13"/>
  <c r="N274" i="13"/>
  <c r="T35" i="10"/>
  <c r="O66" i="13"/>
  <c r="N169" i="13"/>
  <c r="P169" i="13" s="1"/>
  <c r="N97" i="13"/>
  <c r="P97" i="13" s="1"/>
  <c r="N237" i="13"/>
  <c r="N240" i="13"/>
  <c r="N24" i="13"/>
  <c r="P120" i="13"/>
  <c r="N80" i="16"/>
  <c r="O12" i="13"/>
  <c r="M6" i="10"/>
  <c r="M4" i="10"/>
  <c r="O85" i="13"/>
  <c r="N103" i="16"/>
  <c r="P194" i="13"/>
  <c r="O36" i="13"/>
  <c r="O111" i="13"/>
  <c r="U30" i="10"/>
  <c r="N29" i="13"/>
  <c r="N118" i="13"/>
  <c r="N108" i="16"/>
  <c r="O20" i="19"/>
  <c r="U39" i="10"/>
  <c r="N34" i="16"/>
  <c r="S16" i="10"/>
  <c r="O252" i="13"/>
  <c r="N8" i="16"/>
  <c r="N122" i="13"/>
  <c r="N15" i="16"/>
  <c r="S3" i="10"/>
  <c r="N160" i="13"/>
  <c r="N238" i="13"/>
  <c r="N5" i="13"/>
  <c r="P5" i="13" s="1"/>
  <c r="N136" i="13"/>
  <c r="O229" i="13"/>
  <c r="N196" i="13"/>
  <c r="P196" i="13" s="1"/>
  <c r="O71" i="13"/>
  <c r="P172" i="13"/>
  <c r="N13" i="16"/>
  <c r="O129" i="13"/>
  <c r="N212" i="13"/>
  <c r="N78" i="13"/>
  <c r="P267" i="13"/>
  <c r="N47" i="13"/>
  <c r="O110" i="13"/>
  <c r="N5" i="16"/>
  <c r="V34" i="10"/>
  <c r="N77" i="16"/>
  <c r="N123" i="16"/>
  <c r="N57" i="13"/>
  <c r="P57" i="13" s="1"/>
  <c r="N7" i="13"/>
  <c r="T23" i="10"/>
  <c r="N262" i="13"/>
  <c r="P262" i="13" s="1"/>
  <c r="P36" i="13"/>
  <c r="N121" i="13"/>
  <c r="N96" i="13"/>
  <c r="P271" i="13"/>
  <c r="O148" i="13"/>
  <c r="O166" i="13"/>
  <c r="P279" i="13"/>
  <c r="O57" i="13"/>
  <c r="O28" i="13"/>
  <c r="O262" i="13"/>
  <c r="O126" i="13"/>
  <c r="O121" i="13"/>
  <c r="AE37" i="19"/>
  <c r="N123" i="13"/>
  <c r="B42" i="10"/>
  <c r="W36" i="10"/>
  <c r="N117" i="13"/>
  <c r="O117" i="13" s="1"/>
  <c r="N114" i="13"/>
  <c r="O114" i="13" s="1"/>
  <c r="N95" i="16"/>
  <c r="N79" i="13"/>
  <c r="N185" i="13"/>
  <c r="O185" i="13" s="1"/>
  <c r="N113" i="16"/>
  <c r="N109" i="13"/>
  <c r="M23" i="10"/>
  <c r="M18" i="10"/>
  <c r="N284" i="13"/>
  <c r="N61" i="16"/>
  <c r="N285" i="13"/>
  <c r="P176" i="13"/>
  <c r="O21" i="19"/>
  <c r="N273" i="13"/>
  <c r="P273" i="13" s="1"/>
  <c r="N219" i="13"/>
  <c r="N40" i="16"/>
  <c r="N25" i="16"/>
  <c r="N233" i="13"/>
  <c r="P233" i="13" s="1"/>
  <c r="N198" i="13"/>
  <c r="S35" i="10"/>
  <c r="N280" i="13"/>
  <c r="N100" i="13"/>
  <c r="P100" i="13" s="1"/>
  <c r="N30" i="13"/>
  <c r="V39" i="10"/>
  <c r="N245" i="13"/>
  <c r="N79" i="16"/>
  <c r="N67" i="16"/>
  <c r="V11" i="10"/>
  <c r="N117" i="16"/>
  <c r="N187" i="13"/>
  <c r="P187" i="13" s="1"/>
  <c r="N42" i="13"/>
  <c r="N130" i="13"/>
  <c r="N36" i="16"/>
  <c r="M20" i="10"/>
  <c r="N243" i="13"/>
  <c r="O243" i="13" s="1"/>
  <c r="U37" i="10"/>
  <c r="N45" i="13"/>
  <c r="P45" i="13" s="1"/>
  <c r="P227" i="13"/>
  <c r="N272" i="13"/>
  <c r="O45" i="13"/>
  <c r="N250" i="13"/>
  <c r="N99" i="13"/>
  <c r="W24" i="10"/>
  <c r="N27" i="13"/>
  <c r="N11" i="16"/>
  <c r="N192" i="13"/>
  <c r="N98" i="16"/>
  <c r="N226" i="13"/>
  <c r="P226" i="13" s="1"/>
  <c r="O106" i="13"/>
  <c r="O79" i="13"/>
  <c r="N22" i="16"/>
  <c r="N258" i="13"/>
  <c r="P8" i="13"/>
  <c r="N257" i="13"/>
  <c r="P257" i="13" s="1"/>
  <c r="N145" i="13"/>
  <c r="U32" i="10"/>
  <c r="T36" i="10"/>
  <c r="N64" i="16"/>
  <c r="N168" i="13"/>
  <c r="W34" i="10"/>
  <c r="N202" i="13"/>
  <c r="O202" i="13" s="1"/>
  <c r="N145" i="16"/>
  <c r="M13" i="10"/>
  <c r="N18" i="13"/>
  <c r="N34" i="13"/>
  <c r="P34" i="13" s="1"/>
  <c r="O259" i="13"/>
  <c r="O18" i="13"/>
  <c r="P183" i="13"/>
  <c r="N22" i="13"/>
  <c r="N191" i="13"/>
  <c r="O191" i="13" s="1"/>
  <c r="N23" i="13"/>
  <c r="O11" i="19"/>
  <c r="N81" i="16"/>
  <c r="N120" i="16"/>
  <c r="P206" i="13"/>
  <c r="O217" i="13"/>
  <c r="N130" i="16"/>
  <c r="V4" i="10"/>
  <c r="V29" i="10"/>
  <c r="M17" i="10"/>
  <c r="N124" i="16"/>
  <c r="N184" i="13"/>
  <c r="N69" i="13"/>
  <c r="N207" i="13"/>
  <c r="N239" i="13"/>
  <c r="P263" i="13"/>
  <c r="O216" i="13"/>
  <c r="O93" i="13"/>
  <c r="O26" i="13"/>
  <c r="P188" i="13"/>
  <c r="P166" i="13"/>
  <c r="P3" i="13"/>
  <c r="P135" i="13"/>
  <c r="O89" i="13"/>
  <c r="P28" i="13"/>
  <c r="O184" i="13"/>
  <c r="P126" i="13"/>
  <c r="P121" i="13"/>
  <c r="AK37" i="19"/>
  <c r="U24" i="10"/>
  <c r="O24" i="19"/>
  <c r="N14" i="16"/>
  <c r="O7" i="19"/>
  <c r="N135" i="16"/>
  <c r="N129" i="16"/>
  <c r="O242" i="13"/>
  <c r="N141" i="13"/>
  <c r="N91" i="13"/>
  <c r="P91" i="13" s="1"/>
  <c r="N25" i="13"/>
  <c r="O152" i="13"/>
  <c r="N186" i="13"/>
  <c r="O186" i="13" s="1"/>
  <c r="M14" i="10"/>
  <c r="W38" i="10"/>
  <c r="N13" i="13"/>
  <c r="N50" i="16"/>
  <c r="P268" i="13"/>
  <c r="U35" i="10"/>
  <c r="N199" i="13"/>
  <c r="N6" i="16"/>
  <c r="P232" i="13"/>
  <c r="N44" i="13"/>
  <c r="O254" i="13"/>
  <c r="N134" i="13"/>
  <c r="N39" i="13"/>
  <c r="O39" i="13" s="1"/>
  <c r="N139" i="13"/>
  <c r="O139" i="13" s="1"/>
  <c r="O10" i="19"/>
  <c r="N220" i="13"/>
  <c r="N58" i="16"/>
  <c r="N264" i="13"/>
  <c r="N55" i="16"/>
  <c r="N86" i="13"/>
  <c r="P86" i="13" s="1"/>
  <c r="N11" i="13"/>
  <c r="P285" i="13"/>
  <c r="N190" i="13"/>
  <c r="P253" i="13"/>
  <c r="N144" i="13"/>
  <c r="T29" i="10"/>
  <c r="N61" i="13"/>
  <c r="N47" i="16"/>
  <c r="V8" i="10"/>
  <c r="N247" i="13"/>
  <c r="O247" i="13" s="1"/>
  <c r="U34" i="10"/>
  <c r="N60" i="13"/>
  <c r="O60" i="13" s="1"/>
  <c r="N102" i="13"/>
  <c r="O102" i="13" s="1"/>
  <c r="N88" i="13"/>
  <c r="P88" i="13" s="1"/>
  <c r="O162" i="13"/>
  <c r="S39" i="10"/>
  <c r="O88" i="13"/>
  <c r="N107" i="13"/>
  <c r="P157" i="13"/>
  <c r="N18" i="16"/>
  <c r="W25" i="10"/>
  <c r="N286" i="13"/>
  <c r="N50" i="13"/>
  <c r="P50" i="13" s="1"/>
  <c r="P264" i="13"/>
  <c r="N164" i="13"/>
  <c r="N174" i="13"/>
  <c r="O174" i="13" s="1"/>
  <c r="N104" i="13"/>
  <c r="N48" i="16"/>
  <c r="N203" i="13"/>
  <c r="N101" i="16"/>
  <c r="W30" i="10"/>
  <c r="O194" i="13"/>
  <c r="V5" i="10"/>
  <c r="S8" i="10"/>
  <c r="V37" i="10"/>
  <c r="N72" i="13"/>
  <c r="P72" i="13" s="1"/>
  <c r="N19" i="13"/>
  <c r="O210" i="13"/>
  <c r="O228" i="13"/>
  <c r="T30" i="10"/>
  <c r="P114" i="13"/>
  <c r="N2" i="13"/>
  <c r="O50" i="13"/>
  <c r="P182" i="13"/>
  <c r="P275" i="13"/>
  <c r="N235" i="13"/>
  <c r="N17" i="16"/>
  <c r="P110" i="13"/>
  <c r="N46" i="13"/>
  <c r="N127" i="13"/>
  <c r="O138" i="13"/>
  <c r="P234" i="13"/>
  <c r="O46" i="13"/>
  <c r="P122" i="13"/>
  <c r="N163" i="13"/>
  <c r="O163" i="13" s="1"/>
  <c r="P162" i="13"/>
  <c r="N146" i="13"/>
  <c r="O74" i="13"/>
  <c r="V36" i="10"/>
  <c r="T26" i="10"/>
  <c r="N31" i="16"/>
  <c r="N48" i="13"/>
  <c r="P252" i="13"/>
  <c r="N62" i="13"/>
  <c r="O263" i="13"/>
  <c r="P197" i="13"/>
  <c r="P216" i="13"/>
  <c r="P93" i="13"/>
  <c r="P192" i="13"/>
  <c r="O188" i="13"/>
  <c r="P238" i="13"/>
  <c r="O3" i="13"/>
  <c r="O135" i="13"/>
  <c r="O78" i="13"/>
  <c r="P89" i="13"/>
  <c r="P163" i="13"/>
  <c r="P7" i="13"/>
  <c r="P184" i="13"/>
  <c r="O69" i="13"/>
  <c r="P207" i="13"/>
  <c r="P46" i="13"/>
  <c r="B39" i="10"/>
  <c r="O177" i="13"/>
  <c r="P118" i="13"/>
  <c r="P228" i="13"/>
  <c r="P48" i="13"/>
  <c r="P181" i="13"/>
  <c r="O63" i="13"/>
  <c r="O145" i="13"/>
  <c r="O141" i="13"/>
  <c r="P247" i="13"/>
  <c r="P26" i="13"/>
  <c r="O231" i="13"/>
  <c r="O136" i="13"/>
  <c r="P98" i="13"/>
  <c r="O258" i="13"/>
  <c r="O34" i="13"/>
  <c r="O268" i="13"/>
  <c r="P78" i="13"/>
  <c r="P205" i="13"/>
  <c r="O96" i="13"/>
  <c r="L102" i="13"/>
  <c r="G35" i="10"/>
  <c r="L129" i="16"/>
  <c r="L127" i="13"/>
  <c r="L280" i="13"/>
  <c r="L129" i="13"/>
  <c r="L257" i="13"/>
  <c r="L136" i="13"/>
  <c r="L99" i="13"/>
  <c r="L119" i="13"/>
  <c r="L213" i="13"/>
  <c r="L25" i="16"/>
  <c r="L22" i="16"/>
  <c r="G4" i="10"/>
  <c r="L56" i="16"/>
  <c r="G33" i="10"/>
  <c r="L52" i="16"/>
  <c r="L247" i="13"/>
  <c r="L184" i="13"/>
  <c r="L191" i="13"/>
  <c r="L59" i="13"/>
  <c r="L157" i="13"/>
  <c r="L36" i="13"/>
  <c r="L154" i="13"/>
  <c r="L138" i="16"/>
  <c r="L208" i="13"/>
  <c r="L97" i="16"/>
  <c r="L88" i="13"/>
  <c r="L77" i="13"/>
  <c r="L23" i="16"/>
  <c r="L156" i="13"/>
  <c r="G16" i="10"/>
  <c r="L11" i="13"/>
  <c r="L45" i="16"/>
  <c r="L140" i="16"/>
  <c r="L18" i="16"/>
  <c r="L10" i="13"/>
  <c r="L158" i="13"/>
  <c r="R3" i="10"/>
  <c r="L210" i="13"/>
  <c r="L141" i="13"/>
  <c r="G29" i="10"/>
  <c r="L110" i="16"/>
  <c r="L26" i="13"/>
  <c r="L41" i="16"/>
  <c r="L201" i="13"/>
  <c r="L283" i="13"/>
  <c r="L173" i="13"/>
  <c r="L250" i="13"/>
  <c r="L73" i="16"/>
  <c r="L206" i="13"/>
  <c r="L70" i="13"/>
  <c r="L104" i="16"/>
  <c r="L144" i="16"/>
  <c r="L27" i="16"/>
  <c r="G7" i="10"/>
  <c r="L87" i="16"/>
  <c r="U3" i="10"/>
  <c r="G19" i="10"/>
  <c r="L91" i="13"/>
  <c r="L121" i="13"/>
  <c r="L5" i="16"/>
  <c r="P140" i="16"/>
  <c r="O5" i="16"/>
  <c r="O278" i="13"/>
  <c r="O183" i="13"/>
  <c r="P231" i="13"/>
  <c r="O127" i="13"/>
  <c r="P24" i="13"/>
  <c r="P73" i="13"/>
  <c r="O119" i="13"/>
  <c r="O232" i="13"/>
  <c r="P71" i="13"/>
  <c r="O72" i="13"/>
  <c r="P225" i="13"/>
  <c r="O233" i="13"/>
  <c r="P255" i="13"/>
  <c r="O95" i="13"/>
  <c r="P200" i="13"/>
  <c r="P141" i="13"/>
  <c r="P147" i="13"/>
  <c r="P37" i="13"/>
  <c r="P39" i="13"/>
  <c r="L279" i="13"/>
  <c r="U12" i="10"/>
  <c r="L75" i="16"/>
  <c r="O75" i="16" s="1"/>
  <c r="L121" i="16"/>
  <c r="L179" i="13"/>
  <c r="L40" i="16"/>
  <c r="L115" i="13"/>
  <c r="L37" i="16"/>
  <c r="L83" i="13"/>
  <c r="L236" i="13"/>
  <c r="U8" i="10"/>
  <c r="L51" i="16"/>
  <c r="L85" i="16"/>
  <c r="P85" i="16" s="1"/>
  <c r="L253" i="13"/>
  <c r="L113" i="13"/>
  <c r="L17" i="16"/>
  <c r="L219" i="13"/>
  <c r="L136" i="16"/>
  <c r="L57" i="13"/>
  <c r="G26" i="10"/>
  <c r="L252" i="13"/>
  <c r="L70" i="16"/>
  <c r="L35" i="16"/>
  <c r="L234" i="13"/>
  <c r="L82" i="16"/>
  <c r="L68" i="13"/>
  <c r="L124" i="16"/>
  <c r="O129" i="16"/>
  <c r="L66" i="16"/>
  <c r="L255" i="13"/>
  <c r="G21" i="10"/>
  <c r="L155" i="13"/>
  <c r="U10" i="10"/>
  <c r="L8" i="16"/>
  <c r="L132" i="13"/>
  <c r="L109" i="16"/>
  <c r="L238" i="13"/>
  <c r="L19" i="13"/>
  <c r="L20" i="13"/>
  <c r="O85" i="16"/>
  <c r="L33" i="16"/>
  <c r="L30" i="13"/>
  <c r="L92" i="13"/>
  <c r="L30" i="16"/>
  <c r="P30" i="16" s="1"/>
  <c r="L62" i="13"/>
  <c r="L98" i="16"/>
  <c r="L9" i="16"/>
  <c r="P9" i="16" s="1"/>
  <c r="G22" i="10"/>
  <c r="U5" i="10"/>
  <c r="L249" i="13"/>
  <c r="L223" i="13"/>
  <c r="O138" i="16"/>
  <c r="G30" i="10"/>
  <c r="L100" i="13"/>
  <c r="L60" i="16"/>
  <c r="L9" i="13"/>
  <c r="L11" i="16"/>
  <c r="L36" i="16"/>
  <c r="O36" i="16" s="1"/>
  <c r="L77" i="16"/>
  <c r="L90" i="16"/>
  <c r="L108" i="13"/>
  <c r="G14" i="10"/>
  <c r="L61" i="16"/>
  <c r="O61" i="16" s="1"/>
  <c r="L107" i="13"/>
  <c r="L106" i="16"/>
  <c r="L102" i="16"/>
  <c r="O22" i="16"/>
  <c r="P23" i="16"/>
  <c r="P45" i="16"/>
  <c r="P73" i="16"/>
  <c r="P36" i="16"/>
  <c r="P61" i="16"/>
  <c r="P5" i="16"/>
  <c r="P75" i="13"/>
  <c r="P16" i="13"/>
  <c r="P136" i="13"/>
  <c r="P111" i="13"/>
  <c r="P101" i="13"/>
  <c r="P6" i="13"/>
  <c r="P266" i="13"/>
  <c r="O124" i="13"/>
  <c r="O261" i="13"/>
  <c r="P18" i="13"/>
  <c r="P131" i="13"/>
  <c r="P140" i="13"/>
  <c r="P63" i="13"/>
  <c r="O149" i="13"/>
  <c r="O206" i="13"/>
  <c r="P199" i="13"/>
  <c r="O179" i="13"/>
  <c r="P189" i="13"/>
  <c r="O240" i="13"/>
  <c r="L130" i="13"/>
  <c r="L166" i="13"/>
  <c r="L114" i="16"/>
  <c r="L269" i="13"/>
  <c r="L171" i="13"/>
  <c r="L63" i="16"/>
  <c r="P63" i="16" s="1"/>
  <c r="L55" i="13"/>
  <c r="L6" i="13"/>
  <c r="G23" i="10"/>
  <c r="L75" i="13"/>
  <c r="L86" i="13"/>
  <c r="L38" i="13"/>
  <c r="L196" i="13"/>
  <c r="O37" i="16"/>
  <c r="L62" i="16"/>
  <c r="L146" i="13"/>
  <c r="L19" i="16"/>
  <c r="L48" i="13"/>
  <c r="L38" i="16"/>
  <c r="L47" i="13"/>
  <c r="L20" i="16"/>
  <c r="L222" i="13"/>
  <c r="R9" i="10"/>
  <c r="L42" i="16"/>
  <c r="L131" i="16"/>
  <c r="P131" i="16" s="1"/>
  <c r="L49" i="16"/>
  <c r="L125" i="13"/>
  <c r="L142" i="16"/>
  <c r="L204" i="13"/>
  <c r="L124" i="13"/>
  <c r="R4" i="10"/>
  <c r="L126" i="13"/>
  <c r="L111" i="16"/>
  <c r="L239" i="13"/>
  <c r="L97" i="13"/>
  <c r="L167" i="13"/>
  <c r="R12" i="10"/>
  <c r="L225" i="13"/>
  <c r="G18" i="10"/>
  <c r="L232" i="13"/>
  <c r="L216" i="13"/>
  <c r="L180" i="13"/>
  <c r="G17" i="10"/>
  <c r="L15" i="16"/>
  <c r="L21" i="16"/>
  <c r="L170" i="13"/>
  <c r="G25" i="10"/>
  <c r="L123" i="16"/>
  <c r="G3" i="10"/>
  <c r="L115" i="16"/>
  <c r="R11" i="10"/>
  <c r="L52" i="13"/>
  <c r="L6" i="16"/>
  <c r="G28" i="10"/>
  <c r="L162" i="13"/>
  <c r="L186" i="13"/>
  <c r="L32" i="13"/>
  <c r="L143" i="16"/>
  <c r="L241" i="13"/>
  <c r="L183" i="13"/>
  <c r="G31" i="10"/>
  <c r="L267" i="13"/>
  <c r="O144" i="16"/>
  <c r="L150" i="13"/>
  <c r="O19" i="16"/>
  <c r="O23" i="16"/>
  <c r="O8" i="16"/>
  <c r="O73" i="16"/>
  <c r="P104" i="16"/>
  <c r="P11" i="16"/>
  <c r="P102" i="16"/>
  <c r="O264" i="13"/>
  <c r="P277" i="13"/>
  <c r="P270" i="13"/>
  <c r="O9" i="13"/>
  <c r="O132" i="13"/>
  <c r="P14" i="13"/>
  <c r="O176" i="13"/>
  <c r="P239" i="13"/>
  <c r="O7" i="13"/>
  <c r="P85" i="13"/>
  <c r="P229" i="13"/>
  <c r="P60" i="13"/>
  <c r="O237" i="13"/>
  <c r="P220" i="13"/>
  <c r="P66" i="13"/>
  <c r="P76" i="13"/>
  <c r="O19" i="13"/>
  <c r="L203" i="13"/>
  <c r="L258" i="13"/>
  <c r="L270" i="13"/>
  <c r="L246" i="13"/>
  <c r="L76" i="16"/>
  <c r="L39" i="16"/>
  <c r="L40" i="13"/>
  <c r="L197" i="13"/>
  <c r="R6" i="10"/>
  <c r="L278" i="13"/>
  <c r="L268" i="13"/>
  <c r="L276" i="13"/>
  <c r="L127" i="16"/>
  <c r="G12" i="10"/>
  <c r="L120" i="16"/>
  <c r="L28" i="13"/>
  <c r="L47" i="16"/>
  <c r="P47" i="16" s="1"/>
  <c r="L32" i="16"/>
  <c r="L224" i="13"/>
  <c r="L152" i="13"/>
  <c r="L81" i="16"/>
  <c r="O81" i="16" s="1"/>
  <c r="P51" i="16"/>
  <c r="L146" i="16"/>
  <c r="L185" i="13"/>
  <c r="L26" i="16"/>
  <c r="L44" i="16"/>
  <c r="L189" i="13"/>
  <c r="R7" i="10"/>
  <c r="L51" i="13"/>
  <c r="L82" i="13"/>
  <c r="U9" i="10"/>
  <c r="L96" i="13"/>
  <c r="R19" i="10"/>
  <c r="U11" i="10"/>
  <c r="L4" i="16"/>
  <c r="L85" i="13"/>
  <c r="O52" i="16"/>
  <c r="L89" i="13"/>
  <c r="R15" i="10"/>
  <c r="G5" i="10"/>
  <c r="L18" i="13"/>
  <c r="U13" i="10"/>
  <c r="O35" i="16"/>
  <c r="L23" i="13"/>
  <c r="L83" i="16"/>
  <c r="L17" i="13"/>
  <c r="R13" i="10"/>
  <c r="L228" i="13"/>
  <c r="L143" i="13"/>
  <c r="P76" i="16"/>
  <c r="L76" i="13"/>
  <c r="L65" i="16"/>
  <c r="L272" i="13"/>
  <c r="L198" i="13"/>
  <c r="G9" i="10"/>
  <c r="L286" i="13"/>
  <c r="L126" i="16"/>
  <c r="L264" i="13"/>
  <c r="L90" i="13"/>
  <c r="L205" i="13"/>
  <c r="O26" i="16"/>
  <c r="L72" i="16"/>
  <c r="L95" i="13"/>
  <c r="O41" i="16"/>
  <c r="G11" i="10"/>
  <c r="L118" i="16"/>
  <c r="L212" i="13"/>
  <c r="O66" i="16"/>
  <c r="P8" i="16"/>
  <c r="O104" i="16"/>
  <c r="O11" i="16"/>
  <c r="P87" i="16"/>
  <c r="O102" i="16"/>
  <c r="O97" i="13"/>
  <c r="O137" i="13"/>
  <c r="P102" i="13"/>
  <c r="P109" i="13"/>
  <c r="P41" i="13"/>
  <c r="P259" i="13"/>
  <c r="P139" i="13"/>
  <c r="P146" i="13"/>
  <c r="O161" i="13"/>
  <c r="O271" i="13"/>
  <c r="P35" i="13"/>
  <c r="P174" i="13"/>
  <c r="P201" i="13"/>
  <c r="O234" i="13"/>
  <c r="O104" i="13"/>
  <c r="O169" i="13"/>
  <c r="P269" i="13"/>
  <c r="L50" i="13"/>
  <c r="G6" i="10"/>
  <c r="L74" i="16"/>
  <c r="O74" i="16" s="1"/>
  <c r="L13" i="16"/>
  <c r="L112" i="16"/>
  <c r="P112" i="16" s="1"/>
  <c r="L12" i="16"/>
  <c r="L56" i="13"/>
  <c r="L190" i="13"/>
  <c r="G8" i="10"/>
  <c r="L169" i="13"/>
  <c r="L72" i="13"/>
  <c r="L7" i="13"/>
  <c r="L113" i="16"/>
  <c r="O113" i="16" s="1"/>
  <c r="L260" i="13"/>
  <c r="L86" i="16"/>
  <c r="O86" i="16" s="1"/>
  <c r="L15" i="13"/>
  <c r="L133" i="16"/>
  <c r="L34" i="13"/>
  <c r="L21" i="13"/>
  <c r="L117" i="13"/>
  <c r="L135" i="16"/>
  <c r="O114" i="16"/>
  <c r="L78" i="13"/>
  <c r="L202" i="13"/>
  <c r="L114" i="13"/>
  <c r="L194" i="13"/>
  <c r="O32" i="16"/>
  <c r="L274" i="13"/>
  <c r="L79" i="13"/>
  <c r="L54" i="13"/>
  <c r="U17" i="10"/>
  <c r="L53" i="13"/>
  <c r="L165" i="13"/>
  <c r="O121" i="16"/>
  <c r="O12" i="16"/>
  <c r="L142" i="13"/>
  <c r="L145" i="13"/>
  <c r="L174" i="13"/>
  <c r="L147" i="13"/>
  <c r="G10" i="10"/>
  <c r="L116" i="13"/>
  <c r="P129" i="16"/>
  <c r="L281" i="13"/>
  <c r="L220" i="13"/>
  <c r="L137" i="16"/>
  <c r="O137" i="16" s="1"/>
  <c r="L151" i="13"/>
  <c r="L88" i="16"/>
  <c r="P88" i="16" s="1"/>
  <c r="G34" i="10"/>
  <c r="L263" i="13"/>
  <c r="L63" i="13"/>
  <c r="L172" i="13"/>
  <c r="L89" i="16"/>
  <c r="O89" i="16" s="1"/>
  <c r="L3" i="13"/>
  <c r="O39" i="16"/>
  <c r="L123" i="13"/>
  <c r="L39" i="13"/>
  <c r="L134" i="13"/>
  <c r="L140" i="13"/>
  <c r="L79" i="16"/>
  <c r="L94" i="13"/>
  <c r="O115" i="16"/>
  <c r="L118" i="13"/>
  <c r="L64" i="13"/>
  <c r="P41" i="16"/>
  <c r="P17" i="16"/>
  <c r="O97" i="16"/>
  <c r="U15" i="10"/>
  <c r="G20" i="10"/>
  <c r="L226" i="13"/>
  <c r="L50" i="16"/>
  <c r="P82" i="16"/>
  <c r="P111" i="16"/>
  <c r="O88" i="16"/>
  <c r="P60" i="16"/>
  <c r="P79" i="16"/>
  <c r="P27" i="16"/>
  <c r="P90" i="16"/>
  <c r="P106" i="16"/>
  <c r="P250" i="13"/>
  <c r="O257" i="13"/>
  <c r="P260" i="13"/>
  <c r="O159" i="13"/>
  <c r="P117" i="13"/>
  <c r="O246" i="13"/>
  <c r="P112" i="13"/>
  <c r="O245" i="13"/>
  <c r="O198" i="13"/>
  <c r="O181" i="13"/>
  <c r="P152" i="13"/>
  <c r="O250" i="13"/>
  <c r="P65" i="13"/>
  <c r="P133" i="13"/>
  <c r="O77" i="13"/>
  <c r="O204" i="13"/>
  <c r="L273" i="13"/>
  <c r="L101" i="16"/>
  <c r="L108" i="16"/>
  <c r="U7" i="10"/>
  <c r="L132" i="16"/>
  <c r="L92" i="16"/>
  <c r="O92" i="16" s="1"/>
  <c r="L104" i="13"/>
  <c r="L29" i="16"/>
  <c r="L153" i="13"/>
  <c r="L109" i="13"/>
  <c r="L217" i="13"/>
  <c r="R14" i="10"/>
  <c r="L73" i="13"/>
  <c r="L57" i="16"/>
  <c r="L67" i="16"/>
  <c r="L117" i="16"/>
  <c r="L41" i="13"/>
  <c r="L61" i="13"/>
  <c r="L161" i="13"/>
  <c r="L168" i="13"/>
  <c r="L110" i="13"/>
  <c r="G32" i="10"/>
  <c r="L266" i="13"/>
  <c r="L27" i="13"/>
  <c r="L94" i="16"/>
  <c r="U19" i="10"/>
  <c r="L237" i="13"/>
  <c r="L58" i="16"/>
  <c r="L182" i="13"/>
  <c r="L244" i="13"/>
  <c r="L254" i="13"/>
  <c r="L45" i="13"/>
  <c r="U4" i="10"/>
  <c r="L67" i="13"/>
  <c r="L59" i="16"/>
  <c r="L2" i="16"/>
  <c r="L81" i="13"/>
  <c r="L200" i="13"/>
  <c r="L149" i="13"/>
  <c r="L209" i="13"/>
  <c r="U16" i="10"/>
  <c r="L229" i="13"/>
  <c r="L218" i="13"/>
  <c r="L122" i="13"/>
  <c r="L16" i="16"/>
  <c r="O16" i="16" s="1"/>
  <c r="L69" i="13"/>
  <c r="R10" i="10"/>
  <c r="L16" i="13"/>
  <c r="L141" i="16"/>
  <c r="P141" i="16" s="1"/>
  <c r="L3" i="16"/>
  <c r="P127" i="16"/>
  <c r="L84" i="13"/>
  <c r="L107" i="16"/>
  <c r="O107" i="16" s="1"/>
  <c r="P38" i="16"/>
  <c r="L46" i="16"/>
  <c r="L277" i="13"/>
  <c r="L215" i="13"/>
  <c r="L91" i="16"/>
  <c r="P91" i="16" s="1"/>
  <c r="L80" i="13"/>
  <c r="O109" i="16"/>
  <c r="L99" i="16"/>
  <c r="P142" i="16"/>
  <c r="P4" i="16"/>
  <c r="L211" i="13"/>
  <c r="L163" i="13"/>
  <c r="L24" i="16"/>
  <c r="O24" i="16" s="1"/>
  <c r="L282" i="13"/>
  <c r="U14" i="10"/>
  <c r="L60" i="13"/>
  <c r="L251" i="13"/>
  <c r="L178" i="13"/>
  <c r="L53" i="16"/>
  <c r="O53" i="16" s="1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P258" i="13"/>
  <c r="O187" i="13"/>
  <c r="P68" i="13"/>
  <c r="O100" i="13"/>
  <c r="P246" i="13"/>
  <c r="O6" i="13"/>
  <c r="P186" i="13"/>
  <c r="P222" i="13"/>
  <c r="P144" i="13"/>
  <c r="O197" i="13"/>
  <c r="P12" i="13"/>
  <c r="O196" i="13"/>
  <c r="P77" i="13"/>
  <c r="O255" i="13"/>
  <c r="O226" i="13"/>
  <c r="O154" i="13"/>
  <c r="O16" i="13"/>
  <c r="O103" i="13"/>
  <c r="O120" i="13"/>
  <c r="G27" i="10"/>
  <c r="L95" i="16"/>
  <c r="P95" i="16" s="1"/>
  <c r="L80" i="16"/>
  <c r="O80" i="16" s="1"/>
  <c r="L284" i="13"/>
  <c r="L43" i="13"/>
  <c r="L4" i="13"/>
  <c r="L48" i="16"/>
  <c r="L8" i="13"/>
  <c r="R5" i="10"/>
  <c r="L259" i="13"/>
  <c r="P13" i="16"/>
  <c r="L84" i="16"/>
  <c r="L24" i="13"/>
  <c r="L135" i="13"/>
  <c r="L122" i="16"/>
  <c r="R8" i="10"/>
  <c r="R17" i="10"/>
  <c r="R16" i="10"/>
  <c r="L262" i="13"/>
  <c r="L105" i="16"/>
  <c r="L164" i="13"/>
  <c r="L101" i="13"/>
  <c r="L221" i="13"/>
  <c r="O17" i="16"/>
  <c r="P136" i="16"/>
  <c r="R18" i="10"/>
  <c r="L233" i="13"/>
  <c r="L160" i="13"/>
  <c r="L144" i="13"/>
  <c r="L187" i="13"/>
  <c r="L25" i="13"/>
  <c r="P81" i="16"/>
  <c r="P70" i="16"/>
  <c r="L248" i="13"/>
  <c r="L139" i="16"/>
  <c r="O139" i="16" s="1"/>
  <c r="O124" i="16"/>
  <c r="P49" i="16"/>
  <c r="L285" i="13"/>
  <c r="L100" i="16"/>
  <c r="L93" i="16"/>
  <c r="L87" i="13"/>
  <c r="O142" i="16"/>
  <c r="L134" i="16"/>
  <c r="P134" i="16" s="1"/>
  <c r="L243" i="13"/>
  <c r="L133" i="13"/>
  <c r="O62" i="16"/>
  <c r="L245" i="13"/>
  <c r="L68" i="16"/>
  <c r="O68" i="16" s="1"/>
  <c r="L119" i="16"/>
  <c r="L10" i="16"/>
  <c r="L46" i="13"/>
  <c r="L105" i="13"/>
  <c r="L28" i="16"/>
  <c r="O28" i="16" s="1"/>
  <c r="O117" i="16"/>
  <c r="L29" i="13"/>
  <c r="L111" i="13"/>
  <c r="L78" i="16"/>
  <c r="G13" i="10"/>
  <c r="L49" i="13"/>
  <c r="P58" i="16"/>
  <c r="P75" i="16"/>
  <c r="L69" i="16"/>
  <c r="O69" i="16" s="1"/>
  <c r="L13" i="13"/>
  <c r="L242" i="13"/>
  <c r="L98" i="13"/>
  <c r="L2" i="13"/>
  <c r="L44" i="13"/>
  <c r="L176" i="13"/>
  <c r="L139" i="13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O125" i="13"/>
  <c r="O91" i="13"/>
  <c r="P211" i="13"/>
  <c r="O62" i="13"/>
  <c r="O214" i="13"/>
  <c r="O227" i="13"/>
  <c r="P243" i="13"/>
  <c r="O192" i="13"/>
  <c r="O42" i="13"/>
  <c r="O281" i="13"/>
  <c r="O40" i="13"/>
  <c r="P79" i="13"/>
  <c r="O83" i="13"/>
  <c r="P202" i="13"/>
  <c r="O109" i="13"/>
  <c r="O5" i="13"/>
  <c r="O65" i="13"/>
  <c r="O164" i="13"/>
  <c r="L35" i="13"/>
  <c r="L22" i="13"/>
  <c r="L103" i="16"/>
  <c r="P103" i="16" s="1"/>
  <c r="L199" i="13"/>
  <c r="L112" i="13"/>
  <c r="L159" i="13"/>
  <c r="L96" i="16"/>
  <c r="L71" i="13"/>
  <c r="L195" i="13"/>
  <c r="L192" i="13"/>
  <c r="P114" i="16"/>
  <c r="L74" i="13"/>
  <c r="L93" i="13"/>
  <c r="U18" i="10"/>
  <c r="L128" i="16"/>
  <c r="L177" i="13"/>
  <c r="L130" i="16"/>
  <c r="L261" i="13"/>
  <c r="L240" i="13"/>
  <c r="L7" i="16"/>
  <c r="L14" i="13"/>
  <c r="L230" i="13"/>
  <c r="G24" i="10"/>
  <c r="L231" i="13"/>
  <c r="L31" i="13"/>
  <c r="L43" i="16"/>
  <c r="L33" i="13"/>
  <c r="L137" i="13"/>
  <c r="L5" i="13"/>
  <c r="L12" i="13"/>
  <c r="P43" i="16"/>
  <c r="O94" i="16"/>
  <c r="L120" i="13"/>
  <c r="L131" i="13"/>
  <c r="L214" i="13"/>
  <c r="P133" i="16"/>
  <c r="L65" i="13"/>
  <c r="L64" i="16"/>
  <c r="L275" i="13"/>
  <c r="L55" i="16"/>
  <c r="L138" i="13"/>
  <c r="U6" i="10"/>
  <c r="L31" i="16"/>
  <c r="L271" i="13"/>
  <c r="O112" i="16"/>
  <c r="L66" i="13"/>
  <c r="L256" i="13"/>
  <c r="L14" i="16"/>
  <c r="L207" i="13"/>
  <c r="L145" i="16"/>
  <c r="L227" i="13"/>
  <c r="L116" i="16"/>
  <c r="O116" i="16" s="1"/>
  <c r="P35" i="16"/>
  <c r="L54" i="16"/>
  <c r="P54" i="16" s="1"/>
  <c r="L106" i="13"/>
  <c r="L235" i="13"/>
  <c r="P10" i="16"/>
  <c r="L265" i="13"/>
  <c r="L42" i="13"/>
  <c r="P21" i="16"/>
  <c r="L71" i="16"/>
  <c r="L175" i="13"/>
  <c r="O95" i="16"/>
  <c r="L125" i="16"/>
  <c r="P125" i="16" s="1"/>
  <c r="L181" i="13"/>
  <c r="L128" i="13"/>
  <c r="G15" i="10"/>
  <c r="L188" i="13"/>
  <c r="L58" i="13"/>
  <c r="L148" i="13"/>
  <c r="L103" i="13"/>
  <c r="L37" i="13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10" i="1"/>
  <c r="M82" i="16"/>
  <c r="M92" i="16"/>
  <c r="M122" i="16"/>
  <c r="M282" i="13"/>
  <c r="M241" i="13"/>
  <c r="M96" i="13"/>
  <c r="W17" i="10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T13" i="10"/>
  <c r="M216" i="13"/>
  <c r="M165" i="13"/>
  <c r="W11" i="10"/>
  <c r="M186" i="13"/>
  <c r="P117" i="16"/>
  <c r="M125" i="16"/>
  <c r="W9" i="10"/>
  <c r="M42" i="16"/>
  <c r="M206" i="13"/>
  <c r="M124" i="13"/>
  <c r="M273" i="13"/>
  <c r="M19" i="13"/>
  <c r="P92" i="16"/>
  <c r="W4" i="10"/>
  <c r="M106" i="13"/>
  <c r="M69" i="13"/>
  <c r="M84" i="13"/>
  <c r="M163" i="13"/>
  <c r="M30" i="13"/>
  <c r="M18" i="13"/>
  <c r="P19" i="16"/>
  <c r="M263" i="13"/>
  <c r="T19" i="10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W12" i="10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T12" i="10"/>
  <c r="W7" i="10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T6" i="10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W15" i="10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T16" i="10"/>
  <c r="M194" i="13"/>
  <c r="M265" i="13"/>
  <c r="M240" i="13"/>
  <c r="M60" i="13"/>
  <c r="M124" i="16"/>
  <c r="M215" i="13"/>
  <c r="P74" i="16"/>
  <c r="M256" i="13"/>
  <c r="W19" i="10"/>
  <c r="M149" i="13"/>
  <c r="M108" i="16"/>
  <c r="M40" i="13"/>
  <c r="T15" i="10"/>
  <c r="M234" i="13"/>
  <c r="M9" i="16"/>
  <c r="M79" i="16"/>
  <c r="M66" i="16"/>
  <c r="W5" i="10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W6" i="10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T17" i="10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T5" i="10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T9" i="10"/>
  <c r="M94" i="13"/>
  <c r="M118" i="13"/>
  <c r="W8" i="10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193" i="13"/>
  <c r="O207" i="13"/>
  <c r="P69" i="13"/>
  <c r="O200" i="13"/>
  <c r="O213" i="13"/>
  <c r="O270" i="13"/>
  <c r="P191" i="13"/>
  <c r="P125" i="13"/>
  <c r="O238" i="13"/>
  <c r="P145" i="13"/>
  <c r="O230" i="13"/>
  <c r="O15" i="13"/>
  <c r="P53" i="13"/>
  <c r="P198" i="13"/>
  <c r="N42" i="16"/>
  <c r="N38" i="13"/>
  <c r="N137" i="16"/>
  <c r="N92" i="16"/>
  <c r="O195" i="13"/>
  <c r="N244" i="13"/>
  <c r="N66" i="16"/>
  <c r="N44" i="16"/>
  <c r="O118" i="13"/>
  <c r="O280" i="13"/>
  <c r="N143" i="13"/>
  <c r="O274" i="13"/>
  <c r="N180" i="13"/>
  <c r="O218" i="13"/>
  <c r="P17" i="13"/>
  <c r="M21" i="10"/>
  <c r="N167" i="13"/>
  <c r="O17" i="13"/>
  <c r="N141" i="16"/>
  <c r="N93" i="16"/>
  <c r="O273" i="13"/>
  <c r="O220" i="13"/>
  <c r="N92" i="13"/>
  <c r="O105" i="13"/>
  <c r="S31" i="10"/>
  <c r="N276" i="13"/>
  <c r="N90" i="16"/>
  <c r="O58" i="13"/>
  <c r="O225" i="13"/>
  <c r="N171" i="13"/>
  <c r="P237" i="13"/>
  <c r="N173" i="13"/>
  <c r="N86" i="16"/>
  <c r="N155" i="13"/>
  <c r="N56" i="16"/>
  <c r="V33" i="10"/>
  <c r="P90" i="13"/>
  <c r="O144" i="13"/>
  <c r="P245" i="13"/>
  <c r="S15" i="10"/>
  <c r="N81" i="13"/>
  <c r="O27" i="13"/>
  <c r="O86" i="13"/>
  <c r="N170" i="13"/>
  <c r="N108" i="13"/>
  <c r="N94" i="13"/>
  <c r="S33" i="10"/>
  <c r="N114" i="16"/>
  <c r="N265" i="13"/>
  <c r="N115" i="13"/>
  <c r="P154" i="13"/>
  <c r="N82" i="13"/>
  <c r="N59" i="16"/>
  <c r="V38" i="10"/>
  <c r="N109" i="16"/>
  <c r="O98" i="13"/>
  <c r="N256" i="13"/>
  <c r="N84" i="13"/>
  <c r="V19" i="10"/>
  <c r="N64" i="13"/>
  <c r="N113" i="13"/>
  <c r="M3" i="10"/>
  <c r="W23" i="10"/>
  <c r="N223" i="13"/>
  <c r="O11" i="13"/>
  <c r="S14" i="10"/>
  <c r="P185" i="13"/>
  <c r="N52" i="13"/>
  <c r="U25" i="10"/>
  <c r="O112" i="13"/>
  <c r="W39" i="10"/>
  <c r="N248" i="13"/>
  <c r="M22" i="10"/>
  <c r="N39" i="16"/>
  <c r="N56" i="13"/>
  <c r="S6" i="10"/>
  <c r="O199" i="13"/>
  <c r="N215" i="13"/>
  <c r="N32" i="13"/>
  <c r="P106" i="13"/>
  <c r="N142" i="13"/>
  <c r="N43" i="16"/>
  <c r="N62" i="16"/>
  <c r="V9" i="10"/>
  <c r="N236" i="13"/>
  <c r="N153" i="13"/>
  <c r="N20" i="13"/>
  <c r="N132" i="16"/>
  <c r="U23" i="10"/>
  <c r="N94" i="16"/>
  <c r="N175" i="13"/>
  <c r="M5" i="10"/>
  <c r="N70" i="13"/>
  <c r="N10" i="16"/>
  <c r="O269" i="13"/>
  <c r="U36" i="10"/>
  <c r="U26" i="10"/>
  <c r="N9" i="16"/>
  <c r="N24" i="16"/>
  <c r="P209" i="13"/>
  <c r="O21" i="13"/>
  <c r="P21" i="13"/>
  <c r="P249" i="13"/>
  <c r="P208" i="13"/>
  <c r="O208" i="13"/>
  <c r="O150" i="13"/>
  <c r="P150" i="13"/>
  <c r="O49" i="13"/>
  <c r="P49" i="13"/>
  <c r="P156" i="13"/>
  <c r="O156" i="13"/>
  <c r="P116" i="13"/>
  <c r="O116" i="13"/>
  <c r="P29" i="13"/>
  <c r="P160" i="13"/>
  <c r="O160" i="13"/>
  <c r="O212" i="13"/>
  <c r="P212" i="13"/>
  <c r="P47" i="13"/>
  <c r="O47" i="13"/>
  <c r="O123" i="13"/>
  <c r="P123" i="13"/>
  <c r="P284" i="13"/>
  <c r="O284" i="13"/>
  <c r="P219" i="13"/>
  <c r="O219" i="13"/>
  <c r="P30" i="13"/>
  <c r="O30" i="13"/>
  <c r="P130" i="13"/>
  <c r="P272" i="13"/>
  <c r="O99" i="13"/>
  <c r="P168" i="13"/>
  <c r="P22" i="13"/>
  <c r="O23" i="13"/>
  <c r="P23" i="13"/>
  <c r="O25" i="13"/>
  <c r="P25" i="13"/>
  <c r="O13" i="13"/>
  <c r="P13" i="13"/>
  <c r="O44" i="13"/>
  <c r="O134" i="13"/>
  <c r="O190" i="13"/>
  <c r="P61" i="13"/>
  <c r="O61" i="13"/>
  <c r="P107" i="13"/>
  <c r="O107" i="13"/>
  <c r="O286" i="13"/>
  <c r="P286" i="13"/>
  <c r="P203" i="13"/>
  <c r="P2" i="13"/>
  <c r="O2" i="13"/>
  <c r="O235" i="13"/>
  <c r="P235" i="13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O193" i="13"/>
  <c r="P193" i="13"/>
  <c r="P38" i="13"/>
  <c r="O38" i="13"/>
  <c r="P244" i="13"/>
  <c r="O244" i="13"/>
  <c r="P180" i="13"/>
  <c r="P167" i="13"/>
  <c r="O167" i="13"/>
  <c r="P276" i="13"/>
  <c r="O276" i="13"/>
  <c r="P171" i="13"/>
  <c r="O171" i="13"/>
  <c r="P173" i="13"/>
  <c r="O173" i="13"/>
  <c r="P155" i="13"/>
  <c r="O155" i="13"/>
  <c r="O81" i="13"/>
  <c r="P170" i="13"/>
  <c r="O170" i="13"/>
  <c r="P108" i="13"/>
  <c r="O108" i="13"/>
  <c r="O94" i="13"/>
  <c r="P94" i="13"/>
  <c r="P265" i="13"/>
  <c r="O265" i="13"/>
  <c r="P115" i="13"/>
  <c r="P82" i="13"/>
  <c r="O82" i="13"/>
  <c r="P256" i="13"/>
  <c r="O256" i="13"/>
  <c r="P84" i="13"/>
  <c r="O84" i="13"/>
  <c r="P113" i="13"/>
  <c r="O113" i="13"/>
  <c r="P223" i="13"/>
  <c r="O223" i="13"/>
  <c r="P52" i="13"/>
  <c r="O248" i="13"/>
  <c r="P248" i="13"/>
  <c r="O56" i="13"/>
  <c r="P56" i="13"/>
  <c r="O215" i="13"/>
  <c r="O32" i="13"/>
  <c r="P32" i="13"/>
  <c r="O142" i="13"/>
  <c r="P142" i="13"/>
  <c r="O236" i="13"/>
  <c r="P236" i="13"/>
  <c r="P153" i="13"/>
  <c r="O153" i="13"/>
  <c r="O20" i="13"/>
  <c r="P20" i="13"/>
  <c r="O175" i="13"/>
  <c r="P175" i="13"/>
  <c r="P70" i="13"/>
  <c r="O70" i="13"/>
  <c r="M135" i="16"/>
  <c r="M266" i="13"/>
  <c r="M243" i="13"/>
  <c r="M145" i="13"/>
  <c r="M16" i="13"/>
  <c r="M126" i="13"/>
  <c r="M239" i="13"/>
  <c r="M27" i="13"/>
  <c r="M208" i="13"/>
  <c r="M142" i="13"/>
  <c r="T8" i="10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T11" i="10"/>
  <c r="M210" i="13"/>
  <c r="W16" i="10"/>
  <c r="M218" i="13"/>
  <c r="M251" i="13"/>
  <c r="M127" i="16"/>
  <c r="M225" i="13"/>
  <c r="M131" i="13"/>
  <c r="M4" i="16"/>
  <c r="M116" i="16"/>
  <c r="T7" i="10"/>
  <c r="M158" i="13"/>
  <c r="M228" i="13"/>
  <c r="M153" i="13"/>
  <c r="T4" i="10"/>
  <c r="M270" i="13"/>
  <c r="W13" i="10"/>
  <c r="M236" i="13"/>
  <c r="T10" i="10"/>
  <c r="M8" i="13"/>
  <c r="M34" i="16"/>
  <c r="M2" i="16"/>
  <c r="W18" i="10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20" i="1"/>
  <c r="M146" i="13"/>
  <c r="M142" i="16"/>
  <c r="M276" i="13"/>
  <c r="M89" i="13"/>
  <c r="M111" i="13"/>
  <c r="M104" i="16"/>
  <c r="M44" i="16"/>
  <c r="M31" i="16"/>
  <c r="M171" i="13"/>
  <c r="M185" i="13"/>
  <c r="M269" i="13"/>
  <c r="W10" i="10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T14" i="10"/>
  <c r="M60" i="16"/>
  <c r="W3" i="10"/>
  <c r="M271" i="13"/>
  <c r="M102" i="16"/>
  <c r="M174" i="13"/>
  <c r="M112" i="13"/>
  <c r="M129" i="13"/>
  <c r="M12" i="13"/>
  <c r="M41" i="13"/>
  <c r="M204" i="13"/>
  <c r="T3" i="10"/>
  <c r="M120" i="13"/>
  <c r="M12" i="16"/>
  <c r="M57" i="16"/>
  <c r="M59" i="16"/>
  <c r="M29" i="13"/>
  <c r="M75" i="13"/>
  <c r="T18" i="10"/>
  <c r="W14" i="10"/>
  <c r="M55" i="13"/>
  <c r="M143" i="13"/>
  <c r="M109" i="16"/>
  <c r="M110" i="16"/>
  <c r="M64" i="13"/>
  <c r="M84" i="16"/>
  <c r="M29" i="16"/>
  <c r="M58" i="16"/>
  <c r="O143" i="13"/>
  <c r="P143" i="13"/>
  <c r="P92" i="13"/>
  <c r="O92" i="13"/>
  <c r="O64" i="13"/>
  <c r="P64" i="13"/>
  <c r="Q64" i="13" l="1"/>
  <c r="Q92" i="13"/>
  <c r="Q143" i="13"/>
  <c r="Y14" i="10"/>
  <c r="Y3" i="10"/>
  <c r="Y10" i="10"/>
  <c r="Y18" i="10"/>
  <c r="Y13" i="10"/>
  <c r="Y16" i="10"/>
  <c r="Q70" i="13"/>
  <c r="Q175" i="13"/>
  <c r="Q20" i="13"/>
  <c r="Q153" i="13"/>
  <c r="Q236" i="13"/>
  <c r="Q142" i="13"/>
  <c r="Q32" i="13"/>
  <c r="Q215" i="13"/>
  <c r="Q56" i="13"/>
  <c r="Q248" i="13"/>
  <c r="Q223" i="13"/>
  <c r="Q113" i="13"/>
  <c r="Q84" i="13"/>
  <c r="Q256" i="13"/>
  <c r="Q82" i="13"/>
  <c r="Q265" i="13"/>
  <c r="Q94" i="13"/>
  <c r="Q108" i="13"/>
  <c r="Q170" i="13"/>
  <c r="Q81" i="13"/>
  <c r="Q155" i="13"/>
  <c r="Q173" i="13"/>
  <c r="Q171" i="13"/>
  <c r="Q276" i="13"/>
  <c r="Q167" i="13"/>
  <c r="Q244" i="13"/>
  <c r="Q38" i="13"/>
  <c r="Q193" i="13"/>
  <c r="Q235" i="13"/>
  <c r="Q2" i="13"/>
  <c r="Q286" i="13"/>
  <c r="Q107" i="13"/>
  <c r="Q61" i="13"/>
  <c r="Q190" i="13"/>
  <c r="Q134" i="13"/>
  <c r="Q44" i="13"/>
  <c r="Q13" i="13"/>
  <c r="Q25" i="13"/>
  <c r="Q23" i="13"/>
  <c r="Q99" i="13"/>
  <c r="Q30" i="13"/>
  <c r="Q219" i="13"/>
  <c r="Q284" i="13"/>
  <c r="Q123" i="13"/>
  <c r="Q47" i="13"/>
  <c r="Q212" i="13"/>
  <c r="Q160" i="13"/>
  <c r="Q116" i="13"/>
  <c r="Q156" i="13"/>
  <c r="Q49" i="13"/>
  <c r="Q150" i="13"/>
  <c r="Q208" i="13"/>
  <c r="Q21" i="13"/>
  <c r="Q269" i="13"/>
  <c r="Q199" i="13"/>
  <c r="R26" i="10"/>
  <c r="Q112" i="13"/>
  <c r="R34" i="10"/>
  <c r="Q11" i="13"/>
  <c r="Q98" i="13"/>
  <c r="Q86" i="13"/>
  <c r="Q27" i="13"/>
  <c r="R35" i="10"/>
  <c r="Q144" i="13"/>
  <c r="Q225" i="13"/>
  <c r="Q58" i="13"/>
  <c r="Q105" i="13"/>
  <c r="Q220" i="13"/>
  <c r="Q273" i="13"/>
  <c r="Q17" i="13"/>
  <c r="Q218" i="13"/>
  <c r="Q274" i="13"/>
  <c r="Q280" i="13"/>
  <c r="Q118" i="13"/>
  <c r="Q195" i="13"/>
  <c r="Q15" i="13"/>
  <c r="Q230" i="13"/>
  <c r="Q238" i="13"/>
  <c r="Q270" i="13"/>
  <c r="Q213" i="13"/>
  <c r="Q200" i="13"/>
  <c r="Q207" i="13"/>
  <c r="Y8" i="10"/>
  <c r="Y6" i="10"/>
  <c r="Y5" i="10"/>
  <c r="Y19" i="10"/>
  <c r="Y15" i="10"/>
  <c r="Y7" i="10"/>
  <c r="Y12" i="10"/>
  <c r="Y4" i="10"/>
  <c r="Y9" i="10"/>
  <c r="Y11" i="10"/>
  <c r="Y17" i="10"/>
  <c r="Q164" i="13"/>
  <c r="Q65" i="13"/>
  <c r="Q5" i="13"/>
  <c r="Q109" i="13"/>
  <c r="Q83" i="13"/>
  <c r="Q40" i="13"/>
  <c r="Q281" i="13"/>
  <c r="Q42" i="13"/>
  <c r="Q192" i="13"/>
  <c r="Q227" i="13"/>
  <c r="Q214" i="13"/>
  <c r="Q62" i="13"/>
  <c r="Q91" i="13"/>
  <c r="Q125" i="13"/>
  <c r="Q120" i="13"/>
  <c r="Q103" i="13"/>
  <c r="Q16" i="13"/>
  <c r="Q154" i="13"/>
  <c r="Q226" i="13"/>
  <c r="Q255" i="13"/>
  <c r="Q196" i="13"/>
  <c r="Q197" i="13"/>
  <c r="Q6" i="13"/>
  <c r="Q100" i="13"/>
  <c r="Q187" i="13"/>
  <c r="Q204" i="13"/>
  <c r="Q77" i="13"/>
  <c r="Q250" i="13"/>
  <c r="Q181" i="13"/>
  <c r="Q198" i="13"/>
  <c r="Q245" i="13"/>
  <c r="Q246" i="13"/>
  <c r="Q159" i="13"/>
  <c r="Q41" i="13"/>
  <c r="Q257" i="13"/>
  <c r="Q169" i="13"/>
  <c r="Q104" i="13"/>
  <c r="Q234" i="13"/>
  <c r="Q271" i="13"/>
  <c r="Q161" i="13"/>
  <c r="Q137" i="13"/>
  <c r="Q97" i="13"/>
  <c r="Q19" i="13"/>
  <c r="Q237" i="13"/>
  <c r="Q7" i="13"/>
  <c r="Q176" i="13"/>
  <c r="Q132" i="13"/>
  <c r="Q9" i="13"/>
  <c r="Q264" i="13"/>
  <c r="Q240" i="13"/>
  <c r="Q179" i="13"/>
  <c r="Q206" i="13"/>
  <c r="Q149" i="13"/>
  <c r="Q261" i="13"/>
  <c r="Q124" i="13"/>
  <c r="Q95" i="13"/>
  <c r="Q233" i="13"/>
  <c r="Q72" i="13"/>
  <c r="Q232" i="13"/>
  <c r="Q119" i="13"/>
  <c r="Q127" i="13"/>
  <c r="Q183" i="13"/>
  <c r="Q278" i="13"/>
  <c r="Q96" i="13"/>
  <c r="Q268" i="13"/>
  <c r="Q34" i="13"/>
  <c r="Q258" i="13"/>
  <c r="Q136" i="13"/>
  <c r="Q231" i="13"/>
  <c r="Q141" i="13"/>
  <c r="Q145" i="13"/>
  <c r="Q63" i="13"/>
  <c r="Q177" i="13"/>
  <c r="Q69" i="13"/>
  <c r="Q78" i="13"/>
  <c r="Q135" i="13"/>
  <c r="Q3" i="13"/>
  <c r="Q188" i="13"/>
  <c r="Q263" i="13"/>
  <c r="Q74" i="13"/>
  <c r="Q163" i="13"/>
  <c r="Q46" i="13"/>
  <c r="Q138" i="13"/>
  <c r="Q50" i="13"/>
  <c r="Q228" i="13"/>
  <c r="Q210" i="13"/>
  <c r="R28" i="10"/>
  <c r="Q194" i="13"/>
  <c r="Q174" i="13"/>
  <c r="Q88" i="13"/>
  <c r="Q162" i="13"/>
  <c r="Q102" i="13"/>
  <c r="Q60" i="13"/>
  <c r="Q247" i="13"/>
  <c r="Q139" i="13"/>
  <c r="Q39" i="13"/>
  <c r="Q254" i="13"/>
  <c r="Q186" i="13"/>
  <c r="Q152" i="13"/>
  <c r="Q242" i="13"/>
  <c r="Q184" i="13"/>
  <c r="Q89" i="13"/>
  <c r="Q26" i="13"/>
  <c r="Q93" i="13"/>
  <c r="Q216" i="13"/>
  <c r="Q217" i="13"/>
  <c r="Q191" i="13"/>
  <c r="Q18" i="13"/>
  <c r="Q259" i="13"/>
  <c r="Q202" i="13"/>
  <c r="Q79" i="13"/>
  <c r="Q106" i="13"/>
  <c r="Q45" i="13"/>
  <c r="Q243" i="13"/>
  <c r="Q59" i="13"/>
  <c r="Q185" i="13"/>
  <c r="Q114" i="13"/>
  <c r="Q117" i="13"/>
  <c r="Q121" i="13"/>
  <c r="Q126" i="13"/>
  <c r="Q262" i="13"/>
  <c r="Q28" i="13"/>
  <c r="Q57" i="13"/>
  <c r="Q166" i="13"/>
  <c r="Q148" i="13"/>
  <c r="Q110" i="13"/>
  <c r="Q129" i="13"/>
  <c r="Q71" i="13"/>
  <c r="Q229" i="13"/>
  <c r="R23" i="10"/>
  <c r="Q252" i="13"/>
  <c r="R36" i="10"/>
  <c r="Q111" i="13"/>
  <c r="Q36" i="13"/>
  <c r="Q85" i="13"/>
  <c r="Q12" i="13"/>
  <c r="Q66" i="13"/>
  <c r="Q182" i="13"/>
  <c r="Q260" i="13"/>
  <c r="Q283" i="13"/>
  <c r="Q253" i="13"/>
  <c r="Q101" i="13"/>
  <c r="Q172" i="13"/>
  <c r="Q90" i="13"/>
  <c r="Q37" i="13"/>
  <c r="R29" i="10"/>
  <c r="Q279" i="13"/>
  <c r="Q189" i="13"/>
  <c r="Q147" i="13"/>
  <c r="Q51" i="13"/>
  <c r="Q267" i="13"/>
  <c r="Q4" i="13"/>
  <c r="Q80" i="13"/>
  <c r="R31" i="10"/>
  <c r="R38" i="10"/>
  <c r="Q8" i="13"/>
  <c r="Q53" i="13"/>
  <c r="R33" i="10"/>
  <c r="Q157" i="13"/>
  <c r="Q275" i="13"/>
  <c r="Q35" i="13"/>
  <c r="Q68" i="13"/>
  <c r="Q224" i="13"/>
  <c r="Q10" i="13"/>
  <c r="Q54" i="13"/>
  <c r="Q241" i="13"/>
  <c r="R27" i="10"/>
  <c r="Q165" i="13"/>
  <c r="Q178" i="13"/>
  <c r="Q33" i="13"/>
  <c r="R25" i="10"/>
  <c r="R24" i="10"/>
  <c r="Q87" i="13"/>
  <c r="R32" i="10"/>
  <c r="Q151" i="13"/>
  <c r="Q55" i="13"/>
  <c r="Q277" i="13"/>
  <c r="R37" i="10"/>
  <c r="Q128" i="13"/>
  <c r="Q158" i="13"/>
  <c r="Q251" i="13"/>
  <c r="Q73" i="13"/>
  <c r="R30" i="10"/>
  <c r="Q282" i="13"/>
  <c r="Q75" i="13"/>
  <c r="Q43" i="13"/>
  <c r="Q222" i="13"/>
  <c r="R39" i="10"/>
  <c r="M193" i="13"/>
  <c r="P48" i="16"/>
  <c r="P132" i="16"/>
  <c r="O4" i="16"/>
  <c r="O21" i="16"/>
  <c r="P37" i="16"/>
  <c r="L193" i="13"/>
  <c r="O48" i="13"/>
  <c r="P164" i="13"/>
  <c r="P11" i="13"/>
  <c r="P27" i="13"/>
  <c r="O285" i="13"/>
  <c r="P214" i="13"/>
  <c r="O140" i="13"/>
  <c r="O221" i="13"/>
  <c r="P74" i="13"/>
  <c r="O22" i="13"/>
  <c r="O122" i="16"/>
  <c r="P29" i="16"/>
  <c r="O13" i="16"/>
  <c r="O126" i="16"/>
  <c r="P123" i="16"/>
  <c r="O51" i="16"/>
  <c r="P62" i="13"/>
  <c r="P190" i="13"/>
  <c r="P280" i="13"/>
  <c r="P261" i="13"/>
  <c r="O201" i="13"/>
  <c r="O14" i="13"/>
  <c r="P179" i="13"/>
  <c r="P215" i="13"/>
  <c r="O130" i="16"/>
  <c r="O10" i="16"/>
  <c r="P67" i="16"/>
  <c r="P12" i="16"/>
  <c r="O76" i="16"/>
  <c r="P115" i="16"/>
  <c r="O136" i="16"/>
  <c r="P127" i="13"/>
  <c r="P104" i="13"/>
  <c r="O239" i="13"/>
  <c r="P42" i="13"/>
  <c r="P83" i="13"/>
  <c r="O211" i="13"/>
  <c r="P138" i="13"/>
  <c r="P58" i="13"/>
  <c r="O67" i="13"/>
  <c r="P26" i="16"/>
  <c r="O180" i="13"/>
  <c r="P7" i="16"/>
  <c r="O78" i="16"/>
  <c r="P94" i="16"/>
  <c r="O133" i="16"/>
  <c r="P39" i="16"/>
  <c r="O70" i="16"/>
  <c r="P52" i="16"/>
  <c r="O203" i="13"/>
  <c r="P44" i="13"/>
  <c r="O168" i="13"/>
  <c r="O130" i="13"/>
  <c r="O29" i="13"/>
  <c r="P274" i="13"/>
  <c r="P254" i="13"/>
  <c r="O76" i="13"/>
  <c r="P81" i="13"/>
  <c r="O14" i="16"/>
  <c r="O58" i="16"/>
  <c r="O135" i="16"/>
  <c r="O127" i="16"/>
  <c r="P62" i="16"/>
  <c r="P124" i="16"/>
  <c r="P138" i="16"/>
  <c r="P96" i="13"/>
  <c r="O133" i="13"/>
  <c r="O249" i="13"/>
  <c r="P4" i="13"/>
  <c r="P158" i="13"/>
  <c r="O209" i="13"/>
  <c r="O205" i="13"/>
  <c r="O108" i="16"/>
  <c r="P99" i="13"/>
  <c r="O115" i="13"/>
  <c r="P32" i="16"/>
  <c r="O38" i="16"/>
  <c r="P109" i="16"/>
  <c r="P97" i="16"/>
  <c r="P134" i="13"/>
  <c r="O272" i="13"/>
  <c r="P240" i="13"/>
  <c r="P161" i="13"/>
  <c r="O266" i="13"/>
  <c r="O31" i="13"/>
  <c r="P43" i="13"/>
  <c r="P121" i="16"/>
  <c r="O52" i="13"/>
  <c r="P146" i="16"/>
  <c r="O49" i="16"/>
  <c r="P144" i="16"/>
  <c r="O146" i="13"/>
  <c r="P19" i="13"/>
  <c r="O122" i="13"/>
  <c r="O24" i="13"/>
  <c r="P103" i="13"/>
  <c r="P281" i="13"/>
  <c r="O131" i="13"/>
  <c r="P195" i="13"/>
  <c r="P15" i="16"/>
  <c r="P251" i="13"/>
  <c r="Q131" i="13" l="1"/>
  <c r="Q24" i="13"/>
  <c r="Q122" i="13"/>
  <c r="Q146" i="13"/>
  <c r="Q52" i="13"/>
  <c r="Q31" i="13"/>
  <c r="Q266" i="13"/>
  <c r="Q272" i="13"/>
  <c r="Q115" i="13"/>
  <c r="Q205" i="13"/>
  <c r="Q209" i="13"/>
  <c r="Q249" i="13"/>
  <c r="Q133" i="13"/>
  <c r="Q76" i="13"/>
  <c r="Q29" i="13"/>
  <c r="Q130" i="13"/>
  <c r="Q168" i="13"/>
  <c r="Q203" i="13"/>
  <c r="Q180" i="13"/>
  <c r="Q67" i="13"/>
  <c r="Q211" i="13"/>
  <c r="Q239" i="13"/>
  <c r="Q14" i="13"/>
  <c r="Q201" i="13"/>
  <c r="Q22" i="13"/>
  <c r="Q221" i="13"/>
  <c r="Q140" i="13"/>
  <c r="Q285" i="13"/>
  <c r="Q48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<sst xmlns="http://schemas.openxmlformats.org/spreadsheetml/2006/main" count="2319" uniqueCount="981">
  <si>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</si>
  <si>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</si>
  <si>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</si>
  <si>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</si>
  <si>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</si>
  <si>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</si>
  <si>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</si>
  <si>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</si>
  <si>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</si>
  <si>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</si>
  <si>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</si>
  <si>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</si>
  <si>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depo ou CD</t>
  </si>
  <si>
    <t>reverse repo</t>
  </si>
  <si>
    <t>A/V de titre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</si>
  <si>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</si>
  <si>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</si>
  <si>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</si>
  <si>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</si>
  <si>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</si>
  <si>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</si>
  <si>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</si>
  <si>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</si>
  <si>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</si>
  <si>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</si>
  <si>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</si>
  <si>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</si>
  <si>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</si>
  <si>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</si>
  <si>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</si>
  <si>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</si>
  <si>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</si>
  <si>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</si>
  <si>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</si>
  <si>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</si>
  <si>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</si>
  <si>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</si>
  <si>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</si>
  <si>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</si>
  <si>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</si>
  <si>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</si>
  <si>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</si>
  <si>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</si>
  <si>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</si>
  <si>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</si>
  <si>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</si>
  <si>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</si>
  <si>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</si>
  <si>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</si>
  <si>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</si>
  <si>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</si>
  <si>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</si>
  <si>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</si>
  <si>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</si>
  <si>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</si>
  <si>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</si>
  <si>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</si>
  <si>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</si>
  <si>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</si>
  <si>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</si>
  <si>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</si>
  <si>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</si>
  <si>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</si>
  <si>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</si>
  <si>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</si>
  <si>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</si>
  <si>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</si>
  <si>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</si>
  <si>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</si>
  <si>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</si>
  <si>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</si>
  <si>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</si>
  <si>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</si>
  <si>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</si>
  <si>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</si>
  <si>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</si>
  <si>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</si>
  <si>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</si>
  <si>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</si>
  <si>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</si>
  <si>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</si>
  <si>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</si>
  <si>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</si>
  <si>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</si>
  <si>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</si>
  <si>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</si>
  <si>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</si>
  <si>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</si>
  <si>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</si>
  <si>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</si>
  <si>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</si>
  <si>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</si>
  <si>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</si>
  <si>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</si>
  <si>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</si>
  <si>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</si>
  <si>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</si>
  <si>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</si>
  <si>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</si>
  <si>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</si>
  <si>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</si>
  <si>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</si>
  <si>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</si>
  <si>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</si>
  <si>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</si>
  <si>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</si>
  <si>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</si>
  <si>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</si>
  <si>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</si>
  <si>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</si>
  <si>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</si>
  <si>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</si>
  <si>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</si>
  <si>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</si>
  <si>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</si>
  <si>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</si>
  <si>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</si>
  <si>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</si>
  <si>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</si>
  <si>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</si>
  <si>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</si>
  <si>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</si>
  <si>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</si>
  <si>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</si>
  <si>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</si>
  <si>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</si>
  <si>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</si>
  <si>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</si>
  <si>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</si>
  <si>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</si>
  <si>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</si>
  <si>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</si>
  <si>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</si>
  <si>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</si>
  <si>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</si>
  <si>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</si>
  <si>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</si>
  <si>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</si>
  <si>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</si>
  <si>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</si>
  <si>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</si>
  <si>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</si>
  <si>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</si>
  <si>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</si>
  <si>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</si>
  <si>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</si>
  <si>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</si>
  <si>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</si>
  <si>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</si>
  <si>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</si>
  <si>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</si>
  <si>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</si>
  <si>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</si>
  <si>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</si>
  <si>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</si>
  <si>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</si>
  <si>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</si>
  <si>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</si>
  <si>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</si>
  <si>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</si>
  <si>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</si>
  <si>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</si>
  <si>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</si>
  <si>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</si>
  <si>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</si>
  <si>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</si>
  <si>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</si>
  <si>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</si>
  <si>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</si>
  <si>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</si>
  <si>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</si>
  <si>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</si>
  <si>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</si>
  <si>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</si>
  <si>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</si>
  <si>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</si>
  <si>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</si>
  <si>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</si>
  <si>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</si>
  <si>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</si>
  <si>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</si>
  <si>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</si>
  <si>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</si>
  <si>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</si>
  <si>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</si>
  <si>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</si>
  <si>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</si>
  <si>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</si>
  <si>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</si>
  <si>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</si>
  <si>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</si>
  <si>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</si>
  <si>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</si>
  <si>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</si>
  <si>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</si>
  <si>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</si>
  <si>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</si>
  <si>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</si>
  <si>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</si>
  <si>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</si>
  <si>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</si>
  <si>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</si>
  <si>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</si>
  <si>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</si>
  <si>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</si>
  <si>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</si>
  <si>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</si>
  <si>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</si>
  <si>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</si>
  <si>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</si>
  <si>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</si>
  <si>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</si>
  <si>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</si>
  <si>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</si>
  <si>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</si>
  <si>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</si>
  <si>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</si>
  <si>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</si>
  <si>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</si>
  <si>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</si>
  <si>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</si>
  <si>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</si>
  <si>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</si>
  <si>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</si>
  <si>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</si>
  <si>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</si>
  <si>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</si>
  <si>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</si>
  <si>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</si>
  <si>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</si>
  <si>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</si>
  <si>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</si>
  <si>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</si>
  <si>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</si>
  <si>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</si>
  <si>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</si>
  <si>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</si>
  <si>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</si>
  <si>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</si>
  <si>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</si>
  <si>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</si>
  <si>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</si>
  <si>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</si>
  <si>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</si>
  <si>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</si>
  <si>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</si>
  <si>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</si>
  <si>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</si>
  <si>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</si>
  <si>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</si>
  <si>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</si>
  <si>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</si>
  <si>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</si>
  <si>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</si>
  <si>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</si>
  <si>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</si>
  <si>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</si>
  <si>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</si>
  <si>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</si>
  <si>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</si>
  <si>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</si>
  <si>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</si>
  <si>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</si>
  <si>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</si>
  <si>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</si>
  <si>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</si>
  <si>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</si>
  <si>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</si>
  <si>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</si>
  <si>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</si>
  <si>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</si>
  <si>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</si>
  <si>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</si>
  <si>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</si>
  <si>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</si>
  <si>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</si>
  <si>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</si>
  <si>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</si>
  <si>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</si>
  <si>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</si>
  <si>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</si>
  <si>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</si>
  <si>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</si>
  <si>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</si>
  <si>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</si>
  <si>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</si>
  <si>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</si>
  <si>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</si>
  <si>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</si>
  <si>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</si>
  <si>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</si>
  <si>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</si>
  <si>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</si>
  <si>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</si>
  <si>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</si>
  <si>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</si>
  <si>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</si>
  <si>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</si>
  <si>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</si>
  <si>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</si>
  <si>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</si>
  <si>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</si>
  <si>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</si>
  <si>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</si>
  <si>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</si>
  <si>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</si>
  <si>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</si>
  <si>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</si>
  <si>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</si>
  <si>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</si>
  <si>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</si>
  <si>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</si>
  <si>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</si>
  <si>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</si>
  <si>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</si>
  <si>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</si>
  <si>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</si>
  <si>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</si>
  <si>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</si>
  <si>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</si>
  <si>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</si>
  <si>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</si>
  <si>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</si>
  <si>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</si>
  <si>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</si>
  <si>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</si>
  <si>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</si>
  <si>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</si>
  <si>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</si>
  <si>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</si>
  <si>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</si>
  <si>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</si>
  <si>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</si>
  <si>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</si>
  <si>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</si>
  <si>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</si>
  <si>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</si>
  <si>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</si>
  <si>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</si>
  <si>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</si>
  <si>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</si>
  <si>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</si>
  <si>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</si>
  <si>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</si>
  <si>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</si>
  <si>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</si>
  <si>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</si>
  <si>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</si>
  <si>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</si>
  <si>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</si>
  <si>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</si>
  <si>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</si>
  <si>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</si>
  <si>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</si>
  <si>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</si>
  <si>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</si>
  <si>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</si>
  <si>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</si>
  <si>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</si>
  <si>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</si>
  <si>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</si>
  <si>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</si>
  <si>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</si>
  <si>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</si>
  <si>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</si>
  <si>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</si>
  <si>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</si>
  <si>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</si>
  <si>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</si>
  <si>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</si>
  <si>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</si>
  <si>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</si>
  <si>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</si>
  <si>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</si>
  <si>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</si>
  <si>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</si>
  <si>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</si>
  <si>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</si>
  <si>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</si>
  <si>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</si>
  <si>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</si>
  <si>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</si>
  <si>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</si>
  <si>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</si>
  <si>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</si>
  <si>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</si>
  <si>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</si>
  <si>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</si>
  <si>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</si>
  <si>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</si>
  <si>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</si>
  <si>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</si>
  <si>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</si>
  <si>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</si>
  <si>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</si>
  <si>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</si>
  <si>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</si>
  <si>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</si>
  <si>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</si>
  <si>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</si>
  <si>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</si>
  <si>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</si>
  <si>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</si>
  <si>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</si>
  <si>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</si>
  <si>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</si>
  <si>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</si>
  <si>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</si>
  <si>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</si>
  <si>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</si>
  <si>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</si>
  <si>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</si>
  <si>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</si>
  <si>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</si>
  <si>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</si>
  <si>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</si>
  <si>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</si>
  <si>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</si>
  <si>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</si>
  <si>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</si>
  <si>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</si>
  <si>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</si>
  <si>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</si>
  <si>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</si>
  <si>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</si>
  <si>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</si>
  <si>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</si>
  <si>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</si>
  <si>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</si>
  <si>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</si>
  <si>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</si>
  <si>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</si>
  <si>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</si>
  <si>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</si>
  <si>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</si>
  <si>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</si>
  <si>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</si>
  <si>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</si>
  <si>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</si>
  <si>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</si>
  <si>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</si>
  <si>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</si>
  <si>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</si>
  <si>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</si>
  <si>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</si>
  <si>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</si>
  <si>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</si>
  <si>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</si>
  <si>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</si>
  <si>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</si>
  <si>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</si>
  <si>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</si>
  <si>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</si>
  <si>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</si>
  <si>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</si>
  <si>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</si>
  <si>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</si>
  <si>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</si>
  <si>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</si>
  <si>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</si>
  <si>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</si>
  <si>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</si>
  <si>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</si>
  <si>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</si>
  <si>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</si>
  <si>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</si>
  <si>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</si>
  <si>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</si>
  <si>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</si>
  <si>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</si>
  <si>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</si>
  <si>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</si>
  <si>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</si>
  <si>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</si>
  <si>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</si>
  <si>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</si>
  <si>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</si>
  <si>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</si>
  <si>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</si>
  <si>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</si>
  <si>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</si>
  <si>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</si>
  <si>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</si>
  <si>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</si>
  <si>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</si>
  <si>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</si>
  <si>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</si>
  <si>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</si>
  <si>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</si>
  <si>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</si>
  <si>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</si>
  <si>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</si>
  <si>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</si>
  <si>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</si>
  <si>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</si>
  <si>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</si>
  <si>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</si>
  <si>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</si>
  <si>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</si>
  <si>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</si>
  <si>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</si>
  <si>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</si>
  <si>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</si>
  <si>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</si>
  <si>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</si>
  <si>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</si>
  <si>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</si>
  <si>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</si>
  <si>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</si>
  <si>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</si>
  <si>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</si>
  <si>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</si>
  <si>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</si>
  <si>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</si>
  <si>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</si>
  <si>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</si>
  <si>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</si>
  <si>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</si>
  <si>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</si>
  <si>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</si>
  <si>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</si>
  <si>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</si>
  <si>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</si>
  <si>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</si>
  <si>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</si>
  <si>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</si>
  <si>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</si>
  <si>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</si>
  <si>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</si>
  <si>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</si>
  <si>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</si>
  <si>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</si>
  <si>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</si>
  <si>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</si>
  <si>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</si>
  <si>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</si>
  <si>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</si>
  <si>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</si>
  <si>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</si>
  <si>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</si>
  <si>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</si>
  <si>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</si>
  <si>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</si>
  <si>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</si>
  <si>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</si>
  <si>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</si>
  <si>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</si>
  <si>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</si>
  <si>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</si>
  <si>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</si>
  <si>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</si>
  <si>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</si>
  <si>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</si>
  <si>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</si>
  <si>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</si>
  <si>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</si>
  <si>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</si>
  <si>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</si>
  <si>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</si>
  <si>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</si>
  <si>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</si>
  <si>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</si>
  <si>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</si>
  <si>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</si>
  <si>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</si>
  <si>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</si>
  <si>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</si>
  <si>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</si>
  <si>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</si>
  <si>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</si>
  <si>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</si>
  <si>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</si>
  <si>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</si>
  <si>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</si>
  <si>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</si>
  <si>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</si>
  <si>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</si>
  <si>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</si>
  <si>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</si>
  <si>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</si>
  <si>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</si>
  <si>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</si>
  <si>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</si>
  <si>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</si>
  <si>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</si>
  <si>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</si>
  <si>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</si>
  <si>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</si>
  <si>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</si>
  <si>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</si>
  <si>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</si>
  <si>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</si>
  <si>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</si>
  <si>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</si>
  <si>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 xml:space="preserve"> conso Emetteur</t>
  </si>
  <si>
    <t>5Y-10Y</t>
  </si>
  <si>
    <t>inf 1Y</t>
  </si>
  <si>
    <t>1Y-5Y</t>
  </si>
  <si>
    <t>IRS (*)</t>
  </si>
  <si>
    <t>Swap Or (*)</t>
  </si>
  <si>
    <t>(*) sous l'hypothèse d'une NPV nulle à l'engagement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</si>
  <si>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</si>
  <si>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</si>
  <si>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</si>
  <si>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</si>
  <si>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</si>
  <si>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</si>
  <si>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</si>
  <si>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</si>
  <si>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</si>
  <si>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</si>
  <si>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</si>
  <si>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</si>
  <si>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</si>
  <si>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</si>
  <si>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</si>
  <si>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</si>
  <si>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</si>
  <si>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</si>
  <si>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</si>
  <si>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</si>
  <si>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</si>
  <si>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</si>
  <si>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</si>
  <si>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</si>
  <si>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</si>
  <si>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</si>
  <si>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</si>
  <si>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</si>
  <si>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</si>
  <si>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</si>
  <si>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</si>
  <si>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</si>
  <si>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</si>
  <si>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</si>
  <si>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</si>
  <si>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</si>
  <si>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</si>
  <si>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</si>
  <si>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</si>
  <si>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</si>
  <si>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</si>
  <si>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</si>
  <si>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</si>
  <si>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</si>
  <si>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</si>
  <si>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</si>
  <si>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</si>
  <si>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</si>
  <si>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</si>
  <si>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</si>
  <si>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</si>
  <si>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</si>
  <si>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</si>
  <si>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</si>
  <si>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</si>
  <si>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</si>
  <si>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</si>
  <si>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</si>
  <si>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</si>
  <si>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</si>
  <si>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</si>
  <si>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</si>
  <si>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</si>
  <si>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</si>
  <si>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</si>
  <si>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</si>
  <si>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</si>
  <si>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</si>
  <si>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</si>
  <si>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</si>
  <si>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</si>
  <si>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</si>
  <si>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</si>
  <si>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</si>
  <si>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</si>
  <si>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</si>
  <si>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</si>
  <si>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</si>
  <si>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</si>
  <si>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</si>
  <si>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</si>
  <si>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</si>
  <si>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</si>
  <si>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</si>
  <si>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</si>
  <si>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</si>
  <si>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</si>
  <si>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</si>
  <si>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</si>
  <si>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</si>
  <si>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</si>
  <si>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</si>
  <si>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</si>
  <si>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</si>
  <si>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</si>
  <si>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</si>
  <si>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</si>
  <si>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</si>
  <si>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</si>
  <si>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</si>
  <si>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</si>
  <si>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</si>
  <si>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</si>
  <si>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</si>
  <si>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</si>
  <si>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</si>
  <si>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</si>
  <si>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</si>
  <si>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</si>
  <si>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</si>
  <si>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</si>
  <si>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</si>
  <si>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</si>
  <si>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</si>
  <si>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</si>
  <si>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</si>
  <si>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</si>
  <si>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</si>
  <si>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</si>
  <si>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</si>
  <si>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</si>
  <si>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</si>
  <si>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</si>
  <si>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</si>
  <si>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</si>
  <si>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</si>
  <si>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</si>
  <si>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</si>
  <si>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</si>
  <si>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</si>
  <si>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</si>
  <si>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</si>
  <si>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</si>
  <si>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</si>
  <si>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</si>
  <si>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</si>
  <si>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</si>
  <si>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</si>
  <si>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</si>
  <si>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</si>
  <si>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Swap fwd 1M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</si>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</sst>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</fonts>
  <fills count="9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48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30" fillId="0" borderId="1" xfId="0" applyFont="1" applyBorder="1"/>
    <xf numFmtId="0" fontId="30" fillId="0" borderId="14" xfId="0" applyFont="1" applyBorder="1"/>
    <xf numFmtId="0" fontId="30" fillId="0" borderId="15" xfId="0" applyFont="1" applyBorder="1"/>
    <xf numFmtId="14" fontId="30" fillId="0" borderId="16" xfId="0" applyNumberFormat="1" applyFont="1" applyBorder="1"/>
    <xf numFmtId="10" fontId="30" fillId="0" borderId="11" xfId="0" applyNumberFormat="1" applyFont="1" applyBorder="1"/>
    <xf numFmtId="14" fontId="30" fillId="0" borderId="17" xfId="0" applyNumberFormat="1" applyFont="1" applyBorder="1"/>
    <xf numFmtId="0" fontId="30" fillId="0" borderId="6" xfId="0" applyFont="1" applyBorder="1"/>
    <xf numFmtId="10" fontId="30" fillId="0" borderId="12" xfId="0" applyNumberFormat="1" applyFont="1" applyBorder="1"/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5" fillId="0" borderId="0" xfId="0" quotePrefix="1" applyFont="1"/>
    <xf numFmtId="0" fontId="74" fillId="0" borderId="6" xfId="0" applyFont="1" applyBorder="1" applyAlignment="1">
      <alignment horizontal="center"/>
    </xf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z val="8"/>
      </font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US912828HG84 Govt</stp>
        <stp>YLD_YTM_ASK</stp>
        <stp>[portefeuille USD.xlsm]treasuries!R30C8_x0000_5</stp>
        <tr r="H30" s="13"/>
      </tp>
      <tp t="e">
        <v>#N/A</v>
        <stp/>
        <stp>##V3_BDPV12</stp>
        <stp>US912795Y967 Corp</stp>
        <stp>AMT_OUTSTANDING</stp>
        <stp>[portefeuille USD.xlsm]treasuries!R14C28_x0000__x0000_</stp>
        <tr r="AB14" s="13"/>
      </tp>
      <tp t="e">
        <v>#N/A</v>
        <stp/>
        <stp>##V3_BDPV12</stp>
        <stp>US912828HE37 Govt</stp>
        <stp>YLD_YTM_ASK</stp>
        <stp>[portefeuille USD.xlsm]treasuries!R23C8_x0000__x0000_</stp>
        <tr r="H23" s="13"/>
      </tp>
      <tp t="e">
        <v>#N/A</v>
        <stp/>
        <stp>##V3_BDPV12</stp>
        <stp>US912828HC70 Govt</stp>
        <stp>YLD_YTM_ASK</stp>
        <stp>[portefeuille USD.xlsm]treasuries!R17C8_x0000__x0000_</stp>
        <tr r="H17" s="13"/>
      </tp>
      <tp t="e">
        <v>#N/A</v>
        <stp/>
        <stp>##V3_BDPV12</stp>
        <stp>US912828HK96 Govt</stp>
        <stp>YLD_YTM_ASK</stp>
        <stp>[portefeuille USD.xlsm]treasuries!R39C8_x0000__x0000_</stp>
        <tr r="H39" s="13"/>
      </tp>
      <tp t="e">
        <v>#N/A</v>
        <stp/>
        <stp>##V3_BDPV12</stp>
        <stp>US912828HM52 Govt</stp>
        <stp>YLD_YTM_ASK</stp>
        <stp>[portefeuille USD.xlsm]treasuries!R43C8_x0000__x0000_</stp>
        <tr r="H43" s="13"/>
      </tp>
      <tp t="e">
        <v>#N/A</v>
        <stp/>
        <stp>##V3_BDPV12</stp>
        <stp>US912828HQ66 Govt</stp>
        <stp>YLD_YTM_ASK</stp>
        <stp>[portefeuille USD.xlsm]treasuries!R48C8_x0000__x0000_</stp>
        <tr r="H48" s="13"/>
      </tp>
      <tp t="e">
        <v>#N/A</v>
        <stp/>
        <stp>##V3_BDPV12</stp>
        <stp>US912828HT06 Govt</stp>
        <stp>YLD_YTM_ASK</stp>
        <stp>[portefeuille USD.xlsm]treasuries!R53C8_x0000__x0000_</stp>
        <tr r="H53" s="13"/>
      </tp>
      <tp t="e">
        <v>#N/A</v>
        <stp/>
        <stp>##V3_BDPV12</stp>
        <stp>US912828HV51 Govt</stp>
        <stp>YLD_YTM_ASK</stp>
        <stp>[portefeuille USD.xlsm]treasuries!R56C8_x0000__x0000_</stp>
        <tr r="H56" s="13"/>
      </tp>
      <tp t="e">
        <v>#N/A</v>
        <stp/>
        <stp>##V3_BDPV12</stp>
        <stp>US912828HY90 Govt</stp>
        <stp>YLD_YTM_ASK</stp>
        <stp>[portefeuille USD.xlsm]treasuries!R61C8_x0000__x0000_</stp>
        <tr r="H61" s="13"/>
      </tp>
      <tp t="e">
        <v>#N/A</v>
        <stp/>
        <stp>##V3_BDPV12</stp>
        <stp>US9127954B45 Govt</stp>
        <stp>SECURITY_DES</stp>
        <stp>[portefeuille USD.xlsm]treasuries!R6C2_x0000_8</stp>
        <tr r="B6" s="13"/>
      </tp>
      <tp t="e">
        <v>#N/A</v>
        <stp/>
        <stp>##V3_BDPV12</stp>
        <stp>US9127955Q05 Govt</stp>
        <stp>SECURITY_DES</stp>
        <stp>[portefeuille USD.xlsm]treasuries!R41C2_x0000_5</stp>
        <tr r="B41" s="13"/>
      </tp>
      <tp t="e">
        <v>#N/A</v>
        <stp/>
        <stp>##V3_BDPV12</stp>
        <stp>EI791385 Corp Corp</stp>
        <stp>YLD_YTM_ASK</stp>
        <stp>[portefeuille USD.xlsm]SSA!R131C8_x0000_R</stp>
        <tr r="H131" s="16"/>
      </tp>
      <tp t="e">
        <v>#N/A</v>
        <stp/>
        <stp>##V3_BDPV12</stp>
        <stp>US912828PL87 Corp</stp>
        <stp>FIRST_CPN_DT</stp>
        <stp>[portefeuille USD.xlsm]treasuries!R88C24_x0000__x0000_</stp>
        <tr r="X88" s="13"/>
      </tp>
      <tp t="e">
        <v>#N/A</v>
        <stp/>
        <stp>##V3_BDPV12</stp>
        <stp>US912828SU59 Govt</stp>
        <stp>SECURITY_DES</stp>
        <stp>[portefeuille USD.xlsm]treasuries!R135C2_x0000__x0000_</stp>
        <tr r="B135" s="13"/>
      </tp>
      <tp t="e">
        <v>#N/A</v>
        <stp/>
        <stp>##V3_BDPV12</stp>
        <stp>US912810FM54 Govt</stp>
        <stp>SECURITY_DES</stp>
        <stp>[portefeuille USD.xlsm]treasuries!R266C2_x0000__x0000_</stp>
        <tr r="B266" s="13"/>
      </tp>
      <tp t="e">
        <v>#N/A</v>
        <stp/>
        <stp>##V3_BDPV12</stp>
        <stp>US63983UAA07 Corp</stp>
        <stp>ISSUE_DT</stp>
        <stp>[portefeuille USD.xlsm]SSA!R4C21_x0000_2</stp>
        <tr r="U4" s="16"/>
      </tp>
      <tp t="e">
        <v>#N/A</v>
        <stp/>
        <stp>##V3_BDPV12</stp>
        <stp>US912828JK78 Corp</stp>
        <stp>FIRST_CPN_DT</stp>
        <stp>[portefeuille USD.xlsm]treasuries!R76C24_x0000__x0000_</stp>
        <tr r="X76" s="13"/>
      </tp>
      <tp t="e">
        <v>#N/A</v>
        <stp/>
        <stp>##V3_BDPV12</stp>
        <stp>US912828SC51 Govt</stp>
        <stp>SECURITY_DES</stp>
        <stp>[portefeuille USD.xlsm]treasuries!R180C2_x0000__x0000_</stp>
        <tr r="B180" s="13"/>
      </tp>
      <tp t="e">
        <v>#N/A</v>
        <stp/>
        <stp>##V3_BDPV12</stp>
        <stp>US912828MX52 Corp</stp>
        <stp>FIRST_CPN_DT</stp>
        <stp>[portefeuille USD.xlsm]treasuries!R59C24_x0000__x0000_</stp>
        <tr r="X59" s="13"/>
      </tp>
      <tp t="e">
        <v>#N/A</v>
        <stp/>
        <stp>##V3_BDPV12</stp>
        <stp>EI791385 Corp Corp</stp>
        <stp>INT_ACC_DT</stp>
        <stp>[portefeuille USD.xlsm]SSA!R131C22_x0000_2</stp>
        <tr r="V131" s="16"/>
      </tp>
      <tp t="e">
        <v>#N/A</v>
        <stp/>
        <stp>##V3_BDPV12</stp>
        <stp>US912828MA59 Govt</stp>
        <stp>SECURITY_DES</stp>
        <stp>[portefeuille USD.xlsm]treasuries!R175C2_x0000__x0000_</stp>
        <tr r="B175" s="13"/>
      </tp>
      <tp t="e">
        <v>#N/A</v>
        <stp/>
        <stp>##V3_BDPV12</stp>
        <stp>EH531108 Corp Corp</stp>
        <stp>INT_ACC_DT</stp>
        <stp>[portefeuille USD.xlsm]SSA!R143C22_x0000_2</stp>
        <tr r="V143" s="16"/>
      </tp>
      <tp t="e">
        <v>#N/A</v>
        <stp/>
        <stp>##V3_BDPV12</stp>
        <stp>US912810QC53 Govt</stp>
        <stp>SECURITY_DES</stp>
        <stp>[portefeuille USD.xlsm]treasuries!R275C2_x0000__x0000_</stp>
        <tr r="B275" s="13"/>
      </tp>
      <tp t="e">
        <v>#N/A</v>
        <stp/>
        <stp>##V3_BDPV12</stp>
        <stp>US912828HV51 Corp</stp>
        <stp>FIRST_CPN_DT</stp>
        <stp>[portefeuille USD.xlsm]treasuries!R56C24_x0000__x0000_</stp>
        <tr r="X56" s="13"/>
      </tp>
      <tp t="e">
        <v>#N/A</v>
        <stp/>
        <stp>##V3_BDPV12</stp>
        <stp>US912828PW43 Corp</stp>
        <stp>FIRST_CPN_DT</stp>
        <stp>[portefeuille USD.xlsm]treasuries!R44C24_x0000__x0000_</stp>
        <tr r="X44" s="13"/>
      </tp>
      <tp t="e">
        <v>#N/A</v>
        <stp/>
        <stp>##V3_BDPV12</stp>
        <stp>US912810QL52 Govt</stp>
        <stp>SECURITY_DES</stp>
        <stp>[portefeuille USD.xlsm]treasuries!R280C2_x0000__x0000_</stp>
        <tr r="B280" s="13"/>
      </tp>
      <tp t="e">
        <v>#N/A</v>
        <stp/>
        <stp>##V3_BDPV12</stp>
        <stp>US912828KY53 Govt</stp>
        <stp>SECURITY_DES</stp>
        <stp>[portefeuille USD.xlsm]treasuries!R109C2_x0000__x0000_</stp>
        <tr r="B109" s="13"/>
      </tp>
      <tp t="e">
        <v>#N/A</v>
        <stp/>
        <stp>##V3_BDPV12</stp>
        <stp>US912810QU51 Govt</stp>
        <stp>SECURITY_DES</stp>
        <stp>[portefeuille USD.xlsm]treasuries!R285C2_x0000__x0000_</stp>
        <tr r="B285" s="13"/>
      </tp>
      <tp t="e">
        <v>#N/A</v>
        <stp/>
        <stp>##V3_BDPV12</stp>
        <stp>US912828QM51 Govt</stp>
        <stp>SECURITY_DES</stp>
        <stp>[portefeuille USD.xlsm]treasuries!R104C2_x0000__x0000_</stp>
        <tr r="B104" s="13"/>
      </tp>
      <tp t="e">
        <v>#N/A</v>
        <stp/>
        <stp>##V3_BDPV12</stp>
        <stp>US912828CT50 Govt</stp>
        <stp>SECURITY_DES</stp>
        <stp>[portefeuille USD.xlsm]treasuries!R113C2_x0000__x0000_</stp>
        <tr r="B113" s="13"/>
      </tp>
      <tp t="e">
        <v>#N/A</v>
        <stp/>
        <stp>##V3_BDPV12</stp>
        <stp>US912828PU86 Corp</stp>
        <stp>FIRST_CPN_DT</stp>
        <stp>[portefeuille USD.xlsm]treasuries!R84C24_x0000__x0000_</stp>
        <tr r="X84" s="13"/>
      </tp>
      <tp t="e">
        <v>#N/A</v>
        <stp/>
        <stp>##V3_BDPV12</stp>
        <stp>US912828QZ64 Corp</stp>
        <stp>FIRST_CPN_DT</stp>
        <stp>[portefeuille USD.xlsm]treasuries!R66C24_x0000__x0000_</stp>
        <tr r="X66" s="13"/>
      </tp>
      <tp t="e">
        <v>#N/A</v>
        <stp/>
        <stp>##V3_BDPV12</stp>
        <stp>US912828RZ55 Govt</stp>
        <stp>SECURITY_DES</stp>
        <stp>[portefeuille USD.xlsm]treasuries!R125C2_x0000__x0000_</stp>
        <tr r="B125" s="13"/>
      </tp>
      <tp t="e">
        <v>#N/A</v>
        <stp/>
        <stp>##V3_BDPV12</stp>
        <stp>US912828HH67 Govt</stp>
        <stp>SECURITY_DES</stp>
        <stp>[portefeuille USD.xlsm]treasuries!R200C2_x0000__x0000_</stp>
        <tr r="B200" s="13"/>
      </tp>
      <tp t="e">
        <v>#N/A</v>
        <stp/>
        <stp>##V3_BDPV12</stp>
        <stp>US912828RQ56 Govt</stp>
        <stp>SECURITY_DES</stp>
        <stp>[portefeuille USD.xlsm]treasuries!R121C2_x0000__x0000_</stp>
        <tr r="B121" s="13"/>
      </tp>
      <tp t="e">
        <v>#N/A</v>
        <stp/>
        <stp>##V3_BDPV12</stp>
        <stp>US912828RC60 Govt</stp>
        <stp>SECURITY_DES</stp>
        <stp>[portefeuille USD.xlsm]treasuries!R243C2_x0000__x0000_</stp>
        <tr r="B243" s="13"/>
      </tp>
      <tp t="e">
        <v>#N/A</v>
        <stp/>
        <stp>##V3_BDPV12</stp>
        <stp>US912828QQ65 Govt</stp>
        <stp>SECURITY_DES</stp>
        <stp>[portefeuille USD.xlsm]treasuries!R210C2_x0000__x0000_</stp>
        <tr r="B210" s="13"/>
      </tp>
      <tp t="e">
        <v>#N/A</v>
        <stp/>
        <stp>##V3_BDPV12</stp>
        <stp>US912828LH12 Corp</stp>
        <stp>FIRST_CPN_DT</stp>
        <stp>[portefeuille USD.xlsm]treasuries!R12C24_x0000__x0000_</stp>
        <tr r="X12" s="13"/>
      </tp>
      <tp t="e">
        <v>#N/A</v>
        <stp/>
        <stp>##V3_BDPV12</stp>
        <stp>US912828JT87 Corp</stp>
        <stp>FIRST_CPN_DT</stp>
        <stp>[portefeuille USD.xlsm]treasuries!R87C24_x0000__x0000_</stp>
        <tr r="X87" s="13"/>
      </tp>
      <tp t="e">
        <v>#N/A</v>
        <stp/>
        <stp>##V3_BDPV12</stp>
        <stp>FR0011012731 Corp</stp>
        <stp>MATURITY</stp>
        <stp>[portefeuille USD.xlsm]SSA!R104C25_x0000__x0000_</stp>
        <tr r="Y104" s="16"/>
      </tp>
      <tp t="e">
        <v>#N/A</v>
        <stp/>
        <stp>##V3_BDPV12</stp>
        <stp>US912828HZ65 Govt</stp>
        <stp>SECURITY_DES</stp>
        <stp>[portefeuille USD.xlsm]treasuries!R209C2_x0000__x0000_</stp>
        <tr r="B209" s="13"/>
      </tp>
      <tp t="e">
        <v>#N/A</v>
        <stp/>
        <stp>##V3_BDPV12</stp>
        <stp>FR0010776674 Corp</stp>
        <stp>AMT_OUTSTANDING</stp>
        <stp>[portefeuille USD.xlsm]SSA!R112C28_x0000__x0000_</stp>
        <tr r="AB112" s="16"/>
      </tp>
      <tp t="e">
        <v>#N/A</v>
        <stp/>
        <stp>##V3_BDPV12</stp>
        <stp>FR0010500843 Corp</stp>
        <stp>AMT_OUTSTANDING</stp>
        <stp>[portefeuille USD.xlsm]SSA!R111C28_x0000__x0000_</stp>
        <tr r="AB111" s="16"/>
      </tp>
      <tp t="e">
        <v>#N/A</v>
        <stp/>
        <stp>##V3_BDPV12</stp>
        <stp>FR0010606442 Corp</stp>
        <stp>AMT_OUTSTANDING</stp>
        <stp>[portefeuille USD.xlsm]SSA!R108C28_x0000__x0000_</stp>
        <tr r="AB108" s="16"/>
      </tp>
      <tp t="e">
        <v>#N/A</v>
        <stp/>
        <stp>##V3_BDPV12</stp>
        <stp>ED650463 Corp Corp</stp>
        <stp>DAY_CNT_DES</stp>
        <stp>[portefeuille USD.xlsm]SSA!R140C29_x0000_2</stp>
        <tr r="AC140" s="16"/>
      </tp>
      <tp t="e">
        <v>#N/A</v>
        <stp/>
        <stp>##V3_BDPV12</stp>
        <stp>US912828NQ92 Corp</stp>
        <stp>CPN</stp>
        <stp>[portefeuille USD.xlsm]treasuries!R7C27_x0000_8</stp>
        <tr r="AA7" s="13"/>
      </tp>
      <tp t="e">
        <v>#N/A</v>
        <stp/>
        <stp>##V3_BDPV12</stp>
        <stp>US9127955W72 Govt</stp>
        <stp>SECURITY_DES</stp>
        <stp>[portefeuille USD.xlsm]treasuries!R3C2_x0000_2</stp>
        <tr r="B3" s="13"/>
      </tp>
      <tp t="e">
        <v>#N/A</v>
        <stp/>
        <stp>##V3_BDPV12</stp>
        <stp>US9127955U17 Govt</stp>
        <stp>SECURITY_DES</stp>
        <stp>[portefeuille USD.xlsm]treasuries!R2C2_x0000_2</stp>
        <tr r="B2" s="13"/>
      </tp>
      <tp t="e">
        <v>#N/A</v>
        <stp/>
        <stp>##V3_BDPV12</stp>
        <stp>US9127955Y39 Govt</stp>
        <stp>SECURITY_DES</stp>
        <stp>[portefeuille USD.xlsm]treasuries!R9C2_x0000_7</stp>
        <tr r="B9" s="13"/>
      </tp>
      <tp t="e">
        <v>#N/A</v>
        <stp/>
        <stp>##V3_BDPV12</stp>
        <stp>EJ095994 Corp Corp</stp>
        <stp>YLD_YTM_ASK</stp>
        <stp>[portefeuille USD.xlsm]SSA!R130C8_x0000_R</stp>
        <tr r="H130" s="16"/>
      </tp>
      <tp t="e">
        <v>#N/A</v>
        <stp/>
        <stp>##V3_BDPV12</stp>
        <stp>US9127955X55 Govt</stp>
        <stp>SECURITY_DES</stp>
        <stp>[portefeuille USD.xlsm]treasuries!R5C2_x0000_2</stp>
        <tr r="B5" s="13"/>
      </tp>
      <tp t="e">
        <v>#N/A</v>
        <stp/>
        <stp>##V3_BDPV12</stp>
        <stp>EI143648 Corp Corp</stp>
        <stp>DAY_CNT_DES</stp>
        <stp>[portefeuille USD.xlsm]SSA!R32C29_x0000__x0000_</stp>
        <tr r="AC32" s="16"/>
      </tp>
      <tp t="e">
        <v>#N/A</v>
        <stp/>
        <stp>##V3_BDPV12</stp>
        <stp>US9127956P13 Govt</stp>
        <stp>SECURITY_DES</stp>
        <stp>[portefeuille USD.xlsm]treasuries!R32C2_x0000_3</stp>
        <tr r="B32" s="13"/>
      </tp>
      <tp t="e">
        <v>#N/A</v>
        <stp/>
        <stp>##V3_BDPV12</stp>
        <stp>US912810EN47 Govt</stp>
        <stp>SECURITY_DES</stp>
        <stp>[portefeuille USD.xlsm]treasuries!R250C2_x0000__x0000_</stp>
        <tr r="B250" s="13"/>
      </tp>
      <tp t="e">
        <v>#N/A</v>
        <stp/>
        <stp>##V3_BDPV12</stp>
        <stp>US912828JB79 Corp</stp>
        <stp>FIRST_CPN_DT</stp>
        <stp>[portefeuille USD.xlsm]treasuries!R67C24_x0000__x0000_</stp>
        <tr r="X67" s="13"/>
      </tp>
      <tp t="e">
        <v>#N/A</v>
        <stp/>
        <stp>##V3_BDPV12</stp>
        <stp>EJ095994 Corp Corp</stp>
        <stp>INT_ACC_DT</stp>
        <stp>[portefeuille USD.xlsm]SSA!R130C22_x0000_2</stp>
        <tr r="V130" s="16"/>
      </tp>
      <tp t="e">
        <v>#N/A</v>
        <stp/>
        <stp>##V3_BDPV12</stp>
        <stp>US912810EW46 Govt</stp>
        <stp>SECURITY_DES</stp>
        <stp>[portefeuille USD.xlsm]treasuries!R256C2_x0000__x0000_</stp>
        <tr r="B256" s="13"/>
      </tp>
      <tp t="e">
        <v>#N/A</v>
        <stp/>
        <stp>##V3_BDPV12</stp>
        <stp>XS0490844718 Corp</stp>
        <stp>ISSUE_DT</stp>
        <stp>[portefeuille USD.xlsm]SSA!R127C21_x0000__x0000_</stp>
        <tr r="U127" s="16"/>
      </tp>
      <tp t="e">
        <v>#N/A</v>
        <stp/>
        <stp>##V3_BDPV12</stp>
        <stp>US912828BA78 Corp</stp>
        <stp>FIRST_CPN_DT</stp>
        <stp>[portefeuille USD.xlsm]treasuries!R64C24_x0000__x0000_</stp>
        <tr r="X64" s="13"/>
      </tp>
      <tp t="e">
        <v>#N/A</v>
        <stp/>
        <stp>##V3_BDPV12</stp>
        <stp>US912828NA41 Govt</stp>
        <stp>SECURITY_DES</stp>
        <stp>[portefeuille USD.xlsm]treasuries!R187C2_x0000__x0000_</stp>
        <tr r="B187" s="13"/>
      </tp>
      <tp t="e">
        <v>#N/A</v>
        <stp/>
        <stp>##V3_BDPV12</stp>
        <stp>US912810QH41 Govt</stp>
        <stp>SECURITY_DES</stp>
        <stp>[portefeuille USD.xlsm]treasuries!R278C2_x0000__x0000_</stp>
        <tr r="B278" s="13"/>
      </tp>
      <tp t="e">
        <v>#N/A</v>
        <stp/>
        <stp>##V3_BDPV12</stp>
        <stp>US912828QR49 Govt</stp>
        <stp>SECURITY_DES</stp>
        <stp>[portefeuille USD.xlsm]treasuries!R163C2_x0000__x0000_</stp>
        <tr r="B163" s="13"/>
      </tp>
      <tp t="e">
        <v>#N/A</v>
        <stp/>
        <stp>##V3_BDPV12</stp>
        <stp>US9127956M81 Corp</stp>
        <stp>FIRST_CPN_DT</stp>
        <stp>[portefeuille USD.xlsm]treasuries!R26C24_x0000__x0000_</stp>
        <tr r="X26" s="13"/>
      </tp>
      <tp t="e">
        <v>#N/A</v>
        <stp/>
        <stp>##V3_BDPV12</stp>
        <stp>US912810DV71 Govt</stp>
        <stp>SECURITY_DES</stp>
        <stp>[portefeuille USD.xlsm]treasuries!R150C2_x0000__x0000_</stp>
        <tr r="B150" s="13"/>
      </tp>
      <tp t="e">
        <v>#N/A</v>
        <stp/>
        <stp>##V3_BDPV12</stp>
        <stp>US912828RP73 Govt</stp>
        <stp>SECURITY_DES</stp>
        <stp>[portefeuille USD.xlsm]treasuries!R216C2_x0000__x0000_</stp>
        <tr r="B216" s="13"/>
      </tp>
      <tp t="e">
        <v>#N/A</v>
        <stp/>
        <stp>##V3_BDPV12</stp>
        <stp>US912810EE48 Govt</stp>
        <stp>SECURITY_DES</stp>
        <stp>[portefeuille USD.xlsm]treasuries!R232C2_x0000__x0000_</stp>
        <tr r="B232" s="13"/>
      </tp>
      <tp t="e">
        <v>#N/A</v>
        <stp/>
        <stp>##V3_BDPV12</stp>
        <stp>US912810QQ40 Govt</stp>
        <stp>SECURITY_DES</stp>
        <stp>[portefeuille USD.xlsm]treasuries!R282C2_x0000__x0000_</stp>
        <tr r="B282" s="13"/>
      </tp>
      <tp t="e">
        <v>#N/A</v>
        <stp/>
        <stp>##V3_BDPV12</stp>
        <stp>US912828RV42 Govt</stp>
        <stp>SECURITY_DES</stp>
        <stp>[portefeuille USD.xlsm]treasuries!R123C2_x0000__x0000_</stp>
        <tr r="B123" s="13"/>
      </tp>
      <tp t="e">
        <v>#N/A</v>
        <stp/>
        <stp>##V3_BDPV12</stp>
        <stp>US912828LK41 Govt</stp>
        <stp>SECURITY_DES</stp>
        <stp>[portefeuille USD.xlsm]treasuries!R115C2_x0000__x0000_</stp>
        <tr r="B115" s="13"/>
      </tp>
      <tp t="e">
        <v>#N/A</v>
        <stp/>
        <stp>##V3_BDPV12</stp>
        <stp>US912828MT41 Corp</stp>
        <stp>FIRST_CPN_DT</stp>
        <stp>[portefeuille USD.xlsm]treasuries!R55C24_x0000__x0000_</stp>
        <tr r="X55" s="13"/>
      </tp>
      <tp t="e">
        <v>#N/A</v>
        <stp/>
        <stp>##V3_BDPV12</stp>
        <stp>US912828JG66 Corp</stp>
        <stp>FIRST_CPN_DT</stp>
        <stp>[portefeuille USD.xlsm]treasuries!R72C24_x0000__x0000_</stp>
        <tr r="X72" s="13"/>
      </tp>
      <tp t="e">
        <v>#N/A</v>
        <stp/>
        <stp>##V3_BDPV12</stp>
        <stp>US912828HE37 Corp</stp>
        <stp>FIRST_CPN_DT</stp>
        <stp>[portefeuille USD.xlsm]treasuries!R23C24_x0000__x0000_</stp>
        <tr r="X23" s="13"/>
      </tp>
      <tp t="e">
        <v>#N/A</v>
        <stp/>
        <stp>##V3_BDPV12</stp>
        <stp>US912828PE45 Govt</stp>
        <stp>SECURITY_DES</stp>
        <stp>[portefeuille USD.xlsm]treasuries!R144C2_x0000__x0000_</stp>
        <tr r="B144" s="13"/>
      </tp>
      <tp t="e">
        <v>#N/A</v>
        <stp/>
        <stp>##V3_BDPV12</stp>
        <stp>XS0705646452 Corp</stp>
        <stp>AMT_OUTSTANDING</stp>
        <stp>[portefeuille USD.xlsm]SSA!R121C28_x0000__x0000_</stp>
        <tr r="AB121" s="16"/>
      </tp>
      <tp t="e">
        <v>#N/A</v>
        <stp/>
        <stp>##V3_BDPV12</stp>
        <stp>US912828AU42 Corp</stp>
        <stp>FIRST_CPN_DT</stp>
        <stp>[portefeuille USD.xlsm]treasuries!R50C24_x0000__x0000_</stp>
        <tr r="X50" s="13"/>
      </tp>
      <tp t="e">
        <v>#N/A</v>
        <stp/>
        <stp>##V3_BDPV12</stp>
        <stp>US912828HM52 Corp</stp>
        <stp>FIRST_CPN_DT</stp>
        <stp>[portefeuille USD.xlsm]treasuries!R43C24_x0000__x0000_</stp>
        <tr r="X43" s="13"/>
      </tp>
      <tp t="e">
        <v>#N/A</v>
        <stp/>
        <stp>##V3_BDPV12</stp>
        <stp>US912828RM43 Govt</stp>
        <stp>SECURITY_DES</stp>
        <stp>[portefeuille USD.xlsm]treasuries!R171C2_x0000__x0000_</stp>
        <tr r="B171" s="13"/>
      </tp>
      <tp t="e">
        <v>#N/A</v>
        <stp/>
        <stp>##V3_BDPV12</stp>
        <stp>US912828NN61 Corp</stp>
        <stp>FIRST_CPN_DT</stp>
        <stp>[portefeuille USD.xlsm]treasuries!R71C24_x0000__x0000_</stp>
        <tr r="X71" s="13"/>
      </tp>
      <tp t="e">
        <v>#N/A</v>
        <stp/>
        <stp>##V3_BDPV12</stp>
        <stp>US912828PR57 Corp</stp>
        <stp>FIRST_CPN_DT</stp>
        <stp>[portefeuille USD.xlsm]treasuries!R47C24_x0000__x0000_</stp>
        <tr r="X47" s="13"/>
      </tp>
      <tp t="e">
        <v>#N/A</v>
        <stp/>
        <stp>##V3_BDPV12</stp>
        <stp>US912828LJ77 Govt</stp>
        <stp>SECURITY_DES</stp>
        <stp>[portefeuille USD.xlsm]treasuries!R229C2_x0000__x0000_</stp>
        <tr r="B229" s="13"/>
      </tp>
      <tp t="e">
        <v>#N/A</v>
        <stp/>
        <stp>##V3_BDPV12</stp>
        <stp>FR0010815332 Corp</stp>
        <stp>AMT_OUTSTANDING</stp>
        <stp>[portefeuille USD.xlsm]SSA!R100C28_x0000__x0000_</stp>
        <tr r="AB100" s="16"/>
      </tp>
      <tp t="e">
        <v>#N/A</v>
        <stp/>
        <stp>##V3_BDPV12</stp>
        <stp>EH531108 Corp Corp</stp>
        <stp>DAY_CNT_DES</stp>
        <stp>[portefeuille USD.xlsm]SSA!R143C29_x0000_2</stp>
        <tr r="AC143" s="16"/>
      </tp>
      <tp t="e">
        <v>#N/A</v>
        <stp/>
        <stp>##V3_BDPV12</stp>
        <stp>US912828JB79 Govt</stp>
        <stp>YLD_YTM_ASK</stp>
        <stp>[portefeuille USD.xlsm]treasuries!R67C8_x0000__x0000_</stp>
        <tr r="H67" s="13"/>
      </tp>
      <tp t="e">
        <v>#N/A</v>
        <stp/>
        <stp>##V3_BDPV12</stp>
        <stp>US912828JM35 Govt</stp>
        <stp>YLD_YTM_ASK</stp>
        <stp>[portefeuille USD.xlsm]treasuries!R80C8_x0000__x0000_</stp>
        <tr r="H80" s="13"/>
      </tp>
      <tp t="e">
        <v>#N/A</v>
        <stp/>
        <stp>##V3_BDPV12</stp>
        <stp>US912828JG66 Govt</stp>
        <stp>YLD_YTM_ASK</stp>
        <stp>[portefeuille USD.xlsm]treasuries!R72C8_x0000__x0000_</stp>
        <tr r="H72" s="13"/>
      </tp>
      <tp t="e">
        <v>#N/A</v>
        <stp/>
        <stp>##V3_BDPV12</stp>
        <stp>US912828JD36 Govt</stp>
        <stp>YLD_YTM_ASK</stp>
        <stp>[portefeuille USD.xlsm]treasuries!R70C8_x0000__x0000_</stp>
        <tr r="H70" s="13"/>
      </tp>
      <tp t="e">
        <v>#N/A</v>
        <stp/>
        <stp>##V3_BDPV12</stp>
        <stp>US912828JK78 Govt</stp>
        <stp>YLD_YTM_ASK</stp>
        <stp>[portefeuille USD.xlsm]treasuries!R76C8_x0000__x0000_</stp>
        <tr r="H76" s="13"/>
      </tp>
      <tp t="e">
        <v>#N/A</v>
        <stp/>
        <stp>##V3_BDPV12</stp>
        <stp>EH539714 Corp Corp</stp>
        <stp>FIRST_CPN_DT</stp>
        <stp>[portefeuille USD.xlsm]SSA!R34C23_x0000__x0000_</stp>
        <tr r="W34" s="16"/>
      </tp>
      <tp t="e">
        <v>#N/A</v>
        <stp/>
        <stp>##V3_BDPV12</stp>
        <stp>US912828JZ48 Govt</stp>
        <stp>YLD_YTM_ASK</stp>
        <stp>[portefeuille USD.xlsm]treasuries!R92C8_x0000__x0000_</stp>
        <tr r="H92" s="13"/>
      </tp>
      <tp t="e">
        <v>#N/A</v>
        <stp/>
        <stp>##V3_BDPV12</stp>
        <stp>US912828JT87 Govt</stp>
        <stp>YLD_YTM_ASK</stp>
        <stp>[portefeuille USD.xlsm]treasuries!R87C8_x0000_8</stp>
        <tr r="H87" s="13"/>
      </tp>
      <tp t="e">
        <v>#N/A</v>
        <stp/>
        <stp>##V3_BDPV12</stp>
        <stp>US912828JW17 Govt</stp>
        <stp>YLD_YTM_ASK</stp>
        <stp>[portefeuille USD.xlsm]treasuries!R90C8_x0000__x0000_</stp>
        <tr r="H90" s="13"/>
      </tp>
      <tp t="e">
        <v>#N/A</v>
        <stp/>
        <stp>##V3_BDPV12</stp>
        <stp>US912828JQ49 Govt</stp>
        <stp>YLD_YTM_ASK</stp>
        <stp>[portefeuille USD.xlsm]treasuries!R83C8_x0000__x0000_</stp>
        <tr r="H83" s="13"/>
      </tp>
      <tp t="e">
        <v>#N/A</v>
        <stp/>
        <stp>##V3_BDPV12</stp>
        <stp>XS0458548921 Corp</stp>
        <stp>ISSUE_DT</stp>
        <stp>[portefeuille USD.xlsm]SSA!R2C21_x0000_3</stp>
        <tr r="U2" s="16"/>
      </tp>
      <tp t="e">
        <v>#N/A</v>
        <stp/>
        <stp>##V3_BDPV12</stp>
        <stp>EF684257 Corp Corp</stp>
        <stp>DAY_CNT_DES</stp>
        <stp>[portefeuille USD.xlsm]SSA!R38C29_x0000__x0000_</stp>
        <tr r="AC38" s="16"/>
      </tp>
      <tp t="e">
        <v>#N/A</v>
        <stp/>
        <stp>##V3_BDPV12</stp>
        <stp>EH790357 Corp Corp</stp>
        <stp>DAY_CNT_DES</stp>
        <stp>[portefeuille USD.xlsm]SSA!R28C29_x0000__x0000_</stp>
        <tr r="AC28" s="16"/>
      </tp>
      <tp t="e">
        <v>#N/A</v>
        <stp/>
        <stp>##V3_BDPV12</stp>
        <stp>US9127955Y39 Corp</stp>
        <stp>FIRST_CPN_DT</stp>
        <stp>[portefeuille USD.xlsm]treasuries!R9C24_x0000_2</stp>
        <tr r="X9" s="13"/>
      </tp>
      <tp t="e">
        <v>#N/A</v>
        <stp/>
        <stp>##V3_BDPV12</stp>
        <stp>US9127956S51 Govt</stp>
        <stp>SECURITY_DES</stp>
        <stp>[portefeuille USD.xlsm]treasuries!R33C2_x0000_3</stp>
        <tr r="B33" s="13"/>
      </tp>
      <tp t="e">
        <v>#N/A</v>
        <stp/>
        <stp>##V3_BDPV12</stp>
        <stp>EI265078 Corp Corp</stp>
        <stp>YLD_YTM_ASK</stp>
        <stp>[portefeuille USD.xlsm]SSA!R144C8_x0000_R</stp>
        <tr r="H144" s="16"/>
      </tp>
      <tp t="e">
        <v>#N/A</v>
        <stp/>
        <stp>##V3_BDPV12</stp>
        <stp>EI791877 Corp Corp</stp>
        <stp>YLD_YTM_ASK</stp>
        <stp>[portefeuille USD.xlsm]SSA!R137C8_x0000_R</stp>
        <tr r="H137" s="16"/>
      </tp>
      <tp t="e">
        <v>#N/A</v>
        <stp/>
        <stp>##V3_BDPV12</stp>
        <stp>US912828QL78 Corp</stp>
        <stp>FIRST_CPN_DT</stp>
        <stp>[portefeuille USD.xlsm]treasuries!R57C24_x0000__x0000_</stp>
        <tr r="X57" s="13"/>
      </tp>
      <tp t="e">
        <v>#N/A</v>
        <stp/>
        <stp>##V3_BDPV12</stp>
        <stp>US912810EQ77 Govt</stp>
        <stp>SECURITY_DES</stp>
        <stp>[portefeuille USD.xlsm]treasuries!R252C2_x0000__x0000_</stp>
        <tr r="B252" s="13"/>
      </tp>
      <tp t="e">
        <v>#N/A</v>
        <stp/>
        <stp>##V3_BDPV12</stp>
        <stp>US912828MW79 Govt</stp>
        <stp>SECURITY_DES</stp>
        <stp>[portefeuille USD.xlsm]treasuries!R132C2_x0000__x0000_</stp>
        <tr r="B132" s="13"/>
      </tp>
      <tp t="e">
        <v>#N/A</v>
        <stp/>
        <stp>##V3_BDPV12</stp>
        <stp>US912828HQ66 Corp</stp>
        <stp>FIRST_CPN_DT</stp>
        <stp>[portefeuille USD.xlsm]treasuries!R48C24_x0000__x0000_</stp>
        <tr r="X48" s="13"/>
      </tp>
      <tp t="e">
        <v>#N/A</v>
        <stp/>
        <stp>##V3_BDPV12</stp>
        <stp>US912828SH49 Govt</stp>
        <stp>SECURITY_DES</stp>
        <stp>[portefeuille USD.xlsm]treasuries!R224C2_x0000__x0000_</stp>
        <tr r="B224" s="13"/>
      </tp>
      <tp t="e">
        <v>#N/A</v>
        <stp/>
        <stp>##V3_BDPV12</stp>
        <stp>US912810EZ76 Govt</stp>
        <stp>SECURITY_DES</stp>
        <stp>[portefeuille USD.xlsm]treasuries!R259C2_x0000__x0000_</stp>
        <tr r="B259" s="13"/>
      </tp>
      <tp t="e">
        <v>#N/A</v>
        <stp/>
        <stp>##V3_BDPV12</stp>
        <stp>EI791877 Corp Corp</stp>
        <stp>INT_ACC_DT</stp>
        <stp>[portefeuille USD.xlsm]SSA!R137C22_x0000_2</stp>
        <tr r="V137" s="16"/>
      </tp>
      <tp t="e">
        <v>#N/A</v>
        <stp/>
        <stp>##V3_BDPV12</stp>
        <stp>US912828SY71 Govt</stp>
        <stp>SECURITY_DES</stp>
        <stp>[portefeuille USD.xlsm]treasuries!R190C2_x0000__x0000_</stp>
        <tr r="B190" s="13"/>
      </tp>
      <tp t="e">
        <v>#N/A</v>
        <stp/>
        <stp>##V3_BDPV12</stp>
        <stp>US912828CJ78 Govt</stp>
        <stp>SECURITY_DES</stp>
        <stp>[portefeuille USD.xlsm]treasuries!R105C2_x0000__x0000_</stp>
        <tr r="B105" s="13"/>
      </tp>
      <tp t="e">
        <v>#N/A</v>
        <stp/>
        <stp>##V3_BDPV12</stp>
        <stp>XS0372089572 Corp</stp>
        <stp>ISSUE_DT</stp>
        <stp>[portefeuille USD.xlsm]SSA!R124C21_x0000__x0000_</stp>
        <tr r="U124" s="16"/>
      </tp>
      <tp t="e">
        <v>#N/A</v>
        <stp/>
        <stp>##V3_BDPV12</stp>
        <stp>US912828QC79 Govt</stp>
        <stp>SECURITY_DES</stp>
        <stp>[portefeuille USD.xlsm]treasuries!R101C2_x0000__x0000_</stp>
        <tr r="B101" s="13"/>
      </tp>
      <tp t="e">
        <v>#N/A</v>
        <stp/>
        <stp>##V3_BDPV12</stp>
        <stp>US912828GH76 Govt</stp>
        <stp>SECURITY_DES</stp>
        <stp>[portefeuille USD.xlsm]treasuries!R181C2_x0000__x0000_</stp>
        <tr r="B181" s="13"/>
      </tp>
      <tp t="e">
        <v>#N/A</v>
        <stp/>
        <stp>##V3_BDPV12</stp>
        <stp>US912810QB70 Govt</stp>
        <stp>SECURITY_DES</stp>
        <stp>[portefeuille USD.xlsm]treasuries!R274C2_x0000__x0000_</stp>
        <tr r="B274" s="13"/>
      </tp>
      <tp t="e">
        <v>#N/A</v>
        <stp/>
        <stp>##V3_BDPV12</stp>
        <stp>US912810DS43 Govt</stp>
        <stp>SECURITY_DES</stp>
        <stp>[portefeuille USD.xlsm]treasuries!R141C2_x0000__x0000_</stp>
        <tr r="B141" s="13"/>
      </tp>
      <tp t="e">
        <v>#N/A</v>
        <stp/>
        <stp>##V3_BDPV12</stp>
        <stp>US912828PV69 Corp</stp>
        <stp>FIRST_CPN_DT</stp>
        <stp>[portefeuille USD.xlsm]treasuries!R40C24_x0000__x0000_</stp>
        <tr r="X40" s="13"/>
      </tp>
      <tp t="e">
        <v>#N/A</v>
        <stp/>
        <stp>##V3_BDPV12</stp>
        <stp>US912828NR75 Govt</stp>
        <stp>SECURITY_DES</stp>
        <stp>[portefeuille USD.xlsm]treasuries!R194C2_x0000__x0000_</stp>
        <tr r="B194" s="13"/>
      </tp>
      <tp t="e">
        <v>#N/A</v>
        <stp/>
        <stp>##V3_BDPV12</stp>
        <stp>US912828LM07 Corp</stp>
        <stp>FIRST_CPN_DT</stp>
        <stp>[portefeuille USD.xlsm]treasuries!R20C24_x0000__x0000_</stp>
        <tr r="X20" s="13"/>
      </tp>
      <tp t="e">
        <v>#N/A</v>
        <stp/>
        <stp>##V3_BDPV12</stp>
        <stp>XS0270250136 Corp</stp>
        <stp>AMT_OUTSTANDING</stp>
        <stp>[portefeuille USD.xlsm]SSA!R115C28_x0000__x0000_</stp>
        <tr r="AB115" s="16"/>
      </tp>
      <tp t="e">
        <v>#N/A</v>
        <stp/>
        <stp>##V3_BDPV12</stp>
        <stp>US912828ME71 Govt</stp>
        <stp>SECURITY_DES</stp>
        <stp>[portefeuille USD.xlsm]treasuries!R124C2_x0000__x0000_</stp>
        <tr r="B124" s="13"/>
      </tp>
      <tp t="e">
        <v>#N/A</v>
        <stp/>
        <stp>##V3_BDPV12</stp>
        <stp>US912828HR40 Govt</stp>
        <stp>SECURITY_DES</stp>
        <stp>[portefeuille USD.xlsm]treasuries!R204C2_x0000__x0000_</stp>
        <tr r="B204" s="13"/>
      </tp>
      <tp t="e">
        <v>#N/A</v>
        <stp/>
        <stp>##V3_BDPV12</stp>
        <stp>US912828JH40 Govt</stp>
        <stp>SECURITY_DES</stp>
        <stp>[portefeuille USD.xlsm]treasuries!R213C2_x0000__x0000_</stp>
        <tr r="B213" s="13"/>
      </tp>
      <tp t="e">
        <v>#N/A</v>
        <stp/>
        <stp>##V3_BDPV12</stp>
        <stp>XS0610555681 Corp</stp>
        <stp>AMT_OUTSTANDING</stp>
        <stp>[portefeuille USD.xlsm]SSA!R123C28_x0000__x0000_</stp>
        <tr r="AB123" s="16"/>
      </tp>
      <tp t="e">
        <v>#N/A</v>
        <stp/>
        <stp>##V3_BDPV12</stp>
        <stp>US912828QU77 Govt</stp>
        <stp>SECURITY_DES</stp>
        <stp>[portefeuille USD.xlsm]treasuries!R111C2_x0000__x0000_</stp>
        <tr r="B111" s="13"/>
      </tp>
      <tp t="e">
        <v>#N/A</v>
        <stp/>
        <stp>##V3_BDPV12</stp>
        <stp>US912810QK79 Govt</stp>
        <stp>SECURITY_DES</stp>
        <stp>[portefeuille USD.xlsm]treasuries!R279C2_x0000__x0000_</stp>
        <tr r="B279" s="13"/>
      </tp>
      <tp t="e">
        <v>#N/A</v>
        <stp/>
        <stp>##V3_BDPV12</stp>
        <stp>US912828LY45 Govt</stp>
        <stp>SECURITY_DES</stp>
        <stp>[portefeuille USD.xlsm]treasuries!R231C2_x0000__x0000_</stp>
        <tr r="B231" s="13"/>
      </tp>
      <tp t="e">
        <v>#N/A</v>
        <stp/>
        <stp>##V3_BDPV12</stp>
        <stp>FR0010950675 Corp</stp>
        <stp>MATURITY</stp>
        <stp>[portefeuille USD.xlsm]SSA!R106C25_x0000__x0000_</stp>
        <tr r="Y106" s="16"/>
      </tp>
      <tp t="e">
        <v>#N/A</v>
        <stp/>
        <stp>##V3_BDPV12</stp>
        <stp>US912828LS76 Govt</stp>
        <stp>SECURITY_DES</stp>
        <stp>[portefeuille USD.xlsm]treasuries!R119C2_x0000__x0000_</stp>
        <tr r="B119" s="13"/>
      </tp>
      <tp t="e">
        <v>#N/A</v>
        <stp/>
        <stp>##V3_BDPV12</stp>
        <stp>US912828MN70 Corp</stp>
        <stp>FIRST_CPN_DT</stp>
        <stp>[portefeuille USD.xlsm]treasuries!R51C24_x0000__x0000_</stp>
        <tr r="X51" s="13"/>
      </tp>
      <tp t="e">
        <v>#N/A</v>
        <stp/>
        <stp>##V3_BDPV12</stp>
        <stp>XS0172157876 Corp</stp>
        <stp>AMT_OUTSTANDING</stp>
        <stp>[portefeuille USD.xlsm]SSA!R125C28_x0000__x0000_</stp>
        <tr r="AB125" s="16"/>
      </tp>
      <tp t="e">
        <v>#N/A</v>
        <stp/>
        <stp>##V3_BDPV12</stp>
        <stp>US912828PN44 Govt</stp>
        <stp>SECURITY_DES</stp>
        <stp>[portefeuille USD.xlsm]treasuries!R202C2_x0000__x0000_</stp>
        <tr r="B202" s="13"/>
      </tp>
      <tp t="e">
        <v>#N/A</v>
        <stp/>
        <stp>##V3_BDPV12</stp>
        <stp>US912828SK77 Govt</stp>
        <stp>SECURITY_DES</stp>
        <stp>[portefeuille USD.xlsm]treasuries!R131C2_x0000__x0000_</stp>
        <tr r="B131" s="13"/>
      </tp>
      <tp t="e">
        <v>#N/A</v>
        <stp/>
        <stp>##V3_BDPV12</stp>
        <stp>US912810EH78 Govt</stp>
        <stp>SECURITY_DES</stp>
        <stp>[portefeuille USD.xlsm]treasuries!R240C2_x0000__x0000_</stp>
        <tr r="B240" s="13"/>
      </tp>
      <tp t="e">
        <v>#N/A</v>
        <stp/>
        <stp>##V3_BDPV12</stp>
        <stp>US912828RG74 Govt</stp>
        <stp>SECURITY_DES</stp>
        <stp>[portefeuille USD.xlsm]treasuries!R116C2_x0000__x0000_</stp>
        <tr r="B116" s="13"/>
      </tp>
      <tp t="e">
        <v>#N/A</v>
        <stp/>
        <stp>##V3_BDPV12</stp>
        <stp>FR0011012731 Corp</stp>
        <stp>AMT_OUTSTANDING</stp>
        <stp>[portefeuille USD.xlsm]SSA!R104C28_x0000__x0000_</stp>
        <tr r="AB104" s="16"/>
      </tp>
      <tp t="e">
        <v>#N/A</v>
        <stp/>
        <stp>##V3_BDPV12</stp>
        <stp>FR0010950675 Corp</stp>
        <stp>AMT_OUTSTANDING</stp>
        <stp>[portefeuille USD.xlsm]SSA!R106C28_x0000__x0000_</stp>
        <tr r="AB106" s="16"/>
      </tp>
      <tp t="e">
        <v>#N/A</v>
        <stp/>
        <stp>##V3_BDPV12</stp>
        <stp>FR0010306340 Corp</stp>
        <stp>AMT_OUTSTANDING</stp>
        <stp>[portefeuille USD.xlsm]SSA!R109C28_x0000__x0000_</stp>
        <tr r="AB109" s="16"/>
      </tp>
      <tp t="e">
        <v>#N/A</v>
        <stp/>
        <stp>##V3_BDPV12</stp>
        <stp>EJ095994 Corp Corp</stp>
        <stp>DAY_CNT_DES</stp>
        <stp>[portefeuille USD.xlsm]SSA!R130C29_x0000_2</stp>
        <tr r="AC130" s="16"/>
      </tp>
      <tp t="e">
        <v>#N/A</v>
        <stp/>
        <stp>##V3_BDPV12</stp>
        <stp>EI575402 Corp Corp</stp>
        <stp>DAY_CNT_DES</stp>
        <stp>[portefeuille USD.xlsm]SSA!R136C29_x0000_2</stp>
        <tr r="AC136" s="16"/>
      </tp>
      <tp t="e">
        <v>#N/A</v>
        <stp/>
        <stp>##V3_BDPV12</stp>
        <stp>EI355035 Corp Corp</stp>
        <stp>DAY_CNT_DES</stp>
        <stp>[portefeuille USD.xlsm]SSA!R132C29_x0000_2</stp>
        <tr r="AC132" s="16"/>
      </tp>
      <tp t="e">
        <v>#N/A</v>
        <stp/>
        <stp>##V3_BDPV12</stp>
        <stp>US912828NH93 Govt</stp>
        <stp>PX_MID</stp>
        <stp>[portefeuille USD.xlsm]MV Repo!R9C5_x0000__x0000_</stp>
        <tr r="E9" s="6"/>
      </tp>
      <tp t="e">
        <v>#N/A</v>
        <stp/>
        <stp>##V3_BDPV12</stp>
        <stp>EI839783 Corp Corp</stp>
        <stp>FIRST_CPN_DT</stp>
        <stp>[portefeuille USD.xlsm]SSA!R22C23_x0000__x0000_</stp>
        <tr r="W22" s="16"/>
      </tp>
      <tp t="e">
        <v>#N/A</v>
        <stp/>
        <stp>##V3_BDPV12</stp>
        <stp>US912828KF64 Govt</stp>
        <stp>YLD_YTM_ASK</stp>
        <stp>[portefeuille USD.xlsm]treasuries!R97C8_x0000__x0000_</stp>
        <tr r="H97" s="13"/>
      </tp>
      <tp t="e">
        <v>#N/A</v>
        <stp/>
        <stp>##V3_BDPV12</stp>
        <stp>EI009749 Corp Corp</stp>
        <stp>FIRST_CPN_DT</stp>
        <stp>[portefeuille USD.xlsm]SSA!R24C23_x0000__x0000_</stp>
        <tr r="W24" s="16"/>
      </tp>
      <tp t="e">
        <v>#N/A</v>
        <stp/>
        <stp>##V3_BDPV12</stp>
        <stp>EI939268 Corp Corp</stp>
        <stp>FIRST_CPN_DT</stp>
        <stp>[portefeuille USD.xlsm]SSA!R21C23_x0000__x0000_</stp>
        <tr r="W21" s="16"/>
      </tp>
      <tp t="e">
        <v>#N/A</v>
        <stp/>
        <stp>##V3_BDPV12</stp>
        <stp>US912828LB42 Corp</stp>
        <stp>CPN</stp>
        <stp>[portefeuille USD.xlsm]treasuries!R4C27_x0000_8</stp>
        <tr r="AA4" s="13"/>
      </tp>
      <tp t="e">
        <v>#N/A</v>
        <stp/>
        <stp>##V3_BDPV12</stp>
        <stp>EH967487 Corp Corp</stp>
        <stp>CPN</stp>
        <stp>[portefeuille USD.xlsm]SSA!R31C26_x0000__x0000_</stp>
        <tr r="Z31" s="16"/>
      </tp>
      <tp t="e">
        <v>#N/A</v>
        <stp/>
        <stp>##V3_BDPV12</stp>
        <stp>EI839783 Corp Corp</stp>
        <stp>CPN</stp>
        <stp>[portefeuille USD.xlsm]SSA!R22C26_x0000__x0000_</stp>
        <tr r="Z22" s="16"/>
      </tp>
      <tp t="e">
        <v>#N/A</v>
        <stp/>
        <stp>##V3_BDPV12</stp>
        <stp>EI297586 Corp Corp</stp>
        <stp>DAY_CNT_DES</stp>
        <stp>[portefeuille USD.xlsm]SSA!R26C29_x0000__x0000_</stp>
        <tr r="AC26" s="16"/>
      </tp>
      <tp t="e">
        <v>#N/A</v>
        <stp/>
        <stp>##V3_BDPV12</stp>
        <stp>US9127955X55 Corp</stp>
        <stp>FIRST_CPN_DT</stp>
        <stp>[portefeuille USD.xlsm]treasuries!R5C24_x0000__x0000_</stp>
        <tr r="X5" s="13"/>
      </tp>
      <tp t="e">
        <v>#N/A</v>
        <stp/>
        <stp>##V3_BDPV12</stp>
        <stp>EI472618 Corp Corp</stp>
        <stp>YLD_YTM_ASK</stp>
        <stp>[portefeuille USD.xlsm]SSA!R139C8_x0000_R</stp>
        <tr r="H139" s="16"/>
      </tp>
      <tp t="e">
        <v>#N/A</v>
        <stp/>
        <stp>##V3_BDPV12</stp>
        <stp>EI787877 Corp Corp</stp>
        <stp>DAY_CNT_DES</stp>
        <stp>[portefeuille USD.xlsm]SSA!R25C29_x0000__x0000_</stp>
        <tr r="AC25" s="16"/>
      </tp>
      <tp t="e">
        <v>#N/A</v>
        <stp/>
        <stp>##V3_BDPV12</stp>
        <stp>US9127956R78 Govt</stp>
        <stp>SECURITY_DES</stp>
        <stp>[portefeuille USD.xlsm]treasuries!R65C2_x0000_6</stp>
        <tr r="B65" s="13"/>
      </tp>
      <tp t="e">
        <v>#N/A</v>
        <stp/>
        <stp>##V3_BDPV12</stp>
        <stp>US912828RL69 Govt</stp>
        <stp>SECURITY_DES</stp>
        <stp>[portefeuille USD.xlsm]treasuries!R118C2_x0000__x0000_</stp>
        <tr r="B118" s="13"/>
      </tp>
      <tp t="e">
        <v>#N/A</v>
        <stp/>
        <stp>##V3_BDPV12</stp>
        <stp>US912810DW54 Govt</stp>
        <stp>SECURITY_DES</stp>
        <stp>[portefeuille USD.xlsm]treasuries!R158C2_x0000__x0000_</stp>
        <tr r="B158" s="13"/>
      </tp>
      <tp t="e">
        <v>#N/A</v>
        <stp/>
        <stp>##V3_BDPV12</stp>
        <stp>US912828NW60 Govt</stp>
        <stp>SECURITY_DES</stp>
        <stp>[portefeuille USD.xlsm]treasuries!R197C2_x0000__x0000_</stp>
        <tr r="B197" s="13"/>
      </tp>
      <tp t="e">
        <v>#N/A</v>
        <stp/>
        <stp>##V3_BDPV12</stp>
        <stp>US63983TAA34 Corp</stp>
        <stp>ISSUE_DT</stp>
        <stp>[portefeuille USD.xlsm]SSA!R3C21_x0000__x0000_</stp>
        <tr r="U3" s="16"/>
      </tp>
      <tp t="e">
        <v>#N/A</v>
        <stp/>
        <stp>##V3_BDPV12</stp>
        <stp>FR0010500843 Corp</stp>
        <stp>MATURITY</stp>
        <stp>[portefeuille USD.xlsm]SSA!R111C25_x0000__x0000_</stp>
        <tr r="Y111" s="16"/>
      </tp>
      <tp t="e">
        <v>#N/A</v>
        <stp/>
        <stp>##V3_BDPV12</stp>
        <stp>US912828RU68 Govt</stp>
        <stp>SECURITY_DES</stp>
        <stp>[portefeuille USD.xlsm]treasuries!R176C2_x0000__x0000_</stp>
        <tr r="B176" s="13"/>
      </tp>
      <tp t="e">
        <v>#N/A</v>
        <stp/>
        <stp>##V3_BDPV12</stp>
        <stp>US912810PU60 Govt</stp>
        <stp>SECURITY_DES</stp>
        <stp>[portefeuille USD.xlsm]treasuries!R270C2_x0000__x0000_</stp>
        <tr r="B270" s="13"/>
      </tp>
      <tp t="e">
        <v>#N/A</v>
        <stp/>
        <stp>##V3_BDPV12</stp>
        <stp>US912810ED64 Govt</stp>
        <stp>SECURITY_DES</stp>
        <stp>[portefeuille USD.xlsm]treasuries!R230C2_x0000__x0000_</stp>
        <tr r="B230" s="13"/>
      </tp>
      <tp t="e">
        <v>#N/A</v>
        <stp/>
        <stp>##V3_BDPV12</stp>
        <stp>US912810EV62 Govt</stp>
        <stp>SECURITY_DES</stp>
        <stp>[portefeuille USD.xlsm]treasuries!R255C2_x0000__x0000_</stp>
        <tr r="B255" s="13"/>
      </tp>
      <tp t="e">
        <v>#N/A</v>
        <stp/>
        <stp>##V3_BDPV12</stp>
        <stp>US912828MS67 Govt</stp>
        <stp>SECURITY_DES</stp>
        <stp>[portefeuille USD.xlsm]treasuries!R182C2_x0000__x0000_</stp>
        <tr r="B182" s="13"/>
      </tp>
      <tp t="e">
        <v>#N/A</v>
        <stp/>
        <stp>##V3_BDPV12</stp>
        <stp>US912810EM63 Govt</stp>
        <stp>SECURITY_DES</stp>
        <stp>[portefeuille USD.xlsm]treasuries!R249C2_x0000__x0000_</stp>
        <tr r="B249" s="13"/>
      </tp>
      <tp t="e">
        <v>#N/A</v>
        <stp/>
        <stp>##V3_BDPV12</stp>
        <stp>XS0546548636 Corp</stp>
        <stp>ISSUE_DT</stp>
        <stp>[portefeuille USD.xlsm]SSA!R117C21_x0000__x0000_</stp>
        <tr r="U117" s="16"/>
      </tp>
      <tp t="e">
        <v>#N/A</v>
        <stp/>
        <stp>##V3_BDPV12</stp>
        <stp>US912828KT68 Govt</stp>
        <stp>SECURITY_DES</stp>
        <stp>[portefeuille USD.xlsm]treasuries!R154C2_x0000__x0000_</stp>
        <tr r="B154" s="13"/>
      </tp>
      <tp t="e">
        <v>#N/A</v>
        <stp/>
        <stp>##V3_BDPV12</stp>
        <stp>XS0300990529 Corp</stp>
        <stp>AMT_OUTSTANDING</stp>
        <stp>[portefeuille USD.xlsm]SSA!R122C28_x0000__x0000_</stp>
        <tr r="AB122" s="16"/>
      </tp>
      <tp t="e">
        <v>#N/A</v>
        <stp/>
        <stp>##V3_BDPV12</stp>
        <stp>US912828TB69 Govt</stp>
        <stp>SECURITY_DES</stp>
        <stp>[portefeuille USD.xlsm]treasuries!R193C2_x0000__x0000_</stp>
        <tr r="B193" s="13"/>
      </tp>
      <tp t="e">
        <v>#N/A</v>
        <stp/>
        <stp>##V3_BDPV12</stp>
        <stp>FR0010998104 Corp</stp>
        <stp>CPN_FREQ</stp>
        <stp>[portefeuille USD.xlsm]SSA!R105C27_x0000__x0000_</stp>
        <tr r="AA105" s="16"/>
      </tp>
      <tp t="e">
        <v>#N/A</v>
        <stp/>
        <stp>##V3_BDPV12</stp>
        <stp>US912828RD44 Corp</stp>
        <stp>FIRST_CPN_DT</stp>
        <stp>[portefeuille USD.xlsm]treasuries!R77C24_x0000__x0000_</stp>
        <tr r="X77" s="13"/>
      </tp>
      <tp t="e">
        <v>#N/A</v>
        <stp/>
        <stp>##V3_BDPV12</stp>
        <stp>US912828RH57 Govt</stp>
        <stp>SECURITY_DES</stp>
        <stp>[portefeuille USD.xlsm]treasuries!R215C2_x0000__x0000_</stp>
        <tr r="B215" s="13"/>
      </tp>
      <tp t="e">
        <v>#N/A</v>
        <stp/>
        <stp>##V3_BDPV12</stp>
        <stp>US912828EN62 Govt</stp>
        <stp>SECURITY_DES</stp>
        <stp>[portefeuille USD.xlsm]treasuries!R146C2_x0000__x0000_</stp>
        <tr r="B146" s="13"/>
      </tp>
      <tp t="e">
        <v>#N/A</v>
        <stp/>
        <stp>##V3_BDPV12</stp>
        <stp>US912828SP64 Govt</stp>
        <stp>SECURITY_DES</stp>
        <stp>[portefeuille USD.xlsm]treasuries!R133C2_x0000__x0000_</stp>
        <tr r="B133" s="13"/>
      </tp>
      <tp t="e">
        <v>#N/A</v>
        <stp/>
        <stp>##V3_BDPV12</stp>
        <stp>US9127956H96 Corp</stp>
        <stp>FIRST_CPN_DT</stp>
        <stp>[portefeuille USD.xlsm]treasuries!R19C24_x0000__x0000_</stp>
        <tr r="X19" s="13"/>
      </tp>
      <tp t="e">
        <v>#N/A</v>
        <stp/>
        <stp>##V3_BDPV12</stp>
        <stp>US912828EE63 Govt</stp>
        <stp>SECURITY_DES</stp>
        <stp>[portefeuille USD.xlsm]treasuries!R140C2_x0000__x0000_</stp>
        <tr r="B140" s="13"/>
      </tp>
      <tp t="e">
        <v>#N/A</v>
        <stp/>
        <stp>##V3_BDPV12</stp>
        <stp>US912828PM60 Govt</stp>
        <stp>SECURITY_DES</stp>
        <stp>[portefeuille USD.xlsm]treasuries!R148C2_x0000__x0000_</stp>
        <tr r="B148" s="13"/>
      </tp>
      <tp t="e">
        <v>#N/A</v>
        <stp/>
        <stp>##V3_BDPV12</stp>
        <stp>US912828EW61 Govt</stp>
        <stp>SECURITY_DES</stp>
        <stp>[portefeuille USD.xlsm]treasuries!R151C2_x0000__x0000_</stp>
        <tr r="B151" s="13"/>
      </tp>
      <tp t="e">
        <v>#N/A</v>
        <stp/>
        <stp>##V3_BDPV12</stp>
        <stp>EI472618 Corp Corp</stp>
        <stp>INT_ACC_DT</stp>
        <stp>[portefeuille USD.xlsm]SSA!R139C22_x0000_2</stp>
        <tr r="V139" s="16"/>
      </tp>
      <tp t="e">
        <v>#N/A</v>
        <stp/>
        <stp>##V3_BDPV12</stp>
        <stp>EG524914 Corp Corp</stp>
        <stp>DAY_CNT_DES</stp>
        <stp>[portefeuille USD.xlsm]SSA!R133C29_x0000_2</stp>
        <tr r="AC133" s="16"/>
      </tp>
      <tp t="e">
        <v>#N/A</v>
        <stp/>
        <stp>##V3_BDPV12</stp>
        <stp>EI954150 Corp Corp</stp>
        <stp>DAY_CNT_DES</stp>
        <stp>[portefeuille USD.xlsm]SSA!R134C29_x0000_2</stp>
        <tr r="AC134" s="16"/>
      </tp>
      <tp t="e">
        <v>#N/A</v>
        <stp/>
        <stp>##V3_BDPV12</stp>
        <stp>US912828LM07 Govt</stp>
        <stp>YLD_YTM_ASK</stp>
        <stp>[portefeuille USD.xlsm]treasuries!R20C8_x0000__x0000_</stp>
        <tr r="H20" s="13"/>
      </tp>
      <tp t="e">
        <v>#N/A</v>
        <stp/>
        <stp>##V3_BDPV12</stp>
        <stp>US912828LH12 Govt</stp>
        <stp>YLD_YTM_ASK</stp>
        <stp>[portefeuille USD.xlsm]treasuries!R12C8_x0000__x0000_</stp>
        <tr r="H12" s="13"/>
      </tp>
      <tp t="e">
        <v>#N/A</v>
        <stp/>
        <stp>##V3_BDPV12</stp>
        <stp>US9127956R78 Govt</stp>
        <stp>PX_MID</stp>
        <stp>[portefeuille USD.xlsm]MV Repo!R7C5_x0000__x0000_</stp>
        <tr r="E7" s="6"/>
      </tp>
      <tp t="e">
        <v>#N/A</v>
        <stp/>
        <stp>##V3_BDPV12</stp>
        <stp>US912828LR93 Govt</stp>
        <stp>YLD_YTM_ASK</stp>
        <stp>[portefeuille USD.xlsm]treasuries!R27C8_x0000__x0000_</stp>
        <tr r="H27" s="13"/>
      </tp>
      <tp t="e">
        <v>#N/A</v>
        <stp/>
        <stp>##V3_BDPV12</stp>
        <stp>US912828LX61 Govt</stp>
        <stp>YLD_YTM_ASK</stp>
        <stp>[portefeuille USD.xlsm]treasuries!R36C8_x0000__x0000_</stp>
        <tr r="H36" s="13"/>
      </tp>
      <tp t="e">
        <v>#N/A</v>
        <stp/>
        <stp>##V3_BDPV12</stp>
        <stp>ED607736 Corp Corp</stp>
        <stp>CPN</stp>
        <stp>[portefeuille USD.xlsm]SSA!R36C26_x0000__x0000_</stp>
        <tr r="Z36" s="16"/>
      </tp>
      <tp t="e">
        <v>#N/A</v>
        <stp/>
        <stp>##V3_BDPV12</stp>
        <stp>US912828QZ64 Govt</stp>
        <stp>SECURITY_DES</stp>
        <stp>[portefeuille USD.xlsm]treasuries!R66C2_x0000__x0000_</stp>
        <tr r="B66" s="13"/>
      </tp>
      <tp t="e">
        <v>#N/A</v>
        <stp/>
        <stp>##V3_BDPV12</stp>
        <stp>US912828JZ48 Govt</stp>
        <stp>SECURITY_DES</stp>
        <stp>[portefeuille USD.xlsm]treasuries!R92C2_x0000__x0000_</stp>
        <tr r="B92" s="13"/>
      </tp>
      <tp t="e">
        <v>#N/A</v>
        <stp/>
        <stp>##V3_BDPV12</stp>
        <stp>US912828PZ73 Govt</stp>
        <stp>SECURITY_DES</stp>
        <stp>[portefeuille USD.xlsm]treasuries!R98C2_x0000__x0000_</stp>
        <tr r="B98" s="13"/>
      </tp>
      <tp t="e">
        <v>#N/A</v>
        <stp/>
        <stp>##V3_BDPV12</stp>
        <stp>US9127956U08 Govt</stp>
        <stp>SECURITY_DES</stp>
        <stp>[portefeuille USD.xlsm]treasuries!R38C2_x0000__x0000_</stp>
        <tr r="B38" s="13"/>
      </tp>
      <tp t="e">
        <v>#N/A</v>
        <stp/>
        <stp>##V3_BDPV12</stp>
        <stp>EG914838 Corp Corp</stp>
        <stp>DAY_CNT_DES</stp>
        <stp>[portefeuille USD.xlsm]SSA!R37C29_x0000__x0000_</stp>
        <tr r="AC37" s="16"/>
      </tp>
      <tp t="e">
        <v>#N/A</v>
        <stp/>
        <stp>##V3_BDPV12</stp>
        <stp>EF501708 Corp Corp</stp>
        <stp>YLD_YTM_ASK</stp>
        <stp>[portefeuille USD.xlsm]SSA!R135C8_x0000_R</stp>
        <tr r="H135" s="16"/>
      </tp>
      <tp t="e">
        <v>#N/A</v>
        <stp/>
        <stp>##V3_BDPV12</stp>
        <stp>XS0546548636 Corp</stp>
        <stp>AMT_OUTSTANDING</stp>
        <stp>[portefeuille USD.xlsm]SSA!R117C28_x0000__x0000_</stp>
        <tr r="AB117" s="16"/>
      </tp>
      <tp t="e">
        <v>#N/A</v>
        <stp/>
        <stp>##V3_BDPV12</stp>
        <stp>EF501708 Corp Corp</stp>
        <stp>INT_ACC_DT</stp>
        <stp>[portefeuille USD.xlsm]SSA!R135C22_x0000_2</stp>
        <tr r="V135" s="16"/>
      </tp>
      <tp t="e">
        <v>#N/A</v>
        <stp/>
        <stp>##V3_BDPV12</stp>
        <stp>US912828SE18 Govt</stp>
        <stp>SECURITY_DES</stp>
        <stp>[portefeuille USD.xlsm]treasuries!R129C2_x0000__x0000_</stp>
        <tr r="B129" s="13"/>
      </tp>
      <tp t="e">
        <v>#N/A</v>
        <stp/>
        <stp>##V3_BDPV12</stp>
        <stp>US912810DT26 Govt</stp>
        <stp>SECURITY_DES</stp>
        <stp>[portefeuille USD.xlsm]treasuries!R145C2_x0000__x0000_</stp>
        <tr r="B145" s="13"/>
      </tp>
      <tp t="e">
        <v>#N/A</v>
        <stp/>
        <stp>##V3_BDPV12</stp>
        <stp>US912810ET17 Govt</stp>
        <stp>SECURITY_DES</stp>
        <stp>[portefeuille USD.xlsm]treasuries!R254C2_x0000__x0000_</stp>
        <tr r="B254" s="13"/>
      </tp>
      <tp t="e">
        <v>#N/A</v>
        <stp/>
        <stp>##V3_BDPV12</stp>
        <stp>US912828MP29 Govt</stp>
        <stp>SECURITY_DES</stp>
        <stp>[portefeuille USD.xlsm]treasuries!R233C2_x0000__x0000_</stp>
        <tr r="B233" s="13"/>
      </tp>
      <tp t="e">
        <v>#N/A</v>
        <stp/>
        <stp>##V3_BDPV12</stp>
        <stp>FR0010606442 Corp</stp>
        <stp>MATURITY</stp>
        <stp>[portefeuille USD.xlsm]SSA!R108C25_x0000__x0000_</stp>
        <tr r="Y108" s="16"/>
      </tp>
      <tp t="e">
        <v>#N/A</v>
        <stp/>
        <stp>##V3_BDPV12</stp>
        <stp>US912810QW18 Govt</stp>
        <stp>SECURITY_DES</stp>
        <stp>[portefeuille USD.xlsm]treasuries!R286C2_x0000__x0000_</stp>
        <tr r="B286" s="13"/>
      </tp>
      <tp t="e">
        <v>#N/A</v>
        <stp/>
        <stp>##V3_BDPV12</stp>
        <stp>US912810EF13 Govt</stp>
        <stp>SECURITY_DES</stp>
        <stp>[portefeuille USD.xlsm]treasuries!R234C2_x0000__x0000_</stp>
        <tr r="B234" s="13"/>
      </tp>
      <tp t="e">
        <v>#N/A</v>
        <stp/>
        <stp>##V3_BDPV12</stp>
        <stp>US912828NG11 Govt</stp>
        <stp>SECURITY_DES</stp>
        <stp>[portefeuille USD.xlsm]treasuries!R191C2_x0000__x0000_</stp>
        <tr r="B191" s="13"/>
      </tp>
      <tp t="e">
        <v>#N/A</v>
        <stp/>
        <stp>##V3_BDPV12</stp>
        <stp>US912810QN19 Govt</stp>
        <stp>SECURITY_DES</stp>
        <stp>[portefeuille USD.xlsm]treasuries!R281C2_x0000__x0000_</stp>
        <tr r="B281" s="13"/>
      </tp>
      <tp t="e">
        <v>#N/A</v>
        <stp/>
        <stp>##V3_BDPV12</stp>
        <stp>US912828PF10 Govt</stp>
        <stp>SECURITY_DES</stp>
        <stp>[portefeuille USD.xlsm]treasuries!R199C2_x0000__x0000_</stp>
        <tr r="B199" s="13"/>
      </tp>
      <tp t="e">
        <v>#N/A</v>
        <stp/>
        <stp>##V3_BDPV12</stp>
        <stp>US912810FA17 Govt</stp>
        <stp>SECURITY_DES</stp>
        <stp>[portefeuille USD.xlsm]treasuries!R260C2_x0000__x0000_</stp>
        <tr r="B260" s="13"/>
      </tp>
      <tp t="e">
        <v>#N/A</v>
        <stp/>
        <stp>##V3_BDPV12</stp>
        <stp>US912828FY19 Govt</stp>
        <stp>SECURITY_DES</stp>
        <stp>[portefeuille USD.xlsm]treasuries!R173C2_x0000__x0000_</stp>
        <tr r="B173" s="13"/>
      </tp>
      <tp t="e">
        <v>#N/A</v>
        <stp/>
        <stp>##V3_BDPV12</stp>
        <stp>US912810QE10 Govt</stp>
        <stp>SECURITY_DES</stp>
        <stp>[portefeuille USD.xlsm]treasuries!R277C2_x0000__x0000_</stp>
        <tr r="B277" s="13"/>
      </tp>
      <tp t="e">
        <v>#N/A</v>
        <stp/>
        <stp>##V3_BDPV12</stp>
        <stp>XS0592582653 Corp</stp>
        <stp>ISSUE_DT</stp>
        <stp>[portefeuille USD.xlsm]SSA!R113C21_x0000__x0000_</stp>
        <tr r="U113" s="16"/>
      </tp>
      <tp t="e">
        <v>#N/A</v>
        <stp/>
        <stp>##V3_BDPV12</stp>
        <stp>US912828HA15 Govt</stp>
        <stp>SECURITY_DES</stp>
        <stp>[portefeuille USD.xlsm]treasuries!R196C2_x0000__x0000_</stp>
        <tr r="B196" s="13"/>
      </tp>
      <tp t="e">
        <v>#N/A</v>
        <stp/>
        <stp>##V3_BDPV12</stp>
        <stp>FR0010306340 Corp</stp>
        <stp>MATURITY</stp>
        <stp>[portefeuille USD.xlsm]SSA!R109C25_x0000__x0000_</stp>
        <tr r="Y109" s="16"/>
      </tp>
      <tp t="e">
        <v>#N/A</v>
        <stp/>
        <stp>##V3_BDPV12</stp>
        <stp>US912828QW34 Corp</stp>
        <stp>FIRST_CPN_DT</stp>
        <stp>[portefeuille USD.xlsm]treasuries!R73C24_x0000__x0000_</stp>
        <tr r="X73" s="13"/>
      </tp>
      <tp t="e">
        <v>#N/A</v>
        <stp/>
        <stp>##V3_BDPV12</stp>
        <stp>US912828LZ10 Govt</stp>
        <stp>SECURITY_DES</stp>
        <stp>[portefeuille USD.xlsm]treasuries!R122C2_x0000__x0000_</stp>
        <tr r="B122" s="13"/>
      </tp>
      <tp t="e">
        <v>#N/A</v>
        <stp/>
        <stp>##V3_BDPV12</stp>
        <stp>US912828KQ20 Govt</stp>
        <stp>SECURITY_DES</stp>
        <stp>[portefeuille USD.xlsm]treasuries!R227C2_x0000__x0000_</stp>
        <tr r="B227" s="13"/>
      </tp>
      <tp t="e">
        <v>#N/A</v>
        <stp/>
        <stp>##V3_BDPV12</stp>
        <stp>US912828JD36 Corp</stp>
        <stp>FIRST_CPN_DT</stp>
        <stp>[portefeuille USD.xlsm]treasuries!R70C24_x0000__x0000_</stp>
        <tr r="X70" s="13"/>
      </tp>
      <tp t="e">
        <v>#N/A</v>
        <stp/>
        <stp>##V3_BDPV12</stp>
        <stp>US912828RJ14 Govt</stp>
        <stp>SECURITY_DES</stp>
        <stp>[portefeuille USD.xlsm]treasuries!R170C2_x0000__x0000_</stp>
        <tr r="B170" s="13"/>
      </tp>
      <tp t="e">
        <v>#N/A</v>
        <stp/>
        <stp>##V3_BDPV12</stp>
        <stp>US912828NP10 Govt</stp>
        <stp>SECURITY_DES</stp>
        <stp>[portefeuille USD.xlsm]treasuries!R139C2_x0000__x0000_</stp>
        <tr r="B139" s="13"/>
      </tp>
      <tp t="e">
        <v>#N/A</v>
        <stp/>
        <stp>##V3_BDPV12</stp>
        <stp>US912828JR22 Govt</stp>
        <stp>SECURITY_DES</stp>
        <stp>[portefeuille USD.xlsm]treasuries!R217C2_x0000__x0000_</stp>
        <tr r="B217" s="13"/>
      </tp>
      <tp t="e">
        <v>#N/A</v>
        <stp/>
        <stp>##V3_BDPV12</stp>
        <stp>US912828LQ11 Govt</stp>
        <stp>SECURITY_DES</stp>
        <stp>[portefeuille USD.xlsm]treasuries!R117C2_x0000__x0000_</stp>
        <tr r="B117" s="13"/>
      </tp>
      <tp t="e">
        <v>#N/A</v>
        <stp/>
        <stp>##V3_BDPV12</stp>
        <stp>XS0477137813 Corp</stp>
        <stp>AMT_OUTSTANDING</stp>
        <stp>[portefeuille USD.xlsm]SSA!R120C28_x0000__x0000_</stp>
        <tr r="AB120" s="16"/>
      </tp>
      <tp t="e">
        <v>#N/A</v>
        <stp/>
        <stp>##V3_BDPV12</stp>
        <stp>US912828QA14 Govt</stp>
        <stp>SECURITY_DES</stp>
        <stp>[portefeuille USD.xlsm]treasuries!R155C2_x0000__x0000_</stp>
        <tr r="B155" s="13"/>
      </tp>
      <tp t="e">
        <v>#N/A</v>
        <stp/>
        <stp>##V3_BDPV12</stp>
        <stp>US912828QX17 Govt</stp>
        <stp>SECURITY_DES</stp>
        <stp>[portefeuille USD.xlsm]treasuries!R164C2_x0000__x0000_</stp>
        <tr r="B164" s="13"/>
      </tp>
      <tp t="e">
        <v>#N/A</v>
        <stp/>
        <stp>##V3_BDPV12</stp>
        <stp>US912828RE27 Govt</stp>
        <stp>SECURITY_DES</stp>
        <stp>[portefeuille USD.xlsm]treasuries!R214C2_x0000__x0000_</stp>
        <tr r="B214" s="13"/>
      </tp>
      <tp t="e">
        <v>#N/A</v>
        <stp/>
        <stp>##V3_BDPV12</stp>
        <stp>US912828SW16 Govt</stp>
        <stp>SECURITY_DES</stp>
        <stp>[portefeuille USD.xlsm]treasuries!R107C2_x0000__x0000_</stp>
        <tr r="B107" s="13"/>
      </tp>
      <tp t="e">
        <v>#N/A</v>
        <stp/>
        <stp>##V3_BDPV12</stp>
        <stp>FR0010827246 Corp</stp>
        <stp>MATURITY</stp>
        <stp>[portefeuille USD.xlsm]SSA!R110C25_x0000__x0000_</stp>
        <tr r="Y110" s="16"/>
      </tp>
      <tp t="e">
        <v>#N/A</v>
        <stp/>
        <stp>##V3_BDPV12</stp>
        <stp>US912828PX26 Govt</stp>
        <stp>SECURITY_DES</stp>
        <stp>[portefeuille USD.xlsm]treasuries!R239C2_x0000__x0000_</stp>
        <tr r="B239" s="13"/>
      </tp>
      <tp t="e">
        <v>#N/A</v>
        <stp/>
        <stp>##V3_BDPV12</stp>
        <stp>US912828DC17 Govt</stp>
        <stp>SECURITY_DES</stp>
        <stp>[portefeuille USD.xlsm]treasuries!R120C2_x0000__x0000_</stp>
        <tr r="B120" s="13"/>
      </tp>
      <tp t="e">
        <v>#N/A</v>
        <stp/>
        <stp>##V3_BDPV12</stp>
        <stp>US912828KV15 Govt</stp>
        <stp>SECURITY_DES</stp>
        <stp>[portefeuille USD.xlsm]treasuries!R106C2_x0000__x0000_</stp>
        <tr r="B106" s="13"/>
      </tp>
      <tp t="e">
        <v>#N/A</v>
        <stp/>
        <stp>##V3_BDPV12</stp>
        <stp>EI133522 Corp Corp</stp>
        <stp>DAY_CNT_DES</stp>
        <stp>[portefeuille USD.xlsm]SSA!R138C29_x0000_2</stp>
        <tr r="AC138" s="16"/>
      </tp>
      <tp t="e">
        <v>#N/A</v>
        <stp/>
        <stp>##V3_BDPV12</stp>
        <stp>US912828MB33 Govt</stp>
        <stp>YLD_YTM_ASK</stp>
        <stp>[portefeuille USD.xlsm]treasuries!R42C8_x0000__x0000_</stp>
        <tr r="H42" s="13"/>
      </tp>
      <tp t="e">
        <v>#N/A</v>
        <stp/>
        <stp>##V3_BDPV12</stp>
        <stp>EH828973 Corp Govt</stp>
        <stp>SECURITY_DES</stp>
        <stp>[portefeuille USD.xlsm]SSA!R142C2_x0000__x0000_</stp>
        <tr r="B142" s="16"/>
      </tp>
      <tp t="e">
        <v>#N/A</v>
        <stp/>
        <stp>##V3_BDPV12</stp>
        <stp>US912828MG20 Govt</stp>
        <stp>YLD_YTM_ASK</stp>
        <stp>[portefeuille USD.xlsm]treasuries!R46C8_x0000__x0000_</stp>
        <tr r="H46" s="13"/>
      </tp>
      <tp t="e">
        <v>#N/A</v>
        <stp/>
        <stp>##V3_BDPV12</stp>
        <stp>US912828MN70 Govt</stp>
        <stp>YLD_YTM_ASK</stp>
        <stp>[portefeuille USD.xlsm]treasuries!R51C8_x0000__x0000_</stp>
        <tr r="H51" s="13"/>
      </tp>
      <tp t="e">
        <v>#N/A</v>
        <stp/>
        <stp>##V3_BDPV12</stp>
        <stp>US9127956L09 Govt</stp>
        <stp>PX_MID</stp>
        <stp>[portefeuille USD.xlsm]MV Repo!R6C5_x0000__x0000_</stp>
        <tr r="E6" s="6"/>
      </tp>
      <tp t="e">
        <v>#N/A</v>
        <stp/>
        <stp>##V3_BDPV12</stp>
        <stp>US912828MT41 Govt</stp>
        <stp>YLD_YTM_ASK</stp>
        <stp>[portefeuille USD.xlsm]treasuries!R55C8_x0000__x0000_</stp>
        <tr r="H55" s="13"/>
      </tp>
      <tp t="e">
        <v>#N/A</v>
        <stp/>
        <stp>##V3_BDPV12</stp>
        <stp>US912828MX52 Govt</stp>
        <stp>YLD_YTM_ASK</stp>
        <stp>[portefeuille USD.xlsm]treasuries!R59C8_x0000__x0000_</stp>
        <tr r="H59" s="13"/>
      </tp>
      <tp t="e">
        <v>#N/A</v>
        <stp/>
        <stp>##V3_BDPV12</stp>
        <stp>EH539714 Corp Corp</stp>
        <stp>CPN</stp>
        <stp>[portefeuille USD.xlsm]SSA!R34C26_x0000__x0000_</stp>
        <tr r="Z34" s="16"/>
      </tp>
      <tp t="e">
        <v>#N/A</v>
        <stp/>
        <stp>##V3_BDPV12</stp>
        <stp>XS0540029807 Corp</stp>
        <stp>ISSUE_DT</stp>
        <stp>[portefeuille USD.xlsm]SSA!R8C21_x0000_9</stp>
        <tr r="U8" s="16"/>
      </tp>
      <tp t="e">
        <v>#N/A</v>
        <stp/>
        <stp>##V3_BDPV12</stp>
        <stp>EI009749 Corp Corp</stp>
        <stp>DAY_CNT_DES</stp>
        <stp>[portefeuille USD.xlsm]SSA!R24C29_x0000__x0000_</stp>
        <tr r="AC24" s="16"/>
      </tp>
      <tp t="e">
        <v>#N/A</v>
        <stp/>
        <stp>##V3_BDPV12</stp>
        <stp>US912828NQ92 Corp</stp>
        <stp>FIRST_CPN_DT</stp>
        <stp>[portefeuille USD.xlsm]treasuries!R7C24_x0000__x0000_</stp>
        <tr r="X7" s="13"/>
      </tp>
      <tp t="e">
        <v>#N/A</v>
        <stp/>
        <stp>##V3_BDPV12</stp>
        <stp>US9127956T35 Govt</stp>
        <stp>SECURITY_DES</stp>
        <stp>[portefeuille USD.xlsm]treasuries!R37C2_x0000_6</stp>
        <tr r="B37" s="13"/>
      </tp>
      <tp t="e">
        <v>#N/A</v>
        <stp/>
        <stp>##V3_BDPV12</stp>
        <stp>US912828NY27 Corp</stp>
        <stp>FIRST_CPN_DT</stp>
        <stp>[portefeuille USD.xlsm]treasuries!R78C24_x0000__x0000_</stp>
        <tr r="X78" s="13"/>
      </tp>
      <tp t="e">
        <v>#N/A</v>
        <stp/>
        <stp>##V3_BDPV12</stp>
        <stp>US912810FF04 Govt</stp>
        <stp>SECURITY_DES</stp>
        <stp>[portefeuille USD.xlsm]treasuries!R263C2_x0000__x0000_</stp>
        <tr r="B263" s="13"/>
      </tp>
      <tp t="e">
        <v>#N/A</v>
        <stp/>
        <stp>##V3_BDPV12</stp>
        <stp>XS0561837013 Corp</stp>
        <stp>AMT_OUTSTANDING</stp>
        <stp>[portefeuille USD.xlsm]SSA!R128C28_x0000__x0000_</stp>
        <tr r="AB128" s="16"/>
      </tp>
      <tp t="e">
        <v>#N/A</v>
        <stp/>
        <stp>##V3_BDPV12</stp>
        <stp>US912828LD08 Govt</stp>
        <stp>SECURITY_DES</stp>
        <stp>[portefeuille USD.xlsm]treasuries!R165C2_x0000__x0000_</stp>
        <tr r="B165" s="13"/>
      </tp>
      <tp t="e">
        <v>#N/A</v>
        <stp/>
        <stp>##V3_BDPV12</stp>
        <stp>EI265078 Corp Corp</stp>
        <stp>INT_ACC_DT</stp>
        <stp>[portefeuille USD.xlsm]SSA!R144C22_x0000_2</stp>
        <tr r="V144" s="16"/>
      </tp>
      <tp t="e">
        <v>#N/A</v>
        <stp/>
        <stp>##V3_BDPV12</stp>
        <stp>US912828RX08 Govt</stp>
        <stp>SECURITY_DES</stp>
        <stp>[portefeuille USD.xlsm]treasuries!R177C2_x0000__x0000_</stp>
        <tr r="B177" s="13"/>
      </tp>
      <tp t="e">
        <v>#N/A</v>
        <stp/>
        <stp>##V3_BDPV12</stp>
        <stp>US912810PX00 Govt</stp>
        <stp>SECURITY_DES</stp>
        <stp>[portefeuille USD.xlsm]treasuries!R272C2_x0000__x0000_</stp>
        <tr r="B272" s="13"/>
      </tp>
      <tp t="e">
        <v>#N/A</v>
        <stp/>
        <stp>##V3_BDPV12</stp>
        <stp>US912810EY02 Govt</stp>
        <stp>SECURITY_DES</stp>
        <stp>[portefeuille USD.xlsm]treasuries!R258C2_x0000__x0000_</stp>
        <tr r="B258" s="13"/>
      </tp>
      <tp t="e">
        <v>#N/A</v>
        <stp/>
        <stp>##V3_BDPV12</stp>
        <stp>US912828SS04 Govt</stp>
        <stp>SECURITY_DES</stp>
        <stp>[portefeuille USD.xlsm]treasuries!R186C2_x0000__x0000_</stp>
        <tr r="B186" s="13"/>
      </tp>
      <tp t="e">
        <v>#N/A</v>
        <stp/>
        <stp>##V3_BDPV12</stp>
        <stp>US912828SJ05 Govt</stp>
        <stp>SECURITY_DES</stp>
        <stp>[portefeuille USD.xlsm]treasuries!R183C2_x0000__x0000_</stp>
        <tr r="B183" s="13"/>
      </tp>
      <tp t="e">
        <v>#N/A</v>
        <stp/>
        <stp>##V3_BDPV12</stp>
        <stp>US912828BH22 Corp</stp>
        <stp>FIRST_CPN_DT</stp>
        <stp>[portefeuille USD.xlsm]treasuries!R75C24_x0000__x0000_</stp>
        <tr r="X75" s="13"/>
      </tp>
      <tp t="e">
        <v>#N/A</v>
        <stp/>
        <stp>##V3_BDPV12</stp>
        <stp>US912828LX61 Corp</stp>
        <stp>FIRST_CPN_DT</stp>
        <stp>[portefeuille USD.xlsm]treasuries!R36C24_x0000__x0000_</stp>
        <tr r="X36" s="13"/>
      </tp>
      <tp t="e">
        <v>#N/A</v>
        <stp/>
        <stp>##V3_BDPV12</stp>
        <stp>XS0284982922 Corp</stp>
        <stp>ISSUE_DT</stp>
        <stp>[portefeuille USD.xlsm]SSA!R114C21_x0000__x0000_</stp>
        <tr r="U114" s="16"/>
      </tp>
      <tp t="e">
        <v>#N/A</v>
        <stp/>
        <stp>##V3_BDPV12</stp>
        <stp>US912828MZ01 Govt</stp>
        <stp>SECURITY_DES</stp>
        <stp>[portefeuille USD.xlsm]treasuries!R134C2_x0000__x0000_</stp>
        <tr r="B134" s="13"/>
      </tp>
      <tp t="e">
        <v>#N/A</v>
        <stp/>
        <stp>##V3_BDPV12</stp>
        <stp>US912828QE36 Corp</stp>
        <stp>FIRST_CPN_DT</stp>
        <stp>[portefeuille USD.xlsm]treasuries!R60C24_x0000__x0000_</stp>
        <tr r="X60" s="13"/>
      </tp>
      <tp t="e">
        <v>#N/A</v>
        <stp/>
        <stp>##V3_BDPV12</stp>
        <stp>FR0010776674 Corp</stp>
        <stp>MATURITY</stp>
        <stp>[portefeuille USD.xlsm]SSA!R112C25_x0000__x0000_</stp>
        <tr r="Y112" s="16"/>
      </tp>
      <tp t="e">
        <v>#N/A</v>
        <stp/>
        <stp>##V3_BDPV12</stp>
        <stp>US912828HT06 Corp</stp>
        <stp>FIRST_CPN_DT</stp>
        <stp>[portefeuille USD.xlsm]treasuries!R53C24_x0000__x0000_</stp>
        <tr r="X53" s="13"/>
      </tp>
      <tp t="e">
        <v>#N/A</v>
        <stp/>
        <stp>##V3_BDPV12</stp>
        <stp>US912810EB09 Govt</stp>
        <stp>SECURITY_DES</stp>
        <stp>[portefeuille USD.xlsm]treasuries!R218C2_x0000__x0000_</stp>
        <tr r="B218" s="13"/>
      </tp>
      <tp t="e">
        <v>#N/A</v>
        <stp/>
        <stp>##V3_BDPV12</stp>
        <stp>US912828QN35 Govt</stp>
        <stp>SECURITY_DES</stp>
        <stp>[portefeuille USD.xlsm]treasuries!R241C2_x0000__x0000_</stp>
        <tr r="B241" s="13"/>
      </tp>
      <tp t="e">
        <v>#N/A</v>
        <stp/>
        <stp>##V3_BDPV12</stp>
        <stp>US912828MH03 Govt</stp>
        <stp>SECURITY_DES</stp>
        <stp>[portefeuille USD.xlsm]treasuries!R126C2_x0000__x0000_</stp>
        <tr r="B126" s="13"/>
      </tp>
      <tp t="e">
        <v>#N/A</v>
        <stp/>
        <stp>##V3_BDPV12</stp>
        <stp>US912828NT32 Govt</stp>
        <stp>SECURITY_DES</stp>
        <stp>[portefeuille USD.xlsm]treasuries!R237C2_x0000__x0000_</stp>
        <tr r="B237" s="13"/>
      </tp>
      <tp t="e">
        <v>#N/A</v>
        <stp/>
        <stp>##V3_BDPV12</stp>
        <stp>US912810QS06 Govt</stp>
        <stp>SECURITY_DES</stp>
        <stp>[portefeuille USD.xlsm]treasuries!R283C2_x0000__x0000_</stp>
        <tr r="B283" s="13"/>
      </tp>
      <tp t="e">
        <v>#N/A</v>
        <stp/>
        <stp>##V3_BDPV12</stp>
        <stp>US912810FT08 Govt</stp>
        <stp>SECURITY_DES</stp>
        <stp>[portefeuille USD.xlsm]treasuries!R268C2_x0000__x0000_</stp>
        <tr r="B268" s="13"/>
      </tp>
      <tp t="e">
        <v>#N/A</v>
        <stp/>
        <stp>##V3_BDPV12</stp>
        <stp>US912828KR03 Govt</stp>
        <stp>SECURITY_DES</stp>
        <stp>[portefeuille USD.xlsm]treasuries!R157C2_x0000__x0000_</stp>
        <tr r="B157" s="13"/>
      </tp>
      <tp t="e">
        <v>#N/A</v>
        <stp/>
        <stp>##V3_BDPV12</stp>
        <stp>US912828SD35 Govt</stp>
        <stp>SECURITY_DES</stp>
        <stp>[portefeuille USD.xlsm]treasuries!R221C2_x0000__x0000_</stp>
        <tr r="B221" s="13"/>
      </tp>
      <tp t="e">
        <v>#N/A</v>
        <stp/>
        <stp>##V3_BDPV12</stp>
        <stp>US912828SV33 Govt</stp>
        <stp>SECURITY_DES</stp>
        <stp>[portefeuille USD.xlsm]treasuries!R248C2_x0000__x0000_</stp>
        <tr r="B248" s="13"/>
      </tp>
      <tp t="e">
        <v>#N/A</v>
        <stp/>
        <stp>##V3_BDPV12</stp>
        <stp>US912810DX38 Govt</stp>
        <stp>SECURITY_DES</stp>
        <stp>[portefeuille USD.xlsm]treasuries!R174C2_x0000__x0000_</stp>
        <tr r="B174" s="13"/>
      </tp>
      <tp t="e">
        <v>#N/A</v>
        <stp/>
        <stp>##V3_BDPV12</stp>
        <stp>US912828QF01 Govt</stp>
        <stp>SECURITY_DES</stp>
        <stp>[portefeuille USD.xlsm]treasuries!R156C2_x0000__x0000_</stp>
        <tr r="B156" s="13"/>
      </tp>
      <tp t="e">
        <v>#N/A</v>
        <stp/>
        <stp>##V3_BDPV12</stp>
        <stp>US912828RR30 Govt</stp>
        <stp>SECURITY_DES</stp>
        <stp>[portefeuille USD.xlsm]treasuries!R246C2_x0000__x0000_</stp>
        <tr r="B246" s="13"/>
      </tp>
      <tp t="e">
        <v>#N/A</v>
        <stp/>
        <stp>##V3_BDPV12</stp>
        <stp>US912810EK08 Govt</stp>
        <stp>SECURITY_DES</stp>
        <stp>[portefeuille USD.xlsm]treasuries!R244C2_x0000__x0000_</stp>
        <tr r="B244" s="13"/>
      </tp>
      <tp t="e">
        <v>#N/A</v>
        <stp/>
        <stp>##V3_BDPV12</stp>
        <stp>US912828PD61 Corp</stp>
        <stp>FIRST_CPN_DT</stp>
        <stp>[portefeuille USD.xlsm]treasuries!R31C24_x0000__x0000_</stp>
        <tr r="X31" s="13"/>
      </tp>
      <tp t="e">
        <v>#N/A</v>
        <stp/>
        <stp>##V3_BDPV12</stp>
        <stp>US912828NL06 Govt</stp>
        <stp>SECURITY_DES</stp>
        <stp>[portefeuille USD.xlsm]treasuries!R138C2_x0000__x0000_</stp>
        <tr r="B138" s="13"/>
      </tp>
      <tp t="e">
        <v>#N/A</v>
        <stp/>
        <stp>##V3_BDPV12</stp>
        <stp>EI472618 Corp Corp</stp>
        <stp>DAY_CNT_DES</stp>
        <stp>[portefeuille USD.xlsm]SSA!R139C29_x0000_2</stp>
        <tr r="AC139" s="16"/>
      </tp>
      <tp t="e">
        <v>#N/A</v>
        <stp/>
        <stp>##V3_BDPV12</stp>
        <stp>EI265078 Corp Corp</stp>
        <stp>DAY_CNT_DES</stp>
        <stp>[portefeuille USD.xlsm]SSA!R144C29_x0000_2</stp>
        <tr r="AC144" s="16"/>
      </tp>
      <tp t="e">
        <v>#N/A</v>
        <stp/>
        <stp>##V3_BDPV12</stp>
        <stp>US912828QZ64 Govt</stp>
        <stp>PX_MID</stp>
        <stp>[portefeuille USD.xlsm]MV Repo!R8C5_x0000__x0000_</stp>
        <tr r="E8" s="6"/>
      </tp>
      <tp t="e">
        <v>#N/A</v>
        <stp/>
        <stp>##V3_BDPV12</stp>
        <stp>US912828NC07 Govt</stp>
        <stp>YLD_YTM_ASK</stp>
        <stp>[portefeuille USD.xlsm]treasuries!R63C8_x0000__x0000_</stp>
        <tr r="H63" s="13"/>
      </tp>
      <tp t="e">
        <v>#N/A</v>
        <stp/>
        <stp>##V3_BDPV12</stp>
        <stp>US912828NH93 Govt</stp>
        <stp>YLD_YTM_ASK</stp>
        <stp>[portefeuille USD.xlsm]treasuries!R68C8_x0000__x0000_</stp>
        <tr r="H68" s="13"/>
      </tp>
      <tp t="e">
        <v>#N/A</v>
        <stp/>
        <stp>##V3_BDPV12</stp>
        <stp>US912828NN61 Govt</stp>
        <stp>YLD_YTM_ASK</stp>
        <stp>[portefeuille USD.xlsm]treasuries!R71C8_x0000__x0000_</stp>
        <tr r="H71" s="13"/>
      </tp>
      <tp t="e">
        <v>#N/A</v>
        <stp/>
        <stp>##V3_BDPV12</stp>
        <stp>US912828NU05 Govt</stp>
        <stp>YLD_YTM_ASK</stp>
        <stp>[portefeuille USD.xlsm]treasuries!R74C8_x0000_2</stp>
        <tr r="H74" s="13"/>
      </tp>
      <tp t="e">
        <v>#N/A</v>
        <stp/>
        <stp>##V3_BDPV12</stp>
        <stp>US912828NY27 Govt</stp>
        <stp>YLD_YTM_ASK</stp>
        <stp>[portefeuille USD.xlsm]treasuries!R78C8_x0000__x0000_</stp>
        <tr r="H78" s="13"/>
      </tp>
      <tp t="e">
        <v>#N/A</v>
        <stp/>
        <stp>##V3_BDPV12</stp>
        <stp>US912828NX44 Govt</stp>
        <stp>YLD_YTM_ASK</stp>
        <stp>[portefeuille USD.xlsm]treasuries!R24C8_x0000__x0000_</stp>
        <tr r="H24" s="13"/>
      </tp>
      <tp t="e">
        <v>#N/A</v>
        <stp/>
        <stp>##V3_BDPV12</stp>
        <stp>US639832AD61 Corp</stp>
        <stp>ISSUE_DT</stp>
        <stp>[portefeuille USD.xlsm]SSA!R5C21_x0000_3</stp>
        <tr r="U5" s="16"/>
      </tp>
      <tp t="e">
        <v>#N/A</v>
        <stp/>
        <stp>##V3_BDPV12</stp>
        <stp>EI251950 Corp Corp</stp>
        <stp>CPN</stp>
        <stp>[portefeuille USD.xlsm]SSA!R23C26_x0000__x0000_</stp>
        <tr r="Z23" s="16"/>
      </tp>
      <tp t="e">
        <v>#N/A</v>
        <stp/>
        <stp>##V3_BDPV12</stp>
        <stp>EI347021 Corp Corp</stp>
        <stp>CPN</stp>
        <stp>[portefeuille USD.xlsm]SSA!R27C26_x0000__x0000_</stp>
        <tr r="Z27" s="16"/>
      </tp>
      <tp t="e">
        <v>#N/A</v>
        <stp/>
        <stp>##V3_BDPV12</stp>
        <stp>EH237816 Corp Corp</stp>
        <stp>CPN</stp>
        <stp>[portefeuille USD.xlsm]SSA!R29C26_x0000__x0000_</stp>
        <tr r="Z29" s="16"/>
      </tp>
      <tp t="e">
        <v>#N/A</v>
        <stp/>
        <stp>##V3_BDPV12</stp>
        <stp>US912828LX61 Govt</stp>
        <stp>SECURITY_DES</stp>
        <stp>[portefeuille USD.xlsm]treasuries!R36C2_x0000__x0000_</stp>
        <tr r="B36" s="13"/>
      </tp>
      <tp t="e">
        <v>#N/A</v>
        <stp/>
        <stp>##V3_BDPV12</stp>
        <stp>US912828NX44 Govt</stp>
        <stp>SECURITY_DES</stp>
        <stp>[portefeuille USD.xlsm]treasuries!R24C2_x0000__x0000_</stp>
        <tr r="B24" s="13"/>
      </tp>
      <tp t="e">
        <v>#N/A</v>
        <stp/>
        <stp>##V3_BDPV12</stp>
        <stp>US912828MX52 Govt</stp>
        <stp>SECURITY_DES</stp>
        <stp>[portefeuille USD.xlsm]treasuries!R59C2_x0000__x0000_</stp>
        <tr r="B59" s="13"/>
      </tp>
      <tp t="e">
        <v>#N/A</v>
        <stp/>
        <stp>##V3_BDPV12</stp>
        <stp>ED037578 Corp Corp</stp>
        <stp>DAY_CNT_DES</stp>
        <stp>[portefeuille USD.xlsm]SSA!R30C29_x0000__x0000_</stp>
        <tr r="AC30" s="16"/>
      </tp>
      <tp t="e">
        <v>#N/A</v>
        <stp/>
        <stp>##V3_BDPV12</stp>
        <stp>EC687043 Corp Corp</stp>
        <stp>DAY_CNT_DES</stp>
        <stp>[portefeuille USD.xlsm]SSA!R35C29_x0000__x0000_</stp>
        <tr r="AC35" s="16"/>
      </tp>
      <tp t="e">
        <v>#N/A</v>
        <stp/>
        <stp>##V3_BDPV12</stp>
        <stp>XS0760314103 Corp</stp>
        <stp>AMT_OUTSTANDING</stp>
        <stp>[portefeuille USD.xlsm]SSA!R119C28_x0000__x0000_</stp>
        <tr r="AB119" s="16"/>
      </tp>
      <tp t="e">
        <v>#N/A</v>
        <stp/>
        <stp>##V3_BDPV12</stp>
        <stp>US912828GS32 Govt</stp>
        <stp>SECURITY_DES</stp>
        <stp>[portefeuille USD.xlsm]treasuries!R188C2_x0000__x0000_</stp>
        <tr r="B188" s="13"/>
      </tp>
      <tp t="e">
        <v>#N/A</v>
        <stp/>
        <stp>##V3_BDPV12</stp>
        <stp>US912828NF38 Govt</stp>
        <stp>SECURITY_DES</stp>
        <stp>[portefeuille USD.xlsm]treasuries!R137C2_x0000__x0000_</stp>
        <tr r="B137" s="13"/>
      </tp>
      <tp t="e">
        <v>#N/A</v>
        <stp/>
        <stp>##V3_BDPV12</stp>
        <stp>US912810QD37 Govt</stp>
        <stp>SECURITY_DES</stp>
        <stp>[portefeuille USD.xlsm]treasuries!R276C2_x0000__x0000_</stp>
        <tr r="B276" s="13"/>
      </tp>
      <tp t="e">
        <v>#N/A</v>
        <stp/>
        <stp>##V3_BDPV12</stp>
        <stp>US912828RA05 Corp</stp>
        <stp>FIRST_CPN_DT</stp>
        <stp>[portefeuille USD.xlsm]treasuries!R69C24_x0000__x0000_</stp>
        <tr r="X69" s="13"/>
      </tp>
      <tp t="e">
        <v>#N/A</v>
        <stp/>
        <stp>##V3_BDPV12</stp>
        <stp>US912828PY09 Govt</stp>
        <stp>SECURITY_DES</stp>
        <stp>[portefeuille USD.xlsm]treasuries!R205C2_x0000__x0000_</stp>
        <tr r="B205" s="13"/>
      </tp>
      <tp t="e">
        <v>#N/A</v>
        <stp/>
        <stp>##V3_BDPV12</stp>
        <stp>US912810ES34 Govt</stp>
        <stp>SECURITY_DES</stp>
        <stp>[portefeuille USD.xlsm]treasuries!R253C2_x0000__x0000_</stp>
        <tr r="B253" s="13"/>
      </tp>
      <tp t="e">
        <v>#N/A</v>
        <stp/>
        <stp>##V3_BDPV12</stp>
        <stp>US912810EJ35 Govt</stp>
        <stp>SECURITY_DES</stp>
        <stp>[portefeuille USD.xlsm]treasuries!R242C2_x0000__x0000_</stp>
        <tr r="B242" s="13"/>
      </tp>
      <tp t="e">
        <v>#N/A</v>
        <stp/>
        <stp>##V3_BDPV12</stp>
        <stp>US912828LP38 Govt</stp>
        <stp>SECURITY_DES</stp>
        <stp>[portefeuille USD.xlsm]treasuries!R169C2_x0000__x0000_</stp>
        <tr r="B169" s="13"/>
      </tp>
      <tp t="e">
        <v>#N/A</v>
        <stp/>
        <stp>##V3_BDPV12</stp>
        <stp>US912810DP04 Govt</stp>
        <stp>SECURITY_DES</stp>
        <stp>[portefeuille USD.xlsm]treasuries!R127C2_x0000__x0000_</stp>
        <tr r="B127" s="13"/>
      </tp>
      <tp t="e">
        <v>#N/A</v>
        <stp/>
        <stp>##V3_BDPV12</stp>
        <stp>XS0521024132 Corp</stp>
        <stp>AMT_OUTSTANDING</stp>
        <stp>[portefeuille USD.xlsm]SSA!R118C28_x0000__x0000_</stp>
        <tr r="AB118" s="16"/>
      </tp>
      <tp t="e">
        <v>#N/A</v>
        <stp/>
        <stp>##V3_BDPV12</stp>
        <stp>US912828SM34 Govt</stp>
        <stp>SECURITY_DES</stp>
        <stp>[portefeuille USD.xlsm]treasuries!R185C2_x0000__x0000_</stp>
        <tr r="B185" s="13"/>
      </tp>
      <tp t="e">
        <v>#N/A</v>
        <stp/>
        <stp>##V3_BDPV12</stp>
        <stp>US912828HC70 Corp</stp>
        <stp>FIRST_CPN_DT</stp>
        <stp>[portefeuille USD.xlsm]treasuries!R17C24_x0000__x0000_</stp>
        <tr r="X17" s="13"/>
      </tp>
      <tp t="e">
        <v>#N/A</v>
        <stp/>
        <stp>##V3_BDPV12</stp>
        <stp>US912828MG20 Corp</stp>
        <stp>FIRST_CPN_DT</stp>
        <stp>[portefeuille USD.xlsm]treasuries!R46C24_x0000__x0000_</stp>
        <tr r="X46" s="13"/>
      </tp>
      <tp t="e">
        <v>#N/A</v>
        <stp/>
        <stp>##V3_BDPV12</stp>
        <stp>XS0562102615 Corp</stp>
        <stp>AMT_OUTSTANDING</stp>
        <stp>[portefeuille USD.xlsm]SSA!R145C28_x0000__x0000_</stp>
        <tr r="AB145" s="16"/>
      </tp>
      <tp t="e">
        <v>#N/A</v>
        <stp/>
        <stp>##V3_BDPV12</stp>
        <stp>US912828NC07 Corp</stp>
        <stp>FIRST_CPN_DT</stp>
        <stp>[portefeuille USD.xlsm]treasuries!R63C24_x0000__x0000_</stp>
        <tr r="X63" s="13"/>
      </tp>
      <tp t="e">
        <v>#N/A</v>
        <stp/>
        <stp>##V3_BDPV12</stp>
        <stp>US912828AP56 Corp</stp>
        <stp>FIRST_CPN_DT</stp>
        <stp>[portefeuille USD.xlsm]treasuries!R35C24_x0000__x0000_</stp>
        <tr r="X35" s="13"/>
      </tp>
      <tp t="e">
        <v>#N/A</v>
        <stp/>
        <stp>##V3_BDPV12</stp>
        <stp>US912828PH75 Corp</stp>
        <stp>FIRST_CPN_DT</stp>
        <stp>[portefeuille USD.xlsm]treasuries!R16C24_x0000__x0000_</stp>
        <tr r="X16" s="13"/>
      </tp>
      <tp t="e">
        <v>#N/A</v>
        <stp/>
        <stp>##V3_BDPV12</stp>
        <stp>US912828PJ32 Govt</stp>
        <stp>SECURITY_DES</stp>
        <stp>[portefeuille USD.xlsm]treasuries!R147C2_x0000__x0000_</stp>
        <tr r="B147" s="13"/>
      </tp>
      <tp t="e">
        <v>#N/A</v>
        <stp/>
        <stp>##V3_BDPV12</stp>
        <stp>US63983TAC99 Corp</stp>
        <stp>CPN_FREQ</stp>
        <stp>[portefeuille USD.xlsm]SSA!R9C27_x0000_8</stp>
        <tr r="AA9" s="16"/>
      </tp>
      <tp t="e">
        <v>#N/A</v>
        <stp/>
        <stp>##V3_BDPV12</stp>
        <stp>US912810FE39 Govt</stp>
        <stp>SECURITY_DES</stp>
        <stp>[portefeuille USD.xlsm]treasuries!R262C2_x0000__x0000_</stp>
        <tr r="B262" s="13"/>
      </tp>
      <tp t="e">
        <v>#N/A</v>
        <stp/>
        <stp>##V3_BDPV12</stp>
        <stp>US912828QT05 Govt</stp>
        <stp>SECURITY_DES</stp>
        <stp>[portefeuille USD.xlsm]treasuries!R211C2_x0000__x0000_</stp>
        <tr r="B211" s="13"/>
      </tp>
      <tp t="e">
        <v>#N/A</v>
        <stp/>
        <stp>##V3_BDPV12</stp>
        <stp>US9127955V99 Corp</stp>
        <stp>FIRST_CPN_DT</stp>
        <stp>[portefeuille USD.xlsm]treasuries!R45C24_x0000__x0000_</stp>
        <tr r="X45" s="13"/>
      </tp>
      <tp t="e">
        <v>#N/A</v>
        <stp/>
        <stp>##V3_BDPV12</stp>
        <stp>US912828NX44 Corp</stp>
        <stp>FIRST_CPN_DT</stp>
        <stp>[portefeuille USD.xlsm]treasuries!R24C24_x0000__x0000_</stp>
        <tr r="X24" s="13"/>
      </tp>
      <tp t="e">
        <v>#N/A</v>
        <stp/>
        <stp>##V3_BDPV12</stp>
        <stp>US912828PK05 Govt</stp>
        <stp>SECURITY_DES</stp>
        <stp>[portefeuille USD.xlsm]treasuries!R201C2_x0000__x0000_</stp>
        <tr r="B201" s="13"/>
      </tp>
      <tp t="e">
        <v>#N/A</v>
        <stp/>
        <stp>##V3_BDPV12</stp>
        <stp>US912828PS31 Govt</stp>
        <stp>SECURITY_DES</stp>
        <stp>[portefeuille USD.xlsm]treasuries!R149C2_x0000__x0000_</stp>
        <tr r="B149" s="13"/>
      </tp>
      <tp t="e">
        <v>#N/A</v>
        <stp/>
        <stp>##V3_BDPV12</stp>
        <stp>US912828MK32 Govt</stp>
        <stp>SECURITY_DES</stp>
        <stp>[portefeuille USD.xlsm]treasuries!R179C2_x0000__x0000_</stp>
        <tr r="B179" s="13"/>
      </tp>
      <tp t="e">
        <v>#N/A</v>
        <stp/>
        <stp>##V3_BDPV12</stp>
        <stp>FR0010925446 Corp</stp>
        <stp>AMT_OUTSTANDING</stp>
        <stp>[portefeuille USD.xlsm]SSA!R107C28_x0000__x0000_</stp>
        <tr r="AB107" s="16"/>
      </tp>
      <tp t="e">
        <v>#N/A</v>
        <stp/>
        <stp>##V3_BDPV12</stp>
        <stp>EF501708 Corp Corp</stp>
        <stp>DAY_CNT_DES</stp>
        <stp>[portefeuille USD.xlsm]SSA!R135C29_x0000_2</stp>
        <tr r="AC135" s="16"/>
      </tp>
      <tp t="e">
        <v>#N/A</v>
        <stp/>
        <stp>##V3_BDPV12</stp>
        <stp>EI791877 Corp Corp</stp>
        <stp>DAY_CNT_DES</stp>
        <stp>[portefeuille USD.xlsm]SSA!R137C29_x0000_2</stp>
        <tr r="AC137" s="16"/>
      </tp>
      <tp t="e">
        <v>#N/A</v>
        <stp/>
        <stp>##V3_BDPV12</stp>
        <stp>EI791385 Corp Corp</stp>
        <stp>DAY_CNT_DES</stp>
        <stp>[portefeuille USD.xlsm]SSA!R131C29_x0000_2</stp>
        <tr r="AC131" s="16"/>
      </tp>
      <tp t="e">
        <v>#N/A</v>
        <stp/>
        <stp>##V3_BDPV12</stp>
        <stp>XS0495091620 Corp</stp>
        <stp>ISSUE_DT</stp>
        <stp>[portefeuille USD.xlsm]SSA!R7C21_x0000__x0000_</stp>
        <tr r="U7" s="16"/>
      </tp>
      <tp t="e">
        <v>#N/A</v>
        <stp/>
        <stp>##V3_BDPV12</stp>
        <stp>US912828NY27 Govt</stp>
        <stp>SECURITY_DES</stp>
        <stp>[portefeuille USD.xlsm]treasuries!R78C2_x0000_2</stp>
        <tr r="B78" s="13"/>
      </tp>
      <tp t="e">
        <v>#N/A</v>
        <stp/>
        <stp>##V3_BDPV12</stp>
        <stp>US9127955V99 Govt</stp>
        <stp>SECURITY_DES</stp>
        <stp>[portefeuille USD.xlsm]treasuries!R45C2_x0000__x0000_</stp>
        <tr r="B45" s="13"/>
      </tp>
      <tp t="e">
        <v>#N/A</v>
        <stp/>
        <stp>##V3_BDPV12</stp>
        <stp>EI939268 Corp Corp</stp>
        <stp>DAY_CNT_DES</stp>
        <stp>[portefeuille USD.xlsm]SSA!R21C29_x0000__x0000_</stp>
        <tr r="AC21" s="16"/>
      </tp>
      <tp t="e">
        <v>#N/A</v>
        <stp/>
        <stp>##V3_BDPV12</stp>
        <stp>EF086162 Corp Corp</stp>
        <stp>DAY_CNT_DES</stp>
        <stp>[portefeuille USD.xlsm]SSA!R33C29_x0000__x0000_</stp>
        <tr r="AC33" s="16"/>
      </tp>
      <tp t="e">
        <v>#N/A</v>
        <stp/>
        <stp>##V3_BDPV12</stp>
        <stp>EH531108 Corp Corp</stp>
        <stp>YLD_YTM_ASK</stp>
        <stp>[portefeuille USD.xlsm]SSA!R143C8_x0000_R</stp>
        <tr r="H143" s="16"/>
      </tp>
      <tp t="e">
        <v>#N/A</v>
        <stp/>
        <stp>##V3_BDPV12</stp>
        <stp>US912828HY90 Govt</stp>
        <stp>SECURITY_DES</stp>
        <stp>[portefeuille USD.xlsm]treasuries!R61C2_x0000_8</stp>
        <tr r="B61" s="13"/>
      </tp>
      <tp t="e">
        <v>#N/A</v>
        <stp/>
        <stp>##V3_BDPV12</stp>
        <stp>US912828PA23 Govt</stp>
        <stp>SECURITY_DES</stp>
        <stp>[portefeuille USD.xlsm]treasuries!R198C2_x0000__x0000_</stp>
        <tr r="B198" s="13"/>
      </tp>
      <tp t="e">
        <v>#N/A</v>
        <stp/>
        <stp>##V3_BDPV12</stp>
        <stp>US912828NK23 Govt</stp>
        <stp>SECURITY_DES</stp>
        <stp>[portefeuille USD.xlsm]treasuries!R192C2_x0000__x0000_</stp>
        <tr r="B192" s="13"/>
      </tp>
      <tp t="e">
        <v>#N/A</v>
        <stp/>
        <stp>##V3_BDPV12</stp>
        <stp>US912810PW27 Govt</stp>
        <stp>SECURITY_DES</stp>
        <stp>[portefeuille USD.xlsm]treasuries!R271C2_x0000__x0000_</stp>
        <tr r="B271" s="13"/>
      </tp>
      <tp t="e">
        <v>#N/A</v>
        <stp/>
        <stp>##V3_BDPV12</stp>
        <stp>US912810FJ26 Govt</stp>
        <stp>SECURITY_DES</stp>
        <stp>[portefeuille USD.xlsm]treasuries!R265C2_x0000__x0000_</stp>
        <tr r="B265" s="13"/>
      </tp>
      <tp t="e">
        <v>#N/A</v>
        <stp/>
        <stp>##V3_BDPV12</stp>
        <stp>US63983UAB89 Corp</stp>
        <stp>CPN_FREQ</stp>
        <stp>[portefeuille USD.xlsm]SSA!R6C27_x0000__x0000_</stp>
        <tr r="AA6" s="16"/>
      </tp>
      <tp t="e">
        <v>#N/A</v>
        <stp/>
        <stp>##V3_BDPV12</stp>
        <stp>US912810EA26 Govt</stp>
        <stp>SECURITY_DES</stp>
        <stp>[portefeuille USD.xlsm]treasuries!R208C2_x0000__x0000_</stp>
        <tr r="B208" s="13"/>
      </tp>
      <tp t="e">
        <v>#N/A</v>
        <stp/>
        <stp>##V3_BDPV12</stp>
        <stp>US912828KZ29 Govt</stp>
        <stp>SECURITY_DES</stp>
        <stp>[portefeuille USD.xlsm]treasuries!R162C2_x0000__x0000_</stp>
        <tr r="B162" s="13"/>
      </tp>
      <tp t="e">
        <v>#N/A</v>
        <stp/>
        <stp>##V3_BDPV12</stp>
        <stp>US912828QS22 Govt</stp>
        <stp>SECURITY_DES</stp>
        <stp>[portefeuille USD.xlsm]treasuries!R108C2_x0000__x0000_</stp>
        <tr r="B108" s="13"/>
      </tp>
      <tp t="e">
        <v>#N/A</v>
        <stp/>
        <stp>##V3_BDPV12</stp>
        <stp>US912828LL24 Govt</stp>
        <stp>SECURITY_DES</stp>
        <stp>[portefeuille USD.xlsm]treasuries!R167C2_x0000__x0000_</stp>
        <tr r="B167" s="13"/>
      </tp>
      <tp t="e">
        <v>#N/A</v>
        <stp/>
        <stp>##V3_BDPV12</stp>
        <stp>US912828SR21 Govt</stp>
        <stp>SECURITY_DES</stp>
        <stp>[portefeuille USD.xlsm]treasuries!R103C2_x0000__x0000_</stp>
        <tr r="B103" s="13"/>
      </tp>
      <tp t="e">
        <v>#N/A</v>
        <stp/>
        <stp>##V3_BDPV12</stp>
        <stp>US912810DY11 Govt</stp>
        <stp>SECURITY_DES</stp>
        <stp>[portefeuille USD.xlsm]treasuries!R189C2_x0000__x0000_</stp>
        <tr r="B189" s="13"/>
      </tp>
      <tp t="e">
        <v>#N/A</v>
        <stp/>
        <stp>##V3_BDPV12</stp>
        <stp>US912828QJ23 Govt</stp>
        <stp>SECURITY_DES</stp>
        <stp>[portefeuille USD.xlsm]treasuries!R153C2_x0000__x0000_</stp>
        <tr r="B153" s="13"/>
      </tp>
      <tp t="e">
        <v>#N/A</v>
        <stp/>
        <stp>##V3_BDPV12</stp>
        <stp>FR0010775239 Corp</stp>
        <stp>MATURITY</stp>
        <stp>[portefeuille USD.xlsm]SSA!R103C25_x0000__x0000_</stp>
        <tr r="Y103" s="16"/>
      </tp>
      <tp t="e">
        <v>#N/A</v>
        <stp/>
        <stp>##V3_BDPV12</stp>
        <stp>US912828NU05 Corp</stp>
        <stp>FIRST_CPN_DT</stp>
        <stp>[portefeuille USD.xlsm]treasuries!R74C24_x0000__x0000_</stp>
        <tr r="X74" s="13"/>
      </tp>
      <tp t="e">
        <v>#N/A</v>
        <stp/>
        <stp>##V3_BDPV12</stp>
        <stp>US912828MB33 Corp</stp>
        <stp>FIRST_CPN_DT</stp>
        <stp>[portefeuille USD.xlsm]treasuries!R42C24_x0000__x0000_</stp>
        <tr r="X42" s="13"/>
      </tp>
      <tp t="e">
        <v>#N/A</v>
        <stp/>
        <stp>##V3_BDPV12</stp>
        <stp>US912828PT14 Govt</stp>
        <stp>SECURITY_DES</stp>
        <stp>[portefeuille USD.xlsm]treasuries!R203C2_x0000__x0000_</stp>
        <tr r="B203" s="13"/>
      </tp>
      <tp t="e">
        <v>#N/A</v>
        <stp/>
        <stp>##V3_BDPV12</stp>
        <stp>FR0010815332 Corp</stp>
        <stp>MATURITY</stp>
        <stp>[portefeuille USD.xlsm]SSA!R100C25_x0000__x0000_</stp>
        <tr r="Y100" s="16"/>
      </tp>
      <tp t="e">
        <v>#N/A</v>
        <stp/>
        <stp>##V3_BDPV12</stp>
        <stp>FR0010925446 Corp</stp>
        <stp>MATURITY</stp>
        <stp>[portefeuille USD.xlsm]SSA!R107C25_x0000__x0000_</stp>
        <tr r="Y107" s="16"/>
      </tp>
      <tp t="e">
        <v>#N/A</v>
        <stp/>
        <stp>##V3_BDPV12</stp>
        <stp>US912810EX29 Govt</stp>
        <stp>SECURITY_DES</stp>
        <stp>[portefeuille USD.xlsm]treasuries!R257C2_x0000__x0000_</stp>
        <tr r="B257" s="13"/>
      </tp>
      <tp t="e">
        <v>#N/A</v>
        <stp/>
        <stp>##V3_BDPV12</stp>
        <stp>US912828LC25 Govt</stp>
        <stp>SECURITY_DES</stp>
        <stp>[portefeuille USD.xlsm]treasuries!R112C2_x0000__x0000_</stp>
        <tr r="B112" s="13"/>
      </tp>
      <tp t="e">
        <v>#N/A</v>
        <stp/>
        <stp>##V3_BDPV12</stp>
        <stp>US912828LU23 Govt</stp>
        <stp>SECURITY_DES</stp>
        <stp>[portefeuille USD.xlsm]treasuries!R172C2_x0000__x0000_</stp>
        <tr r="B172" s="13"/>
      </tp>
      <tp t="e">
        <v>#N/A</v>
        <stp/>
        <stp>##V3_BDPV12</stp>
        <stp>US912828SN17 Govt</stp>
        <stp>SECURITY_DES</stp>
        <stp>[portefeuille USD.xlsm]treasuries!R225C2_x0000__x0000_</stp>
        <tr r="B225" s="13"/>
      </tp>
      <tp t="e">
        <v>#N/A</v>
        <stp/>
        <stp>##V3_BDPV12</stp>
        <stp>US912828FF20 Govt</stp>
        <stp>SECURITY_DES</stp>
        <stp>[portefeuille USD.xlsm]treasuries!R159C2_x0000__x0000_</stp>
        <tr r="B159" s="13"/>
      </tp>
      <tp t="e">
        <v>#N/A</v>
        <stp/>
        <stp>##V3_BDPV12</stp>
        <stp>US912828KD17 Govt</stp>
        <stp>SECURITY_DES</stp>
        <stp>[portefeuille USD.xlsm]treasuries!R223C2_x0000__x0000_</stp>
        <tr r="B223" s="13"/>
      </tp>
      <tp t="e">
        <v>#N/A</v>
        <stp/>
        <stp>##V3_BDPV12</stp>
        <stp>FR0010827246 Corp</stp>
        <stp>AMT_OUTSTANDING</stp>
        <stp>[portefeuille USD.xlsm]SSA!R110C28_x0000__x0000_</stp>
        <tr r="AB110" s="16"/>
      </tp>
      <tp t="e">
        <v>#N/A</v>
        <stp/>
        <stp>##V3_BDPV12</stp>
        <stp>EI697819 Corp Corp</stp>
        <stp>DAY_CNT_DES</stp>
        <stp>[portefeuille USD.xlsm]SSA!R141C29_x0000_2</stp>
        <tr r="AC141" s="16"/>
      </tp>
      <tp t="e">
        <v>#N/A</v>
        <stp/>
        <stp>##V3_BDPV12</stp>
        <stp>US912828QE36 Govt</stp>
        <stp>PX_MID</stp>
        <stp>[portefeuille USD.xlsm]MV Repo!R5C5_x0000__x0000_</stp>
        <tr r="E5" s="6"/>
      </tp>
      <tp t="e">
        <v>#N/A</v>
        <stp/>
        <stp>##V3_BDPV12</stp>
        <stp>EJ095994 Corp Govt</stp>
        <stp>SECURITY_DES</stp>
        <stp>[portefeuille USD.xlsm]SSA!R130C2_x0000__x0000_</stp>
        <tr r="B130" s="16"/>
      </tp>
      <tp t="e">
        <v>#N/A</v>
        <stp/>
        <stp>##V3_BDPV12</stp>
        <stp>EI143648 Corp Corp</stp>
        <stp>FIRST_CPN_DT</stp>
        <stp>[portefeuille USD.xlsm]SSA!R32C23_x0000__x0000_</stp>
        <tr r="W32" s="16"/>
      </tp>
      <tp t="e">
        <v>#N/A</v>
        <stp/>
        <stp>##V3_BDPV12</stp>
        <stp>EI575402 Corp Govt</stp>
        <stp>SECURITY_DES</stp>
        <stp>[portefeuille USD.xlsm]SSA!R136C2_x0000__x0000_</stp>
        <tr r="B136" s="16"/>
      </tp>
      <tp t="e">
        <v>#N/A</v>
        <stp/>
        <stp>##V3_BDPV12</stp>
        <stp>EI265078 Corp Govt</stp>
        <stp>SECURITY_DES</stp>
        <stp>[portefeuille USD.xlsm]SSA!R144C2_x0000__x0000_</stp>
        <tr r="B144" s="16"/>
      </tp>
      <tp t="e">
        <v>#N/A</v>
        <stp/>
        <stp>##V3_BDPV12</stp>
        <stp>EI355035 Corp Govt</stp>
        <stp>SECURITY_DES</stp>
        <stp>[portefeuille USD.xlsm]SSA!R132C2_x0000__x0000_</stp>
        <tr r="B132" s="16"/>
      </tp>
      <tp t="e">
        <v>#N/A</v>
        <stp/>
        <stp>##V3_BDPV12</stp>
        <stp>US912828GZ74 Corp</stp>
        <stp>CPN</stp>
        <stp>[portefeuille USD.xlsm]treasuries!R8C27_x0000__x0000_</stp>
        <tr r="AA8" s="13"/>
      </tp>
      <tp t="e">
        <v>#N/A</v>
        <stp/>
        <stp>##V3_BDPV12</stp>
        <stp>XS0495091620 Corp</stp>
        <stp>CPN_FREQ</stp>
        <stp>[portefeuille USD.xlsm]SSA!R7C27_x0000_4</stp>
        <tr r="AA7" s="16"/>
      </tp>
      <tp t="e">
        <v>#N/A</v>
        <stp/>
        <stp>##V3_BDPV12</stp>
        <stp>EF086162 Corp Corp</stp>
        <stp>CPN</stp>
        <stp>[portefeuille USD.xlsm]SSA!R33C26_x0000__x0000_</stp>
        <tr r="Z33" s="16"/>
      </tp>
      <tp t="e">
        <v>#N/A</v>
        <stp/>
        <stp>##V3_BDPV12</stp>
        <stp>EI939268 Corp Corp</stp>
        <stp>CPN</stp>
        <stp>[portefeuille USD.xlsm]SSA!R21C26_x0000__x0000_</stp>
        <tr r="Z21" s="16"/>
      </tp>
      <tp t="e">
        <v>#N/A</v>
        <stp/>
        <stp>##V3_BDPV12</stp>
        <stp>US912828HV51 Govt</stp>
        <stp>SECURITY_DES</stp>
        <stp>[portefeuille USD.xlsm]treasuries!R56C2_x0000_4</stp>
        <tr r="B56" s="13"/>
      </tp>
      <tp t="e">
        <v>#N/A</v>
        <stp/>
        <stp>##V3_BDPV12</stp>
        <stp>US912828PV69 Govt</stp>
        <stp>SECURITY_DES</stp>
        <stp>[portefeuille USD.xlsm]treasuries!R40C2_x0000_2</stp>
        <tr r="B40" s="13"/>
      </tp>
      <tp t="e">
        <v>#N/A</v>
        <stp/>
        <stp>##V3_BDPV12</stp>
        <stp>XS0490844718 Corp</stp>
        <stp>AMT_OUTSTANDING</stp>
        <stp>[portefeuille USD.xlsm]SSA!R127C28_x0000__x0000_</stp>
        <tr r="AB127" s="16"/>
      </tp>
      <tp t="e">
        <v>#N/A</v>
        <stp/>
        <stp>##V3_BDPV12</stp>
        <stp>US9127956U08 Corp</stp>
        <stp>FIRST_CPN_DT</stp>
        <stp>[portefeuille USD.xlsm]treasuries!R38C24_x0000__x0000_</stp>
        <tr r="X38" s="13"/>
      </tp>
      <tp t="e">
        <v>#N/A</v>
        <stp/>
        <stp>##V3_BDPV12</stp>
        <stp>XS0451654189 Corp</stp>
        <stp>AMT_OUTSTANDING</stp>
        <stp>[portefeuille USD.xlsm]SSA!R129C28_x0000__x0000_</stp>
        <tr r="AB129" s="16"/>
      </tp>
      <tp t="e">
        <v>#N/A</v>
        <stp/>
        <stp>##V3_BDPV12</stp>
        <stp>US9127956E65 Corp</stp>
        <stp>FIRST_CPN_DT</stp>
        <stp>[portefeuille USD.xlsm]treasuries!R54C24_x0000__x0000_</stp>
        <tr r="X54" s="13"/>
      </tp>
      <tp t="e">
        <v>#N/A</v>
        <stp/>
        <stp>##V3_BDPV12</stp>
        <stp>XS0576210289 Corp</stp>
        <stp>ISSUE_DT</stp>
        <stp>[portefeuille USD.xlsm]SSA!R116C21_x0000__x0000_</stp>
        <tr r="U116" s="16"/>
      </tp>
      <tp t="e">
        <v>#N/A</v>
        <stp/>
        <stp>##V3_BDPV12</stp>
        <stp>XS0610555681 Corp</stp>
        <stp>ISSUE_DT</stp>
        <stp>[portefeuille USD.xlsm]SSA!R123C21_x0000__x0000_</stp>
        <tr r="U123" s="16"/>
      </tp>
      <tp t="e">
        <v>#N/A</v>
        <stp/>
        <stp>##V3_BDPV12</stp>
        <stp>XS0270250136 Corp</stp>
        <stp>ISSUE_DT</stp>
        <stp>[portefeuille USD.xlsm]SSA!R115C21_x0000__x0000_</stp>
        <tr r="U115" s="16"/>
      </tp>
      <tp t="e">
        <v>#N/A</v>
        <stp/>
        <stp>##V3_BDPV12</stp>
        <stp>US9127956B27 Corp</stp>
        <stp>FIRST_CPN_DT</stp>
        <stp>[portefeuille USD.xlsm]treasuries!R13C24_x0000__x0000_</stp>
        <tr r="X13" s="13"/>
      </tp>
      <tp t="e">
        <v>#N/A</v>
        <stp/>
        <stp>##V3_BDPV12</stp>
        <stp>US912828AJ96 Corp</stp>
        <stp>FIRST_CPN_DT</stp>
        <stp>[portefeuille USD.xlsm]treasuries!R11C24_x0000__x0000_</stp>
        <tr r="X11" s="13"/>
      </tp>
      <tp t="e">
        <v>#N/A</v>
        <stp/>
        <stp>##V3_BDPV12</stp>
        <stp>US912828JW17 Corp</stp>
        <stp>FIRST_CPN_DT</stp>
        <stp>[portefeuille USD.xlsm]treasuries!R90C24_x0000__x0000_</stp>
        <tr r="X90" s="13"/>
      </tp>
      <tp t="e">
        <v>#N/A</v>
        <stp/>
        <stp>##V3_BDPV12</stp>
        <stp>US912828PB06 Corp</stp>
        <stp>FIRST_CPN_DT</stp>
        <stp>[portefeuille USD.xlsm]treasuries!R81C24_x0000__x0000_</stp>
        <tr r="X81" s="13"/>
      </tp>
      <tp t="e">
        <v>#N/A</v>
        <stp/>
        <stp>##V3_BDPV12</stp>
        <stp>US9127955C19 Corp</stp>
        <stp>FIRST_CPN_DT</stp>
        <stp>[portefeuille USD.xlsm]treasuries!R21C24_x0000__x0000_</stp>
        <tr r="X21" s="13"/>
      </tp>
      <tp t="e">
        <v>#N/A</v>
        <stp/>
        <stp>##V3_BDPV12</stp>
        <stp>US63983UAB89 Corp</stp>
        <stp>ISSUE_DT</stp>
        <stp>[portefeuille USD.xlsm]SSA!R6C21_x0000_7</stp>
        <tr r="U6" s="16"/>
      </tp>
      <tp t="e">
        <v>#N/A</v>
        <stp/>
        <stp>##V3_BDPV12</stp>
        <stp>US912828BR04 Corp</stp>
        <stp>FIRST_CPN_DT</stp>
        <stp>[portefeuille USD.xlsm]treasuries!R85C24_x0000__x0000_</stp>
        <tr r="X85" s="13"/>
      </tp>
      <tp t="e">
        <v>#N/A</v>
        <stp/>
        <stp>##V3_BDPV12</stp>
        <stp>EH828973 Corp Corp</stp>
        <stp>DAY_CNT_DES</stp>
        <stp>[portefeuille USD.xlsm]SSA!R142C29_x0000_2</stp>
        <tr r="AC142" s="16"/>
      </tp>
      <tp t="e">
        <v>#N/A</v>
        <stp/>
        <stp>##V3_BDPV12</stp>
        <stp>EG524914 Corp Govt</stp>
        <stp>SECURITY_DES</stp>
        <stp>[portefeuille USD.xlsm]SSA!R133C2_x0000__x0000_</stp>
        <tr r="B133" s="16"/>
      </tp>
      <tp t="e">
        <v>#N/A</v>
        <stp/>
        <stp>##V3_BDPV12</stp>
        <stp>EI954150 Corp Govt</stp>
        <stp>SECURITY_DES</stp>
        <stp>[portefeuille USD.xlsm]SSA!R134C2_x0000__x0000_</stp>
        <tr r="B134" s="16"/>
      </tp>
      <tp t="e">
        <v>#N/A</v>
        <stp/>
        <stp>##V3_BDPV12</stp>
        <stp>US912828AJ96 Govt</stp>
        <stp>YLD_YTM_ASK</stp>
        <stp>[portefeuille USD.xlsm]treasuries!R11C8_x0000__x0000_</stp>
        <tr r="H11" s="13"/>
      </tp>
      <tp t="e">
        <v>#N/A</v>
        <stp/>
        <stp>##V3_BDPV12</stp>
        <stp>US912828AU42 Govt</stp>
        <stp>YLD_YTM_ASK</stp>
        <stp>[portefeuille USD.xlsm]treasuries!R50C8_x0000_7</stp>
        <tr r="H50" s="13"/>
      </tp>
      <tp t="e">
        <v>#N/A</v>
        <stp/>
        <stp>##V3_BDPV12</stp>
        <stp>US912828AP56 Govt</stp>
        <stp>YLD_YTM_ASK</stp>
        <stp>[portefeuille USD.xlsm]treasuries!R35C8_x0000__x0000_</stp>
        <tr r="H35" s="13"/>
      </tp>
      <tp t="e">
        <v>#N/A</v>
        <stp/>
        <stp>##V3_BDPV12</stp>
        <stp>ED037578 Corp Corp</stp>
        <stp>CPN</stp>
        <stp>[portefeuille USD.xlsm]SSA!R30C26_x0000__x0000_</stp>
        <tr r="Z30" s="16"/>
      </tp>
      <tp t="e">
        <v>#N/A</v>
        <stp/>
        <stp>##V3_BDPV12</stp>
        <stp>EC687043 Corp Corp</stp>
        <stp>CPN</stp>
        <stp>[portefeuille USD.xlsm]SSA!R35C26_x0000__x0000_</stp>
        <tr r="Z35" s="16"/>
      </tp>
      <tp t="e">
        <v>#N/A</v>
        <stp/>
        <stp>##V3_BDPV12</stp>
        <stp>XS0540029807 Corp</stp>
        <stp>INT_ACC_DT</stp>
        <stp>[portefeuille USD.xlsm]SSA!R8C22_x0000_2</stp>
        <tr r="V8" s="16"/>
      </tp>
      <tp t="e">
        <v>#N/A</v>
        <stp/>
        <stp>##V3_BDPV12</stp>
        <stp>XS0458548921 Corp</stp>
        <stp>INT_ACC_DT</stp>
        <stp>[portefeuille USD.xlsm]SSA!R2C22_x0000_9</stp>
        <tr r="V2" s="16"/>
      </tp>
      <tp t="e">
        <v>#N/A</v>
        <stp/>
        <stp>##V3_BDPV12</stp>
        <stp>US639832AD61 Corp</stp>
        <stp>CPN_FREQ</stp>
        <stp>[portefeuille USD.xlsm]SSA!R5C27_x0000_8</stp>
        <tr r="AA5" s="16"/>
      </tp>
      <tp t="e">
        <v>#N/A</v>
        <stp/>
        <stp>##V3_BDPV12</stp>
        <stp>US912828QW34 Govt</stp>
        <stp>SECURITY_DES</stp>
        <stp>[portefeuille USD.xlsm]treasuries!R73C2_x0000__x0000_</stp>
        <tr r="B73" s="13"/>
      </tp>
      <tp t="e">
        <v>#N/A</v>
        <stp/>
        <stp>##V3_BDPV12</stp>
        <stp>EH237816 Corp Corp</stp>
        <stp>DAY_CNT_DES</stp>
        <stp>[portefeuille USD.xlsm]SSA!R29C29_x0000__x0000_</stp>
        <tr r="AC29" s="16"/>
      </tp>
      <tp t="e">
        <v>#N/A</v>
        <stp/>
        <stp>##V3_BDPV12</stp>
        <stp>US912828PW43 Govt</stp>
        <stp>SECURITY_DES</stp>
        <stp>[portefeuille USD.xlsm]treasuries!R44C2_x0000__x0000_</stp>
        <tr r="B44" s="13"/>
      </tp>
      <tp t="e">
        <v>#N/A</v>
        <stp/>
        <stp>##V3_BDPV12</stp>
        <stp>EI575402 Corp Corp</stp>
        <stp>YLD_YTM_ASK</stp>
        <stp>[portefeuille USD.xlsm]SSA!R136C8_x0000_R</stp>
        <tr r="H136" s="16"/>
      </tp>
      <tp t="e">
        <v>#N/A</v>
        <stp/>
        <stp>##V3_BDPV12</stp>
        <stp>EI954150 Corp Corp</stp>
        <stp>YLD_YTM_ASK</stp>
        <stp>[portefeuille USD.xlsm]SSA!R134C8_x0000_R</stp>
        <tr r="H134" s="16"/>
      </tp>
      <tp t="e">
        <v>#N/A</v>
        <stp/>
        <stp>##V3_BDPV12</stp>
        <stp>EI347021 Corp Corp</stp>
        <stp>DAY_CNT_DES</stp>
        <stp>[portefeuille USD.xlsm]SSA!R27C29_x0000__x0000_</stp>
        <tr r="AC27" s="16"/>
      </tp>
      <tp t="e">
        <v>#N/A</v>
        <stp/>
        <stp>##V3_BDPV12</stp>
        <stp>US912828JW17 Govt</stp>
        <stp>SECURITY_DES</stp>
        <stp>[portefeuille USD.xlsm]treasuries!R90C2_x0000__x0000_</stp>
        <tr r="B90" s="13"/>
      </tp>
      <tp t="e">
        <v>#N/A</v>
        <stp/>
        <stp>##V3_BDPV12</stp>
        <stp>EI251950 Corp Corp</stp>
        <stp>DAY_CNT_DES</stp>
        <stp>[portefeuille USD.xlsm]SSA!R23C29_x0000__x0000_</stp>
        <tr r="AC23" s="16"/>
      </tp>
      <tp t="e">
        <v>#N/A</v>
        <stp/>
        <stp>##V3_BDPV12</stp>
        <stp>US912828RW25 Govt</stp>
        <stp>SECURITY_DES</stp>
        <stp>[portefeuille USD.xlsm]treasuries!R89C2_x0000_3</stp>
        <tr r="B89" s="13"/>
      </tp>
      <tp t="e">
        <v>#N/A</v>
        <stp/>
        <stp>##V3_BDPV12</stp>
        <stp>XS0372089572 Corp</stp>
        <stp>AMT_OUTSTANDING</stp>
        <stp>[portefeuille USD.xlsm]SSA!R124C28_x0000__x0000_</stp>
        <tr r="AB124" s="16"/>
      </tp>
      <tp t="e">
        <v>#N/A</v>
        <stp/>
        <stp>##V3_BDPV12</stp>
        <stp>US63983TAC99 Corp</stp>
        <stp>ISSUE_DT</stp>
        <stp>[portefeuille USD.xlsm]SSA!R9C21_x0000_9</stp>
        <tr r="U9" s="16"/>
      </tp>
      <tp t="e">
        <v>#N/A</v>
        <stp/>
        <stp>##V3_BDPV12</stp>
        <stp>US9127956P13 Corp</stp>
        <stp>FIRST_CPN_DT</stp>
        <stp>[portefeuille USD.xlsm]treasuries!R32C24_x0000__x0000_</stp>
        <tr r="X32" s="13"/>
      </tp>
      <tp t="e">
        <v>#N/A</v>
        <stp/>
        <stp>##V3_BDPV12</stp>
        <stp>EI954150 Corp Corp</stp>
        <stp>INT_ACC_DT</stp>
        <stp>[portefeuille USD.xlsm]SSA!R134C22_x0000_2</stp>
        <tr r="V134" s="16"/>
      </tp>
      <tp t="e">
        <v>#N/A</v>
        <stp/>
        <stp>##V3_BDPV12</stp>
        <stp>EI575402 Corp Corp</stp>
        <stp>INT_ACC_DT</stp>
        <stp>[portefeuille USD.xlsm]SSA!R136C22_x0000_2</stp>
        <tr r="V136" s="16"/>
      </tp>
      <tp t="e">
        <v>#N/A</v>
        <stp/>
        <stp>##V3_BDPV12</stp>
        <stp>XS0521024132 Corp</stp>
        <stp>ISSUE_DT</stp>
        <stp>[portefeuille USD.xlsm]SSA!R118C21_x0000__x0000_</stp>
        <tr r="U118" s="16"/>
      </tp>
      <tp t="e">
        <v>#N/A</v>
        <stp/>
        <stp>##V3_BDPV12</stp>
        <stp>US912828RS13 Corp</stp>
        <stp>FIRST_CPN_DT</stp>
        <stp>[portefeuille USD.xlsm]treasuries!R86C24_x0000__x0000_</stp>
        <tr r="X86" s="13"/>
      </tp>
      <tp t="e">
        <v>#N/A</v>
        <stp/>
        <stp>##V3_BDPV12</stp>
        <stp>XS0353485492 Corp</stp>
        <stp>AMT_OUTSTANDING</stp>
        <stp>[portefeuille USD.xlsm]SSA!R126C28_x0000__x0000_</stp>
        <tr r="AB126" s="16"/>
      </tp>
      <tp t="e">
        <v>#N/A</v>
        <stp/>
        <stp>##V3_BDPV12</stp>
        <stp>FR0011012731 Corp</stp>
        <stp>CPN_FREQ</stp>
        <stp>[portefeuille USD.xlsm]SSA!R104C27_x0000__x0000_</stp>
        <tr r="AA104" s="16"/>
      </tp>
      <tp t="e">
        <v>#N/A</v>
        <stp/>
        <stp>##V3_BDPV12</stp>
        <stp>US9127955L18 Corp</stp>
        <stp>FIRST_CPN_DT</stp>
        <stp>[portefeuille USD.xlsm]treasuries!R34C24_x0000__x0000_</stp>
        <tr r="X34" s="13"/>
      </tp>
      <tp t="e">
        <v>#N/A</v>
        <stp/>
        <stp>##V3_BDPV12</stp>
        <stp>EI697819 Corp Govt</stp>
        <stp>SECURITY_DES</stp>
        <stp>[portefeuille USD.xlsm]SSA!R141C2_x0000__x0000_</stp>
        <tr r="B141" s="16"/>
      </tp>
      <tp t="e">
        <v>#N/A</v>
        <stp/>
        <stp>##V3_BDPV12</stp>
        <stp>US912828BA78 Govt</stp>
        <stp>YLD_YTM_ASK</stp>
        <stp>[portefeuille USD.xlsm]treasuries!R64C8_x0000__x0000_</stp>
        <tr r="H64" s="13"/>
      </tp>
      <tp t="e">
        <v>#N/A</v>
        <stp/>
        <stp>##V3_BDPV12</stp>
        <stp>EH790357 Corp Corp</stp>
        <stp>FIRST_CPN_DT</stp>
        <stp>[portefeuille USD.xlsm]SSA!R28C23_x0000__x0000_</stp>
        <tr r="W28" s="16"/>
      </tp>
      <tp t="e">
        <v>#N/A</v>
        <stp/>
        <stp>##V3_BDPV12</stp>
        <stp>US912828BH22 Govt</stp>
        <stp>YLD_YTM_ASK</stp>
        <stp>[portefeuille USD.xlsm]treasuries!R75C8_x0000__x0000_</stp>
        <tr r="H75" s="13"/>
      </tp>
      <tp t="e">
        <v>#N/A</v>
        <stp/>
        <stp>##V3_BDPV12</stp>
        <stp>US912828BR04 Govt</stp>
        <stp>YLD_YTM_ASK</stp>
        <stp>[portefeuille USD.xlsm]treasuries!R85C8_x0000__x0000_</stp>
        <tr r="H85" s="13"/>
      </tp>
      <tp t="e">
        <v>#N/A</v>
        <stp/>
        <stp>##V3_BDPV12</stp>
        <stp>XS0540029807 Corp</stp>
        <stp>CPN_FREQ</stp>
        <stp>[portefeuille USD.xlsm]SSA!R8C27_x0000_5</stp>
        <tr r="AA8" s="16"/>
      </tp>
      <tp t="e">
        <v>#N/A</v>
        <stp/>
        <stp>##V3_BDPV12</stp>
        <stp>XS0458548921 Corp</stp>
        <stp>YLD_YTM_BID</stp>
        <stp>[portefeuille USD.xlsm]SSA!R2C8_x0000__x0000_</stp>
        <tr r="H2" s="16"/>
      </tp>
      <tp t="e">
        <v>#N/A</v>
        <stp/>
        <stp>##V3_BDPV12</stp>
        <stp>EI009749 Corp Corp</stp>
        <stp>CPN</stp>
        <stp>[portefeuille USD.xlsm]SSA!R24C26_x0000__x0000_</stp>
        <tr r="Z24" s="16"/>
      </tp>
      <tp t="e">
        <v>#N/A</v>
        <stp/>
        <stp>##V3_BDPV12</stp>
        <stp>XS0540029807 Corp</stp>
        <stp>YLD_YTM_BID</stp>
        <stp>[portefeuille USD.xlsm]SSA!R8C8_x0000__x0000_</stp>
        <tr r="H8" s="16"/>
      </tp>
      <tp t="e">
        <v>#N/A</v>
        <stp/>
        <stp>##V3_BDPV12</stp>
        <stp>EH539714 Corp Corp</stp>
        <stp>DAY_CNT_DES</stp>
        <stp>[portefeuille USD.xlsm]SSA!R34C29_x0000__x0000_</stp>
        <tr r="AC34" s="16"/>
      </tp>
      <tp t="e">
        <v>#N/A</v>
        <stp/>
        <stp>##V3_BDPV12</stp>
        <stp>US912828HT06 Govt</stp>
        <stp>SECURITY_DES</stp>
        <stp>[portefeuille USD.xlsm]treasuries!R53C2_x0000__x0000_</stp>
        <tr r="B53" s="13"/>
      </tp>
      <tp t="e">
        <v>#N/A</v>
        <stp/>
        <stp>##V3_BDPV12</stp>
        <stp>US912828MT41 Govt</stp>
        <stp>SECURITY_DES</stp>
        <stp>[portefeuille USD.xlsm]treasuries!R55C2_x0000_6</stp>
        <tr r="B55" s="13"/>
      </tp>
      <tp t="e">
        <v>#N/A</v>
        <stp/>
        <stp>##V3_BDPV12</stp>
        <stp>US912828JT87 Govt</stp>
        <stp>SECURITY_DES</stp>
        <stp>[portefeuille USD.xlsm]treasuries!R87C2_x0000__x0000_</stp>
        <tr r="B87" s="13"/>
      </tp>
      <tp t="e">
        <v>#N/A</v>
        <stp/>
        <stp>##V3_BDPV12</stp>
        <stp>ED650463 Corp Corp</stp>
        <stp>YLD_YTM_ASK</stp>
        <stp>[portefeuille USD.xlsm]SSA!R140C8_x0000_R</stp>
        <tr r="H140" s="16"/>
      </tp>
      <tp t="e">
        <v>#N/A</v>
        <stp/>
        <stp>##V3_BDPV12</stp>
        <stp>EG524914 Corp Corp</stp>
        <stp>YLD_YTM_ASK</stp>
        <stp>[portefeuille USD.xlsm]SSA!R133C8_x0000_R</stp>
        <tr r="H133" s="16"/>
      </tp>
      <tp t="e">
        <v>#N/A</v>
        <stp/>
        <stp>##V3_BDPV12</stp>
        <stp>US912828HK96 Corp</stp>
        <stp>FIRST_CPN_DT</stp>
        <stp>[portefeuille USD.xlsm]treasuries!R39C24_x0000__x0000_</stp>
        <tr r="X39" s="13"/>
      </tp>
      <tp t="e">
        <v>#N/A</v>
        <stp/>
        <stp>##V3_BDPV12</stp>
        <stp>XS0705646452 Corp</stp>
        <stp>ISSUE_DT</stp>
        <stp>[portefeuille USD.xlsm]SSA!R121C21_x0000__x0000_</stp>
        <tr r="U121" s="16"/>
      </tp>
      <tp t="e">
        <v>#N/A</v>
        <stp/>
        <stp>##V3_BDPV12</stp>
        <stp>US912828RW25 Corp</stp>
        <stp>FIRST_CPN_DT</stp>
        <stp>[portefeuille USD.xlsm]treasuries!R89C24_x0000__x0000_</stp>
        <tr r="X89" s="13"/>
      </tp>
      <tp t="e">
        <v>#N/A</v>
        <stp/>
        <stp>##V3_BDPV12</stp>
        <stp>EG524914 Corp Corp</stp>
        <stp>INT_ACC_DT</stp>
        <stp>[portefeuille USD.xlsm]SSA!R133C22_x0000_2</stp>
        <tr r="V133" s="16"/>
      </tp>
      <tp t="e">
        <v>#N/A</v>
        <stp/>
        <stp>##V3_BDPV12</stp>
        <stp>XS0635033128 Corp</stp>
        <stp>ISSUE_DT</stp>
        <stp>[portefeuille USD.xlsm]SSA!R146C21_x0000__x0000_</stp>
        <tr r="U146" s="16"/>
      </tp>
      <tp t="e">
        <v>#N/A</v>
        <stp/>
        <stp>##V3_BDPV12</stp>
        <stp>FR0010500843 Corp</stp>
        <stp>CPN_FREQ</stp>
        <stp>[portefeuille USD.xlsm]SSA!R111C27_x0000__x0000_</stp>
        <tr r="AA111" s="16"/>
      </tp>
      <tp t="e">
        <v>#N/A</v>
        <stp/>
        <stp>##V3_BDPV12</stp>
        <stp>US9127956C00 Corp</stp>
        <stp>FIRST_CPN_DT</stp>
        <stp>[portefeuille USD.xlsm]treasuries!R15C24_x0000__x0000_</stp>
        <tr r="X15" s="13"/>
      </tp>
      <tp t="e">
        <v>#N/A</v>
        <stp/>
        <stp>##V3_BDPV12</stp>
        <stp>FR0010998104 Corp</stp>
        <stp>MATURITY</stp>
        <stp>[portefeuille USD.xlsm]SSA!R105C25_x0000__x0000_</stp>
        <tr r="Y105" s="16"/>
      </tp>
      <tp t="e">
        <v>#N/A</v>
        <stp/>
        <stp>##V3_BDPV12</stp>
        <stp>US912828RN26 Corp</stp>
        <stp>FIRST_CPN_DT</stp>
        <stp>[portefeuille USD.xlsm]treasuries!R82C24_x0000__x0000_</stp>
        <tr r="X82" s="13"/>
      </tp>
      <tp t="e">
        <v>#N/A</v>
        <stp/>
        <stp>##V3_BDPV12</stp>
        <stp>EH828973 Corp Corp</stp>
        <stp>INT_ACC_DT</stp>
        <stp>[portefeuille USD.xlsm]SSA!R142C22_x0000_2</stp>
        <tr r="V142" s="16"/>
      </tp>
      <tp t="e">
        <v>#N/A</v>
        <stp/>
        <stp>##V3_BDPV12</stp>
        <stp>US9127956R78 Corp</stp>
        <stp>FIRST_CPN_DT</stp>
        <stp>[portefeuille USD.xlsm]treasuries!R65C24_x0000__x0000_</stp>
        <tr r="X65" s="13"/>
      </tp>
      <tp t="e">
        <v>#N/A</v>
        <stp/>
        <stp>##V3_BDPV12</stp>
        <stp>EI251950 Corp Corp</stp>
        <stp>FIRST_CPN_DT</stp>
        <stp>[portefeuille USD.xlsm]SSA!R23C23_x0000__x0000_</stp>
        <tr r="W23" s="16"/>
      </tp>
      <tp t="e">
        <v>#N/A</v>
        <stp/>
        <stp>##V3_BDPV12</stp>
        <stp>US912828CA69 Govt</stp>
        <stp>YLD_YTM_ASK</stp>
        <stp>[portefeuille USD.xlsm]treasuries!R95C8_x0000__x0000_</stp>
        <tr r="H95" s="13"/>
      </tp>
      <tp t="e">
        <v>#N/A</v>
        <stp/>
        <stp>##V3_BDPV12</stp>
        <stp>EG914838 Corp Corp</stp>
        <stp>CPN</stp>
        <stp>[portefeuille USD.xlsm]SSA!R37C26_x0000__x0000_</stp>
        <tr r="Z37" s="16"/>
      </tp>
      <tp t="e">
        <v>#N/A</v>
        <stp/>
        <stp>##V3_BDPV12</stp>
        <stp>US912828NU05 Govt</stp>
        <stp>SECURITY_DES</stp>
        <stp>[portefeuille USD.xlsm]treasuries!R74C2_x0000__x0000_</stp>
        <tr r="B74" s="13"/>
      </tp>
      <tp t="e">
        <v>#N/A</v>
        <stp/>
        <stp>##V3_BDPV12</stp>
        <stp>US912828AU42 Govt</stp>
        <stp>SECURITY_DES</stp>
        <stp>[portefeuille USD.xlsm]treasuries!R50C2_x0000_2</stp>
        <tr r="B50" s="13"/>
      </tp>
      <tp t="e">
        <v>#N/A</v>
        <stp/>
        <stp>##V3_BDPV12</stp>
        <stp>US912828PU86 Govt</stp>
        <stp>SECURITY_DES</stp>
        <stp>[portefeuille USD.xlsm]treasuries!R84C2_x0000_7</stp>
        <tr r="B84" s="13"/>
      </tp>
      <tp t="e">
        <v>#N/A</v>
        <stp/>
        <stp>##V3_BDPV12</stp>
        <stp>US9127955Z04 Govt</stp>
        <stp>SECURITY_DES</stp>
        <stp>[portefeuille USD.xlsm]treasuries!R49C2_x0000_4</stp>
        <tr r="B49" s="13"/>
      </tp>
      <tp t="e">
        <v>#N/A</v>
        <stp/>
        <stp>##V3_BDPV12</stp>
        <stp>ED607736 Corp Corp</stp>
        <stp>DAY_CNT_DES</stp>
        <stp>[portefeuille USD.xlsm]SSA!R36C29_x0000__x0000_</stp>
        <tr r="AC36" s="16"/>
      </tp>
      <tp t="e">
        <v>#N/A</v>
        <stp/>
        <stp>##V3_BDPV12</stp>
        <stp>US9127956T35 Corp</stp>
        <stp>FIRST_CPN_DT</stp>
        <stp>[portefeuille USD.xlsm]treasuries!R37C24_x0000__x0000_</stp>
        <tr r="X37" s="13"/>
      </tp>
      <tp t="e">
        <v>#N/A</v>
        <stp/>
        <stp>##V3_BDPV12</stp>
        <stp>US9127956K26 Corp</stp>
        <stp>FIRST_CPN_DT</stp>
        <stp>[portefeuille USD.xlsm]treasuries!R25C24_x0000__x0000_</stp>
        <tr r="X25" s="13"/>
      </tp>
      <tp t="e">
        <v>#N/A</v>
        <stp/>
        <stp>##V3_BDPV12</stp>
        <stp>EI697819 Corp Corp</stp>
        <stp>INT_ACC_DT</stp>
        <stp>[portefeuille USD.xlsm]SSA!R141C22_x0000_2</stp>
        <tr r="V141" s="16"/>
      </tp>
      <tp t="e">
        <v>#N/A</v>
        <stp/>
        <stp>##V3_BDPV12</stp>
        <stp>XS0284982922 Corp</stp>
        <stp>AMT_OUTSTANDING</stp>
        <stp>[portefeuille USD.xlsm]SSA!R114C28_x0000__x0000_</stp>
        <tr r="AB114" s="16"/>
      </tp>
      <tp t="e">
        <v>#N/A</v>
        <stp/>
        <stp>##V3_BDPV12</stp>
        <stp>US9127955G23 Corp</stp>
        <stp>FIRST_CPN_DT</stp>
        <stp>[portefeuille USD.xlsm]treasuries!R28C24_x0000__x0000_</stp>
        <tr r="X28" s="13"/>
      </tp>
      <tp t="e">
        <v>#N/A</v>
        <stp/>
        <stp>##V3_BDPV12</stp>
        <stp>US912828JM35 Corp</stp>
        <stp>FIRST_CPN_DT</stp>
        <stp>[portefeuille USD.xlsm]treasuries!R80C24_x0000__x0000_</stp>
        <tr r="X80" s="13"/>
      </tp>
      <tp t="e">
        <v>#N/A</v>
        <stp/>
        <stp>##V3_BDPV12</stp>
        <stp>US912828LR93 Corp</stp>
        <stp>FIRST_CPN_DT</stp>
        <stp>[portefeuille USD.xlsm]treasuries!R27C24_x0000__x0000_</stp>
        <tr r="X27" s="13"/>
      </tp>
      <tp t="e">
        <v>#N/A</v>
        <stp/>
        <stp>##V3_BDPV12</stp>
        <stp>US912828HG84 Corp</stp>
        <stp>FIRST_CPN_DT</stp>
        <stp>[portefeuille USD.xlsm]treasuries!R30C24_x0000__x0000_</stp>
        <tr r="X30" s="13"/>
      </tp>
      <tp t="e">
        <v>#N/A</v>
        <stp/>
        <stp>##V3_BDPV12</stp>
        <stp>XS0635033128 Corp</stp>
        <stp>AMT_OUTSTANDING</stp>
        <stp>[portefeuille USD.xlsm]SSA!R146C28_x0000__x0000_</stp>
        <tr r="AB146" s="16"/>
      </tp>
      <tp t="e">
        <v>#N/A</v>
        <stp/>
        <stp>##V3_BDPV12</stp>
        <stp>US9127956G14 Corp</stp>
        <stp>FIRST_CPN_DT</stp>
        <stp>[portefeuille USD.xlsm]treasuries!R18C24_x0000__x0000_</stp>
        <tr r="X18" s="13"/>
      </tp>
      <tp t="e">
        <v>#N/A</v>
        <stp/>
        <stp>##V3_BDPV12</stp>
        <stp>FR0010950675 Corp</stp>
        <stp>CPN_FREQ</stp>
        <stp>[portefeuille USD.xlsm]SSA!R106C27_x0000__x0000_</stp>
        <tr r="AA106" s="16"/>
      </tp>
      <tp t="e">
        <v>#N/A</v>
        <stp/>
        <stp>##V3_BDPV12</stp>
        <stp>ED607736 Corp Corp</stp>
        <stp>FIRST_CPN_DT</stp>
        <stp>[portefeuille USD.xlsm]SSA!R36C23_x0000__x0000_</stp>
        <tr r="W36" s="16"/>
      </tp>
      <tp t="e">
        <v>#N/A</v>
        <stp/>
        <stp>##V3_BDPV12</stp>
        <stp>EC687043 Corp Corp</stp>
        <stp>FIRST_CPN_DT</stp>
        <stp>[portefeuille USD.xlsm]SSA!R35C23_x0000__x0000_</stp>
        <tr r="W35" s="16"/>
      </tp>
      <tp t="e">
        <v>#N/A</v>
        <stp/>
        <stp>##V3_BDPV12</stp>
        <stp>ED037578 Corp Corp</stp>
        <stp>FIRST_CPN_DT</stp>
        <stp>[portefeuille USD.xlsm]SSA!R30C23_x0000__x0000_</stp>
        <tr r="W30" s="16"/>
      </tp>
      <tp t="e">
        <v>#N/A</v>
        <stp/>
        <stp>##V3_BDPV12</stp>
        <stp>EI791877 Corp Govt</stp>
        <stp>SECURITY_DES</stp>
        <stp>[portefeuille USD.xlsm]SSA!R137C2_x0000__x0000_</stp>
        <tr r="B137" s="16"/>
      </tp>
      <tp t="e">
        <v>#N/A</v>
        <stp/>
        <stp>##V3_BDPV12</stp>
        <stp>EF501708 Corp Govt</stp>
        <stp>SECURITY_DES</stp>
        <stp>[portefeuille USD.xlsm]SSA!R135C2_x0000__x0000_</stp>
        <tr r="B135" s="16"/>
      </tp>
      <tp t="e">
        <v>#N/A</v>
        <stp/>
        <stp>##V3_BDPV12</stp>
        <stp>EH967487 Corp Corp</stp>
        <stp>FIRST_CPN_DT</stp>
        <stp>[portefeuille USD.xlsm]SSA!R31C23_x0000__x0000_</stp>
        <tr r="W31" s="16"/>
      </tp>
      <tp t="e">
        <v>#N/A</v>
        <stp/>
        <stp>##V3_BDPV12</stp>
        <stp>EH531108 Corp Govt</stp>
        <stp>SECURITY_DES</stp>
        <stp>[portefeuille USD.xlsm]SSA!R143C2_x0000__x0000_</stp>
        <tr r="B143" s="16"/>
      </tp>
      <tp t="e">
        <v>#N/A</v>
        <stp/>
        <stp>##V3_BDPV12</stp>
        <stp>EI791385 Corp Govt</stp>
        <stp>SECURITY_DES</stp>
        <stp>[portefeuille USD.xlsm]SSA!R131C2_x0000__x0000_</stp>
        <tr r="B131" s="16"/>
      </tp>
      <tp t="e">
        <v>#N/A</v>
        <stp/>
        <stp>##V3_BDPV12</stp>
        <stp>US9127956Y20 Govt</stp>
        <stp>PX_MID</stp>
        <stp>[portefeuille USD.xlsm]MV Repo!R3C5_x0000__x0000_</stp>
        <tr r="E3" s="6"/>
      </tp>
      <tp t="e">
        <v>#N/A</v>
        <stp/>
        <stp>##V3_BDPV12</stp>
        <stp>US9127956V80 Govt</stp>
        <stp>PX_MID</stp>
        <stp>[portefeuille USD.xlsm]MV Repo!R2C5_x0000__x0000_</stp>
        <tr r="E2" s="6"/>
      </tp>
      <tp t="e">
        <v>#N/A</v>
        <stp/>
        <stp>##V3_BDPV12</stp>
        <stp>EI787877 Corp Corp</stp>
        <stp>CPN</stp>
        <stp>[portefeuille USD.xlsm]SSA!R25C26_x0000__x0000_</stp>
        <tr r="Z25" s="16"/>
      </tp>
      <tp t="e">
        <v>#N/A</v>
        <stp/>
        <stp>##V3_BDPV12</stp>
        <stp>EI297586 Corp Corp</stp>
        <stp>CPN</stp>
        <stp>[portefeuille USD.xlsm]SSA!R26C26_x0000__x0000_</stp>
        <tr r="Z26" s="16"/>
      </tp>
      <tp t="e">
        <v>#N/A</v>
        <stp/>
        <stp>##V3_BDPV12</stp>
        <stp>XS0495091620 Corp</stp>
        <stp>INT_ACC_DT</stp>
        <stp>[portefeuille USD.xlsm]SSA!R7C22_x0000_4</stp>
        <tr r="V7" s="16"/>
      </tp>
      <tp t="e">
        <v>#N/A</v>
        <stp/>
        <stp>##V3_BDPV12</stp>
        <stp>US912828PR57 Govt</stp>
        <stp>SECURITY_DES</stp>
        <stp>[portefeuille USD.xlsm]treasuries!R47C2_x0000_8</stp>
        <tr r="B47" s="13"/>
      </tp>
      <tp t="e">
        <v>#N/A</v>
        <stp/>
        <stp>##V3_BDPV12</stp>
        <stp>EI839783 Corp Corp</stp>
        <stp>DAY_CNT_DES</stp>
        <stp>[portefeuille USD.xlsm]SSA!R22C29_x0000__x0000_</stp>
        <tr r="AC22" s="16"/>
      </tp>
      <tp t="e">
        <v>#N/A</v>
        <stp/>
        <stp>##V3_BDPV12</stp>
        <stp>US9127955W72 Corp</stp>
        <stp>FIRST_CPN_DT</stp>
        <stp>[portefeuille USD.xlsm]treasuries!R3C24_x0000__x0000_</stp>
        <tr r="X3" s="13"/>
      </tp>
      <tp t="e">
        <v>#N/A</v>
        <stp/>
        <stp>##V3_BDPV12</stp>
        <stp>EI355035 Corp Corp</stp>
        <stp>YLD_YTM_ASK</stp>
        <stp>[portefeuille USD.xlsm]SSA!R132C8_x0000_R</stp>
        <tr r="H132" s="16"/>
      </tp>
      <tp t="e">
        <v>#N/A</v>
        <stp/>
        <stp>##V3_BDPV12</stp>
        <stp>EH967487 Corp Corp</stp>
        <stp>DAY_CNT_DES</stp>
        <stp>[portefeuille USD.xlsm]SSA!R31C29_x0000__x0000_</stp>
        <tr r="AC31" s="16"/>
      </tp>
      <tp t="e">
        <v>#N/A</v>
        <stp/>
        <stp>##V3_BDPV12</stp>
        <stp>US912828BR04 Govt</stp>
        <stp>SECURITY_DES</stp>
        <stp>[portefeuille USD.xlsm]treasuries!R85C2_x0000__x0000_</stp>
        <tr r="B85" s="13"/>
      </tp>
      <tp t="e">
        <v>#N/A</v>
        <stp/>
        <stp>##V3_BDPV12</stp>
        <stp>US912828LR93 Govt</stp>
        <stp>SECURITY_DES</stp>
        <stp>[portefeuille USD.xlsm]treasuries!R27C2_x0000__x0000_</stp>
        <tr r="B27" s="13"/>
      </tp>
      <tp t="e">
        <v>#N/A</v>
        <stp/>
        <stp>##V3_BDPV12</stp>
        <stp>EI697819 Corp Corp</stp>
        <stp>YLD_YTM_ASK</stp>
        <stp>[portefeuille USD.xlsm]SSA!R141C8_x0000_R</stp>
        <tr r="H141" s="16"/>
      </tp>
      <tp t="e">
        <v>#N/A</v>
        <stp/>
        <stp>##V3_BDPV12</stp>
        <stp>US912828DM98 Govt</stp>
        <stp>SECURITY_DES</stp>
        <stp>[portefeuille USD.xlsm]treasuries!R128C2_x0000__x0000_</stp>
        <tr r="B128" s="13"/>
      </tp>
      <tp t="e">
        <v>#N/A</v>
        <stp/>
        <stp>##V3_BDPV12</stp>
        <stp>XS0353485492 Corp</stp>
        <stp>ISSUE_DT</stp>
        <stp>[portefeuille USD.xlsm]SSA!R126C21_x0000__x0000_</stp>
        <tr r="U126" s="16"/>
      </tp>
      <tp t="e">
        <v>#N/A</v>
        <stp/>
        <stp>##V3_BDPV12</stp>
        <stp>US912795Y967 Corp</stp>
        <stp>FIRST_CPN_DT</stp>
        <stp>[portefeuille USD.xlsm]treasuries!R14C24_x0000__x0000_</stp>
        <tr r="X14" s="13"/>
      </tp>
      <tp t="e">
        <v>#N/A</v>
        <stp/>
        <stp>##V3_BDPV12</stp>
        <stp>US912810QA97 Govt</stp>
        <stp>SECURITY_DES</stp>
        <stp>[portefeuille USD.xlsm]treasuries!R273C2_x0000__x0000_</stp>
        <tr r="B273" s="13"/>
      </tp>
      <tp t="e">
        <v>#N/A</v>
        <stp/>
        <stp>##V3_BDPV12</stp>
        <stp>US9127956J52 Corp</stp>
        <stp>FIRST_CPN_DT</stp>
        <stp>[portefeuille USD.xlsm]treasuries!R22C24_x0000__x0000_</stp>
        <tr r="X22" s="13"/>
      </tp>
      <tp t="e">
        <v>#N/A</v>
        <stp/>
        <stp>##V3_BDPV12</stp>
        <stp>US912828KN98 Govt</stp>
        <stp>SECURITY_DES</stp>
        <stp>[portefeuille USD.xlsm]treasuries!R102C2_x0000__x0000_</stp>
        <tr r="B102" s="13"/>
      </tp>
      <tp t="e">
        <v>#N/A</v>
        <stp/>
        <stp>##V3_BDPV12</stp>
        <stp>EI355035 Corp Corp</stp>
        <stp>INT_ACC_DT</stp>
        <stp>[portefeuille USD.xlsm]SSA!R132C22_x0000_2</stp>
        <tr r="V132" s="16"/>
      </tp>
      <tp t="e">
        <v>#N/A</v>
        <stp/>
        <stp>##V3_BDPV12</stp>
        <stp>US912810PT97 Govt</stp>
        <stp>SECURITY_DES</stp>
        <stp>[portefeuille USD.xlsm]treasuries!R269C2_x0000__x0000_</stp>
        <tr r="B269" s="13"/>
      </tp>
      <tp t="e">
        <v>#N/A</v>
        <stp/>
        <stp>##V3_BDPV12</stp>
        <stp>US912810EP94 Govt</stp>
        <stp>SECURITY_DES</stp>
        <stp>[portefeuille USD.xlsm]treasuries!R251C2_x0000__x0000_</stp>
        <tr r="B251" s="13"/>
      </tp>
      <tp t="e">
        <v>#N/A</v>
        <stp/>
        <stp>##V3_BDPV12</stp>
        <stp>US912810EG95 Govt</stp>
        <stp>SECURITY_DES</stp>
        <stp>[portefeuille USD.xlsm]treasuries!R236C2_x0000__x0000_</stp>
        <tr r="B236" s="13"/>
      </tp>
      <tp t="e">
        <v>#N/A</v>
        <stp/>
        <stp>##V3_BDPV12</stp>
        <stp>US912828MV96 Govt</stp>
        <stp>SECURITY_DES</stp>
        <stp>[portefeuille USD.xlsm]treasuries!R184C2_x0000__x0000_</stp>
        <tr r="B184" s="13"/>
      </tp>
      <tp t="e">
        <v>#N/A</v>
        <stp/>
        <stp>##V3_BDPV12</stp>
        <stp>US912828JQ49 Corp</stp>
        <stp>FIRST_CPN_DT</stp>
        <stp>[portefeuille USD.xlsm]treasuries!R83C24_x0000__x0000_</stp>
        <tr r="X83" s="13"/>
      </tp>
      <tp t="e">
        <v>#N/A</v>
        <stp/>
        <stp>##V3_BDPV12</stp>
        <stp>US912828MD98 Govt</stp>
        <stp>SECURITY_DES</stp>
        <stp>[portefeuille USD.xlsm]treasuries!R178C2_x0000__x0000_</stp>
        <tr r="B178" s="13"/>
      </tp>
      <tp t="e">
        <v>#N/A</v>
        <stp/>
        <stp>##V3_BDPV12</stp>
        <stp>US912828SL50 Corp</stp>
        <stp>FIRST_CPN_DT</stp>
        <stp>[portefeuille USD.xlsm]treasuries!R99C24_x0000__x0000_</stp>
        <tr r="X99" s="13"/>
      </tp>
      <tp t="e">
        <v>#N/A</v>
        <stp/>
        <stp>##V3_BDPV12</stp>
        <stp>XS0300990529 Corp</stp>
        <stp>ISSUE_DT</stp>
        <stp>[portefeuille USD.xlsm]SSA!R122C21_x0000__x0000_</stp>
        <tr r="U122" s="16"/>
      </tp>
      <tp t="e">
        <v>#N/A</v>
        <stp/>
        <stp>##V3_BDPV12</stp>
        <stp>US912828QK95 Corp</stp>
        <stp>FIRST_CPN_DT</stp>
        <stp>[portefeuille USD.xlsm]treasuries!R52C24_x0000__x0000_</stp>
        <tr r="X52" s="13"/>
      </tp>
      <tp t="e">
        <v>#N/A</v>
        <stp/>
        <stp>##V3_BDPV12</stp>
        <stp>US63983TAA34 Corp</stp>
        <stp>CPN_FREQ</stp>
        <stp>[portefeuille USD.xlsm]SSA!R3C27_x0000__x0000_</stp>
        <tr r="AA3" s="16"/>
      </tp>
      <tp t="e">
        <v>#N/A</v>
        <stp/>
        <stp>##V3_BDPV12</stp>
        <stp>FR0010776674 Corp</stp>
        <stp>CPN_FREQ</stp>
        <stp>[portefeuille USD.xlsm]SSA!R112C27_x0000__x0000_</stp>
        <tr r="AA112" s="16"/>
      </tp>
      <tp t="e">
        <v>#N/A</v>
        <stp/>
        <stp>##V3_BDPV12</stp>
        <stp>US912828KW97 Govt</stp>
        <stp>SECURITY_DES</stp>
        <stp>[portefeuille USD.xlsm]treasuries!R161C2_x0000__x0000_</stp>
        <tr r="B161" s="13"/>
      </tp>
      <tp t="e">
        <v>#N/A</v>
        <stp/>
        <stp>##V3_BDPV12</stp>
        <stp>US912828RF91 Govt</stp>
        <stp>SECURITY_DES</stp>
        <stp>[portefeuille USD.xlsm]treasuries!R168C2_x0000__x0000_</stp>
        <tr r="B168" s="13"/>
      </tp>
      <tp t="e">
        <v>#N/A</v>
        <stp/>
        <stp>##V3_BDPV12</stp>
        <stp>US912810FB99 Govt</stp>
        <stp>SECURITY_DES</stp>
        <stp>[portefeuille USD.xlsm]treasuries!R261C2_x0000__x0000_</stp>
        <tr r="B261" s="13"/>
      </tp>
      <tp t="e">
        <v>#N/A</v>
        <stp/>
        <stp>##V3_BDPV12</stp>
        <stp>XS0477137813 Corp</stp>
        <stp>ISSUE_DT</stp>
        <stp>[portefeuille USD.xlsm]SSA!R120C21_x0000__x0000_</stp>
        <tr r="U120" s="16"/>
      </tp>
      <tp t="e">
        <v>#N/A</v>
        <stp/>
        <stp>##V3_BDPV12</stp>
        <stp>US912828DV97 Govt</stp>
        <stp>SECURITY_DES</stp>
        <stp>[portefeuille USD.xlsm]treasuries!R136C2_x0000__x0000_</stp>
        <tr r="B136" s="13"/>
      </tp>
      <tp t="e">
        <v>#N/A</v>
        <stp/>
        <stp>##V3_BDPV12</stp>
        <stp>XS0172157876 Corp</stp>
        <stp>ISSUE_DT</stp>
        <stp>[portefeuille USD.xlsm]SSA!R125C21_x0000__x0000_</stp>
        <tr r="U125" s="16"/>
      </tp>
      <tp t="e">
        <v>#N/A</v>
        <stp/>
        <stp>##V3_BDPV12</stp>
        <stp>US912828NZ91 Govt</stp>
        <stp>SECURITY_DES</stp>
        <stp>[portefeuille USD.xlsm]treasuries!R143C2_x0000__x0000_</stp>
        <tr r="B143" s="13"/>
      </tp>
      <tp t="e">
        <v>#N/A</v>
        <stp/>
        <stp>##V3_BDPV12</stp>
        <stp>FR0010775239 Corp</stp>
        <stp>AMT_OUTSTANDING</stp>
        <stp>[portefeuille USD.xlsm]SSA!R103C28_x0000__x0000_</stp>
        <tr r="AB103" s="16"/>
      </tp>
      <tp t="e">
        <v>#N/A</v>
        <stp/>
        <stp>##V3_BDPV12</stp>
        <stp>US9127956Y20 Govt</stp>
        <stp>INT_ACC</stp>
        <stp>[portefeuille USD.xlsm]MV Repo!R3C6_x0000__x0000_</stp>
        <tr r="F3" s="6"/>
      </tp>
      <tp t="e">
        <v>#N/A</v>
        <stp/>
        <stp>##V3_BDPV12</stp>
        <stp>US9127956V80 Govt</stp>
        <stp>INT_ACC</stp>
        <stp>[portefeuille USD.xlsm]MV Repo!R2C6_x0000__x0000_</stp>
        <tr r="F2" s="6"/>
      </tp>
      <tp t="e">
        <v>#N/A</v>
        <stp/>
        <stp>##V3_BDPV12</stp>
        <stp>US9127956R78 Govt</stp>
        <stp>INT_ACC</stp>
        <stp>[portefeuille USD.xlsm]MV Repo!R7C6_x0000__x0000_</stp>
        <tr r="F7" s="6"/>
      </tp>
      <tp t="e">
        <v>#N/A</v>
        <stp/>
        <stp>##V3_BDPV12</stp>
        <stp>US9127956L09 Govt</stp>
        <stp>INT_ACC</stp>
        <stp>[portefeuille USD.xlsm]MV Repo!R6C6_x0000__x0000_</stp>
        <tr r="F6" s="6"/>
      </tp>
      <tp t="e">
        <v>#N/A</v>
        <stp/>
        <stp>##V3_BDPV12</stp>
        <stp>US9127956F31 Govt</stp>
        <stp>INT_ACC</stp>
        <stp>[portefeuille USD.xlsm]MV Repo!R4C6_x0000__x0000_</stp>
        <tr r="F4" s="6"/>
      </tp>
      <tp t="e">
        <v>#N/A</v>
        <stp/>
        <stp>##V3_BDPV12</stp>
        <stp>EI787877 Corp Corp</stp>
        <stp>FIRST_CPN_DT</stp>
        <stp>[portefeuille USD.xlsm]SSA!R25C23_x0000__x0000_</stp>
        <tr r="W25" s="16"/>
      </tp>
      <tp t="e">
        <v>#N/A</v>
        <stp/>
        <stp>##V3_BDPV12</stp>
        <stp>EF086162 Corp Corp</stp>
        <stp>FIRST_CPN_DT</stp>
        <stp>[portefeuille USD.xlsm]SSA!R33C23_x0000__x0000_</stp>
        <tr r="W33" s="16"/>
      </tp>
      <tp t="e">
        <v>#N/A</v>
        <stp/>
        <stp>##V3_BDPV12</stp>
        <stp>ED650463 Corp Govt</stp>
        <stp>SECURITY_DES</stp>
        <stp>[portefeuille USD.xlsm]SSA!R140C2_x0000__x0000_</stp>
        <tr r="B140" s="16"/>
      </tp>
      <tp t="e">
        <v>#N/A</v>
        <stp/>
        <stp>##V3_BDPV12</stp>
        <stp>EI347021 Corp Corp</stp>
        <stp>FIRST_CPN_DT</stp>
        <stp>[portefeuille USD.xlsm]SSA!R27C23_x0000__x0000_</stp>
        <tr r="W27" s="16"/>
      </tp>
      <tp t="e">
        <v>#N/A</v>
        <stp/>
        <stp>##V3_BDPV12</stp>
        <stp>EH237816 Corp Corp</stp>
        <stp>FIRST_CPN_DT</stp>
        <stp>[portefeuille USD.xlsm]SSA!R29C23_x0000__x0000_</stp>
        <tr r="W29" s="16"/>
      </tp>
      <tp t="e">
        <v>#N/A</v>
        <stp/>
        <stp>##V3_BDPV12</stp>
        <stp>EI297586 Corp Corp</stp>
        <stp>FIRST_CPN_DT</stp>
        <stp>[portefeuille USD.xlsm]SSA!R26C23_x0000__x0000_</stp>
        <tr r="W26" s="16"/>
      </tp>
      <tp t="e">
        <v>#N/A</v>
        <stp/>
        <stp>##V3_BDPV12</stp>
        <stp>US9127956F31 Govt</stp>
        <stp>PX_MID</stp>
        <stp>[portefeuille USD.xlsm]MV Repo!R4C5_x0000_6</stp>
        <tr r="E4" s="6"/>
      </tp>
      <tp t="e">
        <v>#N/A</v>
        <stp/>
        <stp>##V3_BDPV12</stp>
        <stp>XS0458548921 Corp</stp>
        <stp>CPN_FREQ</stp>
        <stp>[portefeuille USD.xlsm]SSA!R2C27_x0000__x0000_</stp>
        <tr r="AA2" s="16"/>
      </tp>
      <tp t="e">
        <v>#N/A</v>
        <stp/>
        <stp>##V3_BDPV12</stp>
        <stp>EF684257 Corp Corp</stp>
        <stp>CPN</stp>
        <stp>[portefeuille USD.xlsm]SSA!R38C26_x0000__x0000_</stp>
        <tr r="Z38" s="16"/>
      </tp>
      <tp t="e">
        <v>#N/A</v>
        <stp/>
        <stp>##V3_BDPV12</stp>
        <stp>EH790357 Corp Corp</stp>
        <stp>CPN</stp>
        <stp>[portefeuille USD.xlsm]SSA!R28C26_x0000__x0000_</stp>
        <tr r="Z28" s="16"/>
      </tp>
      <tp t="e">
        <v>#N/A</v>
        <stp/>
        <stp>##V3_BDPV12</stp>
        <stp>EH828973 Corp Corp</stp>
        <stp>YLD_YTM_ASK</stp>
        <stp>[portefeuille USD.xlsm]SSA!R142C8_x0000_R</stp>
        <tr r="H142" s="16"/>
      </tp>
      <tp t="e">
        <v>#N/A</v>
        <stp/>
        <stp>##V3_BDPV12</stp>
        <stp>EI133522 Corp Corp</stp>
        <stp>YLD_YTM_ASK</stp>
        <stp>[portefeuille USD.xlsm]SSA!R138C8_x0000_R</stp>
        <tr r="H138" s="16"/>
      </tp>
      <tp t="e">
        <v>#N/A</v>
        <stp/>
        <stp>##V3_BDPV12</stp>
        <stp>US912828RS13 Govt</stp>
        <stp>SECURITY_DES</stp>
        <stp>[portefeuille USD.xlsm]treasuries!R86C2_x0000__x0000_</stp>
        <tr r="B86" s="13"/>
      </tp>
      <tp t="e">
        <v>#N/A</v>
        <stp/>
        <stp>##V3_BDPV12</stp>
        <stp>US9127956S51 Corp</stp>
        <stp>FIRST_CPN_DT</stp>
        <stp>[portefeuille USD.xlsm]treasuries!R33C24_x0000__x0000_</stp>
        <tr r="X33" s="13"/>
      </tp>
      <tp t="e">
        <v>#N/A</v>
        <stp/>
        <stp>##V3_BDPV12</stp>
        <stp>US912810EC81 Govt</stp>
        <stp>SECURITY_DES</stp>
        <stp>[portefeuille USD.xlsm]treasuries!R222C2_x0000__x0000_</stp>
        <tr r="B222" s="13"/>
      </tp>
      <tp t="e">
        <v>#N/A</v>
        <stp/>
        <stp>##V3_BDPV12</stp>
        <stp>US912810FP85 Govt</stp>
        <stp>SECURITY_DES</stp>
        <stp>[portefeuille USD.xlsm]treasuries!R267C2_x0000__x0000_</stp>
        <tr r="B267" s="13"/>
      </tp>
      <tp t="e">
        <v>#N/A</v>
        <stp/>
        <stp>##V3_BDPV12</stp>
        <stp>US912810QT88 Govt</stp>
        <stp>SECURITY_DES</stp>
        <stp>[portefeuille USD.xlsm]treasuries!R284C2_x0000__x0000_</stp>
        <tr r="B284" s="13"/>
      </tp>
      <tp t="e">
        <v>#N/A</v>
        <stp/>
        <stp>##V3_BDPV12</stp>
        <stp>US912810FG86 Govt</stp>
        <stp>SECURITY_DES</stp>
        <stp>[portefeuille USD.xlsm]treasuries!R264C2_x0000__x0000_</stp>
        <tr r="B264" s="13"/>
      </tp>
      <tp t="e">
        <v>#N/A</v>
        <stp/>
        <stp>##V3_BDPV12</stp>
        <stp>XS0592582653 Corp</stp>
        <stp>AMT_OUTSTANDING</stp>
        <stp>[portefeuille USD.xlsm]SSA!R113C28_x0000__x0000_</stp>
        <tr r="AB113" s="16"/>
      </tp>
      <tp t="e">
        <v>#N/A</v>
        <stp/>
        <stp>##V3_BDPV12</stp>
        <stp>FR0010606442 Corp</stp>
        <stp>CPN_FREQ</stp>
        <stp>[portefeuille USD.xlsm]SSA!R108C27_x0000__x0000_</stp>
        <tr r="AA108" s="16"/>
      </tp>
      <tp t="e">
        <v>#N/A</v>
        <stp/>
        <stp>##V3_BDPV12</stp>
        <stp>ED650463 Corp Corp</stp>
        <stp>INT_ACC_DT</stp>
        <stp>[portefeuille USD.xlsm]SSA!R140C22_x0000_2</stp>
        <tr r="V140" s="16"/>
      </tp>
      <tp t="e">
        <v>#N/A</v>
        <stp/>
        <stp>##V3_BDPV12</stp>
        <stp>US912828JZ48 Corp</stp>
        <stp>FIRST_CPN_DT</stp>
        <stp>[portefeuille USD.xlsm]treasuries!R92C24_x0000__x0000_</stp>
        <tr r="X92" s="13"/>
      </tp>
      <tp t="e">
        <v>#N/A</v>
        <stp/>
        <stp>##V3_BDPV12</stp>
        <stp>FR0010306340 Corp</stp>
        <stp>CPN_FREQ</stp>
        <stp>[portefeuille USD.xlsm]SSA!R109C27_x0000__x0000_</stp>
        <tr r="AA109" s="16"/>
      </tp>
      <tp t="e">
        <v>#N/A</v>
        <stp/>
        <stp>##V3_BDPV12</stp>
        <stp>US912810EL80 Govt</stp>
        <stp>SECURITY_DES</stp>
        <stp>[portefeuille USD.xlsm]treasuries!R245C2_x0000__x0000_</stp>
        <tr r="B245" s="13"/>
      </tp>
      <tp t="e">
        <v>#N/A</v>
        <stp/>
        <stp>##V3_BDPV12</stp>
        <stp>US912828FQ84 Govt</stp>
        <stp>SECURITY_DES</stp>
        <stp>[portefeuille USD.xlsm]treasuries!R166C2_x0000__x0000_</stp>
        <tr r="B166" s="13"/>
      </tp>
      <tp t="e">
        <v>#N/A</v>
        <stp/>
        <stp>##V3_BDPV12</stp>
        <stp>XS0561837013 Corp</stp>
        <stp>ISSUE_DT</stp>
        <stp>[portefeuille USD.xlsm]SSA!R128C21_x0000__x0000_</stp>
        <tr r="U128" s="16"/>
      </tp>
      <tp t="e">
        <v>#N/A</v>
        <stp/>
        <stp>##V3_BDPV12</stp>
        <stp>XS0451654189 Corp</stp>
        <stp>ISSUE_DT</stp>
        <stp>[portefeuille USD.xlsm]SSA!R129C21_x0000__x0000_</stp>
        <tr r="U129" s="16"/>
      </tp>
      <tp t="e">
        <v>#N/A</v>
        <stp/>
        <stp>##V3_BDPV12</stp>
        <stp>US9127956L09 Corp</stp>
        <stp>FIRST_CPN_DT</stp>
        <stp>[portefeuille USD.xlsm]treasuries!R62C24_x0000__x0000_</stp>
        <tr r="X62" s="13"/>
      </tp>
      <tp t="e">
        <v>#N/A</v>
        <stp/>
        <stp>##V3_BDPV12</stp>
        <stp>XS0760314103 Corp</stp>
        <stp>ISSUE_DT</stp>
        <stp>[portefeuille USD.xlsm]SSA!R119C21_x0000__x0000_</stp>
        <tr r="U119" s="16"/>
      </tp>
      <tp t="e">
        <v>#N/A</v>
        <stp/>
        <stp>##V3_BDPV12</stp>
        <stp>US912828NV87 Govt</stp>
        <stp>SECURITY_DES</stp>
        <stp>[portefeuille USD.xlsm]treasuries!R142C2_x0000__x0000_</stp>
        <tr r="B142" s="13"/>
      </tp>
      <tp t="e">
        <v>#N/A</v>
        <stp/>
        <stp>##V3_BDPV12</stp>
        <stp>US912828KS85 Govt</stp>
        <stp>SECURITY_DES</stp>
        <stp>[portefeuille USD.xlsm]treasuries!R152C2_x0000__x0000_</stp>
        <tr r="B152" s="13"/>
      </tp>
      <tp t="e">
        <v>#N/A</v>
        <stp/>
        <stp>##V3_BDPV12</stp>
        <stp>US9127956F31 Corp</stp>
        <stp>FIRST_CPN_DT</stp>
        <stp>[portefeuille USD.xlsm]treasuries!R58C24_x0000__x0000_</stp>
        <tr r="X58" s="13"/>
      </tp>
      <tp t="e">
        <v>#N/A</v>
        <stp/>
        <stp>##V3_BDPV12</stp>
        <stp>US912828RB87 Govt</stp>
        <stp>SECURITY_DES</stp>
        <stp>[portefeuille USD.xlsm]treasuries!R114C2_x0000__x0000_</stp>
        <tr r="B114" s="13"/>
      </tp>
      <tp t="e">
        <v>#N/A</v>
        <stp/>
        <stp>##V3_BDPV12</stp>
        <stp>US912828KJ86 Govt</stp>
        <stp>SECURITY_DES</stp>
        <stp>[portefeuille USD.xlsm]treasuries!R100C2_x0000__x0000_</stp>
        <tr r="B100" s="13"/>
      </tp>
      <tp t="e">
        <v>#N/A</v>
        <stp/>
        <stp>##V3_BDPV12</stp>
        <stp>US912828TA86 Govt</stp>
        <stp>SECURITY_DES</stp>
        <stp>[portefeuille USD.xlsm]treasuries!R110C2_x0000__x0000_</stp>
        <tr r="B110" s="13"/>
      </tp>
      <tp t="e">
        <v>#N/A</v>
        <stp/>
        <stp>##V3_BDPV12</stp>
        <stp>FR0010827246 Corp</stp>
        <stp>CPN_FREQ</stp>
        <stp>[portefeuille USD.xlsm]SSA!R110C27_x0000__x0000_</stp>
        <tr r="AA110" s="16"/>
      </tp>
      <tp t="e">
        <v>#N/A</v>
        <stp/>
        <stp>##V3_BDPV12</stp>
        <stp>US912828MR84 Govt</stp>
        <stp>SECURITY_DES</stp>
        <stp>[portefeuille USD.xlsm]treasuries!R130C2_x0000__x0000_</stp>
        <tr r="B130" s="13"/>
      </tp>
      <tp t="e">
        <v>#N/A</v>
        <stp/>
        <stp>##V3_BDPV12</stp>
        <stp>US912828QP82 Govt</stp>
        <stp>SECURITY_DES</stp>
        <stp>[portefeuille USD.xlsm]treasuries!R160C2_x0000__x0000_</stp>
        <tr r="B160" s="13"/>
      </tp>
      <tp t="e">
        <v>#N/A</v>
        <stp/>
        <stp>##V3_BDPV12</stp>
        <stp>EI133522 Corp Corp</stp>
        <stp>INT_ACC_DT</stp>
        <stp>[portefeuille USD.xlsm]SSA!R138C22_x0000_2</stp>
        <tr r="V138" s="16"/>
      </tp>
      <tp t="e">
        <v>#N/A</v>
        <stp/>
        <stp>##V3_BDPV12</stp>
        <stp>EI133522 Corp Govt</stp>
        <stp>SECURITY_DES</stp>
        <stp>[portefeuille USD.xlsm]SSA!R138C2_x0000__x0000_</stp>
        <tr r="B138" s="16"/>
      </tp>
      <tp t="e">
        <v>#N/A</v>
        <stp/>
        <stp>##V3_BDPV12</stp>
        <stp>EI143648 Corp Corp</stp>
        <stp>CPN</stp>
        <stp>[portefeuille USD.xlsm]SSA!R32C26_x0000__x0000_</stp>
        <tr r="Z32" s="16"/>
      </tp>
      <tp t="e">
        <v>#N/A</v>
        <stp/>
        <stp>##V3_BDPV12</stp>
        <stp>US912828AP56 Govt</stp>
        <stp>SECURITY_DES</stp>
        <stp>[portefeuille USD.xlsm]treasuries!R35C2_x0000_6</stp>
        <tr r="B35" s="13"/>
      </tp>
      <tp t="e">
        <v>#N/A</v>
        <stp/>
        <stp>##V3_BDPV12</stp>
        <stp>US912828GZ74 Corp</stp>
        <stp>FIRST_CPN_DT</stp>
        <stp>[portefeuille USD.xlsm]treasuries!R8C24_x0000__x0000_</stp>
        <tr r="X8" s="13"/>
      </tp>
      <tp t="e">
        <v>#N/A</v>
        <stp/>
        <stp>##V3_BDPV12</stp>
        <stp>US9127955U17 Corp</stp>
        <stp>FIRST_CPN_DT</stp>
        <stp>[portefeuille USD.xlsm]treasuries!R2C24_x0000_6</stp>
        <tr r="X2" s="13"/>
      </tp>
      <tp t="e">
        <v>#N/A</v>
        <stp/>
        <stp>##V3_BDPV12</stp>
        <stp>XS0562102615 Corp</stp>
        <stp>ISSUE_DT</stp>
        <stp>[portefeuille USD.xlsm]SSA!R145C21_x0000__x0000_</stp>
        <tr r="U145" s="16"/>
      </tp>
      <tp t="e">
        <v>#N/A</v>
        <stp/>
        <stp>##V3_BDPV12</stp>
        <stp>US912828ND89 Govt</stp>
        <stp>SECURITY_DES</stp>
        <stp>[portefeuille USD.xlsm]treasuries!R235C2_x0000__x0000_</stp>
        <tr r="B235" s="13"/>
      </tp>
      <tp t="e">
        <v>#N/A</v>
        <stp/>
        <stp>##V3_BDPV12</stp>
        <stp>US912828PC88 Govt</stp>
        <stp>SECURITY_DES</stp>
        <stp>[portefeuille USD.xlsm]treasuries!R238C2_x0000__x0000_</stp>
        <tr r="B238" s="13"/>
      </tp>
      <tp t="e">
        <v>#N/A</v>
        <stp/>
        <stp>##V3_BDPV12</stp>
        <stp>US912828SB78 Corp</stp>
        <stp>FIRST_CPN_DT</stp>
        <stp>[portefeuille USD.xlsm]treasuries!R93C24_x0000__x0000_</stp>
        <tr r="X93" s="13"/>
      </tp>
      <tp t="e">
        <v>#N/A</v>
        <stp/>
        <stp>##V3_BDPV12</stp>
        <stp>US912828PZ73 Corp</stp>
        <stp>FIRST_CPN_DT</stp>
        <stp>[portefeuille USD.xlsm]treasuries!R98C24_x0000__x0000_</stp>
        <tr r="X98" s="13"/>
      </tp>
      <tp t="e">
        <v>#N/A</v>
        <stp/>
        <stp>##V3_BDPV12</stp>
        <stp>US9127956A44 Corp</stp>
        <stp>FIRST_CPN_DT</stp>
        <stp>[portefeuille USD.xlsm]treasuries!R10C24_x0000__x0000_</stp>
        <tr r="X10" s="13"/>
      </tp>
      <tp t="e">
        <v>#N/A</v>
        <stp/>
        <stp>##V3_BDPV12</stp>
        <stp>US912828RY80 Govt</stp>
        <stp>SECURITY_DES</stp>
        <stp>[portefeuille USD.xlsm]treasuries!R220C2_x0000__x0000_</stp>
        <tr r="B220" s="13"/>
      </tp>
      <tp t="e">
        <v>#N/A</v>
        <stp/>
        <stp>##V3_BDPV12</stp>
        <stp>US912828QG83 Govt</stp>
        <stp>SECURITY_DES</stp>
        <stp>[portefeuille USD.xlsm]treasuries!R207C2_x0000__x0000_</stp>
        <tr r="B207" s="13"/>
      </tp>
      <tp t="e">
        <v>#N/A</v>
        <stp/>
        <stp>##V3_BDPV12</stp>
        <stp>US912828PQ74 Corp</stp>
        <stp>FIRST_CPN_DT</stp>
        <stp>[portefeuille USD.xlsm]treasuries!R91C24_x0000__x0000_</stp>
        <tr r="X91" s="13"/>
      </tp>
      <tp t="e">
        <v>#N/A</v>
        <stp/>
        <stp>##V3_BDPV12</stp>
        <stp>XS0576210289 Corp</stp>
        <stp>AMT_OUTSTANDING</stp>
        <stp>[portefeuille USD.xlsm]SSA!R116C28_x0000__x0000_</stp>
        <tr r="AB116" s="16"/>
      </tp>
      <tp t="e">
        <v>#N/A</v>
        <stp/>
        <stp>##V3_BDPV12</stp>
        <stp>US912828SF82 Govt</stp>
        <stp>SECURITY_DES</stp>
        <stp>[portefeuille USD.xlsm]treasuries!R247C2_x0000__x0000_</stp>
        <tr r="B247" s="13"/>
      </tp>
      <tp t="e">
        <v>#N/A</v>
        <stp/>
        <stp>##V3_BDPV12</stp>
        <stp>FR0010815332 Corp</stp>
        <stp>CPN_FREQ</stp>
        <stp>[portefeuille USD.xlsm]SSA!R100C27_x0000__x0000_</stp>
        <tr r="AA100" s="16"/>
      </tp>
      <tp t="e">
        <v>#N/A</v>
        <stp/>
        <stp>##V3_BDPV12</stp>
        <stp>FR0010925446 Corp</stp>
        <stp>CPN_FREQ</stp>
        <stp>[portefeuille USD.xlsm]SSA!R107C27_x0000__x0000_</stp>
        <tr r="AA107" s="16"/>
      </tp>
      <tp t="e">
        <v>#N/A</v>
        <stp/>
        <stp>##V3_BDPV12</stp>
        <stp>US912828ST86 Govt</stp>
        <stp>SECURITY_DES</stp>
        <stp>[portefeuille USD.xlsm]treasuries!R226C2_x0000__x0000_</stp>
        <tr r="B226" s="13"/>
      </tp>
      <tp t="e">
        <v>#N/A</v>
        <stp/>
        <stp>##V3_BDPV12</stp>
        <stp>US912810DZ85 Govt</stp>
        <stp>SECURITY_DES</stp>
        <stp>[portefeuille USD.xlsm]treasuries!R195C2_x0000__x0000_</stp>
        <tr r="B195" s="13"/>
      </tp>
      <tp t="e">
        <v>#N/A</v>
        <stp/>
        <stp>##V3_BDPV12</stp>
        <stp>FR0010775239 Corp</stp>
        <stp>CPN_FREQ</stp>
        <stp>[portefeuille USD.xlsm]SSA!R103C27_x0000__x0000_</stp>
        <tr r="AA103" s="16"/>
      </tp>
      <tp t="e">
        <v>#N/A</v>
        <stp/>
        <stp>##V3_BDPV12</stp>
        <stp>EF684257 Corp Corp</stp>
        <stp>FIRST_CPN_DT</stp>
        <stp>[portefeuille USD.xlsm]SSA!R38C23_x0000__x0000_</stp>
        <tr r="W38" s="16"/>
      </tp>
      <tp t="e">
        <v>#N/A</v>
        <stp/>
        <stp>##V3_BDPV12</stp>
        <stp>EI472618 Corp Govt</stp>
        <stp>SECURITY_DES</stp>
        <stp>[portefeuille USD.xlsm]SSA!R139C2_x0000__x0000_</stp>
        <tr r="B139" s="16"/>
      </tp>
      <tp t="e">
        <v>#N/A</v>
        <stp/>
        <stp>##V3_BDPV12</stp>
        <stp>EG914838 Corp Corp</stp>
        <stp>FIRST_CPN_DT</stp>
        <stp>[portefeuille USD.xlsm]SSA!R37C23_x0000__x0000_</stp>
        <tr r="W37" s="16"/>
      </tp>
      <tp t="e">
        <v>#N/A</v>
        <stp/>
        <stp>##V3_BDPV12</stp>
        <stp>XS0495091620 Corp</stp>
        <stp>YLD_YTM_BID</stp>
        <stp>[portefeuille USD.xlsm]SSA!R7C8_x0000_8</stp>
        <tr r="H7" s="16"/>
      </tp>
      <tp t="e">
        <v>#N/A</v>
        <stp/>
        <stp>##V3_BDPV12</stp>
        <stp>US912828HQ66 Govt</stp>
        <stp>SECURITY_DES</stp>
        <stp>[portefeuille USD.xlsm]treasuries!R48C2_x0000__x0000_</stp>
        <tr r="B48" s="13"/>
      </tp>
      <tp t="e">
        <v>#N/A</v>
        <stp/>
        <stp>##V3_BDPV12</stp>
        <stp>US912828JQ49 Govt</stp>
        <stp>SECURITY_DES</stp>
        <stp>[portefeuille USD.xlsm]treasuries!R83C2_x0000__x0000_</stp>
        <tr r="B83" s="13"/>
      </tp>
      <tp t="e">
        <v>#N/A</v>
        <stp/>
        <stp>##V3_BDPV12</stp>
        <stp>US912828PQ74 Govt</stp>
        <stp>SECURITY_DES</stp>
        <stp>[portefeuille USD.xlsm]treasuries!R91C2_x0000__x0000_</stp>
        <tr r="B91" s="13"/>
      </tp>
      <tp t="e">
        <v>#N/A</v>
        <stp/>
        <stp>##V3_BDPV12</stp>
        <stp>US912828RK86 Corp</stp>
        <stp>FIRST_CPN_DT</stp>
        <stp>[portefeuille USD.xlsm]treasuries!R79C24_x0000__x0000_</stp>
        <tr r="X79" s="13"/>
      </tp>
      <tp t="e">
        <v>#N/A</v>
        <stp/>
        <stp>##V3_BDPV12</stp>
        <stp>US912828SX98 Govt</stp>
        <stp>SECURITY_DES</stp>
        <stp>[portefeuille USD.xlsm]treasuries!R228C2_x0000__x0000_</stp>
        <tr r="B228" s="13"/>
      </tp>
      <tp t="e">
        <v>#N/A</v>
        <stp/>
        <stp>##V3_BDPV12</stp>
        <stp>US912828QY99 Govt</stp>
        <stp>SECURITY_DES</stp>
        <stp>[portefeuille USD.xlsm]treasuries!R212C2_x0000__x0000_</stp>
        <tr r="B212" s="13"/>
      </tp>
      <tp t="e">
        <v>#N/A</v>
        <stp/>
        <stp>##V3_BDPV12</stp>
        <stp>US912828CA69 Corp</stp>
        <stp>FIRST_CPN_DT</stp>
        <stp>[portefeuille USD.xlsm]treasuries!R95C24_x0000__x0000_</stp>
        <tr r="X95" s="13"/>
      </tp>
      <tp t="e">
        <v>#N/A</v>
        <stp/>
        <stp>##V3_BDPV12</stp>
        <stp>US912828NH93 Corp</stp>
        <stp>FIRST_CPN_DT</stp>
        <stp>[portefeuille USD.xlsm]treasuries!R68C24_x0000__x0000_</stp>
        <tr r="X68" s="13"/>
      </tp>
      <tp t="e">
        <v>#N/A</v>
        <stp/>
        <stp>##V3_BDPV12</stp>
        <stp>US9127955Q05 Corp</stp>
        <stp>FIRST_CPN_DT</stp>
        <stp>[portefeuille USD.xlsm]treasuries!R41C24_x0000__x0000_</stp>
        <tr r="X41" s="13"/>
      </tp>
      <tp t="e">
        <v>#N/A</v>
        <stp/>
        <stp>##V3_BDPV12</stp>
        <stp>US912828KF64 Corp</stp>
        <stp>FIRST_CPN_DT</stp>
        <stp>[portefeuille USD.xlsm]treasuries!R97C24_x0000__x0000_</stp>
        <tr r="X97" s="13"/>
      </tp>
      <tp t="e">
        <v>#N/A</v>
        <stp/>
        <stp>##V3_BDPV12</stp>
        <stp>US912828SG65 Corp</stp>
        <stp>FIRST_CPN_DT</stp>
        <stp>[portefeuille USD.xlsm]treasuries!R96C24_x0000__x0000_</stp>
        <tr r="X96" s="13"/>
      </tp>
      <tp t="e">
        <v>#N/A</v>
        <stp/>
        <stp>##V3_BDPV12</stp>
        <stp>US912828QB96 Govt</stp>
        <stp>SECURITY_DES</stp>
        <stp>[portefeuille USD.xlsm]treasuries!R206C2_x0000__x0000_</stp>
        <tr r="B206" s="13"/>
      </tp>
      <tp t="e">
        <v>#N/A</v>
        <stp/>
        <stp>##V3_BDPV12</stp>
        <stp>US912828QH66 Corp</stp>
        <stp>FIRST_CPN_DT</stp>
        <stp>[portefeuille USD.xlsm]treasuries!R94C24_x0000__x0000_</stp>
        <tr r="X94" s="13"/>
      </tp>
      <tp t="e">
        <v>#N/A</v>
        <stp/>
        <stp>##V3_BDPV12</stp>
        <stp>US912828HY90 Corp</stp>
        <stp>FIRST_CPN_DT</stp>
        <stp>[portefeuille USD.xlsm]treasuries!R61C24_x0000__x0000_</stp>
        <tr r="X61" s="13"/>
      </tp>
      <tp t="e">
        <v>#N/A</v>
        <stp/>
        <stp>##V3_BDPV12</stp>
        <stp>US912828RT95 Govt</stp>
        <stp>SECURITY_DES</stp>
        <stp>[portefeuille USD.xlsm]treasuries!R219C2_x0000__x0000_</stp>
        <tr r="B219" s="13"/>
      </tp>
      <tp t="e">
        <v>#N/A</v>
        <stp/>
        <stp>##V3_BDPV12</stp>
        <stp>US63983UAA07 Corp</stp>
        <stp>CPN_FREQ</stp>
        <stp>[portefeuille USD.xlsm]SSA!R4C27_x0000__x0000_</stp>
        <tr r="AA4" s="16"/>
      </tp>
      <tp t="e">
        <v>#N/A</v>
        <stp/>
        <stp>##V3_BDPV12</stp>
        <stp>US9127956N64 Corp</stp>
        <stp>FIRST_CPN_DT</stp>
        <stp>[portefeuille USD.xlsm]treasuries!R29C24_x0000__x0000_</stp>
        <tr r="X29" s="13"/>
      </tp>
      <tp t="e">
        <v>#N/A</v>
        <stp/>
        <stp>##V3_BDPV12</stp>
        <stp>US9127955Z04 Corp</stp>
        <stp>FIRST_CPN_DT</stp>
        <stp>[portefeuille USD.xlsm]treasuries!R49C24_x0000__x0000_</stp>
        <tr r="X49" s="13"/>
      </tp>
      <tp t="e">
        <v>#N/A</v>
        <stp/>
        <stp>##V3_BDPV12</stp>
        <stp>FR0010998104 Corp</stp>
        <stp>AMT_OUTSTANDING</stp>
        <stp>[portefeuille USD.xlsm]SSA!R105C28_x0000__x0000_</stp>
        <tr r="AB105" s="16"/>
      </tp>
      <tp t="e">
        <v>#N/A</v>
        <stp/>
        <stp>##V3_BDPV12</stp>
        <stp>XS0347750365 Corp</stp>
        <stp>MATURITY</stp>
        <stp>[portefeuille USD.xlsm]SSA!R64C25_x0000_R</stp>
        <tr r="Y64" s="16"/>
      </tp>
      <tp t="e">
        <v>#N/A</v>
        <stp/>
        <stp>##V3_BDPV12</stp>
        <stp>XS0495091620 Corp</stp>
        <stp>MATURITY</stp>
        <stp>[portefeuille USD.xlsm]SSA!R7C25_x0000__x0000_</stp>
        <tr r="Y7" s="16"/>
      </tp>
      <tp t="e">
        <v>#N/A</v>
        <stp/>
        <stp>##V3_BDPV12</stp>
        <stp>FR0010945279 Corp</stp>
        <stp>ISSUE_DT</stp>
        <stp>[portefeuille USD.xlsm]SSA!R89C21_x0000__x0000_</stp>
        <tr r="U89" s="16"/>
      </tp>
      <tp t="e">
        <v>#N/A</v>
        <stp/>
        <stp>##V3_BDPV12</stp>
        <stp>US298785FD35 Corp</stp>
        <stp>AMT_OUTSTANDING</stp>
        <stp>[portefeuille USD.xlsm]SSA!R62C28_x0000_R</stp>
        <tr r="AB62" s="16"/>
      </tp>
      <tp t="e">
        <v>#N/A</v>
        <stp/>
        <stp>##V3_BDPV12</stp>
        <stp>FR0010875302 Corp</stp>
        <stp>CPN_FREQ</stp>
        <stp>[portefeuille USD.xlsm]SSA!R88C27_x0000__x0000_</stp>
        <tr r="AA88" s="16"/>
      </tp>
      <tp t="e">
        <v>#N/A</v>
        <stp/>
        <stp>##V3_BDPV12</stp>
        <stp>FR0010394452 Corp</stp>
        <stp>AMT_OUTSTANDING</stp>
        <stp>[portefeuille USD.xlsm]SSA!R93C28_x0000__x0000_</stp>
        <tr r="AB93" s="16"/>
      </tp>
      <tp t="e">
        <v>#N/A</v>
        <stp/>
        <stp>##V3_BDPV12</stp>
        <stp>US912828NN61 Govt</stp>
        <stp>SECURITY_DES</stp>
        <stp>[portefeuille USD.xlsm]treasuries!R71C2_x0000_7</stp>
        <tr r="B71" s="13"/>
      </tp>
      <tp t="e">
        <v>#N/A</v>
        <stp/>
        <stp>##V3_BDPV12</stp>
        <stp>US298785FV33 Corp</stp>
        <stp>AMT_OUTSTANDING</stp>
        <stp>[portefeuille USD.xlsm]SSA!R63C28_x0000_R</stp>
        <tr r="AB63" s="16"/>
      </tp>
      <tp t="e">
        <v>#N/A</v>
        <stp/>
        <stp>##V3_BDPV12</stp>
        <stp>US912828GZ74 Govt</stp>
        <stp>YLD_YTM_ASK</stp>
        <stp>[portefeuille USD.xlsm]treasuries!R8C8_x0000__x0000_</stp>
        <tr r="H8" s="13"/>
      </tp>
      <tp t="e">
        <v>#N/A</v>
        <stp/>
        <stp>##V3_BDPV12</stp>
        <stp>US912828MN70 Govt</stp>
        <stp>SECURITY_DES</stp>
        <stp>[portefeuille USD.xlsm]treasuries!R51C2_x0000_2</stp>
        <tr r="B51" s="13"/>
      </tp>
      <tp t="e">
        <v>#N/A</v>
        <stp/>
        <stp>##V3_BDPV12</stp>
        <stp>US298785FE18 Corp</stp>
        <stp>AMT_OUTSTANDING</stp>
        <stp>[portefeuille USD.xlsm]SSA!R47C28_x0000_R</stp>
        <tr r="AB47" s="16"/>
      </tp>
      <tp t="e">
        <v>#N/A</v>
        <stp/>
        <stp>##V3_BDPV12</stp>
        <stp>FR0010945279 Corp</stp>
        <stp>MATURITY</stp>
        <stp>[portefeuille USD.xlsm]SSA!R89C25_x0000__x0000_</stp>
        <tr r="Y89" s="16"/>
      </tp>
      <tp t="e">
        <v>#N/A</v>
        <stp/>
        <stp>##V3_BDPV12</stp>
        <stp>US9127956A44 Govt</stp>
        <stp>SECURITY_DES</stp>
        <stp>[portefeuille USD.xlsm]treasuries!R10C2_x0000_7</stp>
        <tr r="B10" s="13"/>
      </tp>
      <tp t="e">
        <v>#N/A</v>
        <stp/>
        <stp>##V3_BDPV12</stp>
        <stp>US298785EX08 Corp</stp>
        <stp>AMT_OUTSTANDING</stp>
        <stp>[portefeuille USD.xlsm]SSA!R53C28_x0000_R</stp>
        <tr r="AB53" s="16"/>
      </tp>
      <tp t="e">
        <v>#N/A</v>
        <stp/>
        <stp>##V3_BDPV12</stp>
        <stp>US912828RN26 Govt</stp>
        <stp>SECURITY_DES</stp>
        <stp>[portefeuille USD.xlsm]treasuries!R82C2_x0000__x0000_</stp>
        <tr r="B82" s="13"/>
      </tp>
      <tp t="e">
        <v>#N/A</v>
        <stp/>
        <stp>##V3_BDPV12</stp>
        <stp>XS0347750365 Corp</stp>
        <stp>ISSUE_DT</stp>
        <stp>[portefeuille USD.xlsm]SSA!R64C21_x0000_R</stp>
        <tr r="U64" s="16"/>
      </tp>
      <tp t="e">
        <v>#N/A</v>
        <stp/>
        <stp>##V3_BDPV12</stp>
        <stp>US9127955Y39 Govt</stp>
        <stp>YLD_YTM_ASK</stp>
        <stp>[portefeuille USD.xlsm]treasuries!R9C8_x0000_8</stp>
        <tr r="H9" s="13"/>
      </tp>
      <tp t="e">
        <v>#N/A</v>
        <stp/>
        <stp>##V3_BDPV12</stp>
        <stp>FR0010500843 Corp</stp>
        <stp>ISSUE_DT</stp>
        <stp>[portefeuille USD.xlsm]SSA!R111C21_x0000__x0000_</stp>
        <tr r="U111" s="16"/>
      </tp>
      <tp t="e">
        <v>#N/A</v>
        <stp/>
        <stp>##V3_BDPV12</stp>
        <stp>XS0546548636 Corp</stp>
        <stp>MATURITY</stp>
        <stp>[portefeuille USD.xlsm]SSA!R117C25_x0000__x0000_</stp>
        <tr r="Y117" s="16"/>
      </tp>
      <tp t="e">
        <v>#N/A</v>
        <stp/>
        <stp>##V3_BDPV12</stp>
        <stp>XS0635033128 Corp</stp>
        <stp>CPN_FREQ</stp>
        <stp>[portefeuille USD.xlsm]SSA!R146C27_x0000__x0000_</stp>
        <tr r="AA146" s="16"/>
      </tp>
      <tp t="e">
        <v>#N/A</v>
        <stp/>
        <stp>##V3_BDPV12</stp>
        <stp>XS0705646452 Corp</stp>
        <stp>CPN_FREQ</stp>
        <stp>[portefeuille USD.xlsm]SSA!R121C27_x0000__x0000_</stp>
        <tr r="AA121" s="16"/>
      </tp>
      <tp t="e">
        <v>#N/A</v>
        <stp/>
        <stp>##V3_BDPV12</stp>
        <stp>US298785FH49 Corp</stp>
        <stp>CPN_FREQ</stp>
        <stp>[portefeuille USD.xlsm]SSA!R84C27_x0000_R</stp>
        <tr r="AA84" s="16"/>
      </tp>
      <tp t="e">
        <v>#N/A</v>
        <stp/>
        <stp>##V3_BDPV12</stp>
        <stp>US298785FP64 Corp</stp>
        <stp>CPN_FREQ</stp>
        <stp>[portefeuille USD.xlsm]SSA!R55C27_x0000_R</stp>
        <tr r="AA55" s="16"/>
      </tp>
      <tp t="e">
        <v>#N/A</v>
        <stp/>
        <stp>##V3_BDPV12</stp>
        <stp>US298785FW16 Corp</stp>
        <stp>CPN_FREQ</stp>
        <stp>[portefeuille USD.xlsm]SSA!R79C27_x0000_R</stp>
        <tr r="AA79" s="16"/>
      </tp>
      <tp t="e">
        <v>#N/A</v>
        <stp/>
        <stp>##V3_BDPV12</stp>
        <stp>US298785FK77 Corp</stp>
        <stp>CPN_FREQ</stp>
        <stp>[portefeuille USD.xlsm]SSA!R69C27_x0000_R</stp>
        <tr r="AA69" s="16"/>
      </tp>
      <tp t="e">
        <v>#N/A</v>
        <stp/>
        <stp>##V3_BDPV12</stp>
        <stp>US298785DU77 Corp</stp>
        <stp>CPN_FREQ</stp>
        <stp>[portefeuille USD.xlsm]SSA!R68C27_x0000_R</stp>
        <tr r="AA68" s="16"/>
      </tp>
      <tp t="e">
        <v>#N/A</v>
        <stp/>
        <stp>##V3_BDPV12</stp>
        <stp>EI791385 Corp Corp</stp>
        <stp>PENULTIMATE_CPN_DT</stp>
        <stp>[portefeuille USD.xlsm]SSA!R131C24_x0000_2</stp>
        <tr r="X131" s="16"/>
      </tp>
      <tp t="e">
        <v>#N/A</v>
        <stp/>
        <stp>##V3_BDPV12</stp>
        <stp>EH531108 Corp Corp</stp>
        <stp>PENULTIMATE_CPN_DT</stp>
        <stp>[portefeuille USD.xlsm]SSA!R143C24_x0000_2</stp>
        <tr r="X143" s="16"/>
      </tp>
      <tp t="e">
        <v>#N/A</v>
        <stp/>
        <stp>##V3_BDPV12</stp>
        <stp>XS0742416380 Corp</stp>
        <stp>PENULTIMATE_CPN_DT</stp>
        <stp>[portefeuille USD.xlsm]SSA!R82C24_x0000_R</stp>
        <tr r="X82" s="16"/>
      </tp>
      <tp t="e">
        <v>#N/A</v>
        <stp/>
        <stp>##V3_BDPV12</stp>
        <stp>XS0311512957 Corp</stp>
        <stp>PENULTIMATE_CPN_DT</stp>
        <stp>[portefeuille USD.xlsm]SSA!R13C24_x0000__x0000_</stp>
        <tr r="X13" s="16"/>
      </tp>
      <tp t="e">
        <v>#N/A</v>
        <stp/>
        <stp>##V3_BDPV12</stp>
        <stp>XS0460002859 Corp</stp>
        <stp>PENULTIMATE_CPN_DT</stp>
        <stp>[portefeuille USD.xlsm]SSA!R16C24_x0000__x0000_</stp>
        <tr r="X16" s="16"/>
      </tp>
      <tp t="e">
        <v>#N/A</v>
        <stp/>
        <stp>##V3_BDPV12</stp>
        <stp>FR0010941732 Corp</stp>
        <stp>INT_ACC_DT</stp>
        <stp>[portefeuille USD.xlsm]SSA!R96C22_x0000__x0000_</stp>
        <tr r="V96" s="16"/>
      </tp>
      <tp t="e">
        <v>#N/A</v>
        <stp/>
        <stp>##V3_BDPV12</stp>
        <stp>XS0460002859 Corp</stp>
        <stp>YLD_YTM_BID</stp>
        <stp>[portefeuille USD.xlsm]SSA!R16C8_x0000__x0000_</stp>
        <tr r="H16" s="16"/>
      </tp>
      <tp t="e">
        <v>#N/A</v>
        <stp/>
        <stp>##V3_BDPV12</stp>
        <stp>EI472618 Corp Corp</stp>
        <stp>CPN</stp>
        <stp>[portefeuille USD.xlsm]SSA!R139C26_x0000_2</stp>
        <tr r="Z139" s="16"/>
      </tp>
      <tp t="e">
        <v>#N/A</v>
        <stp/>
        <stp>##V3_BDPV12</stp>
        <stp>XS0311512957 Corp</stp>
        <stp>YLD_YTM_BID</stp>
        <stp>[portefeuille USD.xlsm]SSA!R13C8_x0000__x0000_</stp>
        <tr r="H13" s="16"/>
      </tp>
      <tp t="e">
        <v>#N/A</v>
        <stp/>
        <stp>##V3_BDPV12</stp>
        <stp>EI265078 Corp Corp</stp>
        <stp>CPN</stp>
        <stp>[portefeuille USD.xlsm]SSA!R144C26_x0000_2</stp>
        <tr r="Z144" s="16"/>
      </tp>
      <tp t="e">
        <v>#N/A</v>
        <stp/>
        <stp>##V3_BDPV12</stp>
        <stp>XS0579811489 Corp</stp>
        <stp>INT_ACC_DT</stp>
        <stp>[portefeuille USD.xlsm]SSA!R20C22_x0000__x0000_</stp>
        <tr r="V20" s="16"/>
      </tp>
      <tp t="e">
        <v>#N/A</v>
        <stp/>
        <stp>##V3_BDPV12</stp>
        <stp>XS0460002859 Corp</stp>
        <stp>CPN_FREQ</stp>
        <stp>[portefeuille USD.xlsm]SSA!R16C27_x0000__x0000_</stp>
        <tr r="AA16" s="16"/>
      </tp>
      <tp t="e">
        <v>#N/A</v>
        <stp/>
        <stp>##V3_BDPV12</stp>
        <stp>XS0637187773 Corp</stp>
        <stp>CPN_FREQ</stp>
        <stp>[portefeuille USD.xlsm]SSA!R15C27_x0000__x0000_</stp>
        <tr r="AA15" s="16"/>
      </tp>
      <tp t="e">
        <v>#N/A</v>
        <stp/>
        <stp>##V3_BDPV12</stp>
        <stp>XS0468848253 Corp</stp>
        <stp>MATURITY</stp>
        <stp>[portefeuille USD.xlsm]SSA!R74C25_x0000_R</stp>
        <tr r="Y74" s="16"/>
      </tp>
      <tp t="e">
        <v>#N/A</v>
        <stp/>
        <stp>##V3_BDPV12</stp>
        <stp>XS0547845205 Corp</stp>
        <stp>CPN_FREQ</stp>
        <stp>[portefeuille USD.xlsm]SSA!R81C27_x0000_R</stp>
        <tr r="AA81" s="16"/>
      </tp>
      <tp t="e">
        <v>#N/A</v>
        <stp/>
        <stp>##V3_BDPV12</stp>
        <stp>US639832AD61 Corp</stp>
        <stp>MATURITY</stp>
        <stp>[portefeuille USD.xlsm]SSA!R5C25_x0000_4</stp>
        <tr r="Y5" s="16"/>
      </tp>
      <tp t="e">
        <v>#N/A</v>
        <stp/>
        <stp>##V3_BDPV12</stp>
        <stp>XS0311512957 Corp</stp>
        <stp>MATURITY</stp>
        <stp>[portefeuille USD.xlsm]SSA!R13C25_x0000__x0000_</stp>
        <tr r="Y13" s="16"/>
      </tp>
      <tp t="e">
        <v>#N/A</v>
        <stp/>
        <stp>##V3_BDPV12</stp>
        <stp>XS0495091620 Corp</stp>
        <stp>PENULTIMATE_CPN_DT</stp>
        <stp>[portefeuille USD.xlsm]SSA!R7C24_x0000_7</stp>
        <tr r="X7" s="16"/>
      </tp>
      <tp t="e">
        <v>#N/A</v>
        <stp/>
        <stp>##V3_BDPV12</stp>
        <stp>XS0225513703 Corp</stp>
        <stp>MATURITY</stp>
        <stp>[portefeuille USD.xlsm]SSA!R40C25_x0000_R</stp>
        <tr r="Y40" s="16"/>
      </tp>
      <tp t="e">
        <v>#N/A</v>
        <stp/>
        <stp>##V3_BDPV12</stp>
        <stp>XS0477425283 Corp</stp>
        <stp>MATURITY</stp>
        <stp>[portefeuille USD.xlsm]SSA!R14C25_x0000__x0000_</stp>
        <tr r="Y14" s="16"/>
      </tp>
      <tp t="e">
        <v>#N/A</v>
        <stp/>
        <stp>##V3_BDPV12</stp>
        <stp>XS0468848253 Corp</stp>
        <stp>ISSUE_DT</stp>
        <stp>[portefeuille USD.xlsm]SSA!R74C21_x0000_R</stp>
        <tr r="U74" s="16"/>
      </tp>
      <tp t="e">
        <v>#N/A</v>
        <stp/>
        <stp>##V3_BDPV12</stp>
        <stp>XS0477425283 Corp</stp>
        <stp>ISSUE_DT</stp>
        <stp>[portefeuille USD.xlsm]SSA!R14C21_x0000__x0000_</stp>
        <tr r="U14" s="16"/>
      </tp>
      <tp t="e">
        <v>#N/A</v>
        <stp/>
        <stp>##V3_BDPV12</stp>
        <stp>EI347021 Corp Govt</stp>
        <stp>SECURITY_DES</stp>
        <stp>[portefeuille USD.xlsm]SSA!R27C2_x0000__x0000_</stp>
        <tr r="B27" s="16"/>
      </tp>
      <tp t="e">
        <v>#N/A</v>
        <stp/>
        <stp>##V3_BDPV12</stp>
        <stp>EH237816 Corp Govt</stp>
        <stp>SECURITY_DES</stp>
        <stp>[portefeuille USD.xlsm]SSA!R29C2_x0000__x0000_</stp>
        <tr r="B29" s="16"/>
      </tp>
      <tp t="e">
        <v>#N/A</v>
        <stp/>
        <stp>##V3_BDPV12</stp>
        <stp>EI251950 Corp Govt</stp>
        <stp>SECURITY_DES</stp>
        <stp>[portefeuille USD.xlsm]SSA!R23C2_x0000__x0000_</stp>
        <tr r="B23" s="16"/>
      </tp>
      <tp t="e">
        <v>#N/A</v>
        <stp/>
        <stp>##V3_BDPV12</stp>
        <stp>XS0225513703 Corp</stp>
        <stp>ISSUE_DT</stp>
        <stp>[portefeuille USD.xlsm]SSA!R40C21_x0000_R</stp>
        <tr r="U40" s="16"/>
      </tp>
      <tp t="e">
        <v>#N/A</v>
        <stp/>
        <stp>##V3_BDPV12</stp>
        <stp>XS0311512957 Corp</stp>
        <stp>ISSUE_DT</stp>
        <stp>[portefeuille USD.xlsm]SSA!R13C21_x0000__x0000_</stp>
        <tr r="U13" s="16"/>
      </tp>
      <tp t="e">
        <v>#N/A</v>
        <stp/>
        <stp>##V3_BDPV12</stp>
        <stp>FR0010950675 Corp</stp>
        <stp>ISSUE_DT</stp>
        <stp>[portefeuille USD.xlsm]SSA!R106C21_x0000__x0000_</stp>
        <tr r="U106" s="16"/>
      </tp>
      <tp t="e">
        <v>#N/A</v>
        <stp/>
        <stp>##V3_BDPV12</stp>
        <stp>US298785DV50 Corp</stp>
        <stp>ISSUE_DT</stp>
        <stp>[portefeuille USD.xlsm]SSA!R86C21_x0000_R</stp>
        <tr r="U86" s="16"/>
      </tp>
      <tp t="e">
        <v>#N/A</v>
        <stp/>
        <stp>##V3_BDPV12</stp>
        <stp>US12802DAA46 Corp</stp>
        <stp>AMT_OUTSTANDING</stp>
        <stp>[portefeuille USD.xlsm]SSA!R94C28_x0000__x0000_</stp>
        <tr r="AB94" s="16"/>
      </tp>
      <tp t="e">
        <v>#N/A</v>
        <stp/>
        <stp>##V3_BDPV12</stp>
        <stp>XS0372089572 Corp</stp>
        <stp>MATURITY</stp>
        <stp>[portefeuille USD.xlsm]SSA!R124C25_x0000__x0000_</stp>
        <tr r="Y124" s="16"/>
      </tp>
      <tp t="e">
        <v>#N/A</v>
        <stp/>
        <stp>##V3_BDPV12</stp>
        <stp>US298785FT86 Corp</stp>
        <stp>CPN_FREQ</stp>
        <stp>[portefeuille USD.xlsm]SSA!R60C27_x0000_R</stp>
        <tr r="AA60" s="16"/>
      </tp>
      <tp t="e">
        <v>#N/A</v>
        <stp/>
        <stp>##V3_BDPV12</stp>
        <stp>US298785FN17 Corp</stp>
        <stp>CPN_FREQ</stp>
        <stp>[portefeuille USD.xlsm]SSA!R70C27_x0000_R</stp>
        <tr r="AA70" s="16"/>
      </tp>
      <tp t="e">
        <v>#N/A</v>
        <stp/>
        <stp>##V3_BDPV12</stp>
        <stp>EJ095994 Corp Corp</stp>
        <stp>PENULTIMATE_CPN_DT</stp>
        <stp>[portefeuille USD.xlsm]SSA!R130C24_x0000_2</stp>
        <tr r="X130" s="16"/>
      </tp>
      <tp t="e">
        <v>#N/A</v>
        <stp/>
        <stp>##V3_BDPV12</stp>
        <stp>US298785DV50 Corp</stp>
        <stp>MATURITY</stp>
        <stp>[portefeuille USD.xlsm]SSA!R86C25_x0000_R</stp>
        <tr r="Y86" s="16"/>
      </tp>
      <tp t="e">
        <v>#N/A</v>
        <stp/>
        <stp>##V3_BDPV12</stp>
        <stp>XS0771920856 Corp</stp>
        <stp>YLD_YTM_ASK</stp>
        <stp>[portefeuille USD.xlsm]SSA!R92C8_x0000__x0000_</stp>
        <tr r="H92" s="16"/>
      </tp>
      <tp t="e">
        <v>#N/A</v>
        <stp/>
        <stp>##V3_BDPV12</stp>
        <stp>EI133522 Corp Corp</stp>
        <stp>CPN</stp>
        <stp>[portefeuille USD.xlsm]SSA!R138C26_x0000_2</stp>
        <tr r="Z138" s="16"/>
      </tp>
      <tp t="e">
        <v>#N/A</v>
        <stp/>
        <stp>##V3_BDPV12</stp>
        <stp>US912795Y967 Govt</stp>
        <stp>YLD_YTM_ASK</stp>
        <stp>[portefeuille USD.xlsm]treasuries!R14C8_x0000__x0000_</stp>
        <tr r="H14" s="13"/>
      </tp>
      <tp t="e">
        <v>#N/A</v>
        <stp/>
        <stp>##V3_BDPV12</stp>
        <stp>XS0540029807 Corp</stp>
        <stp>DAY_CNT_DES</stp>
        <stp>[portefeuille USD.xlsm]SSA!R8C29_x0000_3</stp>
        <tr r="AC8" s="16"/>
      </tp>
      <tp t="e">
        <v>#N/A</v>
        <stp/>
        <stp>##V3_BDPV12</stp>
        <stp>XS0546234450 Corp</stp>
        <stp>MATURITY</stp>
        <stp>[portefeuille USD.xlsm]SSA!R19C25_x0000__x0000_</stp>
        <tr r="Y19" s="16"/>
      </tp>
      <tp t="e">
        <v>#N/A</v>
        <stp/>
        <stp>##V3_BDPV12</stp>
        <stp>XS0558939269 Corp</stp>
        <stp>MATURITY</stp>
        <stp>[portefeuille USD.xlsm]SSA!R80C25_x0000_R</stp>
        <tr r="Y80" s="16"/>
      </tp>
      <tp t="e">
        <v>#N/A</v>
        <stp/>
        <stp>##V3_BDPV12</stp>
        <stp>XS0579811489 Corp</stp>
        <stp>CPN_FREQ</stp>
        <stp>[portefeuille USD.xlsm]SSA!R20C27_x0000__x0000_</stp>
        <tr r="AA20" s="16"/>
      </tp>
      <tp t="e">
        <v>#N/A</v>
        <stp/>
        <stp>##V3_BDPV12</stp>
        <stp>XS0540029807 Corp</stp>
        <stp>MATURITY</stp>
        <stp>[portefeuille USD.xlsm]SSA!R8C25_x0000_2</stp>
        <tr r="Y8" s="16"/>
      </tp>
      <tp t="e">
        <v>#N/A</v>
        <stp/>
        <stp>##V3_BDPV12</stp>
        <stp>US298785FS04 Corp</stp>
        <stp>AMT_OUTSTANDING</stp>
        <stp>[portefeuille USD.xlsm]SSA!R73C28_x0000_R</stp>
        <tr r="AB73" s="16"/>
      </tp>
      <tp t="e">
        <v>#N/A</v>
        <stp/>
        <stp>##V3_BDPV12</stp>
        <stp>XS0558939269 Corp</stp>
        <stp>ISSUE_DT</stp>
        <stp>[portefeuille USD.xlsm]SSA!R80C21_x0000_R</stp>
        <tr r="U80" s="16"/>
      </tp>
      <tp t="e">
        <v>#N/A</v>
        <stp/>
        <stp>##V3_BDPV12</stp>
        <stp>US298785EA05 Corp</stp>
        <stp>AMT_OUTSTANDING</stp>
        <stp>[portefeuille USD.xlsm]SSA!R76C28_x0000_R</stp>
        <tr r="AB76" s="16"/>
      </tp>
      <tp t="e">
        <v>#N/A</v>
        <stp/>
        <stp>##V3_BDPV12</stp>
        <stp>US912828PL87 Govt</stp>
        <stp>SECURITY_DES</stp>
        <stp>[portefeuille USD.xlsm]treasuries!R88C2_x0000_5</stp>
        <tr r="B88" s="13"/>
      </tp>
      <tp t="e">
        <v>#N/A</v>
        <stp/>
        <stp>##V3_BDPV12</stp>
        <stp>XS0546234450 Corp</stp>
        <stp>ISSUE_DT</stp>
        <stp>[portefeuille USD.xlsm]SSA!R19C21_x0000__x0000_</stp>
        <tr r="U19" s="16"/>
      </tp>
      <tp t="e">
        <v>#N/A</v>
        <stp/>
        <stp>##V3_BDPV12</stp>
        <stp>US912828QL78 Govt</stp>
        <stp>SECURITY_DES</stp>
        <stp>[portefeuille USD.xlsm]treasuries!R57C2_x0000__x0000_</stp>
        <tr r="B57" s="13"/>
      </tp>
      <tp t="e">
        <v>#N/A</v>
        <stp/>
        <stp>##V3_BDPV12</stp>
        <stp>US912828SL50 Govt</stp>
        <stp>SECURITY_DES</stp>
        <stp>[portefeuille USD.xlsm]treasuries!R99C2_x0000_7</stp>
        <tr r="B99" s="13"/>
      </tp>
      <tp t="e">
        <v>#N/A</v>
        <stp/>
        <stp>##V3_BDPV12</stp>
        <stp>ED607736 Corp Govt</stp>
        <stp>SECURITY_DES</stp>
        <stp>[portefeuille USD.xlsm]SSA!R36C2_x0000__x0000_</stp>
        <tr r="B36" s="16"/>
      </tp>
      <tp t="e">
        <v>#N/A</v>
        <stp/>
        <stp>##V3_BDPV12</stp>
        <stp>XS0477425283 Corp</stp>
        <stp>AMT_OUTSTANDING</stp>
        <stp>[portefeuille USD.xlsm]SSA!R14C28_x0000__x0000_</stp>
        <tr r="AB14" s="16"/>
      </tp>
      <tp t="e">
        <v>#N/A</v>
        <stp/>
        <stp>##V3_BDPV12</stp>
        <stp>FR0010941732 Corp</stp>
        <stp>CPN_FREQ</stp>
        <stp>[portefeuille USD.xlsm]SSA!R96C27_x0000__x0000_</stp>
        <tr r="AA96" s="16"/>
      </tp>
      <tp t="e">
        <v>#N/A</v>
        <stp/>
        <stp>##V3_BDPV12</stp>
        <stp>US9127955C19 Govt</stp>
        <stp>SECURITY_DES</stp>
        <stp>[portefeuille USD.xlsm]treasuries!R21C2_x0000__x0000_</stp>
        <tr r="B21" s="13"/>
      </tp>
      <tp t="e">
        <v>#N/A</v>
        <stp/>
        <stp>##V3_BDPV12</stp>
        <stp>XS0205179483 Corp</stp>
        <stp>AMT_OUTSTANDING</stp>
        <stp>[portefeuille USD.xlsm]SSA!R41C28_x0000_R</stp>
        <tr r="AB41" s="16"/>
      </tp>
      <tp t="e">
        <v>#N/A</v>
        <stp/>
        <stp>##V3_BDPV12</stp>
        <stp>US298785ER30 Corp</stp>
        <stp>AMT_OUTSTANDING</stp>
        <stp>[portefeuille USD.xlsm]SSA!R48C28_x0000_R</stp>
        <tr r="AB48" s="16"/>
      </tp>
      <tp t="e">
        <v>#N/A</v>
        <stp/>
        <stp>##V3_BDPV12</stp>
        <stp>US298785FR21 Corp</stp>
        <stp>AMT_OUTSTANDING</stp>
        <stp>[portefeuille USD.xlsm]SSA!R58C28_x0000_R</stp>
        <tr r="AB58" s="16"/>
      </tp>
      <tp t="e">
        <v>#N/A</v>
        <stp/>
        <stp>##V3_BDPV12</stp>
        <stp>US9127956C00 Govt</stp>
        <stp>SECURITY_DES</stp>
        <stp>[portefeuille USD.xlsm]treasuries!R15C2_x0000__x0000_</stp>
        <tr r="B15" s="13"/>
      </tp>
      <tp t="e">
        <v>#N/A</v>
        <stp/>
        <stp>##V3_BDPV12</stp>
        <stp>XS0270250136 Corp</stp>
        <stp>CPN_FREQ</stp>
        <stp>[portefeuille USD.xlsm]SSA!R115C27_x0000__x0000_</stp>
        <tr r="AA115" s="16"/>
      </tp>
      <tp t="e">
        <v>#N/A</v>
        <stp/>
        <stp>##V3_BDPV12</stp>
        <stp>XS0610555681 Corp</stp>
        <stp>CPN_FREQ</stp>
        <stp>[portefeuille USD.xlsm]SSA!R123C27_x0000__x0000_</stp>
        <tr r="AA123" s="16"/>
      </tp>
      <tp t="e">
        <v>#N/A</v>
        <stp/>
        <stp>##V3_BDPV12</stp>
        <stp>XS0490844718 Corp</stp>
        <stp>MATURITY</stp>
        <stp>[portefeuille USD.xlsm]SSA!R127C25_x0000__x0000_</stp>
        <tr r="Y127" s="16"/>
      </tp>
      <tp t="e">
        <v>#N/A</v>
        <stp/>
        <stp>##V3_BDPV12</stp>
        <stp>XS0576210289 Corp</stp>
        <stp>CPN_FREQ</stp>
        <stp>[portefeuille USD.xlsm]SSA!R116C27_x0000__x0000_</stp>
        <tr r="AA116" s="16"/>
      </tp>
      <tp t="e">
        <v>#N/A</v>
        <stp/>
        <stp>##V3_BDPV12</stp>
        <stp>US298785FD35 Corp</stp>
        <stp>CPN_FREQ</stp>
        <stp>[portefeuille USD.xlsm]SSA!R62C27_x0000_R</stp>
        <tr r="AA62" s="16"/>
      </tp>
      <tp t="e">
        <v>#N/A</v>
        <stp/>
        <stp>##V3_BDPV12</stp>
        <stp>US298785FS04 Corp</stp>
        <stp>CPN_FREQ</stp>
        <stp>[portefeuille USD.xlsm]SSA!R73C27_x0000_R</stp>
        <tr r="AA73" s="16"/>
      </tp>
      <tp t="e">
        <v>#N/A</v>
        <stp/>
        <stp>##V3_BDPV12</stp>
        <stp>US298785FG65 Corp</stp>
        <stp>CPN_FREQ</stp>
        <stp>[portefeuille USD.xlsm]SSA!R65C27_x0000_R</stp>
        <tr r="AA65" s="16"/>
      </tp>
      <tp t="e">
        <v>#N/A</v>
        <stp/>
        <stp>##V3_BDPV12</stp>
        <stp>US298785FJ05 Corp</stp>
        <stp>CPN_FREQ</stp>
        <stp>[portefeuille USD.xlsm]SSA!R66C27_x0000_R</stp>
        <tr r="AA66" s="16"/>
      </tp>
      <tp t="e">
        <v>#N/A</v>
        <stp/>
        <stp>##V3_BDPV12</stp>
        <stp>EI791877 Corp Corp</stp>
        <stp>PENULTIMATE_CPN_DT</stp>
        <stp>[portefeuille USD.xlsm]SSA!R137C24_x0000_2</stp>
        <tr r="X137" s="16"/>
      </tp>
      <tp t="e">
        <v>#N/A</v>
        <stp/>
        <stp>##V3_BDPV12</stp>
        <stp>US298785EG74 Corp</stp>
        <stp>CPN_FREQ</stp>
        <stp>[portefeuille USD.xlsm]SSA!R78C27_x0000_R</stp>
        <tr r="AA78" s="16"/>
      </tp>
      <tp t="e">
        <v>#N/A</v>
        <stp/>
        <stp>##V3_BDPV12</stp>
        <stp>XS0287792914 Corp</stp>
        <stp>PENULTIMATE_CPN_DT</stp>
        <stp>[portefeuille USD.xlsm]SSA!R54C24_x0000_R</stp>
        <tr r="X54" s="16"/>
      </tp>
      <tp t="e">
        <v>#N/A</v>
        <stp/>
        <stp>##V3_BDPV12</stp>
        <stp>FR0010945279 Corp</stp>
        <stp>PENULTIMATE_CPN_DT</stp>
        <stp>[portefeuille USD.xlsm]SSA!R89C24_x0000__x0000_</stp>
        <tr r="X89" s="16"/>
      </tp>
      <tp t="e">
        <v>#N/A</v>
        <stp/>
        <stp>##V3_BDPV12</stp>
        <stp>FR0011018332 Corp</stp>
        <stp>PENULTIMATE_CPN_DT</stp>
        <stp>[portefeuille USD.xlsm]SSA!R87C24_x0000__x0000_</stp>
        <tr r="X87" s="16"/>
      </tp>
      <tp t="e">
        <v>#N/A</v>
        <stp/>
        <stp>##V3_BDPV12</stp>
        <stp>XS0749451398 Corp</stp>
        <stp>YLD_YTM_ASK</stp>
        <stp>[portefeuille USD.xlsm]SSA!R99C8_x0000_!</stp>
        <tr r="H99" s="16"/>
      </tp>
      <tp t="e">
        <v>#N/A</v>
        <stp/>
        <stp>##V3_BDPV12</stp>
        <stp>XS0558939269 Corp</stp>
        <stp>YLD_YTM_BID</stp>
        <stp>[portefeuille USD.xlsm]SSA!R80C8_x0000__x0000_</stp>
        <tr r="H80" s="16"/>
      </tp>
      <tp t="e">
        <v>#N/A</v>
        <stp/>
        <stp>##V3_BDPV12</stp>
        <stp>FR0010956565 Corp</stp>
        <stp>INT_ACC_DT</stp>
        <stp>[portefeuille USD.xlsm]SSA!R90C22_x0000__x0000_</stp>
        <tr r="V90" s="16"/>
      </tp>
      <tp t="e">
        <v>#N/A</v>
        <stp/>
        <stp>##V3_BDPV12</stp>
        <stp>XS0547845205 Corp</stp>
        <stp>INT_ACC_DT</stp>
        <stp>[portefeuille USD.xlsm]SSA!R81C22_x0000_R</stp>
        <tr r="V81" s="16"/>
      </tp>
      <tp t="e">
        <v>#N/A</v>
        <stp/>
        <stp>##V3_BDPV12</stp>
        <stp>XS0468848253 Corp</stp>
        <stp>INT_ACC_DT</stp>
        <stp>[portefeuille USD.xlsm]SSA!R74C22_x0000_R</stp>
        <tr r="V74" s="16"/>
      </tp>
      <tp t="e">
        <v>#N/A</v>
        <stp/>
        <stp>##V3_BDPV12</stp>
        <stp>EI697819 Corp Corp</stp>
        <stp>CPN</stp>
        <stp>[portefeuille USD.xlsm]SSA!R141C26_x0000_2</stp>
        <tr r="Z141" s="16"/>
      </tp>
      <tp t="e">
        <v>#N/A</v>
        <stp/>
        <stp>##V3_BDPV12</stp>
        <stp>FR0010862581 Corp</stp>
        <stp>INT_ACC_DT</stp>
        <stp>[portefeuille USD.xlsm]SSA!R97C22_x0000__x0000_</stp>
        <tr r="V97" s="16"/>
      </tp>
      <tp t="e">
        <v>#N/A</v>
        <stp/>
        <stp>##V3_BDPV12</stp>
        <stp>XS0468848253 Corp</stp>
        <stp>YLD_YTM_BID</stp>
        <stp>[portefeuille USD.xlsm]SSA!R74C8_x0000__x0000_</stp>
        <tr r="H74" s="16"/>
      </tp>
      <tp t="e">
        <v>#N/A</v>
        <stp/>
        <stp>##V3_BDPV12</stp>
        <stp>XS0252479497 Corp</stp>
        <stp>MATURITY</stp>
        <stp>[portefeuille USD.xlsm]SSA!R45C25_x0000_R</stp>
        <tr r="Y45" s="16"/>
      </tp>
      <tp t="e">
        <v>#N/A</v>
        <stp/>
        <stp>##V3_BDPV12</stp>
        <stp>XS0742416380 Corp</stp>
        <stp>CPN_FREQ</stp>
        <stp>[portefeuille USD.xlsm]SSA!R82C27_x0000_R</stp>
        <tr r="AA82" s="16"/>
      </tp>
      <tp t="e">
        <v>#N/A</v>
        <stp/>
        <stp>##V3_BDPV12</stp>
        <stp>US298785FN17 Corp</stp>
        <stp>AMT_OUTSTANDING</stp>
        <stp>[portefeuille USD.xlsm]SSA!R70C28_x0000_R</stp>
        <tr r="AB70" s="16"/>
      </tp>
      <tp t="e">
        <v>#N/A</v>
        <stp/>
        <stp>##V3_BDPV12</stp>
        <stp>EH539714 Corp Govt</stp>
        <stp>SECURITY_DES</stp>
        <stp>[portefeuille USD.xlsm]SSA!R34C2_x0000__x0000_</stp>
        <tr r="B34" s="16"/>
      </tp>
      <tp t="e">
        <v>#N/A</v>
        <stp/>
        <stp>##V3_BDPV12</stp>
        <stp>US298785EN26 Corp</stp>
        <stp>AMT_OUTSTANDING</stp>
        <stp>[portefeuille USD.xlsm]SSA!R44C28_x0000_R</stp>
        <tr r="AB44" s="16"/>
      </tp>
      <tp t="e">
        <v>#N/A</v>
        <stp/>
        <stp>##V3_BDPV12</stp>
        <stp>US912828HM52 Govt</stp>
        <stp>SECURITY_DES</stp>
        <stp>[portefeuille USD.xlsm]treasuries!R43C2_x0000_3</stp>
        <tr r="B43" s="13"/>
      </tp>
      <tp t="e">
        <v>#N/A</v>
        <stp/>
        <stp>##V3_BDPV12</stp>
        <stp>US298785FJ05 Corp</stp>
        <stp>AMT_OUTSTANDING</stp>
        <stp>[portefeuille USD.xlsm]SSA!R66C28_x0000_R</stp>
        <tr r="AB66" s="16"/>
      </tp>
      <tp t="e">
        <v>#N/A</v>
        <stp/>
        <stp>##V3_BDPV12</stp>
        <stp>US298785CX26 Corp</stp>
        <stp>AMT_OUTSTANDING</stp>
        <stp>[portefeuille USD.xlsm]SSA!R46C28_x0000_R</stp>
        <tr r="AB46" s="16"/>
      </tp>
      <tp t="e">
        <v>#N/A</v>
        <stp/>
        <stp>##V3_BDPV12</stp>
        <stp>XS0252479497 Corp</stp>
        <stp>ISSUE_DT</stp>
        <stp>[portefeuille USD.xlsm]SSA!R45C21_x0000_R</stp>
        <tr r="U45" s="16"/>
      </tp>
      <tp t="e">
        <v>#N/A</v>
        <stp/>
        <stp>##V3_BDPV12</stp>
        <stp>US912828LM07 Govt</stp>
        <stp>SECURITY_DES</stp>
        <stp>[portefeuille USD.xlsm]treasuries!R20C2_x0000__x0000_</stp>
        <tr r="B20" s="13"/>
      </tp>
      <tp t="e">
        <v>#N/A</v>
        <stp/>
        <stp>##V3_BDPV12</stp>
        <stp>US298785FW16 Corp</stp>
        <stp>AMT_OUTSTANDING</stp>
        <stp>[portefeuille USD.xlsm]SSA!R79C28_x0000_R</stp>
        <tr r="AB79" s="16"/>
      </tp>
      <tp t="e">
        <v>#N/A</v>
        <stp/>
        <stp>##V3_BDPV12</stp>
        <stp>FR0010862581 Corp</stp>
        <stp>CPN_FREQ</stp>
        <stp>[portefeuille USD.xlsm]SSA!R97C27_x0000__x0000_</stp>
        <tr r="AA97" s="16"/>
      </tp>
      <tp t="e">
        <v>#N/A</v>
        <stp/>
        <stp>##V3_BDPV12</stp>
        <stp>US298785EZ55 Corp</stp>
        <stp>AMT_OUTSTANDING</stp>
        <stp>[portefeuille USD.xlsm]SSA!R39C28_x0000_R</stp>
        <tr r="AB39" s="16"/>
      </tp>
      <tp t="e">
        <v>#N/A</v>
        <stp/>
        <stp>##V3_BDPV12</stp>
        <stp>US9127956B27 Govt</stp>
        <stp>SECURITY_DES</stp>
        <stp>[portefeuille USD.xlsm]treasuries!R13C2_x0000__x0000_</stp>
        <tr r="B13" s="13"/>
      </tp>
      <tp t="e">
        <v>#N/A</v>
        <stp/>
        <stp>##V3_BDPV12</stp>
        <stp>US912828JM35 Govt</stp>
        <stp>SECURITY_DES</stp>
        <stp>[portefeuille USD.xlsm]treasuries!R80C2_x0000_8</stp>
        <tr r="B80" s="13"/>
      </tp>
      <tp t="e">
        <v>#N/A</v>
        <stp/>
        <stp>##V3_BDPV12</stp>
        <stp>FR0011012731 Corp</stp>
        <stp>ISSUE_DT</stp>
        <stp>[portefeuille USD.xlsm]SSA!R104C21_x0000__x0000_</stp>
        <tr r="U104" s="16"/>
      </tp>
      <tp t="e">
        <v>#N/A</v>
        <stp/>
        <stp>##V3_BDPV12</stp>
        <stp>XS0521024132 Corp</stp>
        <stp>CPN_FREQ</stp>
        <stp>[portefeuille USD.xlsm]SSA!R118C27_x0000__x0000_</stp>
        <tr r="AA118" s="16"/>
      </tp>
      <tp t="e">
        <v>#N/A</v>
        <stp/>
        <stp>##V3_BDPV12</stp>
        <stp>US298785EK86 Corp</stp>
        <stp>CPN_FREQ</stp>
        <stp>[portefeuille USD.xlsm]SSA!R43C27_x0000_R</stp>
        <tr r="AA43" s="16"/>
      </tp>
      <tp t="e">
        <v>#N/A</v>
        <stp/>
        <stp>##V3_BDPV12</stp>
        <stp>US298785CX26 Corp</stp>
        <stp>CPN_FREQ</stp>
        <stp>[portefeuille USD.xlsm]SSA!R46C27_x0000_R</stp>
        <tr r="AA46" s="16"/>
      </tp>
      <tp t="e">
        <v>#N/A</v>
        <stp/>
        <stp>##V3_BDPV12</stp>
        <stp>US298785EA05 Corp</stp>
        <stp>CPN_FREQ</stp>
        <stp>[portefeuille USD.xlsm]SSA!R76C27_x0000_R</stp>
        <tr r="AA76" s="16"/>
      </tp>
      <tp t="e">
        <v>#N/A</v>
        <stp/>
        <stp>##V3_BDPV12</stp>
        <stp>US298785EN26 Corp</stp>
        <stp>CPN_FREQ</stp>
        <stp>[portefeuille USD.xlsm]SSA!R44C27_x0000_R</stp>
        <tr r="AA44" s="16"/>
      </tp>
      <tp t="e">
        <v>#N/A</v>
        <stp/>
        <stp>##V3_BDPV12</stp>
        <stp>EI472618 Corp Corp</stp>
        <stp>PENULTIMATE_CPN_DT</stp>
        <stp>[portefeuille USD.xlsm]SSA!R139C24_x0000_2</stp>
        <tr r="X139" s="16"/>
      </tp>
      <tp t="e">
        <v>#N/A</v>
        <stp/>
        <stp>##V3_BDPV12</stp>
        <stp>FR0010875302 Corp</stp>
        <stp>PENULTIMATE_CPN_DT</stp>
        <stp>[portefeuille USD.xlsm]SSA!R88C24_x0000__x0000_</stp>
        <tr r="X88" s="16"/>
      </tp>
      <tp t="e">
        <v>#N/A</v>
        <stp/>
        <stp>##V3_BDPV12</stp>
        <stp>EF501708 Corp Corp</stp>
        <stp>CPN</stp>
        <stp>[portefeuille USD.xlsm]SSA!R135C26_x0000_2</stp>
        <tr r="Z135" s="16"/>
      </tp>
      <tp t="e">
        <v>#N/A</v>
        <stp/>
        <stp>##V3_BDPV12</stp>
        <stp>EI791877 Corp Corp</stp>
        <stp>CPN</stp>
        <stp>[portefeuille USD.xlsm]SSA!R137C26_x0000_2</stp>
        <tr r="Z137" s="16"/>
      </tp>
      <tp t="e">
        <v>#N/A</v>
        <stp/>
        <stp>##V3_BDPV12</stp>
        <stp>FR0010394452 Corp</stp>
        <stp>INT_ACC_DT</stp>
        <stp>[portefeuille USD.xlsm]SSA!R93C22_x0000__x0000_</stp>
        <tr r="V93" s="16"/>
      </tp>
      <tp t="e">
        <v>#N/A</v>
        <stp/>
        <stp>##V3_BDPV12</stp>
        <stp>EI791385 Corp Corp</stp>
        <stp>CPN</stp>
        <stp>[portefeuille USD.xlsm]SSA!R131C26_x0000_2</stp>
        <tr r="Z131" s="16"/>
      </tp>
      <tp t="e">
        <v>#N/A</v>
        <stp/>
        <stp>##V3_BDPV12</stp>
        <stp>XS0506368363 Corp</stp>
        <stp>MATURITY</stp>
        <stp>[portefeuille USD.xlsm]SSA!R18C25_x0000__x0000_</stp>
        <tr r="Y18" s="16"/>
      </tp>
      <tp t="e">
        <v>#N/A</v>
        <stp/>
        <stp>##V3_BDPV12</stp>
        <stp>XS0540029807 Corp</stp>
        <stp>PENULTIMATE_CPN_DT</stp>
        <stp>[portefeuille USD.xlsm]SSA!R8C24_x0000__x0000_</stp>
        <tr r="X8" s="16"/>
      </tp>
      <tp t="e">
        <v>#N/A</v>
        <stp/>
        <stp>##V3_BDPV12</stp>
        <stp>XS0458548921 Corp</stp>
        <stp>PENULTIMATE_CPN_DT</stp>
        <stp>[portefeuille USD.xlsm]SSA!R2C24_x0000_4</stp>
        <tr r="X2" s="16"/>
      </tp>
      <tp t="e">
        <v>#N/A</v>
        <stp/>
        <stp>##V3_BDPV12</stp>
        <stp>EI839783 Corp Govt</stp>
        <stp>SECURITY_DES</stp>
        <stp>[portefeuille USD.xlsm]SSA!R22C2_x0000__x0000_</stp>
        <tr r="B22" s="16"/>
      </tp>
      <tp t="e">
        <v>#N/A</v>
        <stp/>
        <stp>##V3_BDPV12</stp>
        <stp>US298785FC51 Corp</stp>
        <stp>AMT_OUTSTANDING</stp>
        <stp>[portefeuille USD.xlsm]SSA!R42C28_x0000_R</stp>
        <tr r="AB42" s="16"/>
      </tp>
      <tp t="e">
        <v>#N/A</v>
        <stp/>
        <stp>##V3_BDPV12</stp>
        <stp>US298785EV42 Corp</stp>
        <stp>AMT_OUTSTANDING</stp>
        <stp>[portefeuille USD.xlsm]SSA!R52C28_x0000_R</stp>
        <tr r="AB52" s="16"/>
      </tp>
      <tp t="e">
        <v>#N/A</v>
        <stp/>
        <stp>##V3_BDPV12</stp>
        <stp>US298785FK77 Corp</stp>
        <stp>AMT_OUTSTANDING</stp>
        <stp>[portefeuille USD.xlsm]SSA!R69C28_x0000_R</stp>
        <tr r="AB69" s="16"/>
      </tp>
      <tp t="e">
        <v>#N/A</v>
        <stp/>
        <stp>##V3_BDPV12</stp>
        <stp>US298785DU77 Corp</stp>
        <stp>AMT_OUTSTANDING</stp>
        <stp>[portefeuille USD.xlsm]SSA!R68C28_x0000_R</stp>
        <tr r="AB68" s="16"/>
      </tp>
      <tp t="e">
        <v>#N/A</v>
        <stp/>
        <stp>##V3_BDPV12</stp>
        <stp>FR0010956565 Corp</stp>
        <stp>CPN_FREQ</stp>
        <stp>[portefeuille USD.xlsm]SSA!R90C27_x0000__x0000_</stp>
        <tr r="AA90" s="16"/>
      </tp>
      <tp t="e">
        <v>#N/A</v>
        <stp/>
        <stp>##V3_BDPV12</stp>
        <stp>US9127956E65 Govt</stp>
        <stp>SECURITY_DES</stp>
        <stp>[portefeuille USD.xlsm]treasuries!R54C2_x0000_4</stp>
        <tr r="B54" s="13"/>
      </tp>
      <tp t="e">
        <v>#N/A</v>
        <stp/>
        <stp>##V3_BDPV12</stp>
        <stp>US912828AJ96 Govt</stp>
        <stp>SECURITY_DES</stp>
        <stp>[portefeuille USD.xlsm]treasuries!R11C2_x0000_8</stp>
        <tr r="B11" s="13"/>
      </tp>
      <tp t="e">
        <v>#N/A</v>
        <stp/>
        <stp>##V3_BDPV12</stp>
        <stp>FR0011018332 Corp</stp>
        <stp>AMT_OUTSTANDING</stp>
        <stp>[portefeuille USD.xlsm]SSA!R87C28_x0000__x0000_</stp>
        <tr r="AB87" s="16"/>
      </tp>
      <tp t="e">
        <v>#N/A</v>
        <stp/>
        <stp>##V3_BDPV12</stp>
        <stp>US298785FB78 Corp</stp>
        <stp>AMT_OUTSTANDING</stp>
        <stp>[portefeuille USD.xlsm]SSA!R61C28_x0000_R</stp>
        <tr r="AB61" s="16"/>
      </tp>
      <tp t="e">
        <v>#N/A</v>
        <stp/>
        <stp>##V3_BDPV12</stp>
        <stp>XS0506368363 Corp</stp>
        <stp>ISSUE_DT</stp>
        <stp>[portefeuille USD.xlsm]SSA!R18C21_x0000__x0000_</stp>
        <tr r="U18" s="16"/>
      </tp>
      <tp t="e">
        <v>#N/A</v>
        <stp/>
        <stp>##V3_BDPV12</stp>
        <stp>US63983TAA34 Corp</stp>
        <stp>MATURITY</stp>
        <stp>[portefeuille USD.xlsm]SSA!R3C25_x0000_5</stp>
        <tr r="Y3" s="16"/>
      </tp>
      <tp t="e">
        <v>#N/A</v>
        <stp/>
        <stp>##V3_BDPV12</stp>
        <stp>FR0010775239 Corp</stp>
        <stp>ISSUE_DT</stp>
        <stp>[portefeuille USD.xlsm]SSA!R103C21_x0000__x0000_</stp>
        <tr r="U103" s="16"/>
      </tp>
      <tp t="e">
        <v>#N/A</v>
        <stp/>
        <stp>##V3_BDPV12</stp>
        <stp>FR0010815332 Corp</stp>
        <stp>ISSUE_DT</stp>
        <stp>[portefeuille USD.xlsm]SSA!R100C21_x0000__x0000_</stp>
        <tr r="U100" s="16"/>
      </tp>
      <tp t="e">
        <v>#N/A</v>
        <stp/>
        <stp>##V3_BDPV12</stp>
        <stp>FR0010925446 Corp</stp>
        <stp>ISSUE_DT</stp>
        <stp>[portefeuille USD.xlsm]SSA!R107C21_x0000__x0000_</stp>
        <tr r="U107" s="16"/>
      </tp>
      <tp t="e">
        <v>#N/A</v>
        <stp/>
        <stp>##V3_BDPV12</stp>
        <stp>US298785EX08 Corp</stp>
        <stp>ISSUE_DT</stp>
        <stp>[portefeuille USD.xlsm]SSA!R53C21_x0000_R</stp>
        <tr r="U53" s="16"/>
      </tp>
      <tp t="e">
        <v>#N/A</v>
        <stp/>
        <stp>##V3_BDPV12</stp>
        <stp>XS0562102615 Corp</stp>
        <stp>CPN_FREQ</stp>
        <stp>[portefeuille USD.xlsm]SSA!R145C27_x0000__x0000_</stp>
        <tr r="AA145" s="16"/>
      </tp>
      <tp t="e">
        <v>#N/A</v>
        <stp/>
        <stp>##V3_BDPV12</stp>
        <stp>US298785FL50 Corp</stp>
        <stp>CPN_FREQ</stp>
        <stp>[portefeuille USD.xlsm]SSA!R51C27_x0000_R</stp>
        <tr r="AA51" s="16"/>
      </tp>
      <tp t="e">
        <v>#N/A</v>
        <stp/>
        <stp>##V3_BDPV12</stp>
        <stp>US298785FC51 Corp</stp>
        <stp>CPN_FREQ</stp>
        <stp>[portefeuille USD.xlsm]SSA!R42C27_x0000_R</stp>
        <tr r="AA42" s="16"/>
      </tp>
      <tp t="e">
        <v>#N/A</v>
        <stp/>
        <stp>##V3_BDPV12</stp>
        <stp>US298785FV33 Corp</stp>
        <stp>CPN_FREQ</stp>
        <stp>[portefeuille USD.xlsm]SSA!R63C27_x0000_R</stp>
        <tr r="AA63" s="16"/>
      </tp>
      <tp t="e">
        <v>#N/A</v>
        <stp/>
        <stp>##V3_BDPV12</stp>
        <stp>US298785EY80 Corp</stp>
        <stp>CPN_FREQ</stp>
        <stp>[portefeuille USD.xlsm]SSA!R57C27_x0000_R</stp>
        <tr r="AA57" s="16"/>
      </tp>
      <tp t="e">
        <v>#N/A</v>
        <stp/>
        <stp>##V3_BDPV12</stp>
        <stp>EF501708 Corp Corp</stp>
        <stp>PENULTIMATE_CPN_DT</stp>
        <stp>[portefeuille USD.xlsm]SSA!R135C24_x0000_2</stp>
        <tr r="X135" s="16"/>
      </tp>
      <tp t="e">
        <v>#N/A</v>
        <stp/>
        <stp>##V3_BDPV12</stp>
        <stp>US298785EX08 Corp</stp>
        <stp>MATURITY</stp>
        <stp>[portefeuille USD.xlsm]SSA!R53C25_x0000_R</stp>
        <tr r="Y53" s="16"/>
      </tp>
      <tp t="e">
        <v>#N/A</v>
        <stp/>
        <stp>##V3_BDPV12</stp>
        <stp>XS0547845205 Corp</stp>
        <stp>PENULTIMATE_CPN_DT</stp>
        <stp>[portefeuille USD.xlsm]SSA!R81C24_x0000_R</stp>
        <tr r="X81" s="16"/>
      </tp>
      <tp t="e">
        <v>#N/A</v>
        <stp/>
        <stp>##V3_BDPV12</stp>
        <stp>XS0468848253 Corp</stp>
        <stp>PENULTIMATE_CPN_DT</stp>
        <stp>[portefeuille USD.xlsm]SSA!R74C24_x0000_R</stp>
        <tr r="X74" s="16"/>
      </tp>
      <tp t="e">
        <v>#N/A</v>
        <stp/>
        <stp>##V3_BDPV12</stp>
        <stp>FR0010956565 Corp</stp>
        <stp>PENULTIMATE_CPN_DT</stp>
        <stp>[portefeuille USD.xlsm]SSA!R90C24_x0000__x0000_</stp>
        <tr r="X90" s="16"/>
      </tp>
      <tp t="e">
        <v>#N/A</v>
        <stp/>
        <stp>##V3_BDPV12</stp>
        <stp>FR0010862581 Corp</stp>
        <stp>PENULTIMATE_CPN_DT</stp>
        <stp>[portefeuille USD.xlsm]SSA!R97C24_x0000__x0000_</stp>
        <tr r="X97" s="16"/>
      </tp>
      <tp t="e">
        <v>#N/A</v>
        <stp/>
        <stp>##V3_BDPV12</stp>
        <stp>FR0011018332 Corp</stp>
        <stp>INT_ACC_DT</stp>
        <stp>[portefeuille USD.xlsm]SSA!R87C22_x0000__x0000_</stp>
        <tr r="V87" s="16"/>
      </tp>
      <tp t="e">
        <v>#N/A</v>
        <stp/>
        <stp>##V3_BDPV12</stp>
        <stp>FR0010945279 Corp</stp>
        <stp>INT_ACC_DT</stp>
        <stp>[portefeuille USD.xlsm]SSA!R89C22_x0000__x0000_</stp>
        <tr r="V89" s="16"/>
      </tp>
      <tp t="e">
        <v>#N/A</v>
        <stp/>
        <stp>##V3_BDPV12</stp>
        <stp>XS0287792914 Corp</stp>
        <stp>INT_ACC_DT</stp>
        <stp>[portefeuille USD.xlsm]SSA!R54C22_x0000_R</stp>
        <tr r="V54" s="16"/>
      </tp>
      <tp t="e">
        <v>#N/A</v>
        <stp/>
        <stp>##V3_BDPV12</stp>
        <stp>EH531108 Corp Corp</stp>
        <stp>CPN</stp>
        <stp>[portefeuille USD.xlsm]SSA!R143C26_x0000_2</stp>
        <tr r="Z143" s="16"/>
      </tp>
      <tp t="e">
        <v>#N/A</v>
        <stp/>
        <stp>##V3_BDPV12</stp>
        <stp>XS0458548921 Corp</stp>
        <stp>MATURITY</stp>
        <stp>[portefeuille USD.xlsm]SSA!R2C25_x0000__x0000_</stp>
        <tr r="Y2" s="16"/>
      </tp>
      <tp t="e">
        <v>#N/A</v>
        <stp/>
        <stp>##V3_BDPV12</stp>
        <stp>XS0743901026 Corp</stp>
        <stp>MATURITY</stp>
        <stp>[portefeuille USD.xlsm]SSA!R17C25_x0000__x0000_</stp>
        <tr r="Y17" s="16"/>
      </tp>
      <tp t="e">
        <v>#N/A</v>
        <stp/>
        <stp>##V3_BDPV12</stp>
        <stp>US298785DD52 Corp</stp>
        <stp>AMT_OUTSTANDING</stp>
        <stp>[portefeuille USD.xlsm]SSA!R56C28_x0000_R</stp>
        <tr r="AB56" s="16"/>
      </tp>
      <tp t="e">
        <v>#N/A</v>
        <stp/>
        <stp>##V3_BDPV12</stp>
        <stp>US912828JK78 Govt</stp>
        <stp>SECURITY_DES</stp>
        <stp>[portefeuille USD.xlsm]treasuries!R76C2_x0000_7</stp>
        <tr r="B76" s="13"/>
      </tp>
      <tp t="e">
        <v>#N/A</v>
        <stp/>
        <stp>##V3_BDPV12</stp>
        <stp>US298785FG65 Corp</stp>
        <stp>AMT_OUTSTANDING</stp>
        <stp>[portefeuille USD.xlsm]SSA!R65C28_x0000_R</stp>
        <tr r="AB65" s="16"/>
      </tp>
      <tp t="e">
        <v>#N/A</v>
        <stp/>
        <stp>##V3_BDPV12</stp>
        <stp>US298785FL50 Corp</stp>
        <stp>AMT_OUTSTANDING</stp>
        <stp>[portefeuille USD.xlsm]SSA!R51C28_x0000_R</stp>
        <tr r="AB51" s="16"/>
      </tp>
      <tp t="e">
        <v>#N/A</v>
        <stp/>
        <stp>##V3_BDPV12</stp>
        <stp>US912828QK95 Govt</stp>
        <stp>SECURITY_DES</stp>
        <stp>[portefeuille USD.xlsm]treasuries!R52C2_x0000_2</stp>
        <tr r="B52" s="13"/>
      </tp>
      <tp t="e">
        <v>#N/A</v>
        <stp/>
        <stp>##V3_BDPV12</stp>
        <stp>EH967487 Corp Govt</stp>
        <stp>SECURITY_DES</stp>
        <stp>[portefeuille USD.xlsm]SSA!R31C2_x0000__x0000_</stp>
        <tr r="B31" s="16"/>
      </tp>
      <tp t="e">
        <v>#N/A</v>
        <stp/>
        <stp>##V3_BDPV12</stp>
        <stp>US298785EG74 Corp</stp>
        <stp>AMT_OUTSTANDING</stp>
        <stp>[portefeuille USD.xlsm]SSA!R78C28_x0000_R</stp>
        <tr r="AB78" s="16"/>
      </tp>
      <tp t="e">
        <v>#N/A</v>
        <stp/>
        <stp>##V3_BDPV12</stp>
        <stp>US912828RK86 Govt</stp>
        <stp>SECURITY_DES</stp>
        <stp>[portefeuille USD.xlsm]treasuries!R79C2_x0000__x0000_</stp>
        <tr r="B79" s="13"/>
      </tp>
      <tp t="e">
        <v>#N/A</v>
        <stp/>
        <stp>##V3_BDPV12</stp>
        <stp>XS0743901026 Corp</stp>
        <stp>AMT_OUTSTANDING</stp>
        <stp>[portefeuille USD.xlsm]SSA!R17C28_x0000__x0000_</stp>
        <tr r="AB17" s="16"/>
      </tp>
      <tp t="e">
        <v>#N/A</v>
        <stp/>
        <stp>##V3_BDPV12</stp>
        <stp>XS0743901026 Corp</stp>
        <stp>ISSUE_DT</stp>
        <stp>[portefeuille USD.xlsm]SSA!R17C21_x0000__x0000_</stp>
        <tr r="U17" s="16"/>
      </tp>
      <tp t="e">
        <v>#N/A</v>
        <stp/>
        <stp>##V3_BDPV12</stp>
        <stp>XS0468848253 Corp</stp>
        <stp>AMT_OUTSTANDING</stp>
        <stp>[portefeuille USD.xlsm]SSA!R74C28_x0000_R</stp>
        <tr r="AB74" s="16"/>
      </tp>
      <tp t="e">
        <v>#N/A</v>
        <stp/>
        <stp>##V3_BDPV12</stp>
        <stp>US912828HK96 Govt</stp>
        <stp>SECURITY_DES</stp>
        <stp>[portefeuille USD.xlsm]treasuries!R39C2_x0000__x0000_</stp>
        <tr r="B39" s="13"/>
      </tp>
      <tp t="e">
        <v>#N/A</v>
        <stp/>
        <stp>##V3_BDPV12</stp>
        <stp>US12802DAC02 Corp</stp>
        <stp>AMT_OUTSTANDING</stp>
        <stp>[portefeuille USD.xlsm]SSA!R98C28_x0000__x0000_</stp>
        <tr r="AB98" s="16"/>
      </tp>
      <tp t="e">
        <v>#N/A</v>
        <stp/>
        <stp>##V3_BDPV12</stp>
        <stp>US298785FM34 Corp</stp>
        <stp>ISSUE_DT</stp>
        <stp>[portefeuille USD.xlsm]SSA!R85C21_x0000_R</stp>
        <tr r="U85" s="16"/>
      </tp>
      <tp t="e">
        <v>#N/A</v>
        <stp/>
        <stp>##V3_BDPV12</stp>
        <stp>US298785FE18 Corp</stp>
        <stp>ISSUE_DT</stp>
        <stp>[portefeuille USD.xlsm]SSA!R47C21_x0000_R</stp>
        <tr r="U47" s="16"/>
      </tp>
      <tp t="e">
        <v>#N/A</v>
        <stp/>
        <stp>##V3_BDPV12</stp>
        <stp>US298785FR21 Corp</stp>
        <stp>CPN_FREQ</stp>
        <stp>[portefeuille USD.xlsm]SSA!R58C27_x0000_R</stp>
        <tr r="AA58" s="16"/>
      </tp>
      <tp t="e">
        <v>#N/A</v>
        <stp/>
        <stp>##V3_BDPV12</stp>
        <stp>US298785ER30 Corp</stp>
        <stp>CPN_FREQ</stp>
        <stp>[portefeuille USD.xlsm]SSA!R48C27_x0000_R</stp>
        <tr r="AA48" s="16"/>
      </tp>
      <tp t="e">
        <v>#N/A</v>
        <stp/>
        <stp>##V3_BDPV12</stp>
        <stp>US29878TBU79 Corp</stp>
        <stp>AMT_OUTSTANDING</stp>
        <stp>[portefeuille USD.xlsm]SSA!R75C28_x0000_R</stp>
        <tr r="AB75" s="16"/>
      </tp>
      <tp t="e">
        <v>#N/A</v>
        <stp/>
        <stp>##V3_BDPV12</stp>
        <stp>US298785FE18 Corp</stp>
        <stp>MATURITY</stp>
        <stp>[portefeuille USD.xlsm]SSA!R47C25_x0000_R</stp>
        <tr r="Y47" s="16"/>
      </tp>
      <tp t="e">
        <v>#N/A</v>
        <stp/>
        <stp>##V3_BDPV12</stp>
        <stp>EI265078 Corp Corp</stp>
        <stp>PENULTIMATE_CPN_DT</stp>
        <stp>[portefeuille USD.xlsm]SSA!R144C24_x0000_2</stp>
        <tr r="X144" s="16"/>
      </tp>
      <tp t="e">
        <v>#N/A</v>
        <stp/>
        <stp>##V3_BDPV12</stp>
        <stp>US298785FM34 Corp</stp>
        <stp>MATURITY</stp>
        <stp>[portefeuille USD.xlsm]SSA!R85C25_x0000_R</stp>
        <tr r="Y85" s="16"/>
      </tp>
      <tp t="e">
        <v>#N/A</v>
        <stp/>
        <stp>##V3_BDPV12</stp>
        <stp>XS0540029807 Govt</stp>
        <stp>SECURITY_DES</stp>
        <stp>[portefeuille USD.xlsm]SSA!R8C2_x0000__x0000_</stp>
        <tr r="B8" s="16"/>
      </tp>
      <tp t="e">
        <v>#N/A</v>
        <stp/>
        <stp>##V3_BDPV12</stp>
        <stp>FR0010394452 Corp</stp>
        <stp>PENULTIMATE_CPN_DT</stp>
        <stp>[portefeuille USD.xlsm]SSA!R93C24_x0000__x0000_</stp>
        <tr r="X93" s="16"/>
      </tp>
      <tp t="e">
        <v>#N/A</v>
        <stp/>
        <stp>##V3_BDPV12</stp>
        <stp>XS0579811489 Corp</stp>
        <stp>YLD_YTM_BID</stp>
        <stp>[portefeuille USD.xlsm]SSA!R20C8_x0000_1</stp>
        <tr r="H20" s="16"/>
      </tp>
      <tp t="e">
        <v>#N/A</v>
        <stp/>
        <stp>##V3_BDPV12</stp>
        <stp>ED650463 Corp Corp</stp>
        <stp>CPN</stp>
        <stp>[portefeuille USD.xlsm]SSA!R140C26_x0000_2</stp>
        <tr r="Z140" s="16"/>
      </tp>
      <tp t="e">
        <v>#N/A</v>
        <stp/>
        <stp>##V3_BDPV12</stp>
        <stp>FR0010875302 Corp</stp>
        <stp>INT_ACC_DT</stp>
        <stp>[portefeuille USD.xlsm]SSA!R88C22_x0000__x0000_</stp>
        <tr r="V88" s="16"/>
      </tp>
      <tp t="e">
        <v>#N/A</v>
        <stp/>
        <stp>##V3_BDPV12</stp>
        <stp>XS0749451398 Corp</stp>
        <stp>MATURITY</stp>
        <stp>[portefeuille USD.xlsm]SSA!R99C25_x0000__x0000_</stp>
        <tr r="Y99" s="16"/>
      </tp>
      <tp t="e">
        <v>#N/A</v>
        <stp/>
        <stp>##V3_BDPV12</stp>
        <stp>XS0322956490 Corp</stp>
        <stp>MATURITY</stp>
        <stp>[portefeuille USD.xlsm]SSA!R59C25_x0000_R</stp>
        <tr r="Y59" s="16"/>
      </tp>
      <tp t="e">
        <v>#N/A</v>
        <stp/>
        <stp>##V3_BDPV12</stp>
        <stp>XS0271449000 Corp</stp>
        <stp>MATURITY</stp>
        <stp>[portefeuille USD.xlsm]SSA!R50C25_x0000_R</stp>
        <tr r="Y50" s="16"/>
      </tp>
      <tp t="e">
        <v>#N/A</v>
        <stp/>
        <stp>##V3_BDPV12</stp>
        <stp>US912828BH22 Govt</stp>
        <stp>SECURITY_DES</stp>
        <stp>[portefeuille USD.xlsm]treasuries!R75C2_x0000__x0000_</stp>
        <tr r="B75" s="13"/>
      </tp>
      <tp t="e">
        <v>#N/A</v>
        <stp/>
        <stp>##V3_BDPV12</stp>
        <stp>XS0271449000 Corp</stp>
        <stp>ISSUE_DT</stp>
        <stp>[portefeuille USD.xlsm]SSA!R50C21_x0000_R</stp>
        <tr r="U50" s="16"/>
      </tp>
      <tp t="e">
        <v>#N/A</v>
        <stp/>
        <stp>##V3_BDPV12</stp>
        <stp>XS0322956490 Corp</stp>
        <stp>ISSUE_DT</stp>
        <stp>[portefeuille USD.xlsm]SSA!R59C21_x0000_R</stp>
        <tr r="U59" s="16"/>
      </tp>
      <tp t="e">
        <v>#N/A</v>
        <stp/>
        <stp>##V3_BDPV12</stp>
        <stp>XS0749451398 Corp</stp>
        <stp>ISSUE_DT</stp>
        <stp>[portefeuille USD.xlsm]SSA!R99C21_x0000__x0000_</stp>
        <tr r="U99" s="16"/>
      </tp>
      <tp t="e">
        <v>#N/A</v>
        <stp/>
        <stp>##V3_BDPV12</stp>
        <stp>FR0011018332 Corp</stp>
        <stp>CPN_FREQ</stp>
        <stp>[portefeuille USD.xlsm]SSA!R87C27_x0000__x0000_</stp>
        <tr r="AA87" s="16"/>
      </tp>
      <tp t="e">
        <v>#N/A</v>
        <stp/>
        <stp>##V3_BDPV12</stp>
        <stp>US912828PH75 Govt</stp>
        <stp>SECURITY_DES</stp>
        <stp>[portefeuille USD.xlsm]treasuries!R16C2_x0000_8</stp>
        <tr r="B16" s="13"/>
      </tp>
      <tp t="e">
        <v>#N/A</v>
        <stp/>
        <stp>##V3_BDPV12</stp>
        <stp>US912828LH12 Govt</stp>
        <stp>SECURITY_DES</stp>
        <stp>[portefeuille USD.xlsm]treasuries!R12C2_x0000_3</stp>
        <tr r="B12" s="13"/>
      </tp>
      <tp t="e">
        <v>#N/A</v>
        <stp/>
        <stp>##V3_BDPV12</stp>
        <stp>US912828LB42 Corp</stp>
        <stp>FIRST_CPN_DT</stp>
        <stp>[portefeuille USD.xlsm]treasuries!R4C24_x0000_7</stp>
        <tr r="X4" s="13"/>
      </tp>
      <tp t="e">
        <v>#N/A</v>
        <stp/>
        <stp>##V3_BDPV12</stp>
        <stp>US298785FP64 Corp</stp>
        <stp>AMT_OUTSTANDING</stp>
        <stp>[portefeuille USD.xlsm]SSA!R55C28_x0000_R</stp>
        <tr r="AB55" s="16"/>
      </tp>
      <tp t="e">
        <v>#N/A</v>
        <stp/>
        <stp>##V3_BDPV12</stp>
        <stp>FR0010862581 Corp</stp>
        <stp>AMT_OUTSTANDING</stp>
        <stp>[portefeuille USD.xlsm]SSA!R97C28_x0000__x0000_</stp>
        <tr r="AB97" s="16"/>
      </tp>
      <tp t="e">
        <v>#N/A</v>
        <stp/>
        <stp>##V3_BDPV12</stp>
        <stp>US912828NH93 Govt</stp>
        <stp>SECURITY_DES</stp>
        <stp>[portefeuille USD.xlsm]treasuries!R68C2_x0000__x0000_</stp>
        <tr r="B68" s="13"/>
      </tp>
      <tp t="e">
        <v>#N/A</v>
        <stp/>
        <stp>##V3_BDPV12</stp>
        <stp>US912828QH66 Govt</stp>
        <stp>SECURITY_DES</stp>
        <stp>[portefeuille USD.xlsm]treasuries!R94C2_x0000_8</stp>
        <tr r="B94" s="13"/>
      </tp>
      <tp t="e">
        <v>#N/A</v>
        <stp/>
        <stp>##V3_BDPV12</stp>
        <stp>US912828LB42 Govt</stp>
        <stp>YLD_YTM_ASK</stp>
        <stp>[portefeuille USD.xlsm]treasuries!R4C8_x0000_8</stp>
        <tr r="H4" s="13"/>
      </tp>
      <tp t="e">
        <v>#N/A</v>
        <stp/>
        <stp>##V3_BDPV12</stp>
        <stp>XS0252479497 Corp</stp>
        <stp>AMT_OUTSTANDING</stp>
        <stp>[portefeuille USD.xlsm]SSA!R45C28_x0000_R</stp>
        <tr r="AB45" s="16"/>
      </tp>
      <tp t="e">
        <v>#N/A</v>
        <stp/>
        <stp>##V3_BDPV12</stp>
        <stp>US912828NQ92 Govt</stp>
        <stp>YLD_YTM_ASK</stp>
        <stp>[portefeuille USD.xlsm]treasuries!R7C8_x0000_8</stp>
        <tr r="H7" s="13"/>
      </tp>
      <tp t="e">
        <v>#N/A</v>
        <stp/>
        <stp>##V3_BDPV12</stp>
        <stp>US9127956G14 Govt</stp>
        <stp>SECURITY_DES</stp>
        <stp>[portefeuille USD.xlsm]treasuries!R18C2_x0000__x0000_</stp>
        <tr r="B18" s="13"/>
      </tp>
      <tp t="e">
        <v>#N/A</v>
        <stp/>
        <stp>##V3_BDPV12</stp>
        <stp>US9127955G23 Govt</stp>
        <stp>SECURITY_DES</stp>
        <stp>[portefeuille USD.xlsm]treasuries!R28C2_x0000__x0000_</stp>
        <tr r="B28" s="13"/>
      </tp>
      <tp t="e">
        <v>#N/A</v>
        <stp/>
        <stp>##V3_BDPV12</stp>
        <stp>US298785FQ48 Corp</stp>
        <stp>AMT_OUTSTANDING</stp>
        <stp>[portefeuille USD.xlsm]SSA!R71C28_x0000_R</stp>
        <tr r="AB71" s="16"/>
      </tp>
      <tp t="e">
        <v>#N/A</v>
        <stp/>
        <stp>##V3_BDPV12</stp>
        <stp>XS0477137813 Corp</stp>
        <stp>CPN_FREQ</stp>
        <stp>[portefeuille USD.xlsm]SSA!R120C27_x0000__x0000_</stp>
        <tr r="AA120" s="16"/>
      </tp>
      <tp t="e">
        <v>#N/A</v>
        <stp/>
        <stp>##V3_BDPV12</stp>
        <stp>XS0172157876 Corp</stp>
        <stp>CPN_FREQ</stp>
        <stp>[portefeuille USD.xlsm]SSA!R125C27_x0000__x0000_</stp>
        <tr r="AA125" s="16"/>
      </tp>
      <tp t="e">
        <v>#N/A</v>
        <stp/>
        <stp>##V3_BDPV12</stp>
        <stp>FR0010776674 Corp</stp>
        <stp>ISSUE_DT</stp>
        <stp>[portefeuille USD.xlsm]SSA!R112C21_x0000__x0000_</stp>
        <tr r="U112" s="16"/>
      </tp>
      <tp t="e">
        <v>#N/A</v>
        <stp/>
        <stp>##V3_BDPV12</stp>
        <stp>XS0284982922 Corp</stp>
        <stp>MATURITY</stp>
        <stp>[portefeuille USD.xlsm]SSA!R114C25_x0000__x0000_</stp>
        <tr r="Y114" s="16"/>
      </tp>
      <tp t="e">
        <v>#N/A</v>
        <stp/>
        <stp>##V3_BDPV12</stp>
        <stp>US298785DR49 Corp</stp>
        <stp>ISSUE_DT</stp>
        <stp>[portefeuille USD.xlsm]SSA!R67C21_x0000_R</stp>
        <tr r="U67" s="16"/>
      </tp>
      <tp t="e">
        <v>#N/A</v>
        <stp/>
        <stp>##V3_BDPV12</stp>
        <stp>XS0300990529 Corp</stp>
        <stp>CPN_FREQ</stp>
        <stp>[portefeuille USD.xlsm]SSA!R122C27_x0000__x0000_</stp>
        <tr r="AA122" s="16"/>
      </tp>
      <tp t="e">
        <v>#N/A</v>
        <stp/>
        <stp>##V3_BDPV12</stp>
        <stp>US298785FQ48 Corp</stp>
        <stp>ISSUE_DT</stp>
        <stp>[portefeuille USD.xlsm]SSA!R71C21_x0000_R</stp>
        <tr r="U71" s="16"/>
      </tp>
      <tp t="e">
        <v>#N/A</v>
        <stp/>
        <stp>##V3_BDPV12</stp>
        <stp>XS0353485492 Corp</stp>
        <stp>CPN_FREQ</stp>
        <stp>[portefeuille USD.xlsm]SSA!R126C27_x0000__x0000_</stp>
        <tr r="AA126" s="16"/>
      </tp>
      <tp t="e">
        <v>#N/A</v>
        <stp/>
        <stp>##V3_BDPV12</stp>
        <stp>US298785EV42 Corp</stp>
        <stp>CPN_FREQ</stp>
        <stp>[portefeuille USD.xlsm]SSA!R52C27_x0000_R</stp>
        <tr r="AA52" s="16"/>
      </tp>
      <tp t="e">
        <v>#N/A</v>
        <stp/>
        <stp>##V3_BDPV12</stp>
        <stp>US298785DD52 Corp</stp>
        <stp>CPN_FREQ</stp>
        <stp>[portefeuille USD.xlsm]SSA!R56C27_x0000_R</stp>
        <tr r="AA56" s="16"/>
      </tp>
      <tp t="e">
        <v>#N/A</v>
        <stp/>
        <stp>##V3_BDPV12</stp>
        <stp>US298785FQ48 Corp</stp>
        <stp>MATURITY</stp>
        <stp>[portefeuille USD.xlsm]SSA!R71C25_x0000_R</stp>
        <tr r="Y71" s="16"/>
      </tp>
      <tp t="e">
        <v>#N/A</v>
        <stp/>
        <stp>##V3_BDPV12</stp>
        <stp>US298785DR49 Corp</stp>
        <stp>MATURITY</stp>
        <stp>[portefeuille USD.xlsm]SSA!R67C25_x0000_R</stp>
        <tr r="Y67" s="16"/>
      </tp>
      <tp t="e">
        <v>#N/A</v>
        <stp/>
        <stp>##V3_BDPV12</stp>
        <stp>FR0010941732 Corp</stp>
        <stp>PENULTIMATE_CPN_DT</stp>
        <stp>[portefeuille USD.xlsm]SSA!R96C24_x0000__x0000_</stp>
        <tr r="X96" s="16"/>
      </tp>
      <tp t="e">
        <v>#N/A</v>
        <stp/>
        <stp>##V3_BDPV12</stp>
        <stp>XS0579811489 Corp</stp>
        <stp>PENULTIMATE_CPN_DT</stp>
        <stp>[portefeuille USD.xlsm]SSA!R20C24_x0000__x0000_</stp>
        <tr r="X20" s="16"/>
      </tp>
      <tp t="e">
        <v>#N/A</v>
        <stp/>
        <stp>##V3_BDPV12</stp>
        <stp>XS0742416380 Corp</stp>
        <stp>INT_ACC_DT</stp>
        <stp>[portefeuille USD.xlsm]SSA!R82C22_x0000_R</stp>
        <tr r="V82" s="16"/>
      </tp>
      <tp t="e">
        <v>#N/A</v>
        <stp/>
        <stp>##V3_BDPV12</stp>
        <stp>XS0287792914 Corp</stp>
        <stp>YLD_YTM_BID</stp>
        <stp>[portefeuille USD.xlsm]SSA!R54C8_x0000__x0000_</stp>
        <tr r="H54" s="16"/>
      </tp>
      <tp t="e">
        <v>#N/A</v>
        <stp/>
        <stp>##V3_BDPV12</stp>
        <stp>EG524914 Corp Corp</stp>
        <stp>CPN</stp>
        <stp>[portefeuille USD.xlsm]SSA!R133C26_x0000_2</stp>
        <tr r="Z133" s="16"/>
      </tp>
      <tp t="e">
        <v>#N/A</v>
        <stp/>
        <stp>##V3_BDPV12</stp>
        <stp>EI954150 Corp Corp</stp>
        <stp>CPN</stp>
        <stp>[portefeuille USD.xlsm]SSA!R134C26_x0000_2</stp>
        <tr r="Z134" s="16"/>
      </tp>
      <tp t="e">
        <v>#N/A</v>
        <stp/>
        <stp>##V3_BDPV12</stp>
        <stp>XS0460002859 Corp</stp>
        <stp>INT_ACC_DT</stp>
        <stp>[portefeuille USD.xlsm]SSA!R16C22_x0000__x0000_</stp>
        <tr r="V16" s="16"/>
      </tp>
      <tp t="e">
        <v>#N/A</v>
        <stp/>
        <stp>##V3_BDPV12</stp>
        <stp>XS0311512957 Corp</stp>
        <stp>INT_ACC_DT</stp>
        <stp>[portefeuille USD.xlsm]SSA!R13C22_x0000__x0000_</stp>
        <tr r="V13" s="16"/>
      </tp>
      <tp t="e">
        <v>#N/A</v>
        <stp/>
        <stp>##V3_BDPV12</stp>
        <stp>XS0540029807 Corp</stp>
        <stp>CPN</stp>
        <stp>[portefeuille USD.xlsm]SSA!R8C26_x0000_3</stp>
        <tr r="Z8" s="16"/>
      </tp>
      <tp t="e">
        <v>#N/A</v>
        <stp/>
        <stp>##V3_BDPV12</stp>
        <stp>XS0205179483 Corp</stp>
        <stp>MATURITY</stp>
        <stp>[portefeuille USD.xlsm]SSA!R41C25_x0000_R</stp>
        <tr r="Y41" s="16"/>
      </tp>
      <tp t="e">
        <v>#N/A</v>
        <stp/>
        <stp>##V3_BDPV12</stp>
        <stp>XS0771920856 Corp</stp>
        <stp>CPN_FREQ</stp>
        <stp>[portefeuille USD.xlsm]SSA!R92C27_x0000__x0000_</stp>
        <tr r="AA92" s="16"/>
      </tp>
      <tp t="e">
        <v>#N/A</v>
        <stp/>
        <stp>##V3_BDPV12</stp>
        <stp>FR0010394452 Corp</stp>
        <stp>ISSUE_DT</stp>
        <stp>[portefeuille USD.xlsm]SSA!R93C21_x0000__x0000_</stp>
        <tr r="U93" s="16"/>
      </tp>
      <tp t="e">
        <v>#N/A</v>
        <stp/>
        <stp>##V3_BDPV12</stp>
        <stp>XS0287792914 Corp</stp>
        <stp>CPN_FREQ</stp>
        <stp>[portefeuille USD.xlsm]SSA!R54C27_x0000_R</stp>
        <tr r="AA54" s="16"/>
      </tp>
      <tp t="e">
        <v>#N/A</v>
        <stp/>
        <stp>##V3_BDPV12</stp>
        <stp>FR0010394452 Corp</stp>
        <stp>MATURITY</stp>
        <stp>[portefeuille USD.xlsm]SSA!R93C25_x0000__x0000_</stp>
        <tr r="Y93" s="16"/>
      </tp>
      <tp t="e">
        <v>#N/A</v>
        <stp/>
        <stp>##V3_BDPV12</stp>
        <stp>XS0205179483 Corp</stp>
        <stp>ISSUE_DT</stp>
        <stp>[portefeuille USD.xlsm]SSA!R41C21_x0000_R</stp>
        <tr r="U41" s="16"/>
      </tp>
      <tp t="e">
        <v>#N/A</v>
        <stp/>
        <stp>##V3_BDPV12</stp>
        <stp>US298785FU59 Corp</stp>
        <stp>AMT_OUTSTANDING</stp>
        <stp>[portefeuille USD.xlsm]SSA!R77C28_x0000_R</stp>
        <tr r="AB77" s="16"/>
      </tp>
      <tp t="e">
        <v>#N/A</v>
        <stp/>
        <stp>##V3_BDPV12</stp>
        <stp>US298785DR49 Corp</stp>
        <stp>AMT_OUTSTANDING</stp>
        <stp>[portefeuille USD.xlsm]SSA!R67C28_x0000_R</stp>
        <tr r="AB67" s="16"/>
      </tp>
      <tp t="e">
        <v>#N/A</v>
        <stp/>
        <stp>##V3_BDPV12</stp>
        <stp>US9127956F31 Govt</stp>
        <stp>SECURITY_DES</stp>
        <stp>[portefeuille USD.xlsm]treasuries!R58C2_x0000_2</stp>
        <tr r="B58" s="13"/>
      </tp>
      <tp t="e">
        <v>#N/A</v>
        <stp/>
        <stp>##V3_BDPV12</stp>
        <stp>FR0010827246 Corp</stp>
        <stp>ISSUE_DT</stp>
        <stp>[portefeuille USD.xlsm]SSA!R110C21_x0000__x0000_</stp>
        <tr r="U110" s="16"/>
      </tp>
      <tp t="e">
        <v>#N/A</v>
        <stp/>
        <stp>##V3_BDPV12</stp>
        <stp>US63983UAA07 Corp</stp>
        <stp>MATURITY</stp>
        <stp>[portefeuille USD.xlsm]SSA!R4C25_x0000_1</stp>
        <tr r="Y4" s="16"/>
      </tp>
      <tp t="e">
        <v>#N/A</v>
        <stp/>
        <stp>##V3_BDPV12</stp>
        <stp>XS0760314103 Corp</stp>
        <stp>CPN_FREQ</stp>
        <stp>[portefeuille USD.xlsm]SSA!R119C27_x0000__x0000_</stp>
        <tr r="AA119" s="16"/>
      </tp>
      <tp t="e">
        <v>#N/A</v>
        <stp/>
        <stp>##V3_BDPV12</stp>
        <stp>XS0561837013 Corp</stp>
        <stp>CPN_FREQ</stp>
        <stp>[portefeuille USD.xlsm]SSA!R128C27_x0000__x0000_</stp>
        <tr r="AA128" s="16"/>
      </tp>
      <tp t="e">
        <v>#N/A</v>
        <stp/>
        <stp>##V3_BDPV12</stp>
        <stp>XS0451654189 Corp</stp>
        <stp>CPN_FREQ</stp>
        <stp>[portefeuille USD.xlsm]SSA!R129C27_x0000__x0000_</stp>
        <tr r="AA129" s="16"/>
      </tp>
      <tp t="e">
        <v>#N/A</v>
        <stp/>
        <stp>##V3_BDPV12</stp>
        <stp>FR0010306340 Corp</stp>
        <stp>ISSUE_DT</stp>
        <stp>[portefeuille USD.xlsm]SSA!R109C21_x0000__x0000_</stp>
        <tr r="U109" s="16"/>
      </tp>
      <tp t="e">
        <v>#N/A</v>
        <stp/>
        <stp>##V3_BDPV12</stp>
        <stp>US298785FU59 Corp</stp>
        <stp>ISSUE_DT</stp>
        <stp>[portefeuille USD.xlsm]SSA!R77C21_x0000_R</stp>
        <tr r="U77" s="16"/>
      </tp>
      <tp t="e">
        <v>#N/A</v>
        <stp/>
        <stp>##V3_BDPV12</stp>
        <stp>US12802NAA28 Corp</stp>
        <stp>AMT_OUTSTANDING</stp>
        <stp>[portefeuille USD.xlsm]SSA!R95C28_x0000__x0000_</stp>
        <tr r="AB95" s="16"/>
      </tp>
      <tp t="e">
        <v>#N/A</v>
        <stp/>
        <stp>##V3_BDPV12</stp>
        <stp>XS0592582653 Corp</stp>
        <stp>MATURITY</stp>
        <stp>[portefeuille USD.xlsm]SSA!R113C25_x0000__x0000_</stp>
        <tr r="Y113" s="16"/>
      </tp>
      <tp t="e">
        <v>#N/A</v>
        <stp/>
        <stp>##V3_BDPV12</stp>
        <stp>US298785DY99 Corp</stp>
        <stp>ISSUE_DT</stp>
        <stp>[portefeuille USD.xlsm]SSA!R72C21_x0000_R</stp>
        <tr r="U72" s="16"/>
      </tp>
      <tp t="e">
        <v>#N/A</v>
        <stp/>
        <stp>##V3_BDPV12</stp>
        <stp>FR0010606442 Corp</stp>
        <stp>ISSUE_DT</stp>
        <stp>[portefeuille USD.xlsm]SSA!R108C21_x0000__x0000_</stp>
        <tr r="U108" s="16"/>
      </tp>
      <tp t="e">
        <v>#N/A</v>
        <stp/>
        <stp>##V3_BDPV12</stp>
        <stp>US298785FB78 Corp</stp>
        <stp>ISSUE_DT</stp>
        <stp>[portefeuille USD.xlsm]SSA!R61C21_x0000_R</stp>
        <tr r="U61" s="16"/>
      </tp>
      <tp t="e">
        <v>#N/A</v>
        <stp/>
        <stp>##V3_BDPV12</stp>
        <stp>US298785FF82 Corp</stp>
        <stp>CPN_FREQ</stp>
        <stp>[portefeuille USD.xlsm]SSA!R49C27_x0000_R</stp>
        <tr r="AA49" s="16"/>
      </tp>
      <tp t="e">
        <v>#N/A</v>
        <stp/>
        <stp>##V3_BDPV12</stp>
        <stp>US298785EZ55 Corp</stp>
        <stp>CPN_FREQ</stp>
        <stp>[portefeuille USD.xlsm]SSA!R39C27_x0000_R</stp>
        <tr r="AA39" s="16"/>
      </tp>
      <tp t="e">
        <v>#N/A</v>
        <stp/>
        <stp>##V3_BDPV12</stp>
        <stp>US298785FB78 Corp</stp>
        <stp>MATURITY</stp>
        <stp>[portefeuille USD.xlsm]SSA!R61C25_x0000_R</stp>
        <tr r="Y61" s="16"/>
      </tp>
      <tp t="e">
        <v>#N/A</v>
        <stp/>
        <stp>##V3_BDPV12</stp>
        <stp>US298785DY99 Corp</stp>
        <stp>MATURITY</stp>
        <stp>[portefeuille USD.xlsm]SSA!R72C25_x0000_R</stp>
        <tr r="Y72" s="16"/>
      </tp>
      <tp t="e">
        <v>#N/A</v>
        <stp/>
        <stp>##V3_BDPV12</stp>
        <stp>US298785FU59 Corp</stp>
        <stp>MATURITY</stp>
        <stp>[portefeuille USD.xlsm]SSA!R77C25_x0000_R</stp>
        <tr r="Y77" s="16"/>
      </tp>
      <tp t="e">
        <v>#N/A</v>
        <stp/>
        <stp>##V3_BDPV12</stp>
        <stp>EJ095994 Corp Corp</stp>
        <stp>CPN</stp>
        <stp>[portefeuille USD.xlsm]SSA!R130C26_x0000_2</stp>
        <tr r="Z130" s="16"/>
      </tp>
      <tp t="e">
        <v>#N/A</v>
        <stp/>
        <stp>##V3_BDPV12</stp>
        <stp>EI575402 Corp Corp</stp>
        <stp>CPN</stp>
        <stp>[portefeuille USD.xlsm]SSA!R136C26_x0000_2</stp>
        <tr r="Z136" s="16"/>
      </tp>
      <tp t="e">
        <v>#N/A</v>
        <stp/>
        <stp>##V3_BDPV12</stp>
        <stp>EI355035 Corp Corp</stp>
        <stp>CPN</stp>
        <stp>[portefeuille USD.xlsm]SSA!R132C26_x0000_2</stp>
        <tr r="Z132" s="16"/>
      </tp>
      <tp t="e">
        <v>#N/A</v>
        <stp/>
        <stp>##V3_BDPV12</stp>
        <stp>US912828PL87 Govt</stp>
        <stp>YLD_YTM_ASK</stp>
        <stp>[portefeuille USD.xlsm]treasuries!R88C8_x0000__x0000_</stp>
        <tr r="H88" s="13"/>
      </tp>
      <tp t="e">
        <v>#N/A</v>
        <stp/>
        <stp>##V3_BDPV12</stp>
        <stp>US912828PD61 Govt</stp>
        <stp>YLD_YTM_ASK</stp>
        <stp>[portefeuille USD.xlsm]treasuries!R31C8_x0000__x0000_</stp>
        <tr r="H31" s="13"/>
      </tp>
      <tp t="e">
        <v>#N/A</v>
        <stp/>
        <stp>##V3_BDPV12</stp>
        <stp>US912828PH75 Govt</stp>
        <stp>YLD_YTM_ASK</stp>
        <stp>[portefeuille USD.xlsm]treasuries!R16C8_x0000__x0000_</stp>
        <tr r="H16" s="13"/>
      </tp>
      <tp t="e">
        <v>#N/A</v>
        <stp/>
        <stp>##V3_BDPV12</stp>
        <stp>US912828PB06 Govt</stp>
        <stp>YLD_YTM_ASK</stp>
        <stp>[portefeuille USD.xlsm]treasuries!R81C8_x0000__x0000_</stp>
        <tr r="H81" s="13"/>
      </tp>
      <tp t="e">
        <v>#N/A</v>
        <stp/>
        <stp>##V3_BDPV12</stp>
        <stp>US912828PR57 Govt</stp>
        <stp>YLD_YTM_ASK</stp>
        <stp>[portefeuille USD.xlsm]treasuries!R47C8_x0000__x0000_</stp>
        <tr r="H47" s="13"/>
      </tp>
      <tp t="e">
        <v>#N/A</v>
        <stp/>
        <stp>##V3_BDPV12</stp>
        <stp>US912828PV69 Govt</stp>
        <stp>YLD_YTM_ASK</stp>
        <stp>[portefeuille USD.xlsm]treasuries!R40C8_x0000__x0000_</stp>
        <tr r="H40" s="13"/>
      </tp>
      <tp t="e">
        <v>#N/A</v>
        <stp/>
        <stp>##V3_BDPV12</stp>
        <stp>US912828PZ73 Govt</stp>
        <stp>YLD_YTM_ASK</stp>
        <stp>[portefeuille USD.xlsm]treasuries!R98C8_x0000__x0000_</stp>
        <tr r="H98" s="13"/>
      </tp>
      <tp t="e">
        <v>#N/A</v>
        <stp/>
        <stp>##V3_BDPV12</stp>
        <stp>US912828PW43 Govt</stp>
        <stp>YLD_YTM_ASK</stp>
        <stp>[portefeuille USD.xlsm]treasuries!R44C8_x0000__x0000_</stp>
        <tr r="H44" s="13"/>
      </tp>
      <tp t="e">
        <v>#N/A</v>
        <stp/>
        <stp>##V3_BDPV12</stp>
        <stp>US912828PU86 Govt</stp>
        <stp>YLD_YTM_ASK</stp>
        <stp>[portefeuille USD.xlsm]treasuries!R84C8_x0000__x0000_</stp>
        <tr r="H84" s="13"/>
      </tp>
      <tp t="e">
        <v>#N/A</v>
        <stp/>
        <stp>##V3_BDPV12</stp>
        <stp>US912828PQ74 Govt</stp>
        <stp>YLD_YTM_ASK</stp>
        <stp>[portefeuille USD.xlsm]treasuries!R91C8_x0000__x0000_</stp>
        <tr r="H91" s="13"/>
      </tp>
      <tp t="e">
        <v>#N/A</v>
        <stp/>
        <stp>##V3_BDPV12</stp>
        <stp>XS0347750365 Corp</stp>
        <stp>CPN_FREQ</stp>
        <stp>[portefeuille USD.xlsm]SSA!R64C27_x0000_R</stp>
        <tr r="AA64" s="16"/>
      </tp>
      <tp t="e">
        <v>#N/A</v>
        <stp/>
        <stp>##V3_BDPV12</stp>
        <stp>FR0010875302 Corp</stp>
        <stp>ISSUE_DT</stp>
        <stp>[portefeuille USD.xlsm]SSA!R88C21_x0000__x0000_</stp>
        <tr r="U88" s="16"/>
      </tp>
      <tp t="e">
        <v>#N/A</v>
        <stp/>
        <stp>##V3_BDPV12</stp>
        <stp>US298785DV50 Corp</stp>
        <stp>AMT_OUTSTANDING</stp>
        <stp>[portefeuille USD.xlsm]SSA!R86C28_x0000_R</stp>
        <tr r="AB86" s="16"/>
      </tp>
      <tp t="e">
        <v>#N/A</v>
        <stp/>
        <stp>##V3_BDPV12</stp>
        <stp>FR0010945279 Corp</stp>
        <stp>CPN_FREQ</stp>
        <stp>[portefeuille USD.xlsm]SSA!R89C27_x0000__x0000_</stp>
        <tr r="AA89" s="16"/>
      </tp>
      <tp t="e">
        <v>#N/A</v>
        <stp/>
        <stp>##V3_BDPV12</stp>
        <stp>US298785EY80 Corp</stp>
        <stp>AMT_OUTSTANDING</stp>
        <stp>[portefeuille USD.xlsm]SSA!R57C28_x0000_R</stp>
        <tr r="AB57" s="16"/>
      </tp>
      <tp t="e">
        <v>#N/A</v>
        <stp/>
        <stp>##V3_BDPV12</stp>
        <stp>XS0637187773 Corp</stp>
        <stp>AMT_OUTSTANDING</stp>
        <stp>[portefeuille USD.xlsm]SSA!R15C28_x0000__x0000_</stp>
        <tr r="AB15" s="16"/>
      </tp>
      <tp t="e">
        <v>#N/A</v>
        <stp/>
        <stp>##V3_BDPV12</stp>
        <stp>XS0558939269 Corp</stp>
        <stp>AMT_OUTSTANDING</stp>
        <stp>[portefeuille USD.xlsm]SSA!R80C28_x0000_R</stp>
        <tr r="AB80" s="16"/>
      </tp>
      <tp t="e">
        <v>#N/A</v>
        <stp/>
        <stp>##V3_BDPV12</stp>
        <stp>FR0010875302 Corp</stp>
        <stp>MATURITY</stp>
        <stp>[portefeuille USD.xlsm]SSA!R88C25_x0000__x0000_</stp>
        <tr r="Y88" s="16"/>
      </tp>
      <tp t="e">
        <v>#N/A</v>
        <stp/>
        <stp>##V3_BDPV12</stp>
        <stp>US912828KF64 Govt</stp>
        <stp>SECURITY_DES</stp>
        <stp>[portefeuille USD.xlsm]treasuries!R97C2_x0000__x0000_</stp>
        <tr r="B97" s="13"/>
      </tp>
      <tp t="e">
        <v>#N/A</v>
        <stp/>
        <stp>##V3_BDPV12</stp>
        <stp>XS0347750365 Corp</stp>
        <stp>AMT_OUTSTANDING</stp>
        <stp>[portefeuille USD.xlsm]SSA!R64C28_x0000_R</stp>
        <tr r="AB64" s="16"/>
      </tp>
      <tp t="e">
        <v>#N/A</v>
        <stp/>
        <stp>##V3_BDPV12</stp>
        <stp>EI143648 Corp Govt</stp>
        <stp>SECURITY_DES</stp>
        <stp>[portefeuille USD.xlsm]SSA!R32C2_x0000__x0000_</stp>
        <tr r="B32" s="16"/>
      </tp>
      <tp t="e">
        <v>#N/A</v>
        <stp/>
        <stp>##V3_BDPV12</stp>
        <stp>US298785FW16 Corp</stp>
        <stp>ISSUE_DT</stp>
        <stp>[portefeuille USD.xlsm]SSA!R79C21_x0000_R</stp>
        <tr r="U79" s="16"/>
      </tp>
      <tp t="e">
        <v>#N/A</v>
        <stp/>
        <stp>##V3_BDPV12</stp>
        <stp>US298785FK77 Corp</stp>
        <stp>ISSUE_DT</stp>
        <stp>[portefeuille USD.xlsm]SSA!R69C21_x0000_R</stp>
        <tr r="U69" s="16"/>
      </tp>
      <tp t="e">
        <v>#N/A</v>
        <stp/>
        <stp>##V3_BDPV12</stp>
        <stp>US298785DU77 Corp</stp>
        <stp>ISSUE_DT</stp>
        <stp>[portefeuille USD.xlsm]SSA!R68C21_x0000_R</stp>
        <tr r="U68" s="16"/>
      </tp>
      <tp t="e">
        <v>#N/A</v>
        <stp/>
        <stp>##V3_BDPV12</stp>
        <stp>US298785FH49 Corp</stp>
        <stp>ISSUE_DT</stp>
        <stp>[portefeuille USD.xlsm]SSA!R84C21_x0000_R</stp>
        <tr r="U84" s="16"/>
      </tp>
      <tp t="e">
        <v>#N/A</v>
        <stp/>
        <stp>##V3_BDPV12</stp>
        <stp>US298785FP64 Corp</stp>
        <stp>ISSUE_DT</stp>
        <stp>[portefeuille USD.xlsm]SSA!R55C21_x0000_R</stp>
        <tr r="U55" s="16"/>
      </tp>
      <tp t="e">
        <v>#N/A</v>
        <stp/>
        <stp>##V3_BDPV12</stp>
        <stp>XS0372089572 Corp</stp>
        <stp>CPN_FREQ</stp>
        <stp>[portefeuille USD.xlsm]SSA!R124C27_x0000__x0000_</stp>
        <tr r="AA124" s="16"/>
      </tp>
      <tp t="e">
        <v>#N/A</v>
        <stp/>
        <stp>##V3_BDPV12</stp>
        <stp>US298785DU77 Corp</stp>
        <stp>MATURITY</stp>
        <stp>[portefeuille USD.xlsm]SSA!R68C25_x0000_R</stp>
        <tr r="Y68" s="16"/>
      </tp>
      <tp t="e">
        <v>#N/A</v>
        <stp/>
        <stp>##V3_BDPV12</stp>
        <stp>US298785FW16 Corp</stp>
        <stp>MATURITY</stp>
        <stp>[portefeuille USD.xlsm]SSA!R79C25_x0000_R</stp>
        <tr r="Y79" s="16"/>
      </tp>
      <tp t="e">
        <v>#N/A</v>
        <stp/>
        <stp>##V3_BDPV12</stp>
        <stp>US298785FK77 Corp</stp>
        <stp>MATURITY</stp>
        <stp>[portefeuille USD.xlsm]SSA!R69C25_x0000_R</stp>
        <tr r="Y69" s="16"/>
      </tp>
      <tp t="e">
        <v>#N/A</v>
        <stp/>
        <stp>##V3_BDPV12</stp>
        <stp>US298785FP64 Corp</stp>
        <stp>MATURITY</stp>
        <stp>[portefeuille USD.xlsm]SSA!R55C25_x0000_R</stp>
        <tr r="Y55" s="16"/>
      </tp>
      <tp t="e">
        <v>#N/A</v>
        <stp/>
        <stp>##V3_BDPV12</stp>
        <stp>US298785FH49 Corp</stp>
        <stp>MATURITY</stp>
        <stp>[portefeuille USD.xlsm]SSA!R84C25_x0000_R</stp>
        <tr r="Y84" s="16"/>
      </tp>
      <tp t="e">
        <v>#N/A</v>
        <stp/>
        <stp>##V3_BDPV12</stp>
        <stp>XS0637187773 Corp</stp>
        <stp>PENULTIMATE_CPN_DT</stp>
        <stp>[portefeuille USD.xlsm]SSA!R15C24_x0000__x0000_</stp>
        <tr r="X15" s="16"/>
      </tp>
      <tp t="e">
        <v>#N/A</v>
        <stp/>
        <stp>##V3_BDPV12</stp>
        <stp>XS0637187773 Corp</stp>
        <stp>YLD_YTM_BID</stp>
        <stp>[portefeuille USD.xlsm]SSA!R15C8_x0000_3</stp>
        <tr r="H15" s="16"/>
      </tp>
      <tp t="e">
        <v>#N/A</v>
        <stp/>
        <stp>##V3_BDPV12</stp>
        <stp>XS0458548921 Corp</stp>
        <stp>DAY_CNT_DES</stp>
        <stp>[portefeuille USD.xlsm]SSA!R2C29_x0000_5</stp>
        <tr r="AC2" s="16"/>
      </tp>
      <tp t="e">
        <v>#N/A</v>
        <stp/>
        <stp>##V3_BDPV12</stp>
        <stp>US912828QH66 Govt</stp>
        <stp>YLD_YTM_ASK</stp>
        <stp>[portefeuille USD.xlsm]treasuries!R94C8_x0000__x0000_</stp>
        <tr r="H94" s="13"/>
      </tp>
      <tp t="e">
        <v>#N/A</v>
        <stp/>
        <stp>##V3_BDPV12</stp>
        <stp>US912828QE36 Govt</stp>
        <stp>YLD_YTM_ASK</stp>
        <stp>[portefeuille USD.xlsm]treasuries!R60C8_x0000__x0000_</stp>
        <tr r="H60" s="13"/>
      </tp>
      <tp t="e">
        <v>#N/A</v>
        <stp/>
        <stp>##V3_BDPV12</stp>
        <stp>US912828QK95 Govt</stp>
        <stp>YLD_YTM_ASK</stp>
        <stp>[portefeuille USD.xlsm]treasuries!R52C8_x0000__x0000_</stp>
        <tr r="H52" s="13"/>
      </tp>
      <tp t="e">
        <v>#N/A</v>
        <stp/>
        <stp>##V3_BDPV12</stp>
        <stp>US912828QL78 Govt</stp>
        <stp>YLD_YTM_ASK</stp>
        <stp>[portefeuille USD.xlsm]treasuries!R57C8_x0000__x0000_</stp>
        <tr r="H57" s="13"/>
      </tp>
      <tp t="e">
        <v>#N/A</v>
        <stp/>
        <stp>##V3_BDPV12</stp>
        <stp>US912828QW34 Govt</stp>
        <stp>YLD_YTM_ASK</stp>
        <stp>[portefeuille USD.xlsm]treasuries!R73C8_x0000__x0000_</stp>
        <tr r="H73" s="13"/>
      </tp>
      <tp t="e">
        <v>#N/A</v>
        <stp/>
        <stp>##V3_BDPV12</stp>
        <stp>US912828QZ64 Govt</stp>
        <stp>YLD_YTM_ASK</stp>
        <stp>[portefeuille USD.xlsm]treasuries!R66C8_x0000__x0000_</stp>
        <tr r="H66" s="13"/>
      </tp>
      <tp t="e">
        <v>#N/A</v>
        <stp/>
        <stp>##V3_BDPV12</stp>
        <stp>XS0225513703 Corp</stp>
        <stp>CPN_FREQ</stp>
        <stp>[portefeuille USD.xlsm]SSA!R40C27_x0000_R</stp>
        <tr r="AA40" s="16"/>
      </tp>
      <tp t="e">
        <v>#N/A</v>
        <stp/>
        <stp>##V3_BDPV12</stp>
        <stp>XS0311512957 Corp</stp>
        <stp>CPN_FREQ</stp>
        <stp>[portefeuille USD.xlsm]SSA!R13C27_x0000__x0000_</stp>
        <tr r="AA13" s="16"/>
      </tp>
      <tp t="e">
        <v>#N/A</v>
        <stp/>
        <stp>##V3_BDPV12</stp>
        <stp>XS0477425283 Corp</stp>
        <stp>CPN_FREQ</stp>
        <stp>[portefeuille USD.xlsm]SSA!R14C27_x0000__x0000_</stp>
        <tr r="AA14" s="16"/>
      </tp>
      <tp t="e">
        <v>#N/A</v>
        <stp/>
        <stp>##V3_BDPV12</stp>
        <stp>XS0547845205 Corp</stp>
        <stp>MATURITY</stp>
        <stp>[portefeuille USD.xlsm]SSA!R81C25_x0000_R</stp>
        <tr r="Y81" s="16"/>
      </tp>
      <tp t="e">
        <v>#N/A</v>
        <stp/>
        <stp>##V3_BDPV12</stp>
        <stp>XS0637187773 Corp</stp>
        <stp>MATURITY</stp>
        <stp>[portefeuille USD.xlsm]SSA!R15C25_x0000__x0000_</stp>
        <tr r="Y15" s="16"/>
      </tp>
      <tp t="e">
        <v>#N/A</v>
        <stp/>
        <stp>##V3_BDPV12</stp>
        <stp>XS0468848253 Corp</stp>
        <stp>CPN_FREQ</stp>
        <stp>[portefeuille USD.xlsm]SSA!R74C27_x0000_R</stp>
        <tr r="AA74" s="16"/>
      </tp>
      <tp t="e">
        <v>#N/A</v>
        <stp/>
        <stp>##V3_BDPV12</stp>
        <stp>XS0460002859 Corp</stp>
        <stp>MATURITY</stp>
        <stp>[portefeuille USD.xlsm]SSA!R16C25_x0000__x0000_</stp>
        <tr r="Y16" s="16"/>
      </tp>
      <tp t="e">
        <v>#N/A</v>
        <stp/>
        <stp>##V3_BDPV12</stp>
        <stp>US298785EK86 Corp</stp>
        <stp>AMT_OUTSTANDING</stp>
        <stp>[portefeuille USD.xlsm]SSA!R43C28_x0000_R</stp>
        <tr r="AB43" s="16"/>
      </tp>
      <tp t="e">
        <v>#N/A</v>
        <stp/>
        <stp>##V3_BDPV12</stp>
        <stp>US912828MG20 Govt</stp>
        <stp>SECURITY_DES</stp>
        <stp>[portefeuille USD.xlsm]treasuries!R46C2_x0000_4</stp>
        <tr r="B46" s="13"/>
      </tp>
      <tp t="e">
        <v>#N/A</v>
        <stp/>
        <stp>##V3_BDPV12</stp>
        <stp>US912828JG66 Govt</stp>
        <stp>SECURITY_DES</stp>
        <stp>[portefeuille USD.xlsm]treasuries!R72C2_x0000__x0000_</stp>
        <tr r="B72" s="13"/>
      </tp>
      <tp t="e">
        <v>#N/A</v>
        <stp/>
        <stp>##V3_BDPV12</stp>
        <stp>XS0546234450 Corp</stp>
        <stp>AMT_OUTSTANDING</stp>
        <stp>[portefeuille USD.xlsm]SSA!R19C28_x0000__x0000_</stp>
        <tr r="AB19" s="16"/>
      </tp>
      <tp t="e">
        <v>#N/A</v>
        <stp/>
        <stp>##V3_BDPV12</stp>
        <stp>US9127956H96 Govt</stp>
        <stp>SECURITY_DES</stp>
        <stp>[portefeuille USD.xlsm]treasuries!R19C2_x0000_7</stp>
        <tr r="B19" s="13"/>
      </tp>
      <tp t="e">
        <v>#N/A</v>
        <stp/>
        <stp>##V3_BDPV12</stp>
        <stp>FR0010956565 Corp</stp>
        <stp>AMT_OUTSTANDING</stp>
        <stp>[portefeuille USD.xlsm]SSA!R90C28_x0000__x0000_</stp>
        <tr r="AB90" s="16"/>
      </tp>
      <tp t="e">
        <v>#N/A</v>
        <stp/>
        <stp>##V3_BDPV12</stp>
        <stp>US912828SG65 Govt</stp>
        <stp>SECURITY_DES</stp>
        <stp>[portefeuille USD.xlsm]treasuries!R96C2_x0000_4</stp>
        <tr r="B96" s="13"/>
      </tp>
      <tp t="e">
        <v>#N/A</v>
        <stp/>
        <stp>##V3_BDPV12</stp>
        <stp>US298785FH49 Corp</stp>
        <stp>AMT_OUTSTANDING</stp>
        <stp>[portefeuille USD.xlsm]SSA!R84C28_x0000_R</stp>
        <tr r="AB84" s="16"/>
      </tp>
      <tp t="e">
        <v>#N/A</v>
        <stp/>
        <stp>##V3_BDPV12</stp>
        <stp>US298785FF82 Corp</stp>
        <stp>AMT_OUTSTANDING</stp>
        <stp>[portefeuille USD.xlsm]SSA!R49C28_x0000_R</stp>
        <tr r="AB49" s="16"/>
      </tp>
      <tp t="e">
        <v>#N/A</v>
        <stp/>
        <stp>##V3_BDPV12</stp>
        <stp>XS0460002859 Corp</stp>
        <stp>ISSUE_DT</stp>
        <stp>[portefeuille USD.xlsm]SSA!R16C21_x0000__x0000_</stp>
        <tr r="U16" s="16"/>
      </tp>
      <tp t="e">
        <v>#N/A</v>
        <stp/>
        <stp>##V3_BDPV12</stp>
        <stp>FR0010945279 Corp</stp>
        <stp>AMT_OUTSTANDING</stp>
        <stp>[portefeuille USD.xlsm]SSA!R89C28_x0000__x0000_</stp>
        <tr r="AB89" s="16"/>
      </tp>
      <tp t="e">
        <v>#N/A</v>
        <stp/>
        <stp>##V3_BDPV12</stp>
        <stp>XS0637187773 Corp</stp>
        <stp>ISSUE_DT</stp>
        <stp>[portefeuille USD.xlsm]SSA!R15C21_x0000__x0000_</stp>
        <tr r="U15" s="16"/>
      </tp>
      <tp t="e">
        <v>#N/A</v>
        <stp/>
        <stp>##V3_BDPV12</stp>
        <stp>US9127954B45 Corp</stp>
        <stp>FIRST_CPN_DT</stp>
        <stp>[portefeuille USD.xlsm]treasuries!R6C24_x0000__x0000_</stp>
        <tr r="X6" s="13"/>
      </tp>
      <tp t="e">
        <v>#N/A</v>
        <stp/>
        <stp>##V3_BDPV12</stp>
        <stp>US912828HG84 Govt</stp>
        <stp>SECURITY_DES</stp>
        <stp>[portefeuille USD.xlsm]treasuries!R30C2_x0000_6</stp>
        <tr r="B30" s="13"/>
      </tp>
      <tp t="e">
        <v>#N/A</v>
        <stp/>
        <stp>##V3_BDPV12</stp>
        <stp>XS0547845205 Corp</stp>
        <stp>ISSUE_DT</stp>
        <stp>[portefeuille USD.xlsm]SSA!R81C21_x0000_R</stp>
        <tr r="U81" s="16"/>
      </tp>
      <tp t="e">
        <v>#N/A</v>
        <stp/>
        <stp>##V3_BDPV12</stp>
        <stp>FR0010998104 Corp</stp>
        <stp>ISSUE_DT</stp>
        <stp>[portefeuille USD.xlsm]SSA!R105C21_x0000__x0000_</stp>
        <tr r="U105" s="16"/>
      </tp>
      <tp t="e">
        <v>#N/A</v>
        <stp/>
        <stp>##V3_BDPV12</stp>
        <stp>XS0546548636 Corp</stp>
        <stp>CPN_FREQ</stp>
        <stp>[portefeuille USD.xlsm]SSA!R117C27_x0000__x0000_</stp>
        <tr r="AA117" s="16"/>
      </tp>
      <tp t="e">
        <v>#N/A</v>
        <stp/>
        <stp>##V3_BDPV12</stp>
        <stp>US298785FT86 Corp</stp>
        <stp>ISSUE_DT</stp>
        <stp>[portefeuille USD.xlsm]SSA!R60C21_x0000_R</stp>
        <tr r="U60" s="16"/>
      </tp>
      <tp t="e">
        <v>#N/A</v>
        <stp/>
        <stp>##V3_BDPV12</stp>
        <stp>US298785FN17 Corp</stp>
        <stp>ISSUE_DT</stp>
        <stp>[portefeuille USD.xlsm]SSA!R70C21_x0000_R</stp>
        <tr r="U70" s="16"/>
      </tp>
      <tp t="e">
        <v>#N/A</v>
        <stp/>
        <stp>##V3_BDPV12</stp>
        <stp>XS0705646452 Corp</stp>
        <stp>MATURITY</stp>
        <stp>[portefeuille USD.xlsm]SSA!R121C25_x0000__x0000_</stp>
        <tr r="Y121" s="16"/>
      </tp>
      <tp t="e">
        <v>#N/A</v>
        <stp/>
        <stp>##V3_BDPV12</stp>
        <stp>XS0635033128 Corp</stp>
        <stp>MATURITY</stp>
        <stp>[portefeuille USD.xlsm]SSA!R146C25_x0000__x0000_</stp>
        <tr r="Y146" s="16"/>
      </tp>
      <tp t="e">
        <v>#N/A</v>
        <stp/>
        <stp>##V3_BDPV12</stp>
        <stp>US298785DV50 Corp</stp>
        <stp>CPN_FREQ</stp>
        <stp>[portefeuille USD.xlsm]SSA!R86C27_x0000_R</stp>
        <tr r="AA86" s="16"/>
      </tp>
      <tp t="e">
        <v>#N/A</v>
        <stp/>
        <stp>##V3_BDPV12</stp>
        <stp>US298785FT86 Corp</stp>
        <stp>MATURITY</stp>
        <stp>[portefeuille USD.xlsm]SSA!R60C25_x0000_R</stp>
        <tr r="Y60" s="16"/>
      </tp>
      <tp t="e">
        <v>#N/A</v>
        <stp/>
        <stp>##V3_BDPV12</stp>
        <stp>US298785FN17 Corp</stp>
        <stp>MATURITY</stp>
        <stp>[portefeuille USD.xlsm]SSA!R70C25_x0000_R</stp>
        <tr r="Y70" s="16"/>
      </tp>
      <tp t="e">
        <v>#N/A</v>
        <stp/>
        <stp>##V3_BDPV12</stp>
        <stp>EI954150 Corp Corp</stp>
        <stp>PENULTIMATE_CPN_DT</stp>
        <stp>[portefeuille USD.xlsm]SSA!R134C24_x0000_2</stp>
        <tr r="X134" s="16"/>
      </tp>
      <tp t="e">
        <v>#N/A</v>
        <stp/>
        <stp>##V3_BDPV12</stp>
        <stp>EI575402 Corp Corp</stp>
        <stp>PENULTIMATE_CPN_DT</stp>
        <stp>[portefeuille USD.xlsm]SSA!R136C24_x0000_2</stp>
        <tr r="X136" s="16"/>
      </tp>
      <tp t="e">
        <v>#N/A</v>
        <stp/>
        <stp>##V3_BDPV12</stp>
        <stp>XS0771920856 Corp</stp>
        <stp>PENULTIMATE_CPN_DT</stp>
        <stp>[portefeuille USD.xlsm]SSA!R92C24_x0000__x0000_</stp>
        <tr r="X92" s="16"/>
      </tp>
      <tp t="e">
        <v>#N/A</v>
        <stp/>
        <stp>##V3_BDPV12</stp>
        <stp>XS0742416380 Corp</stp>
        <stp>YLD_YTM_BID</stp>
        <stp>[portefeuille USD.xlsm]SSA!R82C8_x0000__x0000_</stp>
        <tr r="H82" s="16"/>
      </tp>
      <tp t="e">
        <v>#N/A</v>
        <stp/>
        <stp>##V3_BDPV12</stp>
        <stp>XS0271449000 Corp</stp>
        <stp>YLD_YTM_BID</stp>
        <stp>[portefeuille USD.xlsm]SSA!R50C8_x0000__x0000_</stp>
        <tr r="H50" s="16"/>
      </tp>
      <tp t="e">
        <v>#N/A</v>
        <stp/>
        <stp>##V3_BDPV12</stp>
        <stp>XS0225513703 Corp</stp>
        <stp>INT_ACC_DT</stp>
        <stp>[portefeuille USD.xlsm]SSA!R40C22_x0000_R</stp>
        <tr r="V40" s="16"/>
      </tp>
      <tp t="e">
        <v>#N/A</v>
        <stp/>
        <stp>##V3_BDPV12</stp>
        <stp>XS0205179483 Corp</stp>
        <stp>YLD_YTM_BID</stp>
        <stp>[portefeuille USD.xlsm]SSA!R41C8_x0000__x0000_</stp>
        <tr r="H41" s="16"/>
      </tp>
      <tp t="e">
        <v>#N/A</v>
        <stp/>
        <stp>##V3_BDPV12</stp>
        <stp>US912828RN26 Govt</stp>
        <stp>YLD_YTM_ASK</stp>
        <stp>[portefeuille USD.xlsm]treasuries!R82C8_x0000__x0000_</stp>
        <tr r="H82" s="13"/>
      </tp>
      <tp t="e">
        <v>#N/A</v>
        <stp/>
        <stp>##V3_BDPV12</stp>
        <stp>US912828RA05 Govt</stp>
        <stp>YLD_YTM_ASK</stp>
        <stp>[portefeuille USD.xlsm]treasuries!R69C8_x0000__x0000_</stp>
        <tr r="H69" s="13"/>
      </tp>
      <tp t="e">
        <v>#N/A</v>
        <stp/>
        <stp>##V3_BDPV12</stp>
        <stp>US912828RD44 Govt</stp>
        <stp>YLD_YTM_ASK</stp>
        <stp>[portefeuille USD.xlsm]treasuries!R77C8_x0000_4</stp>
        <tr r="H77" s="13"/>
      </tp>
      <tp t="e">
        <v>#N/A</v>
        <stp/>
        <stp>##V3_BDPV12</stp>
        <stp>US912828RK86 Govt</stp>
        <stp>YLD_YTM_ASK</stp>
        <stp>[portefeuille USD.xlsm]treasuries!R79C8_x0000__x0000_</stp>
        <tr r="H79" s="13"/>
      </tp>
      <tp t="e">
        <v>#N/A</v>
        <stp/>
        <stp>##V3_BDPV12</stp>
        <stp>US912828RW25 Govt</stp>
        <stp>YLD_YTM_ASK</stp>
        <stp>[portefeuille USD.xlsm]treasuries!R89C8_x0000__x0000_</stp>
        <tr r="H89" s="13"/>
      </tp>
      <tp t="e">
        <v>#N/A</v>
        <stp/>
        <stp>##V3_BDPV12</stp>
        <stp>US912828RS13 Govt</stp>
        <stp>YLD_YTM_ASK</stp>
        <stp>[portefeuille USD.xlsm]treasuries!R86C8_x0000__x0000_</stp>
        <tr r="H86" s="13"/>
      </tp>
      <tp t="e">
        <v>#N/A</v>
        <stp/>
        <stp>##V3_BDPV12</stp>
        <stp>FR0010941732 Corp</stp>
        <stp>ISSUE_DT</stp>
        <stp>[portefeuille USD.xlsm]SSA!R96C21_x0000__x0000_</stp>
        <tr r="U96" s="16"/>
      </tp>
      <tp t="e">
        <v>#N/A</v>
        <stp/>
        <stp>##V3_BDPV12</stp>
        <stp>XS0546234450 Corp</stp>
        <stp>CPN_FREQ</stp>
        <stp>[portefeuille USD.xlsm]SSA!R19C27_x0000__x0000_</stp>
        <tr r="AA19" s="16"/>
      </tp>
      <tp t="e">
        <v>#N/A</v>
        <stp/>
        <stp>##V3_BDPV12</stp>
        <stp>XS0579811489 Corp</stp>
        <stp>MATURITY</stp>
        <stp>[portefeuille USD.xlsm]SSA!R20C25_x0000__x0000_</stp>
        <tr r="Y20" s="16"/>
      </tp>
      <tp t="e">
        <v>#N/A</v>
        <stp/>
        <stp>##V3_BDPV12</stp>
        <stp>XS0558939269 Corp</stp>
        <stp>CPN_FREQ</stp>
        <stp>[portefeuille USD.xlsm]SSA!R80C27_x0000_R</stp>
        <tr r="AA80" s="16"/>
      </tp>
      <tp t="e">
        <v>#N/A</v>
        <stp/>
        <stp>##V3_BDPV12</stp>
        <stp>FR0010941732 Corp</stp>
        <stp>MATURITY</stp>
        <stp>[portefeuille USD.xlsm]SSA!R96C25_x0000__x0000_</stp>
        <tr r="Y96" s="16"/>
      </tp>
      <tp t="e">
        <v>#N/A</v>
        <stp/>
        <stp>##V3_BDPV12</stp>
        <stp>US912828PD61 Govt</stp>
        <stp>SECURITY_DES</stp>
        <stp>[portefeuille USD.xlsm]treasuries!R31C2_x0000_7</stp>
        <tr r="B31" s="13"/>
      </tp>
      <tp t="e">
        <v>#N/A</v>
        <stp/>
        <stp>##V3_BDPV12</stp>
        <stp>US912828JD36 Govt</stp>
        <stp>SECURITY_DES</stp>
        <stp>[portefeuille USD.xlsm]treasuries!R70C2_x0000__x0000_</stp>
        <tr r="B70" s="13"/>
      </tp>
      <tp t="e">
        <v>#N/A</v>
        <stp/>
        <stp>##V3_BDPV12</stp>
        <stp>XS0322956490 Corp</stp>
        <stp>AMT_OUTSTANDING</stp>
        <stp>[portefeuille USD.xlsm]SSA!R59C28_x0000_R</stp>
        <tr r="AB59" s="16"/>
      </tp>
      <tp t="e">
        <v>#N/A</v>
        <stp/>
        <stp>##V3_BDPV12</stp>
        <stp>US912828RD44 Govt</stp>
        <stp>SECURITY_DES</stp>
        <stp>[portefeuille USD.xlsm]treasuries!R77C2_x0000_3</stp>
        <tr r="B77" s="13"/>
      </tp>
      <tp t="e">
        <v>#N/A</v>
        <stp/>
        <stp>##V3_BDPV12</stp>
        <stp>XS0579811489 Corp</stp>
        <stp>ISSUE_DT</stp>
        <stp>[portefeuille USD.xlsm]SSA!R20C21_x0000__x0000_</stp>
        <tr r="U20" s="16"/>
      </tp>
      <tp t="e">
        <v>#N/A</v>
        <stp/>
        <stp>##V3_BDPV12</stp>
        <stp>XS0771920856 Corp</stp>
        <stp>AMT_OUTSTANDING</stp>
        <stp>[portefeuille USD.xlsm]SSA!R92C28_x0000__x0000_</stp>
        <tr r="AB92" s="16"/>
      </tp>
      <tp t="e">
        <v>#N/A</v>
        <stp/>
        <stp>##V3_BDPV12</stp>
        <stp>EH790357 Corp Govt</stp>
        <stp>SECURITY_DES</stp>
        <stp>[portefeuille USD.xlsm]SSA!R28C2_x0000__x0000_</stp>
        <tr r="B28" s="16"/>
      </tp>
      <tp t="e">
        <v>#N/A</v>
        <stp/>
        <stp>##V3_BDPV12</stp>
        <stp>US9127956K26 Govt</stp>
        <stp>SECURITY_DES</stp>
        <stp>[portefeuille USD.xlsm]treasuries!R25C2_x0000_3</stp>
        <tr r="B25" s="13"/>
      </tp>
      <tp t="e">
        <v>#N/A</v>
        <stp/>
        <stp>##V3_BDPV12</stp>
        <stp>XS0521024132 Corp</stp>
        <stp>MATURITY</stp>
        <stp>[portefeuille USD.xlsm]SSA!R118C25_x0000__x0000_</stp>
        <tr r="Y118" s="16"/>
      </tp>
      <tp t="e">
        <v>#N/A</v>
        <stp/>
        <stp>##V3_BDPV12</stp>
        <stp>US298785EG74 Corp</stp>
        <stp>ISSUE_DT</stp>
        <stp>[portefeuille USD.xlsm]SSA!R78C21_x0000_R</stp>
        <tr r="U78" s="16"/>
      </tp>
      <tp t="e">
        <v>#N/A</v>
        <stp/>
        <stp>##V3_BDPV12</stp>
        <stp>US298785FG65 Corp</stp>
        <stp>ISSUE_DT</stp>
        <stp>[portefeuille USD.xlsm]SSA!R65C21_x0000_R</stp>
        <tr r="U65" s="16"/>
      </tp>
      <tp t="e">
        <v>#N/A</v>
        <stp/>
        <stp>##V3_BDPV12</stp>
        <stp>US298785FJ05 Corp</stp>
        <stp>ISSUE_DT</stp>
        <stp>[portefeuille USD.xlsm]SSA!R66C21_x0000_R</stp>
        <tr r="U66" s="16"/>
      </tp>
      <tp t="e">
        <v>#N/A</v>
        <stp/>
        <stp>##V3_BDPV12</stp>
        <stp>US298785FD35 Corp</stp>
        <stp>ISSUE_DT</stp>
        <stp>[portefeuille USD.xlsm]SSA!R62C21_x0000_R</stp>
        <tr r="U62" s="16"/>
      </tp>
      <tp t="e">
        <v>#N/A</v>
        <stp/>
        <stp>##V3_BDPV12</stp>
        <stp>US298785FS04 Corp</stp>
        <stp>ISSUE_DT</stp>
        <stp>[portefeuille USD.xlsm]SSA!R73C21_x0000_R</stp>
        <tr r="U73" s="16"/>
      </tp>
      <tp t="e">
        <v>#N/A</v>
        <stp/>
        <stp>##V3_BDPV12</stp>
        <stp>US298785EG74 Corp</stp>
        <stp>MATURITY</stp>
        <stp>[portefeuille USD.xlsm]SSA!R78C25_x0000_R</stp>
        <tr r="Y78" s="16"/>
      </tp>
      <tp t="e">
        <v>#N/A</v>
        <stp/>
        <stp>##V3_BDPV12</stp>
        <stp>EH828973 Corp Corp</stp>
        <stp>PENULTIMATE_CPN_DT</stp>
        <stp>[portefeuille USD.xlsm]SSA!R142C24_x0000_2</stp>
        <tr r="X142" s="16"/>
      </tp>
      <tp t="e">
        <v>#N/A</v>
        <stp/>
        <stp>##V3_BDPV12</stp>
        <stp>US298785FS04 Corp</stp>
        <stp>MATURITY</stp>
        <stp>[portefeuille USD.xlsm]SSA!R73C25_x0000_R</stp>
        <tr r="Y73" s="16"/>
      </tp>
      <tp t="e">
        <v>#N/A</v>
        <stp/>
        <stp>##V3_BDPV12</stp>
        <stp>US298785FD35 Corp</stp>
        <stp>MATURITY</stp>
        <stp>[portefeuille USD.xlsm]SSA!R62C25_x0000_R</stp>
        <tr r="Y62" s="16"/>
      </tp>
      <tp t="e">
        <v>#N/A</v>
        <stp/>
        <stp>##V3_BDPV12</stp>
        <stp>EG524914 Corp Corp</stp>
        <stp>PENULTIMATE_CPN_DT</stp>
        <stp>[portefeuille USD.xlsm]SSA!R133C24_x0000_2</stp>
        <tr r="X133" s="16"/>
      </tp>
      <tp t="e">
        <v>#N/A</v>
        <stp/>
        <stp>##V3_BDPV12</stp>
        <stp>US298785FJ05 Corp</stp>
        <stp>MATURITY</stp>
        <stp>[portefeuille USD.xlsm]SSA!R66C25_x0000_R</stp>
        <tr r="Y66" s="16"/>
      </tp>
      <tp t="e">
        <v>#N/A</v>
        <stp/>
        <stp>##V3_BDPV12</stp>
        <stp>US298785FG65 Corp</stp>
        <stp>MATURITY</stp>
        <stp>[portefeuille USD.xlsm]SSA!R65C25_x0000_R</stp>
        <tr r="Y65" s="16"/>
      </tp>
      <tp t="e">
        <v>#N/A</v>
        <stp/>
        <stp>##V3_BDPV12</stp>
        <stp>XS0322956490 Corp</stp>
        <stp>PENULTIMATE_CPN_DT</stp>
        <stp>[portefeuille USD.xlsm]SSA!R59C24_x0000_R</stp>
        <tr r="X59" s="16"/>
      </tp>
      <tp t="e">
        <v>#N/A</v>
        <stp/>
        <stp>##V3_BDPV12</stp>
        <stp>XS0546234450 Corp</stp>
        <stp>PENULTIMATE_CPN_DT</stp>
        <stp>[portefeuille USD.xlsm]SSA!R19C24_x0000__x0000_</stp>
        <tr r="X19" s="16"/>
      </tp>
      <tp t="e">
        <v>#N/A</v>
        <stp/>
        <stp>##V3_BDPV12</stp>
        <stp>XS0749451398 Corp</stp>
        <stp>PENULTIMATE_CPN_DT</stp>
        <stp>[portefeuille USD.xlsm]SSA!R99C24_x0000__x0000_</stp>
        <tr r="X99" s="16"/>
      </tp>
      <tp t="e">
        <v>#N/A</v>
        <stp/>
        <stp>##V3_BDPV12</stp>
        <stp>XS0546234450 Corp</stp>
        <stp>YLD_YTM_BID</stp>
        <stp>[portefeuille USD.xlsm]SSA!R19C8_x0000__x0000_</stp>
        <tr r="H19" s="16"/>
      </tp>
      <tp t="e">
        <v>#N/A</v>
        <stp/>
        <stp>##V3_BDPV12</stp>
        <stp>XS0495091620 Corp</stp>
        <stp>DAY_CNT_DES</stp>
        <stp>[portefeuille USD.xlsm]SSA!R7C29_x0000_2</stp>
        <tr r="AC7" s="16"/>
      </tp>
      <tp t="e">
        <v>#N/A</v>
        <stp/>
        <stp>##V3_BDPV12</stp>
        <stp>XS0205179483 Corp</stp>
        <stp>INT_ACC_DT</stp>
        <stp>[portefeuille USD.xlsm]SSA!R41C22_x0000_R</stp>
        <tr r="V41" s="16"/>
      </tp>
      <tp t="e">
        <v>#N/A</v>
        <stp/>
        <stp>##V3_BDPV12</stp>
        <stp>FR0010875302 Corp</stp>
        <stp>YLD_YTM_BID</stp>
        <stp>[portefeuille USD.xlsm]SSA!R88C8_x0000_6</stp>
        <tr r="H88" s="16"/>
      </tp>
      <tp t="e">
        <v>#N/A</v>
        <stp/>
        <stp>##V3_BDPV12</stp>
        <stp>XS0225513703 Corp</stp>
        <stp>YLD_YTM_BID</stp>
        <stp>[portefeuille USD.xlsm]SSA!R40C8_x0000__x0000_</stp>
        <tr r="H40" s="16"/>
      </tp>
      <tp t="e">
        <v>#N/A</v>
        <stp/>
        <stp>##V3_BDPV12</stp>
        <stp>US912828SL50 Govt</stp>
        <stp>YLD_YTM_ASK</stp>
        <stp>[portefeuille USD.xlsm]treasuries!R99C8_x0000__x0000_</stp>
        <tr r="H99" s="13"/>
      </tp>
      <tp t="e">
        <v>#N/A</v>
        <stp/>
        <stp>##V3_BDPV12</stp>
        <stp>US912828SG65 Govt</stp>
        <stp>YLD_YTM_ASK</stp>
        <stp>[portefeuille USD.xlsm]treasuries!R96C8_x0000__x0000_</stp>
        <tr r="H96" s="13"/>
      </tp>
      <tp t="e">
        <v>#N/A</v>
        <stp/>
        <stp>##V3_BDPV12</stp>
        <stp>US912828SB78 Govt</stp>
        <stp>YLD_YTM_ASK</stp>
        <stp>[portefeuille USD.xlsm]treasuries!R93C8_x0000__x0000_</stp>
        <tr r="H93" s="13"/>
      </tp>
      <tp t="e">
        <v>#N/A</v>
        <stp/>
        <stp>##V3_BDPV12</stp>
        <stp>FR0010862581 Corp</stp>
        <stp>ISSUE_DT</stp>
        <stp>[portefeuille USD.xlsm]SSA!R97C21_x0000__x0000_</stp>
        <tr r="U97" s="16"/>
      </tp>
      <tp t="e">
        <v>#N/A</v>
        <stp/>
        <stp>##V3_BDPV12</stp>
        <stp>XS0742416380 Corp</stp>
        <stp>MATURITY</stp>
        <stp>[portefeuille USD.xlsm]SSA!R82C25_x0000_R</stp>
        <tr r="Y82" s="16"/>
      </tp>
      <tp t="e">
        <v>#N/A</v>
        <stp/>
        <stp>##V3_BDPV12</stp>
        <stp>XS0252479497 Corp</stp>
        <stp>CPN_FREQ</stp>
        <stp>[portefeuille USD.xlsm]SSA!R45C27_x0000_R</stp>
        <tr r="AA45" s="16"/>
      </tp>
      <tp t="e">
        <v>#N/A</v>
        <stp/>
        <stp>##V3_BDPV12</stp>
        <stp>US298785FT86 Corp</stp>
        <stp>AMT_OUTSTANDING</stp>
        <stp>[portefeuille USD.xlsm]SSA!R60C28_x0000_R</stp>
        <tr r="AB60" s="16"/>
      </tp>
      <tp t="e">
        <v>#N/A</v>
        <stp/>
        <stp>##V3_BDPV12</stp>
        <stp>US912828QE36 Govt</stp>
        <stp>SECURITY_DES</stp>
        <stp>[portefeuille USD.xlsm]treasuries!R60C2_x0000_7</stp>
        <tr r="B60" s="13"/>
      </tp>
      <tp t="e">
        <v>#N/A</v>
        <stp/>
        <stp>##V3_BDPV12</stp>
        <stp>XS0460002859 Corp</stp>
        <stp>AMT_OUTSTANDING</stp>
        <stp>[portefeuille USD.xlsm]SSA!R16C28_x0000__x0000_</stp>
        <tr r="AB16" s="16"/>
      </tp>
      <tp t="e">
        <v>#N/A</v>
        <stp/>
        <stp>##V3_BDPV12</stp>
        <stp>XS0506368363 Corp</stp>
        <stp>AMT_OUTSTANDING</stp>
        <stp>[portefeuille USD.xlsm]SSA!R18C28_x0000__x0000_</stp>
        <tr r="AB18" s="16"/>
      </tp>
      <tp t="e">
        <v>#N/A</v>
        <stp/>
        <stp>##V3_BDPV12</stp>
        <stp>FR0010862581 Corp</stp>
        <stp>MATURITY</stp>
        <stp>[portefeuille USD.xlsm]SSA!R97C25_x0000__x0000_</stp>
        <tr r="Y97" s="16"/>
      </tp>
      <tp t="e">
        <v>#N/A</v>
        <stp/>
        <stp>##V3_BDPV12</stp>
        <stp>US912828HE37 Govt</stp>
        <stp>SECURITY_DES</stp>
        <stp>[portefeuille USD.xlsm]treasuries!R23C2_x0000_2</stp>
        <tr r="B23" s="13"/>
      </tp>
      <tp t="e">
        <v>#N/A</v>
        <stp/>
        <stp>##V3_BDPV12</stp>
        <stp>EF684257 Corp Govt</stp>
        <stp>SECURITY_DES</stp>
        <stp>[portefeuille USD.xlsm]SSA!R38C2_x0000__x0000_</stp>
        <tr r="B38" s="16"/>
      </tp>
      <tp t="e">
        <v>#N/A</v>
        <stp/>
        <stp>##V3_BDPV12</stp>
        <stp>XS0749451398 Corp</stp>
        <stp>AMT_OUTSTANDING</stp>
        <stp>[portefeuille USD.xlsm]SSA!R99C28_x0000__x0000_</stp>
        <tr r="AB99" s="16"/>
      </tp>
      <tp t="e">
        <v>#N/A</v>
        <stp/>
        <stp>##V3_BDPV12</stp>
        <stp>US9127956J52 Govt</stp>
        <stp>SECURITY_DES</stp>
        <stp>[portefeuille USD.xlsm]treasuries!R22C2_x0000_7</stp>
        <tr r="B22" s="13"/>
      </tp>
      <tp t="e">
        <v>#N/A</v>
        <stp/>
        <stp>##V3_BDPV12</stp>
        <stp>EI787877 Corp Govt</stp>
        <stp>SECURITY_DES</stp>
        <stp>[portefeuille USD.xlsm]SSA!R25C2_x0000__x0000_</stp>
        <tr r="B25" s="16"/>
      </tp>
      <tp t="e">
        <v>#N/A</v>
        <stp/>
        <stp>##V3_BDPV12</stp>
        <stp>EI297586 Corp Govt</stp>
        <stp>SECURITY_DES</stp>
        <stp>[portefeuille USD.xlsm]SSA!R26C2_x0000__x0000_</stp>
        <tr r="B26" s="16"/>
      </tp>
      <tp t="e">
        <v>#N/A</v>
        <stp/>
        <stp>##V3_BDPV12</stp>
        <stp>US298785DY99 Corp</stp>
        <stp>AMT_OUTSTANDING</stp>
        <stp>[portefeuille USD.xlsm]SSA!R72C28_x0000_R</stp>
        <tr r="AB72" s="16"/>
      </tp>
      <tp t="e">
        <v>#N/A</v>
        <stp/>
        <stp>##V3_BDPV12</stp>
        <stp>XS0742416380 Corp</stp>
        <stp>AMT_OUTSTANDING</stp>
        <stp>[portefeuille USD.xlsm]SSA!R82C28_x0000_R</stp>
        <tr r="AB82" s="16"/>
      </tp>
      <tp t="e">
        <v>#N/A</v>
        <stp/>
        <stp>##V3_BDPV12</stp>
        <stp>XS0742416380 Corp</stp>
        <stp>ISSUE_DT</stp>
        <stp>[portefeuille USD.xlsm]SSA!R82C21_x0000_R</stp>
        <tr r="U82" s="16"/>
      </tp>
      <tp t="e">
        <v>#N/A</v>
        <stp/>
        <stp>##V3_BDPV12</stp>
        <stp>US9127955W72 Govt</stp>
        <stp>YLD_YTM_ASK</stp>
        <stp>[portefeuille USD.xlsm]treasuries!R3C8_x0000__x0000_</stp>
        <tr r="H3" s="13"/>
      </tp>
      <tp t="e">
        <v>#N/A</v>
        <stp/>
        <stp>##V3_BDPV12</stp>
        <stp>XS0270250136 Corp</stp>
        <stp>MATURITY</stp>
        <stp>[portefeuille USD.xlsm]SSA!R115C25_x0000__x0000_</stp>
        <tr r="Y115" s="16"/>
      </tp>
      <tp t="e">
        <v>#N/A</v>
        <stp/>
        <stp>##V3_BDPV12</stp>
        <stp>US298785EA05 Corp</stp>
        <stp>ISSUE_DT</stp>
        <stp>[portefeuille USD.xlsm]SSA!R76C21_x0000_R</stp>
        <tr r="U76" s="16"/>
      </tp>
      <tp t="e">
        <v>#N/A</v>
        <stp/>
        <stp>##V3_BDPV12</stp>
        <stp>XS0610555681 Corp</stp>
        <stp>MATURITY</stp>
        <stp>[portefeuille USD.xlsm]SSA!R123C25_x0000__x0000_</stp>
        <tr r="Y123" s="16"/>
      </tp>
      <tp t="e">
        <v>#N/A</v>
        <stp/>
        <stp>##V3_BDPV12</stp>
        <stp>US298785EN26 Corp</stp>
        <stp>ISSUE_DT</stp>
        <stp>[portefeuille USD.xlsm]SSA!R44C21_x0000_R</stp>
        <tr r="U44" s="16"/>
      </tp>
      <tp t="e">
        <v>#N/A</v>
        <stp/>
        <stp>##V3_BDPV12</stp>
        <stp>US298785EK86 Corp</stp>
        <stp>ISSUE_DT</stp>
        <stp>[portefeuille USD.xlsm]SSA!R43C21_x0000_R</stp>
        <tr r="U43" s="16"/>
      </tp>
      <tp t="e">
        <v>#N/A</v>
        <stp/>
        <stp>##V3_BDPV12</stp>
        <stp>XS0576210289 Corp</stp>
        <stp>MATURITY</stp>
        <stp>[portefeuille USD.xlsm]SSA!R116C25_x0000__x0000_</stp>
        <tr r="Y116" s="16"/>
      </tp>
      <tp t="e">
        <v>#N/A</v>
        <stp/>
        <stp>##V3_BDPV12</stp>
        <stp>XS0490844718 Corp</stp>
        <stp>CPN_FREQ</stp>
        <stp>[portefeuille USD.xlsm]SSA!R127C27_x0000__x0000_</stp>
        <tr r="AA127" s="16"/>
      </tp>
      <tp t="e">
        <v>#N/A</v>
        <stp/>
        <stp>##V3_BDPV12</stp>
        <stp>US298785CX26 Corp</stp>
        <stp>ISSUE_DT</stp>
        <stp>[portefeuille USD.xlsm]SSA!R46C21_x0000_R</stp>
        <tr r="U46" s="16"/>
      </tp>
      <tp t="e">
        <v>#N/A</v>
        <stp/>
        <stp>##V3_BDPV12</stp>
        <stp>US29878TCC62 Corp</stp>
        <stp>AMT_OUTSTANDING</stp>
        <stp>[portefeuille USD.xlsm]SSA!R83C28_x0000_R</stp>
        <tr r="AB83" s="16"/>
      </tp>
      <tp t="e">
        <v>#N/A</v>
        <stp/>
        <stp>##V3_BDPV12</stp>
        <stp>US298785CX26 Corp</stp>
        <stp>MATURITY</stp>
        <stp>[portefeuille USD.xlsm]SSA!R46C25_x0000_R</stp>
        <tr r="Y46" s="16"/>
      </tp>
      <tp t="e">
        <v>#N/A</v>
        <stp/>
        <stp>##V3_BDPV12</stp>
        <stp>EI697819 Corp Corp</stp>
        <stp>PENULTIMATE_CPN_DT</stp>
        <stp>[portefeuille USD.xlsm]SSA!R141C24_x0000_2</stp>
        <tr r="X141" s="16"/>
      </tp>
      <tp t="e">
        <v>#N/A</v>
        <stp/>
        <stp>##V3_BDPV12</stp>
        <stp>US298785EK86 Corp</stp>
        <stp>MATURITY</stp>
        <stp>[portefeuille USD.xlsm]SSA!R43C25_x0000_R</stp>
        <tr r="Y43" s="16"/>
      </tp>
      <tp t="e">
        <v>#N/A</v>
        <stp/>
        <stp>##V3_BDPV12</stp>
        <stp>US298785EN26 Corp</stp>
        <stp>MATURITY</stp>
        <stp>[portefeuille USD.xlsm]SSA!R44C25_x0000_R</stp>
        <tr r="Y44" s="16"/>
      </tp>
      <tp t="e">
        <v>#N/A</v>
        <stp/>
        <stp>##V3_BDPV12</stp>
        <stp>US298785EA05 Corp</stp>
        <stp>MATURITY</stp>
        <stp>[portefeuille USD.xlsm]SSA!R76C25_x0000_R</stp>
        <tr r="Y76" s="16"/>
      </tp>
      <tp t="e">
        <v>#N/A</v>
        <stp/>
        <stp>##V3_BDPV12</stp>
        <stp>XS0252479497 Corp</stp>
        <stp>PENULTIMATE_CPN_DT</stp>
        <stp>[portefeuille USD.xlsm]SSA!R45C24_x0000_R</stp>
        <tr r="X45" s="16"/>
      </tp>
      <tp t="e">
        <v>#N/A</v>
        <stp/>
        <stp>##V3_BDPV12</stp>
        <stp>XS0558939269 Corp</stp>
        <stp>PENULTIMATE_CPN_DT</stp>
        <stp>[portefeuille USD.xlsm]SSA!R80C24_x0000_R</stp>
        <tr r="X80" s="16"/>
      </tp>
      <tp t="e">
        <v>#N/A</v>
        <stp/>
        <stp>##V3_BDPV12</stp>
        <stp>XS0743901026 Corp</stp>
        <stp>PENULTIMATE_CPN_DT</stp>
        <stp>[portefeuille USD.xlsm]SSA!R17C24_x0000__x0000_</stp>
        <tr r="X17" s="16"/>
      </tp>
      <tp t="e">
        <v>#N/A</v>
        <stp/>
        <stp>##V3_BDPV12</stp>
        <stp>XS0347750365 Corp</stp>
        <stp>PENULTIMATE_CPN_DT</stp>
        <stp>[portefeuille USD.xlsm]SSA!R64C24_x0000_R</stp>
        <tr r="X64" s="16"/>
      </tp>
      <tp t="e">
        <v>#N/A</v>
        <stp/>
        <stp>##V3_BDPV12</stp>
        <stp>XS0506368363 Corp</stp>
        <stp>INT_ACC_DT</stp>
        <stp>[portefeuille USD.xlsm]SSA!R18C22_x0000__x0000_</stp>
        <tr r="V18" s="16"/>
      </tp>
      <tp t="e">
        <v>#N/A</v>
        <stp/>
        <stp>##V3_BDPV12</stp>
        <stp>FR0010945279 Corp</stp>
        <stp>YLD_YTM_BID</stp>
        <stp>[portefeuille USD.xlsm]SSA!R89C8_x0000__x0000_</stp>
        <tr r="H89" s="16"/>
      </tp>
      <tp t="e">
        <v>#N/A</v>
        <stp/>
        <stp>##V3_BDPV12</stp>
        <stp>XS0477425283 Corp</stp>
        <stp>INT_ACC_DT</stp>
        <stp>[portefeuille USD.xlsm]SSA!R14C22_x0000__x0000_</stp>
        <tr r="V14" s="16"/>
      </tp>
      <tp t="e">
        <v>#N/A</v>
        <stp/>
        <stp>##V3_BDPV12</stp>
        <stp>XS0271449000 Corp</stp>
        <stp>INT_ACC_DT</stp>
        <stp>[portefeuille USD.xlsm]SSA!R50C22_x0000_R</stp>
        <tr r="V50" s="16"/>
      </tp>
      <tp t="e">
        <v>#N/A</v>
        <stp/>
        <stp>##V3_BDPV12</stp>
        <stp>XS0743901026 Corp</stp>
        <stp>YLD_YTM_BID</stp>
        <stp>[portefeuille USD.xlsm]SSA!R17C8_x0000_5</stp>
        <tr r="H17" s="16"/>
      </tp>
      <tp t="e">
        <v>#N/A</v>
        <stp/>
        <stp>##V3_BDPV12</stp>
        <stp>FR0011018332 Corp</stp>
        <stp>YLD_YTM_BID</stp>
        <stp>[portefeuille USD.xlsm]SSA!R87C8_x0000_7</stp>
        <tr r="H87" s="16"/>
      </tp>
      <tp t="e">
        <v>#N/A</v>
        <stp/>
        <stp>##V3_BDPV12</stp>
        <stp>XS0506368363 Corp</stp>
        <stp>CPN_FREQ</stp>
        <stp>[portefeuille USD.xlsm]SSA!R18C27_x0000__x0000_</stp>
        <tr r="AA18" s="16"/>
      </tp>
      <tp t="e">
        <v>#N/A</v>
        <stp/>
        <stp>##V3_BDPV12</stp>
        <stp>FR0010956565 Corp</stp>
        <stp>ISSUE_DT</stp>
        <stp>[portefeuille USD.xlsm]SSA!R90C21_x0000__x0000_</stp>
        <tr r="U90" s="16"/>
      </tp>
      <tp t="e">
        <v>#N/A</v>
        <stp/>
        <stp>##V3_BDPV12</stp>
        <stp>FR0010956565 Corp</stp>
        <stp>MATURITY</stp>
        <stp>[portefeuille USD.xlsm]SSA!R90C25_x0000__x0000_</stp>
        <tr r="Y90" s="16"/>
      </tp>
      <tp t="e">
        <v>#N/A</v>
        <stp/>
        <stp>##V3_BDPV12</stp>
        <stp>XS0287792914 Corp</stp>
        <stp>AMT_OUTSTANDING</stp>
        <stp>[portefeuille USD.xlsm]SSA!R54C28_x0000_R</stp>
        <tr r="AB54" s="16"/>
      </tp>
      <tp t="e">
        <v>#N/A</v>
        <stp/>
        <stp>##V3_BDPV12</stp>
        <stp>US912828MB33 Govt</stp>
        <stp>SECURITY_DES</stp>
        <stp>[portefeuille USD.xlsm]treasuries!R42C2_x0000__x0000_</stp>
        <tr r="B42" s="13"/>
      </tp>
      <tp t="e">
        <v>#N/A</v>
        <stp/>
        <stp>##V3_BDPV12</stp>
        <stp>US9127956M81 Govt</stp>
        <stp>SECURITY_DES</stp>
        <stp>[portefeuille USD.xlsm]treasuries!R26C2_x0000__x0000_</stp>
        <tr r="B26" s="13"/>
      </tp>
      <tp t="e">
        <v>#N/A</v>
        <stp/>
        <stp>##V3_BDPV12</stp>
        <stp>US912828JB79 Govt</stp>
        <stp>SECURITY_DES</stp>
        <stp>[portefeuille USD.xlsm]treasuries!R67C2_x0000_7</stp>
        <tr r="B67" s="13"/>
      </tp>
      <tp t="e">
        <v>#N/A</v>
        <stp/>
        <stp>##V3_BDPV12</stp>
        <stp>FR0010941732 Corp</stp>
        <stp>AMT_OUTSTANDING</stp>
        <stp>[portefeuille USD.xlsm]SSA!R96C28_x0000__x0000_</stp>
        <tr r="AB96" s="16"/>
      </tp>
      <tp t="e">
        <v>#N/A</v>
        <stp/>
        <stp>##V3_BDPV12</stp>
        <stp>US912828SB78 Govt</stp>
        <stp>SECURITY_DES</stp>
        <stp>[portefeuille USD.xlsm]treasuries!R93C2_x0000_3</stp>
        <tr r="B93" s="13"/>
      </tp>
      <tp t="e">
        <v>#N/A</v>
        <stp/>
        <stp>##V3_BDPV12</stp>
        <stp>US912828PB06 Govt</stp>
        <stp>SECURITY_DES</stp>
        <stp>[portefeuille USD.xlsm]treasuries!R81C2_x0000__x0000_</stp>
        <tr r="B81" s="13"/>
      </tp>
      <tp t="e">
        <v>#N/A</v>
        <stp/>
        <stp>##V3_BDPV12</stp>
        <stp>US9127954B45 Govt</stp>
        <stp>YLD_YTM_ASK</stp>
        <stp>[portefeuille USD.xlsm]treasuries!R6C8_x0000__x0000_</stp>
        <tr r="H6" s="13"/>
      </tp>
      <tp t="e">
        <v>#N/A</v>
        <stp/>
        <stp>##V3_BDPV12</stp>
        <stp>US9127955X55 Govt</stp>
        <stp>YLD_YTM_ASK</stp>
        <stp>[portefeuille USD.xlsm]treasuries!R5C8_x0000_2</stp>
        <tr r="H5" s="13"/>
      </tp>
      <tp t="e">
        <v>#N/A</v>
        <stp/>
        <stp>##V3_BDPV12</stp>
        <stp>US298785EY80 Corp</stp>
        <stp>ISSUE_DT</stp>
        <stp>[portefeuille USD.xlsm]SSA!R57C21_x0000_R</stp>
        <tr r="U57" s="16"/>
      </tp>
      <tp t="e">
        <v>#N/A</v>
        <stp/>
        <stp>##V3_BDPV12</stp>
        <stp>US298785FL50 Corp</stp>
        <stp>ISSUE_DT</stp>
        <stp>[portefeuille USD.xlsm]SSA!R51C21_x0000_R</stp>
        <tr r="U51" s="16"/>
      </tp>
      <tp t="e">
        <v>#N/A</v>
        <stp/>
        <stp>##V3_BDPV12</stp>
        <stp>US298785FC51 Corp</stp>
        <stp>ISSUE_DT</stp>
        <stp>[portefeuille USD.xlsm]SSA!R42C21_x0000_R</stp>
        <tr r="U42" s="16"/>
      </tp>
      <tp t="e">
        <v>#N/A</v>
        <stp/>
        <stp>##V3_BDPV12</stp>
        <stp>US298785FV33 Corp</stp>
        <stp>ISSUE_DT</stp>
        <stp>[portefeuille USD.xlsm]SSA!R63C21_x0000_R</stp>
        <tr r="U63" s="16"/>
      </tp>
      <tp t="e">
        <v>#N/A</v>
        <stp/>
        <stp>##V3_BDPV12</stp>
        <stp>US298785EX08 Corp</stp>
        <stp>CPN_FREQ</stp>
        <stp>[portefeuille USD.xlsm]SSA!R53C27_x0000_R</stp>
        <tr r="AA53" s="16"/>
      </tp>
      <tp t="e">
        <v>#N/A</v>
        <stp/>
        <stp>##V3_BDPV12</stp>
        <stp>US298785FV33 Corp</stp>
        <stp>MATURITY</stp>
        <stp>[portefeuille USD.xlsm]SSA!R63C25_x0000_R</stp>
        <tr r="Y63" s="16"/>
      </tp>
      <tp t="e">
        <v>#N/A</v>
        <stp/>
        <stp>##V3_BDPV12</stp>
        <stp>US298785FC51 Corp</stp>
        <stp>MATURITY</stp>
        <stp>[portefeuille USD.xlsm]SSA!R42C25_x0000_R</stp>
        <tr r="Y42" s="16"/>
      </tp>
      <tp t="e">
        <v>#N/A</v>
        <stp/>
        <stp>##V3_BDPV12</stp>
        <stp>US298785FL50 Corp</stp>
        <stp>MATURITY</stp>
        <stp>[portefeuille USD.xlsm]SSA!R51C25_x0000_R</stp>
        <tr r="Y51" s="16"/>
      </tp>
      <tp t="e">
        <v>#N/A</v>
        <stp/>
        <stp>##V3_BDPV12</stp>
        <stp>EI355035 Corp Corp</stp>
        <stp>PENULTIMATE_CPN_DT</stp>
        <stp>[portefeuille USD.xlsm]SSA!R132C24_x0000_2</stp>
        <tr r="X132" s="16"/>
      </tp>
      <tp t="e">
        <v>#N/A</v>
        <stp/>
        <stp>##V3_BDPV12</stp>
        <stp>US298785EY80 Corp</stp>
        <stp>MATURITY</stp>
        <stp>[portefeuille USD.xlsm]SSA!R57C25_x0000_R</stp>
        <tr r="Y57" s="16"/>
      </tp>
      <tp t="e">
        <v>#N/A</v>
        <stp/>
        <stp>##V3_BDPV12</stp>
        <stp>XS0458548921 Govt</stp>
        <stp>SECURITY_DES</stp>
        <stp>[portefeuille USD.xlsm]SSA!R2C2_x0000__x0000_</stp>
        <tr r="B2" s="16"/>
      </tp>
      <tp t="e">
        <v>#N/A</v>
        <stp/>
        <stp>##V3_BDPV12</stp>
        <stp>XS0205179483 Corp</stp>
        <stp>PENULTIMATE_CPN_DT</stp>
        <stp>[portefeuille USD.xlsm]SSA!R41C24_x0000_R</stp>
        <tr r="X41" s="16"/>
      </tp>
      <tp t="e">
        <v>#N/A</v>
        <stp/>
        <stp>##V3_BDPV12</stp>
        <stp>XS0347750365 Corp</stp>
        <stp>YLD_YTM_BID</stp>
        <stp>[portefeuille USD.xlsm]SSA!R64C8_x0000__x0000_</stp>
        <tr r="H64" s="16"/>
      </tp>
      <tp t="e">
        <v>#N/A</v>
        <stp/>
        <stp>##V3_BDPV12</stp>
        <stp>FR0010956565 Corp</stp>
        <stp>YLD_YTM_ASK</stp>
        <stp>[portefeuille USD.xlsm]SSA!R90C8_x0000_!</stp>
        <tr r="H90" s="16"/>
      </tp>
      <tp t="e">
        <v>#N/A</v>
        <stp/>
        <stp>##V3_BDPV12</stp>
        <stp>XS0546234450 Corp</stp>
        <stp>INT_ACC_DT</stp>
        <stp>[portefeuille USD.xlsm]SSA!R19C22_x0000__x0000_</stp>
        <tr r="V19" s="16"/>
      </tp>
      <tp t="e">
        <v>#N/A</v>
        <stp/>
        <stp>##V3_BDPV12</stp>
        <stp>XS0322956490 Corp</stp>
        <stp>INT_ACC_DT</stp>
        <stp>[portefeuille USD.xlsm]SSA!R59C22_x0000_R</stp>
        <tr r="V59" s="16"/>
      </tp>
      <tp t="e">
        <v>#N/A</v>
        <stp/>
        <stp>##V3_BDPV12</stp>
        <stp>XS0749451398 Corp</stp>
        <stp>INT_ACC_DT</stp>
        <stp>[portefeuille USD.xlsm]SSA!R99C22_x0000__x0000_</stp>
        <tr r="V99" s="16"/>
      </tp>
      <tp t="e">
        <v>#N/A</v>
        <stp/>
        <stp>##V3_BDPV12</stp>
        <stp>FR0010862581 Corp</stp>
        <stp>YLD_YTM_ASK</stp>
        <stp>[portefeuille USD.xlsm]SSA!R97C8_x0000_!</stp>
        <tr r="H97" s="16"/>
      </tp>
      <tp t="e">
        <v>#N/A</v>
        <stp/>
        <stp>##V3_BDPV12</stp>
        <stp>XS0743901026 Corp</stp>
        <stp>CPN_FREQ</stp>
        <stp>[portefeuille USD.xlsm]SSA!R17C27_x0000__x0000_</stp>
        <tr r="AA17" s="16"/>
      </tp>
      <tp t="e">
        <v>#N/A</v>
        <stp/>
        <stp>##V3_BDPV12</stp>
        <stp>US912828NC07 Govt</stp>
        <stp>SECURITY_DES</stp>
        <stp>[portefeuille USD.xlsm]treasuries!R63C2_x0000__x0000_</stp>
        <tr r="B63" s="13"/>
      </tp>
      <tp t="e">
        <v>#N/A</v>
        <stp/>
        <stp>##V3_BDPV12</stp>
        <stp>US912828HC70 Govt</stp>
        <stp>SECURITY_DES</stp>
        <stp>[portefeuille USD.xlsm]treasuries!R17C2_x0000_6</stp>
        <tr r="B17" s="13"/>
      </tp>
      <tp t="e">
        <v>#N/A</v>
        <stp/>
        <stp>##V3_BDPV12</stp>
        <stp>EI009749 Corp Govt</stp>
        <stp>SECURITY_DES</stp>
        <stp>[portefeuille USD.xlsm]SSA!R24C2_x0000__x0000_</stp>
        <tr r="B24" s="16"/>
      </tp>
      <tp t="e">
        <v>#N/A</v>
        <stp/>
        <stp>##V3_BDPV12</stp>
        <stp>XS0579811489 Corp</stp>
        <stp>AMT_OUTSTANDING</stp>
        <stp>[portefeuille USD.xlsm]SSA!R20C28_x0000__x0000_</stp>
        <tr r="AB20" s="16"/>
      </tp>
      <tp t="e">
        <v>#N/A</v>
        <stp/>
        <stp>##V3_BDPV12</stp>
        <stp>US9127956L09 Govt</stp>
        <stp>SECURITY_DES</stp>
        <stp>[portefeuille USD.xlsm]treasuries!R62C2_x0000__x0000_</stp>
        <tr r="B62" s="13"/>
      </tp>
      <tp t="e">
        <v>#N/A</v>
        <stp/>
        <stp>##V3_BDPV12</stp>
        <stp>EG914838 Corp Govt</stp>
        <stp>SECURITY_DES</stp>
        <stp>[portefeuille USD.xlsm]SSA!R37C2_x0000__x0000_</stp>
        <tr r="B37" s="16"/>
      </tp>
      <tp t="e">
        <v>#N/A</v>
        <stp/>
        <stp>##V3_BDPV12</stp>
        <stp>US9127955L18 Govt</stp>
        <stp>SECURITY_DES</stp>
        <stp>[portefeuille USD.xlsm]treasuries!R34C2_x0000_6</stp>
        <tr r="B34" s="13"/>
      </tp>
      <tp t="e">
        <v>#N/A</v>
        <stp/>
        <stp>##V3_BDPV12</stp>
        <stp>US298785FR21 Corp</stp>
        <stp>ISSUE_DT</stp>
        <stp>[portefeuille USD.xlsm]SSA!R58C21_x0000_R</stp>
        <tr r="U58" s="16"/>
      </tp>
      <tp t="e">
        <v>#N/A</v>
        <stp/>
        <stp>##V3_BDPV12</stp>
        <stp>US298785ER30 Corp</stp>
        <stp>ISSUE_DT</stp>
        <stp>[portefeuille USD.xlsm]SSA!R48C21_x0000_R</stp>
        <tr r="U48" s="16"/>
      </tp>
      <tp t="e">
        <v>#N/A</v>
        <stp/>
        <stp>##V3_BDPV12</stp>
        <stp>US12802DAD84 Corp</stp>
        <stp>AMT_OUTSTANDING</stp>
        <stp>[portefeuille USD.xlsm]SSA!R91C28_x0000__x0000_</stp>
        <tr r="AB91" s="16"/>
      </tp>
      <tp t="e">
        <v>#N/A</v>
        <stp/>
        <stp>##V3_BDPV12</stp>
        <stp>XS0562102615 Corp</stp>
        <stp>MATURITY</stp>
        <stp>[portefeuille USD.xlsm]SSA!R145C25_x0000__x0000_</stp>
        <tr r="Y145" s="16"/>
      </tp>
      <tp t="e">
        <v>#N/A</v>
        <stp/>
        <stp>##V3_BDPV12</stp>
        <stp>US298785ER30 Corp</stp>
        <stp>MATURITY</stp>
        <stp>[portefeuille USD.xlsm]SSA!R48C25_x0000_R</stp>
        <tr r="Y48" s="16"/>
      </tp>
      <tp t="e">
        <v>#N/A</v>
        <stp/>
        <stp>##V3_BDPV12</stp>
        <stp>US298785FR21 Corp</stp>
        <stp>MATURITY</stp>
        <stp>[portefeuille USD.xlsm]SSA!R58C25_x0000_R</stp>
        <tr r="Y58" s="16"/>
      </tp>
      <tp t="e">
        <v>#N/A</v>
        <stp/>
        <stp>##V3_BDPV12</stp>
        <stp>US298785FM34 Corp</stp>
        <stp>CPN_FREQ</stp>
        <stp>[portefeuille USD.xlsm]SSA!R85C27_x0000_R</stp>
        <tr r="AA85" s="16"/>
      </tp>
      <tp t="e">
        <v>#N/A</v>
        <stp/>
        <stp>##V3_BDPV12</stp>
        <stp>US298785FE18 Corp</stp>
        <stp>CPN_FREQ</stp>
        <stp>[portefeuille USD.xlsm]SSA!R47C27_x0000_R</stp>
        <tr r="AA47" s="16"/>
      </tp>
      <tp t="e">
        <v>#N/A</v>
        <stp/>
        <stp>##V3_BDPV12</stp>
        <stp>EI133522 Corp Corp</stp>
        <stp>PENULTIMATE_CPN_DT</stp>
        <stp>[portefeuille USD.xlsm]SSA!R138C24_x0000_2</stp>
        <tr r="X138" s="16"/>
      </tp>
      <tp t="e">
        <v>#N/A</v>
        <stp/>
        <stp>##V3_BDPV12</stp>
        <stp>ED650463 Corp Corp</stp>
        <stp>PENULTIMATE_CPN_DT</stp>
        <stp>[portefeuille USD.xlsm]SSA!R140C24_x0000_2</stp>
        <tr r="X140" s="16"/>
      </tp>
      <tp t="e">
        <v>#N/A</v>
        <stp/>
        <stp>##V3_BDPV12</stp>
        <stp>XS0477425283 Corp</stp>
        <stp>PENULTIMATE_CPN_DT</stp>
        <stp>[portefeuille USD.xlsm]SSA!R14C24_x0000__x0000_</stp>
        <tr r="X14" s="16"/>
      </tp>
      <tp t="e">
        <v>#N/A</v>
        <stp/>
        <stp>##V3_BDPV12</stp>
        <stp>XS0506368363 Corp</stp>
        <stp>PENULTIMATE_CPN_DT</stp>
        <stp>[portefeuille USD.xlsm]SSA!R18C24_x0000__x0000_</stp>
        <tr r="X18" s="16"/>
      </tp>
      <tp t="e">
        <v>#N/A</v>
        <stp/>
        <stp>##V3_BDPV12</stp>
        <stp>XS0271449000 Corp</stp>
        <stp>PENULTIMATE_CPN_DT</stp>
        <stp>[portefeuille USD.xlsm]SSA!R50C24_x0000_R</stp>
        <tr r="X50" s="16"/>
      </tp>
      <tp t="e">
        <v>#N/A</v>
        <stp/>
        <stp>##V3_BDPV12</stp>
        <stp>XS0743901026 Corp</stp>
        <stp>INT_ACC_DT</stp>
        <stp>[portefeuille USD.xlsm]SSA!R17C22_x0000__x0000_</stp>
        <tr r="V17" s="16"/>
      </tp>
      <tp t="e">
        <v>#N/A</v>
        <stp/>
        <stp>##V3_BDPV12</stp>
        <stp>XS0495091620 Corp</stp>
        <stp>CPN</stp>
        <stp>[portefeuille USD.xlsm]SSA!R7C26_x0000__x0000_</stp>
        <tr r="Z7" s="16"/>
      </tp>
      <tp t="e">
        <v>#N/A</v>
        <stp/>
        <stp>##V3_BDPV12</stp>
        <stp>XS0558939269 Corp</stp>
        <stp>INT_ACC_DT</stp>
        <stp>[portefeuille USD.xlsm]SSA!R80C22_x0000_R</stp>
        <tr r="V80" s="16"/>
      </tp>
      <tp t="e">
        <v>#N/A</v>
        <stp/>
        <stp>##V3_BDPV12</stp>
        <stp>XS0506368363 Corp</stp>
        <stp>YLD_YTM_BID</stp>
        <stp>[portefeuille USD.xlsm]SSA!R18C8_x0000_7</stp>
        <tr r="H18" s="16"/>
      </tp>
      <tp t="e">
        <v>#N/A</v>
        <stp/>
        <stp>##V3_BDPV12</stp>
        <stp>XS0252479497 Corp</stp>
        <stp>INT_ACC_DT</stp>
        <stp>[portefeuille USD.xlsm]SSA!R45C22_x0000_R</stp>
        <tr r="V45" s="16"/>
      </tp>
      <tp t="e">
        <v>#N/A</v>
        <stp/>
        <stp>##V3_BDPV12</stp>
        <stp>EH828973 Corp Corp</stp>
        <stp>CPN</stp>
        <stp>[portefeuille USD.xlsm]SSA!R142C26_x0000_2</stp>
        <tr r="Z142" s="16"/>
      </tp>
      <tp t="e">
        <v>#N/A</v>
        <stp/>
        <stp>##V3_BDPV12</stp>
        <stp>XS0547845205 Corp</stp>
        <stp>YLD_YTM_BID</stp>
        <stp>[portefeuille USD.xlsm]SSA!R81C8_x0000__x0000_</stp>
        <tr r="H81" s="16"/>
      </tp>
      <tp t="e">
        <v>#N/A</v>
        <stp/>
        <stp>##V3_BDPV12</stp>
        <stp>XS0347750365 Corp</stp>
        <stp>INT_ACC_DT</stp>
        <stp>[portefeuille USD.xlsm]SSA!R64C22_x0000_R</stp>
        <tr r="V64" s="16"/>
      </tp>
      <tp t="e">
        <v>#N/A</v>
        <stp/>
        <stp>##V3_BDPV12</stp>
        <stp>FR0010394452 Corp</stp>
        <stp>YLD_YTM_ASK</stp>
        <stp>[portefeuille USD.xlsm]SSA!R93C8_x0000_!</stp>
        <tr r="H93" s="16"/>
      </tp>
      <tp t="e">
        <v>#N/A</v>
        <stp/>
        <stp>##V3_BDPV12</stp>
        <stp>XS0477425283 Corp</stp>
        <stp>YLD_YTM_BID</stp>
        <stp>[portefeuille USD.xlsm]SSA!R14C8_x0000__x0000_</stp>
        <tr r="H14" s="16"/>
      </tp>
      <tp t="e">
        <v>#N/A</v>
        <stp/>
        <stp>##V3_BDPV12</stp>
        <stp>XS0271449000 Corp</stp>
        <stp>CPN_FREQ</stp>
        <stp>[portefeuille USD.xlsm]SSA!R50C27_x0000_R</stp>
        <tr r="AA50" s="16"/>
      </tp>
      <tp t="e">
        <v>#N/A</v>
        <stp/>
        <stp>##V3_BDPV12</stp>
        <stp>XS0322956490 Corp</stp>
        <stp>CPN_FREQ</stp>
        <stp>[portefeuille USD.xlsm]SSA!R59C27_x0000_R</stp>
        <tr r="AA59" s="16"/>
      </tp>
      <tp t="e">
        <v>#N/A</v>
        <stp/>
        <stp>##V3_BDPV12</stp>
        <stp>FR0011018332 Corp</stp>
        <stp>ISSUE_DT</stp>
        <stp>[portefeuille USD.xlsm]SSA!R87C21_x0000__x0000_</stp>
        <tr r="U87" s="16"/>
      </tp>
      <tp t="e">
        <v>#N/A</v>
        <stp/>
        <stp>##V3_BDPV12</stp>
        <stp>XS0749451398 Corp</stp>
        <stp>CPN_FREQ</stp>
        <stp>[portefeuille USD.xlsm]SSA!R99C27_x0000__x0000_</stp>
        <tr r="AA99" s="16"/>
      </tp>
      <tp t="e">
        <v>#N/A</v>
        <stp/>
        <stp>##V3_BDPV12</stp>
        <stp>US298785FM34 Corp</stp>
        <stp>AMT_OUTSTANDING</stp>
        <stp>[portefeuille USD.xlsm]SSA!R85C28_x0000_R</stp>
        <tr r="AB85" s="16"/>
      </tp>
      <tp t="e">
        <v>#N/A</v>
        <stp/>
        <stp>##V3_BDPV12</stp>
        <stp>FR0011018332 Corp</stp>
        <stp>MATURITY</stp>
        <stp>[portefeuille USD.xlsm]SSA!R87C25_x0000__x0000_</stp>
        <tr r="Y87" s="16"/>
      </tp>
      <tp t="e">
        <v>#N/A</v>
        <stp/>
        <stp>##V3_BDPV12</stp>
        <stp>XS0225513703 Corp</stp>
        <stp>AMT_OUTSTANDING</stp>
        <stp>[portefeuille USD.xlsm]SSA!R40C28_x0000_R</stp>
        <tr r="AB40" s="16"/>
      </tp>
      <tp t="e">
        <v>#N/A</v>
        <stp/>
        <stp>##V3_BDPV12</stp>
        <stp>EF086162 Corp Govt</stp>
        <stp>SECURITY_DES</stp>
        <stp>[portefeuille USD.xlsm]SSA!R33C2_x0000__x0000_</stp>
        <tr r="B33" s="16"/>
      </tp>
      <tp t="e">
        <v>#N/A</v>
        <stp/>
        <stp>##V3_BDPV12</stp>
        <stp>XS0311512957 Corp</stp>
        <stp>AMT_OUTSTANDING</stp>
        <stp>[portefeuille USD.xlsm]SSA!R13C28_x0000__x0000_</stp>
        <tr r="AB13" s="16"/>
      </tp>
      <tp t="e">
        <v>#N/A</v>
        <stp/>
        <stp>##V3_BDPV12</stp>
        <stp>XS0271449000 Corp</stp>
        <stp>AMT_OUTSTANDING</stp>
        <stp>[portefeuille USD.xlsm]SSA!R50C28_x0000_R</stp>
        <tr r="AB50" s="16"/>
      </tp>
      <tp t="e">
        <v>#N/A</v>
        <stp/>
        <stp>##V3_BDPV12</stp>
        <stp>XS0760314103 Corp</stp>
        <stp>MATURITY</stp>
        <stp>[portefeuille USD.xlsm]SSA!R119C25_x0000__x0000_</stp>
        <tr r="Y119" s="16"/>
      </tp>
      <tp t="e">
        <v>#N/A</v>
        <stp/>
        <stp>##V3_BDPV12</stp>
        <stp>US9127955U17 Govt</stp>
        <stp>YLD_YTM_ASK</stp>
        <stp>[portefeuille USD.xlsm]treasuries!R2C8_x0000_8</stp>
        <tr r="H2" s="13"/>
      </tp>
      <tp t="e">
        <v>#N/A</v>
        <stp/>
        <stp>##V3_BDPV12</stp>
        <stp>XS0561837013 Corp</stp>
        <stp>MATURITY</stp>
        <stp>[portefeuille USD.xlsm]SSA!R128C25_x0000__x0000_</stp>
        <tr r="Y128" s="16"/>
      </tp>
      <tp t="e">
        <v>#N/A</v>
        <stp/>
        <stp>##V3_BDPV12</stp>
        <stp>XS0451654189 Corp</stp>
        <stp>MATURITY</stp>
        <stp>[portefeuille USD.xlsm]SSA!R129C25_x0000__x0000_</stp>
        <tr r="Y129" s="16"/>
      </tp>
      <tp t="e">
        <v>#N/A</v>
        <stp/>
        <stp>##V3_BDPV12</stp>
        <stp>US63983TAC99 Corp</stp>
        <stp>MATURITY</stp>
        <stp>[portefeuille USD.xlsm]SSA!R9C25_x0000_9</stp>
        <tr r="Y9" s="16"/>
      </tp>
      <tp t="e">
        <v>#N/A</v>
        <stp/>
        <stp>##V3_BDPV12</stp>
        <stp>US298785DD52 Corp</stp>
        <stp>ISSUE_DT</stp>
        <stp>[portefeuille USD.xlsm]SSA!R56C21_x0000_R</stp>
        <tr r="U56" s="16"/>
      </tp>
      <tp t="e">
        <v>#N/A</v>
        <stp/>
        <stp>##V3_BDPV12</stp>
        <stp>XS0592582653 Corp</stp>
        <stp>CPN_FREQ</stp>
        <stp>[portefeuille USD.xlsm]SSA!R113C27_x0000__x0000_</stp>
        <tr r="AA113" s="16"/>
      </tp>
      <tp t="e">
        <v>#N/A</v>
        <stp/>
        <stp>##V3_BDPV12</stp>
        <stp>US298785EV42 Corp</stp>
        <stp>ISSUE_DT</stp>
        <stp>[portefeuille USD.xlsm]SSA!R52C21_x0000_R</stp>
        <tr r="U52" s="16"/>
      </tp>
      <tp t="e">
        <v>#N/A</v>
        <stp/>
        <stp>##V3_BDPV12</stp>
        <stp>US298785FQ48 Corp</stp>
        <stp>CPN_FREQ</stp>
        <stp>[portefeuille USD.xlsm]SSA!R71C27_x0000_R</stp>
        <tr r="AA71" s="16"/>
      </tp>
      <tp t="e">
        <v>#N/A</v>
        <stp/>
        <stp>##V3_BDPV12</stp>
        <stp>US298785DR49 Corp</stp>
        <stp>CPN_FREQ</stp>
        <stp>[portefeuille USD.xlsm]SSA!R67C27_x0000_R</stp>
        <tr r="AA67" s="16"/>
      </tp>
      <tp t="e">
        <v>#N/A</v>
        <stp/>
        <stp>##V3_BDPV12</stp>
        <stp>US63983TAE55 Corp</stp>
        <stp>AMT_OUTSTANDING</stp>
        <stp>[portefeuille USD.xlsm]SSA!R11C28_x0000__x0000_</stp>
        <tr r="AB11" s="16"/>
      </tp>
      <tp t="e">
        <v>#N/A</v>
        <stp/>
        <stp>##V3_BDPV12</stp>
        <stp>US298785EV42 Corp</stp>
        <stp>MATURITY</stp>
        <stp>[portefeuille USD.xlsm]SSA!R52C25_x0000_R</stp>
        <tr r="Y52" s="16"/>
      </tp>
      <tp t="e">
        <v>#N/A</v>
        <stp/>
        <stp>##V3_BDPV12</stp>
        <stp>US298785DD52 Corp</stp>
        <stp>MATURITY</stp>
        <stp>[portefeuille USD.xlsm]SSA!R56C25_x0000_R</stp>
        <tr r="Y56" s="16"/>
      </tp>
      <tp t="e">
        <v>#N/A</v>
        <stp/>
        <stp>##V3_BDPV12</stp>
        <stp>XS0495091620 Govt</stp>
        <stp>SECURITY_DES</stp>
        <stp>[portefeuille USD.xlsm]SSA!R7C2_x0000_6</stp>
        <tr r="B7" s="16"/>
      </tp>
      <tp t="e">
        <v>#N/A</v>
        <stp/>
        <stp>##V3_BDPV12</stp>
        <stp>XS0322956490 Corp</stp>
        <stp>YLD_YTM_BID</stp>
        <stp>[portefeuille USD.xlsm]SSA!R59C8_x0000__x0000_</stp>
        <tr r="H59" s="16"/>
      </tp>
      <tp t="e">
        <v>#N/A</v>
        <stp/>
        <stp>##V3_BDPV12</stp>
        <stp>FR0010941732 Corp</stp>
        <stp>YLD_YTM_ASK</stp>
        <stp>[portefeuille USD.xlsm]SSA!R96C8_x0000_!</stp>
        <tr r="H96" s="16"/>
      </tp>
      <tp t="e">
        <v>#N/A</v>
        <stp/>
        <stp>##V3_BDPV12</stp>
        <stp>XS0637187773 Corp</stp>
        <stp>INT_ACC_DT</stp>
        <stp>[portefeuille USD.xlsm]SSA!R15C22_x0000__x0000_</stp>
        <tr r="V15" s="16"/>
      </tp>
      <tp t="e">
        <v>#N/A</v>
        <stp/>
        <stp>##V3_BDPV12</stp>
        <stp>XS0252479497 Corp</stp>
        <stp>YLD_YTM_BID</stp>
        <stp>[portefeuille USD.xlsm]SSA!R45C8_x0000__x0000_</stp>
        <tr r="H45" s="16"/>
      </tp>
      <tp t="e">
        <v>#N/A</v>
        <stp/>
        <stp>##V3_BDPV12</stp>
        <stp>XS0287792914 Corp</stp>
        <stp>MATURITY</stp>
        <stp>[portefeuille USD.xlsm]SSA!R54C25_x0000_R</stp>
        <tr r="Y54" s="16"/>
      </tp>
      <tp t="e">
        <v>#N/A</v>
        <stp/>
        <stp>##V3_BDPV12</stp>
        <stp>XS0205179483 Corp</stp>
        <stp>CPN_FREQ</stp>
        <stp>[portefeuille USD.xlsm]SSA!R41C27_x0000_R</stp>
        <tr r="AA41" s="16"/>
      </tp>
      <tp t="e">
        <v>#N/A</v>
        <stp/>
        <stp>##V3_BDPV12</stp>
        <stp>XS0771920856 Corp</stp>
        <stp>MATURITY</stp>
        <stp>[portefeuille USD.xlsm]SSA!R92C25_x0000__x0000_</stp>
        <tr r="Y92" s="16"/>
      </tp>
      <tp t="e">
        <v>#N/A</v>
        <stp/>
        <stp>##V3_BDPV12</stp>
        <stp>XS0287792914 Corp</stp>
        <stp>ISSUE_DT</stp>
        <stp>[portefeuille USD.xlsm]SSA!R54C21_x0000_R</stp>
        <tr r="U54" s="16"/>
      </tp>
      <tp t="e">
        <v>#N/A</v>
        <stp/>
        <stp>##V3_BDPV12</stp>
        <stp>US912828RA05 Govt</stp>
        <stp>SECURITY_DES</stp>
        <stp>[portefeuille USD.xlsm]treasuries!R69C2_x0000__x0000_</stp>
        <tr r="B69" s="13"/>
      </tp>
      <tp t="e">
        <v>#N/A</v>
        <stp/>
        <stp>##V3_BDPV12</stp>
        <stp>US912828BA78 Govt</stp>
        <stp>SECURITY_DES</stp>
        <stp>[portefeuille USD.xlsm]treasuries!R64C2_x0000__x0000_</stp>
        <tr r="B64" s="13"/>
      </tp>
      <tp t="e">
        <v>#N/A</v>
        <stp/>
        <stp>##V3_BDPV12</stp>
        <stp>EI939268 Corp Govt</stp>
        <stp>SECURITY_DES</stp>
        <stp>[portefeuille USD.xlsm]SSA!R21C2_x0000__x0000_</stp>
        <tr r="B21" s="16"/>
      </tp>
      <tp t="e">
        <v>#N/A</v>
        <stp/>
        <stp>##V3_BDPV12</stp>
        <stp>FR0010875302 Corp</stp>
        <stp>AMT_OUTSTANDING</stp>
        <stp>[portefeuille USD.xlsm]SSA!R88C28_x0000__x0000_</stp>
        <tr r="AB88" s="16"/>
      </tp>
      <tp t="e">
        <v>#N/A</v>
        <stp/>
        <stp>##V3_BDPV12</stp>
        <stp>EC687043 Corp Govt</stp>
        <stp>SECURITY_DES</stp>
        <stp>[portefeuille USD.xlsm]SSA!R35C2_x0000__x0000_</stp>
        <tr r="B35" s="16"/>
      </tp>
      <tp t="e">
        <v>#N/A</v>
        <stp/>
        <stp>##V3_BDPV12</stp>
        <stp>ED037578 Corp Govt</stp>
        <stp>SECURITY_DES</stp>
        <stp>[portefeuille USD.xlsm]SSA!R30C2_x0000__x0000_</stp>
        <tr r="B30" s="16"/>
      </tp>
      <tp t="e">
        <v>#N/A</v>
        <stp/>
        <stp>##V3_BDPV12</stp>
        <stp>XS0771920856 Corp</stp>
        <stp>ISSUE_DT</stp>
        <stp>[portefeuille USD.xlsm]SSA!R92C21_x0000__x0000_</stp>
        <tr r="U92" s="16"/>
      </tp>
      <tp t="e">
        <v>#N/A</v>
        <stp/>
        <stp>##V3_BDPV12</stp>
        <stp>US912828CA69 Govt</stp>
        <stp>SECURITY_DES</stp>
        <stp>[portefeuille USD.xlsm]treasuries!R95C2_x0000_6</stp>
        <tr r="B95" s="13"/>
      </tp>
      <tp t="e">
        <v>#N/A</v>
        <stp/>
        <stp>##V3_BDPV12</stp>
        <stp>US9127956N64 Govt</stp>
        <stp>SECURITY_DES</stp>
        <stp>[portefeuille USD.xlsm]treasuries!R29C2_x0000_3</stp>
        <tr r="B29" s="13"/>
      </tp>
      <tp t="e">
        <v>#N/A</v>
        <stp/>
        <stp>##V3_BDPV12</stp>
        <stp>FR0010394452 Corp</stp>
        <stp>CPN_FREQ</stp>
        <stp>[portefeuille USD.xlsm]SSA!R93C27_x0000__x0000_</stp>
        <tr r="AA93" s="16"/>
      </tp>
      <tp t="e">
        <v>#N/A</v>
        <stp/>
        <stp>##V3_BDPV12</stp>
        <stp>XS0547845205 Corp</stp>
        <stp>AMT_OUTSTANDING</stp>
        <stp>[portefeuille USD.xlsm]SSA!R81C28_x0000_R</stp>
        <tr r="AB81" s="16"/>
      </tp>
      <tp t="e">
        <v>#N/A</v>
        <stp/>
        <stp>##V3_BDPV12</stp>
        <stp>XS0477137813 Corp</stp>
        <stp>MATURITY</stp>
        <stp>[portefeuille USD.xlsm]SSA!R120C25_x0000__x0000_</stp>
        <tr r="Y120" s="16"/>
      </tp>
      <tp t="e">
        <v>#N/A</v>
        <stp/>
        <stp>##V3_BDPV12</stp>
        <stp>XS0172157876 Corp</stp>
        <stp>MATURITY</stp>
        <stp>[portefeuille USD.xlsm]SSA!R125C25_x0000__x0000_</stp>
        <tr r="Y125" s="16"/>
      </tp>
      <tp t="e">
        <v>#N/A</v>
        <stp/>
        <stp>##V3_BDPV12</stp>
        <stp>US298785FF82 Corp</stp>
        <stp>ISSUE_DT</stp>
        <stp>[portefeuille USD.xlsm]SSA!R49C21_x0000_R</stp>
        <tr r="U49" s="16"/>
      </tp>
      <tp t="e">
        <v>#N/A</v>
        <stp/>
        <stp>##V3_BDPV12</stp>
        <stp>US298785EZ55 Corp</stp>
        <stp>ISSUE_DT</stp>
        <stp>[portefeuille USD.xlsm]SSA!R39C21_x0000_R</stp>
        <tr r="U39" s="16"/>
      </tp>
      <tp t="e">
        <v>#N/A</v>
        <stp/>
        <stp>##V3_BDPV12</stp>
        <stp>XS0284982922 Corp</stp>
        <stp>CPN_FREQ</stp>
        <stp>[portefeuille USD.xlsm]SSA!R114C27_x0000__x0000_</stp>
        <tr r="AA114" s="16"/>
      </tp>
      <tp t="e">
        <v>#N/A</v>
        <stp/>
        <stp>##V3_BDPV12</stp>
        <stp>US63983UAB89 Corp</stp>
        <stp>MATURITY</stp>
        <stp>[portefeuille USD.xlsm]SSA!R6C25_x0000_6</stp>
        <tr r="Y6" s="16"/>
      </tp>
      <tp t="e">
        <v>#N/A</v>
        <stp/>
        <stp>##V3_BDPV12</stp>
        <stp>XS0300990529 Corp</stp>
        <stp>MATURITY</stp>
        <stp>[portefeuille USD.xlsm]SSA!R122C25_x0000__x0000_</stp>
        <tr r="Y122" s="16"/>
      </tp>
      <tp t="e">
        <v>#N/A</v>
        <stp/>
        <stp>##V3_BDPV12</stp>
        <stp>XS0353485492 Corp</stp>
        <stp>MATURITY</stp>
        <stp>[portefeuille USD.xlsm]SSA!R126C25_x0000__x0000_</stp>
        <tr r="Y126" s="16"/>
      </tp>
      <tp t="e">
        <v>#N/A</v>
        <stp/>
        <stp>##V3_BDPV12</stp>
        <stp>US298785DY99 Corp</stp>
        <stp>CPN_FREQ</stp>
        <stp>[portefeuille USD.xlsm]SSA!R72C27_x0000_R</stp>
        <tr r="AA72" s="16"/>
      </tp>
      <tp t="e">
        <v>#N/A</v>
        <stp/>
        <stp>##V3_BDPV12</stp>
        <stp>US298785EZ55 Corp</stp>
        <stp>MATURITY</stp>
        <stp>[portefeuille USD.xlsm]SSA!R39C25_x0000_R</stp>
        <tr r="Y39" s="16"/>
      </tp>
      <tp t="e">
        <v>#N/A</v>
        <stp/>
        <stp>##V3_BDPV12</stp>
        <stp>US298785FB78 Corp</stp>
        <stp>CPN_FREQ</stp>
        <stp>[portefeuille USD.xlsm]SSA!R61C27_x0000_R</stp>
        <tr r="AA61" s="16"/>
      </tp>
      <tp t="e">
        <v>#N/A</v>
        <stp/>
        <stp>##V3_BDPV12</stp>
        <stp>US298785FF82 Corp</stp>
        <stp>MATURITY</stp>
        <stp>[portefeuille USD.xlsm]SSA!R49C25_x0000_R</stp>
        <tr r="Y49" s="16"/>
      </tp>
      <tp t="e">
        <v>#N/A</v>
        <stp/>
        <stp>##V3_BDPV12</stp>
        <stp>US298785FU59 Corp</stp>
        <stp>CPN_FREQ</stp>
        <stp>[portefeuille USD.xlsm]SSA!R77C27_x0000_R</stp>
        <tr r="AA77" s="16"/>
      </tp>
      <tp t="e">
        <v>#N/A</v>
        <stp/>
        <stp>##V3_BDPV12</stp>
        <stp>US63983UAD46 Corp</stp>
        <stp>AMT_OUTSTANDING</stp>
        <stp>[portefeuille USD.xlsm]SSA!R10C28_x0000__x0000_</stp>
        <tr r="AB10" s="16"/>
      </tp>
      <tp t="e">
        <v>#N/A</v>
        <stp/>
        <stp>##V3_BDPV12</stp>
        <stp>XS0225513703 Corp</stp>
        <stp>PENULTIMATE_CPN_DT</stp>
        <stp>[portefeuille USD.xlsm]SSA!R40C24_x0000_R</stp>
        <tr r="X40" s="16"/>
      </tp>
      <tp t="e">
        <v>#N/A</v>
        <stp/>
        <stp>##V3_BDPV12</stp>
        <stp>XS0458548921 Corp</stp>
        <stp>CPN</stp>
        <stp>[portefeuille USD.xlsm]SSA!R2C26_x0000__x0000_</stp>
        <tr r="Z2" s="16"/>
      </tp>
      <tp t="e">
        <v>#N/A</v>
        <stp/>
        <stp>##V3_BDPV12</stp>
        <stp>XS0771920856 Corp</stp>
        <stp>INT_ACC_DT</stp>
        <stp>[portefeuille USD.xlsm]SSA!R92C22_x0000__x0000_</stp>
        <tr r="V92" s="16"/>
      </tp>
      <tp t="e">
        <v>#N/A</v>
        <stp/>
        <stp>##V3_BDPV12</stp>
        <stp>USN9638CAY59 Corp</stp>
        <stp>FIRST_CPN_DT</stp>
        <stp>[portefeuille USD.xlsm]SSA!R12C23_x0000__x0000_</stp>
        <tr r="W12" s="16"/>
      </tp>
      <tp t="e">
        <v>#N/A</v>
        <stp/>
        <stp>##V3_BDPV12</stp>
        <stp>US9127956P13 Corp</stp>
        <stp>CPN</stp>
        <stp>[portefeuille USD.xlsm]treasuries!R32C27_x0000__x0000_</stp>
        <tr r="AA32" s="13"/>
      </tp>
      <tp t="e">
        <v>#N/A</v>
        <stp/>
        <stp>##V3_BDPV12</stp>
        <stp>US912828JT87 Corp</stp>
        <stp>CPN</stp>
        <stp>[portefeuille USD.xlsm]treasuries!R87C27_x0000__x0000_</stp>
        <tr r="AA87" s="13"/>
      </tp>
      <tp t="e">
        <v>#N/A</v>
        <stp/>
        <stp>##V3_BDPV12</stp>
        <stp>US912828QZ64 Corp</stp>
        <stp>CPN</stp>
        <stp>[portefeuille USD.xlsm]treasuries!R66C27_x0000__x0000_</stp>
        <tr r="AA66" s="13"/>
      </tp>
      <tp t="e">
        <v>#N/A</v>
        <stp/>
        <stp>##V3_BDPV12</stp>
        <stp>US912828MX52 Corp</stp>
        <stp>CPN</stp>
        <stp>[portefeuille USD.xlsm]treasuries!R59C27_x0000__x0000_</stp>
        <tr r="AA59" s="13"/>
      </tp>
      <tp t="e">
        <v>#N/A</v>
        <stp/>
        <stp>##V3_BDPV12</stp>
        <stp>US912828PU86 Corp</stp>
        <stp>CPN</stp>
        <stp>[portefeuille USD.xlsm]treasuries!R84C27_x0000__x0000_</stp>
        <tr r="AA84" s="13"/>
      </tp>
      <tp t="e">
        <v>#N/A</v>
        <stp/>
        <stp>##V3_BDPV12</stp>
        <stp>US9127955V99 Corp</stp>
        <stp>CPN</stp>
        <stp>[portefeuille USD.xlsm]treasuries!R45C27_x0000__x0000_</stp>
        <tr r="AA45" s="13"/>
      </tp>
      <tp t="e">
        <v>#N/A</v>
        <stp/>
        <stp>##V3_BDPV12</stp>
        <stp>US12802DAB29 Corp</stp>
        <stp>DAY_CNT_DES</stp>
        <stp>[portefeuille USD.xlsm]SSA!R102C29_x0000__x0000_</stp>
        <tr r="AC102" s="16"/>
      </tp>
      <tp t="e">
        <v>#N/A</v>
        <stp/>
        <stp>##V3_BDPV12</stp>
        <stp>US912828AJ96 Corp</stp>
        <stp>INT_ACC_DT</stp>
        <stp>[portefeuille USD.xlsm]treasuries!R11C23_x0000__x0000_</stp>
        <tr r="W11" s="13"/>
      </tp>
      <tp t="e">
        <v>#N/A</v>
        <stp/>
        <stp>##V3_BDPV12</stp>
        <stp>US912828NY27 Corp</stp>
        <stp>CPN</stp>
        <stp>[portefeuille USD.xlsm]treasuries!R78C27_x0000__x0000_</stp>
        <tr r="AA78" s="13"/>
      </tp>
      <tp t="e">
        <v>#N/A</v>
        <stp/>
        <stp>##V3_BDPV12</stp>
        <stp>US912828JW17 Corp</stp>
        <stp>CPN</stp>
        <stp>[portefeuille USD.xlsm]treasuries!R90C27_x0000__x0000_</stp>
        <tr r="AA90" s="13"/>
      </tp>
      <tp t="e">
        <v>#N/A</v>
        <stp/>
        <stp>##V3_BDPV12</stp>
        <stp>US912828JW17 Corp</stp>
        <stp>INT_ACC_DT</stp>
        <stp>[portefeuille USD.xlsm]treasuries!R90C23_x0000__x0000_</stp>
        <tr r="W90" s="13"/>
      </tp>
      <tp t="e">
        <v>#N/A</v>
        <stp/>
        <stp>##V3_BDPV12</stp>
        <stp>US912828JZ48 Corp</stp>
        <stp>INT_ACC_DT</stp>
        <stp>[portefeuille USD.xlsm]treasuries!R92C23_x0000__x0000_</stp>
        <tr r="W92" s="13"/>
      </tp>
      <tp t="e">
        <v>#N/A</v>
        <stp/>
        <stp>##V3_BDPV12</stp>
        <stp>US912828RW25 Corp</stp>
        <stp>CPN</stp>
        <stp>[portefeuille USD.xlsm]treasuries!R89C27_x0000__x0000_</stp>
        <tr r="AA89" s="13"/>
      </tp>
      <tp t="e">
        <v>#N/A</v>
        <stp/>
        <stp>##V3_BDPV12</stp>
        <stp>US912828HY90 Corp</stp>
        <stp>CPN</stp>
        <stp>[portefeuille USD.xlsm]treasuries!R61C27_x0000__x0000_</stp>
        <tr r="AA61" s="13"/>
      </tp>
      <tp t="e">
        <v>#N/A</v>
        <stp/>
        <stp>##V3_BDPV12</stp>
        <stp>US9127956S51 Corp</stp>
        <stp>CPN</stp>
        <stp>[portefeuille USD.xlsm]treasuries!R33C27_x0000__x0000_</stp>
        <tr r="AA33" s="13"/>
      </tp>
      <tp t="e">
        <v>#N/A</v>
        <stp/>
        <stp>##V3_BDPV12</stp>
        <stp>US912828JQ49 Corp</stp>
        <stp>INT_ACC_DT</stp>
        <stp>[portefeuille USD.xlsm]treasuries!R83C23_x0000__x0000_</stp>
        <tr r="W83" s="13"/>
      </tp>
      <tp t="e">
        <v>#N/A</v>
        <stp/>
        <stp>##V3_BDPV12</stp>
        <stp>US912828JT87 Corp</stp>
        <stp>INT_ACC_DT</stp>
        <stp>[portefeuille USD.xlsm]treasuries!R87C23_x0000__x0000_</stp>
        <tr r="W87" s="13"/>
      </tp>
      <tp t="e">
        <v>#N/A</v>
        <stp/>
        <stp>##V3_BDPV12</stp>
        <stp>US912828AP56 Corp</stp>
        <stp>INT_ACC_DT</stp>
        <stp>[portefeuille USD.xlsm]treasuries!R35C23_x0000__x0000_</stp>
        <tr r="W35" s="13"/>
      </tp>
      <tp t="e">
        <v>#N/A</v>
        <stp/>
        <stp>##V3_BDPV12</stp>
        <stp>US12802NAB01 Corp</stp>
        <stp>DAY_CNT_DES</stp>
        <stp>[portefeuille USD.xlsm]SSA!R101C29_x0000__x0000_</stp>
        <tr r="AC101" s="16"/>
      </tp>
      <tp t="e">
        <v>#N/A</v>
        <stp/>
        <stp>##V3_BDPV12</stp>
        <stp>US912828KF64 Corp</stp>
        <stp>INT_ACC_DT</stp>
        <stp>[portefeuille USD.xlsm]treasuries!R97C23_x0000__x0000_</stp>
        <tr r="W97" s="13"/>
      </tp>
      <tp t="e">
        <v>#N/A</v>
        <stp/>
        <stp>##V3_BDPV12</stp>
        <stp>US912828JM35 Corp</stp>
        <stp>INT_ACC_DT</stp>
        <stp>[portefeuille USD.xlsm]treasuries!R80C23_x0000__x0000_</stp>
        <tr r="W80" s="13"/>
      </tp>
      <tp t="e">
        <v>#N/A</v>
        <stp/>
        <stp>##V3_BDPV12</stp>
        <stp>US912795Y967 Corp</stp>
        <stp>PENULTIMATE_CPN_DT</stp>
        <stp>[portefeuille USD.xlsm]treasuries!R14C25_x0000__x0000_</stp>
        <tr r="Y14" s="13"/>
      </tp>
      <tp t="e">
        <v>#N/A</v>
        <stp/>
        <stp>##V3_BDPV12</stp>
        <stp>US912828QY99 Govt</stp>
        <stp>YLD_YTM_ASK</stp>
        <stp>[portefeuille USD.xlsm]treasuries!R212C8_x0000__x0000_</stp>
        <tr r="H212" s="13"/>
      </tp>
      <tp t="e">
        <v>#N/A</v>
        <stp/>
        <stp>##V3_BDPV12</stp>
        <stp>US912828RY80 Govt</stp>
        <stp>YLD_YTM_ASK</stp>
        <stp>[portefeuille USD.xlsm]treasuries!R220C8_x0000__x0000_</stp>
        <tr r="H220" s="13"/>
      </tp>
      <tp t="e">
        <v>#N/A</v>
        <stp/>
        <stp>##V3_BDPV12</stp>
        <stp>US912828NZ91 Govt</stp>
        <stp>YLD_YTM_ASK</stp>
        <stp>[portefeuille USD.xlsm]treasuries!R143C8_x0000__x0000_</stp>
        <tr r="H143" s="13"/>
      </tp>
      <tp t="e">
        <v>#N/A</v>
        <stp/>
        <stp>##V3_BDPV12</stp>
        <stp>US9127956T35 Corp</stp>
        <stp>CPN</stp>
        <stp>[portefeuille USD.xlsm]treasuries!R37C27_x0000__x0000_</stp>
        <tr r="AA37" s="13"/>
      </tp>
      <tp t="e">
        <v>#N/A</v>
        <stp/>
        <stp>##V3_BDPV12</stp>
        <stp>US912828PY09 Govt</stp>
        <stp>YLD_YTM_ASK</stp>
        <stp>[portefeuille USD.xlsm]treasuries!R205C8_x0000__x0000_</stp>
        <tr r="H205" s="13"/>
      </tp>
      <tp t="e">
        <v>#N/A</v>
        <stp/>
        <stp>##V3_BDPV12</stp>
        <stp>US912828MZ01 Govt</stp>
        <stp>YLD_YTM_ASK</stp>
        <stp>[portefeuille USD.xlsm]treasuries!R134C8_x0000__x0000_</stp>
        <tr r="H134" s="13"/>
      </tp>
      <tp t="e">
        <v>#N/A</v>
        <stp/>
        <stp>##V3_BDPV12</stp>
        <stp>US912828LZ10 Govt</stp>
        <stp>YLD_YTM_ASK</stp>
        <stp>[portefeuille USD.xlsm]treasuries!R122C8_x0000__x0000_</stp>
        <tr r="H122" s="13"/>
      </tp>
      <tp t="e">
        <v>#N/A</v>
        <stp/>
        <stp>##V3_BDPV12</stp>
        <stp>US912810DZ85 Govt</stp>
        <stp>YLD_YTM_ASK</stp>
        <stp>[portefeuille USD.xlsm]treasuries!R195C8_x0000__x0000_</stp>
        <tr r="H195" s="13"/>
      </tp>
      <tp t="e">
        <v>#N/A</v>
        <stp/>
        <stp>##V3_BDPV12</stp>
        <stp>US912828KZ29 Govt</stp>
        <stp>YLD_YTM_ASK</stp>
        <stp>[portefeuille USD.xlsm]treasuries!R162C8_x0000__x0000_</stp>
        <tr r="H162" s="13"/>
      </tp>
      <tp t="e">
        <v>#N/A</v>
        <stp/>
        <stp>##V3_BDPV12</stp>
        <stp>US912828PQ74 Corp</stp>
        <stp>CPN</stp>
        <stp>[portefeuille USD.xlsm]treasuries!R91C27_x0000__x0000_</stp>
        <tr r="AA91" s="13"/>
      </tp>
      <tp t="e">
        <v>#N/A</v>
        <stp/>
        <stp>##V3_BDPV12</stp>
        <stp>US912828LY45 Govt</stp>
        <stp>YLD_YTM_ASK</stp>
        <stp>[portefeuille USD.xlsm]treasuries!R231C8_x0000__x0000_</stp>
        <tr r="H231" s="13"/>
      </tp>
      <tp t="e">
        <v>#N/A</v>
        <stp/>
        <stp>##V3_BDPV12</stp>
        <stp>US912828RZ55 Govt</stp>
        <stp>YLD_YTM_ASK</stp>
        <stp>[portefeuille USD.xlsm]treasuries!R125C8_x0000__x0000_</stp>
        <tr r="H125" s="13"/>
      </tp>
      <tp t="e">
        <v>#N/A</v>
        <stp/>
        <stp>##V3_BDPV12</stp>
        <stp>US912810EY02 Govt</stp>
        <stp>YLD_YTM_ASK</stp>
        <stp>[portefeuille USD.xlsm]treasuries!R258C8_x0000__x0000_</stp>
        <tr r="H258" s="13"/>
      </tp>
      <tp t="e">
        <v>#N/A</v>
        <stp/>
        <stp>##V3_BDPV12</stp>
        <stp>US912828PU86 Corp</stp>
        <stp>PENULTIMATE_CPN_DT</stp>
        <stp>[portefeuille USD.xlsm]treasuries!R84C25_x0000__x0000_</stp>
        <tr r="Y84" s="13"/>
      </tp>
      <tp t="e">
        <v>#N/A</v>
        <stp/>
        <stp>##V3_BDPV12</stp>
        <stp>US912828PB06 Corp</stp>
        <stp>PENULTIMATE_CPN_DT</stp>
        <stp>[portefeuille USD.xlsm]treasuries!R81C25_x0000__x0000_</stp>
        <tr r="Y81" s="13"/>
      </tp>
      <tp t="e">
        <v>#N/A</v>
        <stp/>
        <stp>##V3_BDPV12</stp>
        <stp>US912828PL87 Corp</stp>
        <stp>PENULTIMATE_CPN_DT</stp>
        <stp>[portefeuille USD.xlsm]treasuries!R88C25_x0000__x0000_</stp>
        <tr r="Y88" s="13"/>
      </tp>
      <tp t="e">
        <v>#N/A</v>
        <stp/>
        <stp>##V3_BDPV12</stp>
        <stp>US912828QH66 Corp</stp>
        <stp>PENULTIMATE_CPN_DT</stp>
        <stp>[portefeuille USD.xlsm]treasuries!R94C25_x0000__x0000_</stp>
        <tr r="Y94" s="13"/>
      </tp>
      <tp t="e">
        <v>#N/A</v>
        <stp/>
        <stp>##V3_BDPV12</stp>
        <stp>US912828BH22 Corp</stp>
        <stp>INT_ACC_DT</stp>
        <stp>[portefeuille USD.xlsm]treasuries!R75C23_x0000__x0000_</stp>
        <tr r="W75" s="13"/>
      </tp>
      <tp t="e">
        <v>#N/A</v>
        <stp/>
        <stp>##V3_BDPV12</stp>
        <stp>US912828SX98 Govt</stp>
        <stp>YLD_YTM_ASK</stp>
        <stp>[portefeuille USD.xlsm]treasuries!R228C8_x0000__x0000_</stp>
        <tr r="H228" s="13"/>
      </tp>
      <tp t="e">
        <v>#N/A</v>
        <stp/>
        <stp>##V3_BDPV12</stp>
        <stp>US912828PX26 Govt</stp>
        <stp>YLD_YTM_ASK</stp>
        <stp>[portefeuille USD.xlsm]treasuries!R239C8_x0000__x0000_</stp>
        <tr r="H239" s="13"/>
      </tp>
      <tp t="e">
        <v>#N/A</v>
        <stp/>
        <stp>##V3_BDPV12</stp>
        <stp>US9127956U08 Corp</stp>
        <stp>CPN</stp>
        <stp>[portefeuille USD.xlsm]treasuries!R38C27_x0000__x0000_</stp>
        <tr r="AA38" s="13"/>
      </tp>
      <tp t="e">
        <v>#N/A</v>
        <stp/>
        <stp>##V3_BDPV12</stp>
        <stp>US912828JQ49 Corp</stp>
        <stp>CPN</stp>
        <stp>[portefeuille USD.xlsm]treasuries!R83C27_x0000__x0000_</stp>
        <tr r="AA83" s="13"/>
      </tp>
      <tp t="e">
        <v>#N/A</v>
        <stp/>
        <stp>##V3_BDPV12</stp>
        <stp>US912810PX00 Govt</stp>
        <stp>YLD_YTM_ASK</stp>
        <stp>[portefeuille USD.xlsm]treasuries!R272C8_x0000__x0000_</stp>
        <tr r="H272" s="13"/>
      </tp>
      <tp t="e">
        <v>#N/A</v>
        <stp/>
        <stp>##V3_BDPV12</stp>
        <stp>US912810EX29 Govt</stp>
        <stp>YLD_YTM_ASK</stp>
        <stp>[portefeuille USD.xlsm]treasuries!R257C8_x0000__x0000_</stp>
        <tr r="H257" s="13"/>
      </tp>
      <tp t="e">
        <v>#N/A</v>
        <stp/>
        <stp>##V3_BDPV12</stp>
        <stp>US912828PZ73 Corp</stp>
        <stp>PENULTIMATE_CPN_DT</stp>
        <stp>[portefeuille USD.xlsm]treasuries!R98C25_x0000__x0000_</stp>
        <tr r="Y98" s="13"/>
      </tp>
      <tp t="e">
        <v>#N/A</v>
        <stp/>
        <stp>##V3_BDPV12</stp>
        <stp>US912828PQ74 Corp</stp>
        <stp>PENULTIMATE_CPN_DT</stp>
        <stp>[portefeuille USD.xlsm]treasuries!R91C25_x0000__x0000_</stp>
        <tr r="Y91" s="13"/>
      </tp>
      <tp t="e">
        <v>#N/A</v>
        <stp/>
        <stp>##V3_BDPV12</stp>
        <stp>US912828AU42 Corp</stp>
        <stp>INT_ACC_DT</stp>
        <stp>[portefeuille USD.xlsm]treasuries!R50C23_x0000__x0000_</stp>
        <tr r="W50" s="13"/>
      </tp>
      <tp t="e">
        <v>#N/A</v>
        <stp/>
        <stp>##V3_BDPV12</stp>
        <stp>US912828BA78 Corp</stp>
        <stp>INT_ACC_DT</stp>
        <stp>[portefeuille USD.xlsm]treasuries!R64C23_x0000__x0000_</stp>
        <tr r="W64" s="13"/>
      </tp>
      <tp t="e">
        <v>#N/A</v>
        <stp/>
        <stp>##V3_BDPV12</stp>
        <stp>US9127955Q05 Corp</stp>
        <stp>CPN</stp>
        <stp>[portefeuille USD.xlsm]treasuries!R41C27_x0000__x0000_</stp>
        <tr r="AA41" s="13"/>
      </tp>
      <tp t="e">
        <v>#N/A</v>
        <stp/>
        <stp>##V3_BDPV12</stp>
        <stp>US912828NX44 Corp</stp>
        <stp>CPN</stp>
        <stp>[portefeuille USD.xlsm]treasuries!R24C27_x0000__x0000_</stp>
        <tr r="AA24" s="13"/>
      </tp>
      <tp t="e">
        <v>#N/A</v>
        <stp/>
        <stp>##V3_BDPV12</stp>
        <stp>US912828RX08 Govt</stp>
        <stp>YLD_YTM_ASK</stp>
        <stp>[portefeuille USD.xlsm]treasuries!R177C8_x0000__x0000_</stp>
        <tr r="H177" s="13"/>
      </tp>
      <tp t="e">
        <v>#N/A</v>
        <stp/>
        <stp>##V3_BDPV12</stp>
        <stp>US912810DX38 Govt</stp>
        <stp>YLD_YTM_ASK</stp>
        <stp>[portefeuille USD.xlsm]treasuries!R174C8_x0000__x0000_</stp>
        <tr r="H174" s="13"/>
      </tp>
      <tp t="e">
        <v>#N/A</v>
        <stp/>
        <stp>##V3_BDPV12</stp>
        <stp>US912828QX17 Govt</stp>
        <stp>YLD_YTM_ASK</stp>
        <stp>[portefeuille USD.xlsm]treasuries!R164C8_x0000__x0000_</stp>
        <tr r="H164" s="13"/>
      </tp>
      <tp t="e">
        <v>#N/A</v>
        <stp/>
        <stp>##V3_BDPV12</stp>
        <stp>US912828BR04 Corp</stp>
        <stp>CPN</stp>
        <stp>[portefeuille USD.xlsm]treasuries!R85C27_x0000__x0000_</stp>
        <tr r="AA85" s="13"/>
      </tp>
      <tp t="e">
        <v>#N/A</v>
        <stp/>
        <stp>##V3_BDPV12</stp>
        <stp>US912828RS13 Corp</stp>
        <stp>PENULTIMATE_CPN_DT</stp>
        <stp>[portefeuille USD.xlsm]treasuries!R86C25_x0000__x0000_</stp>
        <tr r="Y86" s="13"/>
      </tp>
      <tp t="e">
        <v>#N/A</v>
        <stp/>
        <stp>##V3_BDPV12</stp>
        <stp>US912828RW25 Corp</stp>
        <stp>PENULTIMATE_CPN_DT</stp>
        <stp>[portefeuille USD.xlsm]treasuries!R89C25_x0000__x0000_</stp>
        <tr r="Y89" s="13"/>
      </tp>
      <tp t="e">
        <v>#N/A</v>
        <stp/>
        <stp>##V3_BDPV12</stp>
        <stp>US912828SG65 Corp</stp>
        <stp>PENULTIMATE_CPN_DT</stp>
        <stp>[portefeuille USD.xlsm]treasuries!R96C25_x0000__x0000_</stp>
        <tr r="Y96" s="13"/>
      </tp>
      <tp t="e">
        <v>#N/A</v>
        <stp/>
        <stp>##V3_BDPV12</stp>
        <stp>US912828SB78 Corp</stp>
        <stp>PENULTIMATE_CPN_DT</stp>
        <stp>[portefeuille USD.xlsm]treasuries!R93C25_x0000__x0000_</stp>
        <tr r="Y93" s="13"/>
      </tp>
      <tp t="e">
        <v>#N/A</v>
        <stp/>
        <stp>##V3_BDPV12</stp>
        <stp>US912828SL50 Corp</stp>
        <stp>PENULTIMATE_CPN_DT</stp>
        <stp>[portefeuille USD.xlsm]treasuries!R99C25_x0000__x0000_</stp>
        <tr r="Y99" s="13"/>
      </tp>
      <tp t="e">
        <v>#N/A</v>
        <stp/>
        <stp>##V3_BDPV12</stp>
        <stp>US912828RN26 Corp</stp>
        <stp>PENULTIMATE_CPN_DT</stp>
        <stp>[portefeuille USD.xlsm]treasuries!R82C25_x0000__x0000_</stp>
        <tr r="Y82" s="13"/>
      </tp>
      <tp t="e">
        <v>#N/A</v>
        <stp/>
        <stp>##V3_BDPV12</stp>
        <stp>USN9638CAY59 Govt</stp>
        <stp>SECURITY_DES</stp>
        <stp>[portefeuille USD.xlsm]SSA!R12C2_x0000__x0000_</stp>
        <tr r="B12" s="16"/>
      </tp>
      <tp t="e">
        <v>#N/A</v>
        <stp/>
        <stp>##V3_BDPV12</stp>
        <stp>US9127956R78 Corp</stp>
        <stp>CPN</stp>
        <stp>[portefeuille USD.xlsm]treasuries!R65C27_x0000__x0000_</stp>
        <tr r="AA65" s="13"/>
      </tp>
      <tp t="e">
        <v>#N/A</v>
        <stp/>
        <stp>##V3_BDPV12</stp>
        <stp>US912810DY11 Govt</stp>
        <stp>YLD_YTM_ASK</stp>
        <stp>[portefeuille USD.xlsm]treasuries!R189C8_x0000__x0000_</stp>
        <tr r="H189" s="13"/>
      </tp>
      <tp t="e">
        <v>#N/A</v>
        <stp/>
        <stp>##V3_BDPV12</stp>
        <stp>US912828SY71 Govt</stp>
        <stp>YLD_YTM_ASK</stp>
        <stp>[portefeuille USD.xlsm]treasuries!R190C8_x0000__x0000_</stp>
        <tr r="H190" s="13"/>
      </tp>
      <tp t="e">
        <v>#N/A</v>
        <stp/>
        <stp>##V3_BDPV12</stp>
        <stp>US912810EZ76 Govt</stp>
        <stp>YLD_YTM_ASK</stp>
        <stp>[portefeuille USD.xlsm]treasuries!R259C8_x0000__x0000_</stp>
        <tr r="H259" s="13"/>
      </tp>
      <tp t="e">
        <v>#N/A</v>
        <stp/>
        <stp>##V3_BDPV12</stp>
        <stp>US912828LX61 Corp</stp>
        <stp>CPN</stp>
        <stp>[portefeuille USD.xlsm]treasuries!R36C27_x0000__x0000_</stp>
        <tr r="AA36" s="13"/>
      </tp>
      <tp t="e">
        <v>#N/A</v>
        <stp/>
        <stp>##V3_BDPV12</stp>
        <stp>US912828KY53 Govt</stp>
        <stp>YLD_YTM_ASK</stp>
        <stp>[portefeuille USD.xlsm]treasuries!R109C8_x0000__x0000_</stp>
        <tr r="H109" s="13"/>
      </tp>
      <tp t="e">
        <v>#N/A</v>
        <stp/>
        <stp>##V3_BDPV12</stp>
        <stp>US912828RS13 Corp</stp>
        <stp>CPN</stp>
        <stp>[portefeuille USD.xlsm]treasuries!R86C27_x0000__x0000_</stp>
        <tr r="AA86" s="13"/>
      </tp>
      <tp t="e">
        <v>#N/A</v>
        <stp/>
        <stp>##V3_BDPV12</stp>
        <stp>US912828HZ65 Govt</stp>
        <stp>YLD_YTM_ASK</stp>
        <stp>[portefeuille USD.xlsm]treasuries!R209C8_x0000__x0000_</stp>
        <tr r="H209" s="13"/>
      </tp>
      <tp t="e">
        <v>#N/A</v>
        <stp/>
        <stp>##V3_BDPV12</stp>
        <stp>US912828FY19 Govt</stp>
        <stp>YLD_YTM_ASK</stp>
        <stp>[portefeuille USD.xlsm]treasuries!R173C8_x0000__x0000_</stp>
        <tr r="H173" s="13"/>
      </tp>
      <tp t="e">
        <v>#N/A</v>
        <stp/>
        <stp>##V3_BDPV12</stp>
        <stp>US12802DAB29 Govt</stp>
        <stp>SECURITY_DES</stp>
        <stp>[portefeuille USD.xlsm]SSA!R102C2_x0000__x0000_</stp>
        <tr r="B102" s="16"/>
      </tp>
      <tp t="e">
        <v>#N/A</v>
        <stp/>
        <stp>##V3_BDPV12</stp>
        <stp>US639832AD61 Corp</stp>
        <stp>AMT_OUTSTANDING</stp>
        <stp>[portefeuille USD.xlsm]SSA!R5C28_x0000_2</stp>
        <tr r="AB5" s="16"/>
      </tp>
      <tp t="e">
        <v>#N/A</v>
        <stp/>
        <stp>##V3_BDPV12</stp>
        <stp>US912828DV97 Govt</stp>
        <stp>YLD_YTM_ASK</stp>
        <stp>[portefeuille USD.xlsm]treasuries!R136C8_x0000__x0000_</stp>
        <tr r="H136" s="13"/>
      </tp>
      <tp t="e">
        <v>#N/A</v>
        <stp/>
        <stp>##V3_BDPV12</stp>
        <stp>US912828NV87 Govt</stp>
        <stp>YLD_YTM_ASK</stp>
        <stp>[portefeuille USD.xlsm]treasuries!R142C8_x0000__x0000_</stp>
        <tr r="H142" s="13"/>
      </tp>
      <tp t="e">
        <v>#N/A</v>
        <stp/>
        <stp>##V3_BDPV12</stp>
        <stp>US912810QU51 Govt</stp>
        <stp>YLD_YTM_ASK</stp>
        <stp>[portefeuille USD.xlsm]treasuries!R285C8_x0000__x0000_</stp>
        <tr r="H285" s="13"/>
      </tp>
      <tp t="e">
        <v>#N/A</v>
        <stp/>
        <stp>##V3_BDPV12</stp>
        <stp>US912810DV71 Govt</stp>
        <stp>YLD_YTM_ASK</stp>
        <stp>[portefeuille USD.xlsm]treasuries!R150C8_x0000__x0000_</stp>
        <tr r="H150" s="13"/>
      </tp>
      <tp t="e">
        <v>#N/A</v>
        <stp/>
        <stp>##V3_BDPV12</stp>
        <stp>US912828MV96 Govt</stp>
        <stp>YLD_YTM_ASK</stp>
        <stp>[portefeuille USD.xlsm]treasuries!R184C8_x0000__x0000_</stp>
        <tr r="H184" s="13"/>
      </tp>
      <tp t="e">
        <v>#N/A</v>
        <stp/>
        <stp>##V3_BDPV12</stp>
        <stp>US912828KV15 Govt</stp>
        <stp>YLD_YTM_ASK</stp>
        <stp>[portefeuille USD.xlsm]treasuries!R106C8_x0000__x0000_</stp>
        <tr r="H106" s="13"/>
      </tp>
      <tp t="e">
        <v>#N/A</v>
        <stp/>
        <stp>##V3_BDPV12</stp>
        <stp>US912810PU60 Govt</stp>
        <stp>YLD_YTM_ASK</stp>
        <stp>[portefeuille USD.xlsm]treasuries!R270C8_x0000__x0000_</stp>
        <tr r="H270" s="13"/>
      </tp>
      <tp t="e">
        <v>#N/A</v>
        <stp/>
        <stp>##V3_BDPV12</stp>
        <stp>US912828RV42 Govt</stp>
        <stp>YLD_YTM_ASK</stp>
        <stp>[portefeuille USD.xlsm]treasuries!R123C8_x0000__x0000_</stp>
        <tr r="H123" s="13"/>
      </tp>
      <tp t="e">
        <v>#N/A</v>
        <stp/>
        <stp>##V3_BDPV12</stp>
        <stp>US912828PW43 Corp</stp>
        <stp>PENULTIMATE_CPN_DT</stp>
        <stp>[portefeuille USD.xlsm]treasuries!R44C25_x0000__x0000_</stp>
        <tr r="Y44" s="13"/>
      </tp>
      <tp t="e">
        <v>#N/A</v>
        <stp/>
        <stp>##V3_BDPV12</stp>
        <stp>US912828NY27 Corp</stp>
        <stp>INT_ACC_DT</stp>
        <stp>[portefeuille USD.xlsm]treasuries!R78C23_x0000__x0000_</stp>
        <tr r="W78" s="13"/>
      </tp>
      <tp t="e">
        <v>#N/A</v>
        <stp/>
        <stp>##V3_BDPV12</stp>
        <stp>US912828NU05 Corp</stp>
        <stp>INT_ACC_DT</stp>
        <stp>[portefeuille USD.xlsm]treasuries!R74C23_x0000__x0000_</stp>
        <tr r="W74" s="13"/>
      </tp>
      <tp t="e">
        <v>#N/A</v>
        <stp/>
        <stp>##V3_BDPV12</stp>
        <stp>US912828PV69 Corp</stp>
        <stp>PENULTIMATE_CPN_DT</stp>
        <stp>[portefeuille USD.xlsm]treasuries!R40C25_x0000__x0000_</stp>
        <tr r="Y40" s="13"/>
      </tp>
      <tp t="e">
        <v>#N/A</v>
        <stp/>
        <stp>##V3_BDPV12</stp>
        <stp>US912828PR57 Corp</stp>
        <stp>PENULTIMATE_CPN_DT</stp>
        <stp>[portefeuille USD.xlsm]treasuries!R47C25_x0000__x0000_</stp>
        <tr r="Y47" s="13"/>
      </tp>
      <tp t="e">
        <v>#N/A</v>
        <stp/>
        <stp>##V3_BDPV12</stp>
        <stp>US912828MB33 Corp</stp>
        <stp>INT_ACC_DT</stp>
        <stp>[portefeuille USD.xlsm]treasuries!R42C23_x0000__x0000_</stp>
        <tr r="W42" s="13"/>
      </tp>
      <tp t="e">
        <v>#N/A</v>
        <stp/>
        <stp>##V3_BDPV12</stp>
        <stp>US912828MG20 Corp</stp>
        <stp>INT_ACC_DT</stp>
        <stp>[portefeuille USD.xlsm]treasuries!R46C23_x0000__x0000_</stp>
        <tr r="W46" s="13"/>
      </tp>
      <tp t="e">
        <v>#N/A</v>
        <stp/>
        <stp>##V3_BDPV12</stp>
        <stp>US912828HC70 Corp</stp>
        <stp>INT_ACC_DT</stp>
        <stp>[portefeuille USD.xlsm]treasuries!R17C23_x0000__x0000_</stp>
        <tr r="W17" s="13"/>
      </tp>
      <tp t="e">
        <v>#N/A</v>
        <stp/>
        <stp>##V3_BDPV12</stp>
        <stp>US912828QL78 Corp</stp>
        <stp>PENULTIMATE_CPN_DT</stp>
        <stp>[portefeuille USD.xlsm]treasuries!R57C25_x0000__x0000_</stp>
        <tr r="Y57" s="13"/>
      </tp>
      <tp t="e">
        <v>#N/A</v>
        <stp/>
        <stp>##V3_BDPV12</stp>
        <stp>US912828RA05 Corp</stp>
        <stp>PENULTIMATE_CPN_DT</stp>
        <stp>[portefeuille USD.xlsm]treasuries!R69C25_x0000__x0000_</stp>
        <tr r="Y69" s="13"/>
      </tp>
      <tp t="e">
        <v>#N/A</v>
        <stp/>
        <stp>##V3_BDPV12</stp>
        <stp>US912828QK95 Corp</stp>
        <stp>PENULTIMATE_CPN_DT</stp>
        <stp>[portefeuille USD.xlsm]treasuries!R52C25_x0000__x0000_</stp>
        <tr r="Y52" s="13"/>
      </tp>
      <tp t="e">
        <v>#N/A</v>
        <stp/>
        <stp>##V3_BDPV12</stp>
        <stp>US912828NN61 Corp</stp>
        <stp>INT_ACC_DT</stp>
        <stp>[portefeuille USD.xlsm]treasuries!R71C23_x0000__x0000_</stp>
        <tr r="W71" s="13"/>
      </tp>
      <tp t="e">
        <v>#N/A</v>
        <stp/>
        <stp>##V3_BDPV12</stp>
        <stp>US12802DAD84 Corp</stp>
        <stp>FIRST_CPN_DT</stp>
        <stp>[portefeuille USD.xlsm]SSA!R91C23_x0000__x0000_</stp>
        <tr r="W91" s="16"/>
      </tp>
      <tp t="e">
        <v>#N/A</v>
        <stp/>
        <stp>##V3_BDPV12</stp>
        <stp>US912828RT95 Govt</stp>
        <stp>YLD_YTM_ASK</stp>
        <stp>[portefeuille USD.xlsm]treasuries!R219C8_x0000__x0000_</stp>
        <tr r="H219" s="13"/>
      </tp>
      <tp t="e">
        <v>#N/A</v>
        <stp/>
        <stp>##V3_BDPV12</stp>
        <stp>US912828ST86 Govt</stp>
        <stp>YLD_YTM_ASK</stp>
        <stp>[portefeuille USD.xlsm]treasuries!R226C8_x0000__x0000_</stp>
        <tr r="H226" s="13"/>
      </tp>
      <tp t="e">
        <v>#N/A</v>
        <stp/>
        <stp>##V3_BDPV12</stp>
        <stp>US912810PT97 Govt</stp>
        <stp>YLD_YTM_ASK</stp>
        <stp>[portefeuille USD.xlsm]treasuries!R269C8_x0000__x0000_</stp>
        <tr r="H269" s="13"/>
      </tp>
      <tp t="e">
        <v>#N/A</v>
        <stp/>
        <stp>##V3_BDPV12</stp>
        <stp>US912828HQ66 Corp</stp>
        <stp>CPN</stp>
        <stp>[portefeuille USD.xlsm]treasuries!R48C27_x0000__x0000_</stp>
        <tr r="AA48" s="13"/>
      </tp>
      <tp t="e">
        <v>#N/A</v>
        <stp/>
        <stp>##V3_BDPV12</stp>
        <stp>US912828KW97 Govt</stp>
        <stp>YLD_YTM_ASK</stp>
        <stp>[portefeuille USD.xlsm]treasuries!R161C8_x0000__x0000_</stp>
        <tr r="H161" s="13"/>
      </tp>
      <tp t="e">
        <v>#N/A</v>
        <stp/>
        <stp>##V3_BDPV12</stp>
        <stp>US912828NW60 Govt</stp>
        <stp>YLD_YTM_ASK</stp>
        <stp>[portefeuille USD.xlsm]treasuries!R197C8_x0000__x0000_</stp>
        <tr r="H197" s="13"/>
      </tp>
      <tp t="e">
        <v>#N/A</v>
        <stp/>
        <stp>##V3_BDPV12</stp>
        <stp>US912828QT05 Govt</stp>
        <stp>YLD_YTM_ASK</stp>
        <stp>[portefeuille USD.xlsm]treasuries!R211C8_x0000__x0000_</stp>
        <tr r="H211" s="13"/>
      </tp>
      <tp t="e">
        <v>#N/A</v>
        <stp/>
        <stp>##V3_BDPV12</stp>
        <stp>US912828PT14 Govt</stp>
        <stp>YLD_YTM_ASK</stp>
        <stp>[portefeuille USD.xlsm]treasuries!R203C8_x0000__x0000_</stp>
        <tr r="H203" s="13"/>
      </tp>
      <tp t="e">
        <v>#N/A</v>
        <stp/>
        <stp>##V3_BDPV12</stp>
        <stp>US912828SW16 Govt</stp>
        <stp>YLD_YTM_ASK</stp>
        <stp>[portefeuille USD.xlsm]treasuries!R107C8_x0000__x0000_</stp>
        <tr r="H107" s="13"/>
      </tp>
      <tp t="e">
        <v>#N/A</v>
        <stp/>
        <stp>##V3_BDPV12</stp>
        <stp>US912828NT32 Govt</stp>
        <stp>YLD_YTM_ASK</stp>
        <stp>[portefeuille USD.xlsm]treasuries!R237C8_x0000__x0000_</stp>
        <tr r="H237" s="13"/>
      </tp>
      <tp t="e">
        <v>#N/A</v>
        <stp/>
        <stp>##V3_BDPV12</stp>
        <stp>US912810QT88 Govt</stp>
        <stp>YLD_YTM_ASK</stp>
        <stp>[portefeuille USD.xlsm]treasuries!R284C8_x0000__x0000_</stp>
        <tr r="H284" s="13"/>
      </tp>
      <tp t="e">
        <v>#N/A</v>
        <stp/>
        <stp>##V3_BDPV12</stp>
        <stp>US912810DW54 Govt</stp>
        <stp>YLD_YTM_ASK</stp>
        <stp>[portefeuille USD.xlsm]treasuries!R158C8_x0000__x0000_</stp>
        <tr r="H158" s="13"/>
      </tp>
      <tp t="e">
        <v>#N/A</v>
        <stp/>
        <stp>##V3_BDPV12</stp>
        <stp>US912828EW61 Govt</stp>
        <stp>YLD_YTM_ASK</stp>
        <stp>[portefeuille USD.xlsm]treasuries!R151C8_x0000__x0000_</stp>
        <tr r="H151" s="13"/>
      </tp>
      <tp t="e">
        <v>#N/A</v>
        <stp/>
        <stp>##V3_BDPV12</stp>
        <stp>US912810FT08 Govt</stp>
        <stp>YLD_YTM_ASK</stp>
        <stp>[portefeuille USD.xlsm]treasuries!R268C8_x0000__x0000_</stp>
        <tr r="H268" s="13"/>
      </tp>
      <tp t="e">
        <v>#N/A</v>
        <stp/>
        <stp>##V3_BDPV12</stp>
        <stp>US912828MW79 Govt</stp>
        <stp>YLD_YTM_ASK</stp>
        <stp>[portefeuille USD.xlsm]treasuries!R132C8_x0000__x0000_</stp>
        <tr r="H132" s="13"/>
      </tp>
      <tp t="e">
        <v>#N/A</v>
        <stp/>
        <stp>##V3_BDPV12</stp>
        <stp>US912810ET17 Govt</stp>
        <stp>YLD_YTM_ASK</stp>
        <stp>[portefeuille USD.xlsm]treasuries!R254C8_x0000__x0000_</stp>
        <tr r="H254" s="13"/>
      </tp>
      <tp t="e">
        <v>#N/A</v>
        <stp/>
        <stp>##V3_BDPV12</stp>
        <stp>US912828MT41 Corp</stp>
        <stp>INT_ACC_DT</stp>
        <stp>[portefeuille USD.xlsm]treasuries!R55C23_x0000__x0000_</stp>
        <tr r="W55" s="13"/>
      </tp>
      <tp t="e">
        <v>#N/A</v>
        <stp/>
        <stp>##V3_BDPV12</stp>
        <stp>US912828MX52 Corp</stp>
        <stp>INT_ACC_DT</stp>
        <stp>[portefeuille USD.xlsm]treasuries!R59C23_x0000__x0000_</stp>
        <tr r="W59" s="13"/>
      </tp>
      <tp t="e">
        <v>#N/A</v>
        <stp/>
        <stp>##V3_BDPV12</stp>
        <stp>US912828RK86 Corp</stp>
        <stp>PENULTIMATE_CPN_DT</stp>
        <stp>[portefeuille USD.xlsm]treasuries!R79C25_x0000__x0000_</stp>
        <tr r="Y79" s="13"/>
      </tp>
      <tp t="e">
        <v>#N/A</v>
        <stp/>
        <stp>##V3_BDPV12</stp>
        <stp>US912828RD44 Corp</stp>
        <stp>PENULTIMATE_CPN_DT</stp>
        <stp>[portefeuille USD.xlsm]treasuries!R77C25_x0000__x0000_</stp>
        <tr r="Y77" s="13"/>
      </tp>
      <tp t="e">
        <v>#N/A</v>
        <stp/>
        <stp>##V3_BDPV12</stp>
        <stp>US912828NC07 Corp</stp>
        <stp>INT_ACC_DT</stp>
        <stp>[portefeuille USD.xlsm]treasuries!R63C23_x0000__x0000_</stp>
        <tr r="W63" s="13"/>
      </tp>
      <tp t="e">
        <v>#N/A</v>
        <stp/>
        <stp>##V3_BDPV12</stp>
        <stp>US912828NH93 Corp</stp>
        <stp>INT_ACC_DT</stp>
        <stp>[portefeuille USD.xlsm]treasuries!R68C23_x0000__x0000_</stp>
        <tr r="W68" s="13"/>
      </tp>
      <tp t="e">
        <v>#N/A</v>
        <stp/>
        <stp>##V3_BDPV12</stp>
        <stp>US912828MN70 Corp</stp>
        <stp>INT_ACC_DT</stp>
        <stp>[portefeuille USD.xlsm]treasuries!R51C23_x0000__x0000_</stp>
        <tr r="W51" s="13"/>
      </tp>
      <tp t="e">
        <v>#N/A</v>
        <stp/>
        <stp>##V3_BDPV12</stp>
        <stp>US12802NAB01 Govt</stp>
        <stp>SECURITY_DES</stp>
        <stp>[portefeuille USD.xlsm]SSA!R101C2_x0000__x0000_</stp>
        <tr r="B101" s="16"/>
      </tp>
      <tp t="e">
        <v>#N/A</v>
        <stp/>
        <stp>##V3_BDPV12</stp>
        <stp>US912810QW18 Govt</stp>
        <stp>YLD_YTM_ASK</stp>
        <stp>[portefeuille USD.xlsm]treasuries!R286C8_x0000__x0000_</stp>
        <tr r="H286" s="13"/>
      </tp>
      <tp t="e">
        <v>#N/A</v>
        <stp/>
        <stp>##V3_BDPV12</stp>
        <stp>US912828PR57 Corp</stp>
        <stp>CPN</stp>
        <stp>[portefeuille USD.xlsm]treasuries!R47C27_x0000__x0000_</stp>
        <tr r="AA47" s="13"/>
      </tp>
      <tp t="e">
        <v>#N/A</v>
        <stp/>
        <stp>##V3_BDPV12</stp>
        <stp>US912828KT68 Govt</stp>
        <stp>YLD_YTM_ASK</stp>
        <stp>[portefeuille USD.xlsm]treasuries!R154C8_x0000__x0000_</stp>
        <tr r="H154" s="13"/>
      </tp>
      <tp t="e">
        <v>#N/A</v>
        <stp/>
        <stp>##V3_BDPV12</stp>
        <stp>US912810EW46 Govt</stp>
        <stp>YLD_YTM_ASK</stp>
        <stp>[portefeuille USD.xlsm]treasuries!R256C8_x0000__x0000_</stp>
        <tr r="H256" s="13"/>
      </tp>
      <tp t="e">
        <v>#N/A</v>
        <stp/>
        <stp>##V3_BDPV12</stp>
        <stp>US912810DT26 Govt</stp>
        <stp>YLD_YTM_ASK</stp>
        <stp>[portefeuille USD.xlsm]treasuries!R145C8_x0000__x0000_</stp>
        <tr r="H145" s="13"/>
      </tp>
      <tp t="e">
        <v>#N/A</v>
        <stp/>
        <stp>##V3_BDPV12</stp>
        <stp>US912828CT50 Govt</stp>
        <stp>YLD_YTM_ASK</stp>
        <stp>[portefeuille USD.xlsm]treasuries!R113C8_x0000__x0000_</stp>
        <tr r="H113" s="13"/>
      </tp>
      <tp t="e">
        <v>#N/A</v>
        <stp/>
        <stp>##V3_BDPV12</stp>
        <stp>US912810PW27 Govt</stp>
        <stp>YLD_YTM_ASK</stp>
        <stp>[portefeuille USD.xlsm]treasuries!R271C8_x0000__x0000_</stp>
        <tr r="H271" s="13"/>
      </tp>
      <tp t="e">
        <v>#N/A</v>
        <stp/>
        <stp>##V3_BDPV12</stp>
        <stp>US912828QW34 Corp</stp>
        <stp>PENULTIMATE_CPN_DT</stp>
        <stp>[portefeuille USD.xlsm]treasuries!R73C25_x0000__x0000_</stp>
        <tr r="Y73" s="13"/>
      </tp>
      <tp t="e">
        <v>#N/A</v>
        <stp/>
        <stp>##V3_BDPV12</stp>
        <stp>US912828HK96 Corp</stp>
        <stp>INT_ACC_DT</stp>
        <stp>[portefeuille USD.xlsm]treasuries!R39C23_x0000__x0000_</stp>
        <tr r="W39" s="13"/>
      </tp>
      <tp t="e">
        <v>#N/A</v>
        <stp/>
        <stp>##V3_BDPV12</stp>
        <stp>US912828HG84 Corp</stp>
        <stp>INT_ACC_DT</stp>
        <stp>[portefeuille USD.xlsm]treasuries!R30C23_x0000__x0000_</stp>
        <tr r="W30" s="13"/>
      </tp>
      <tp t="e">
        <v>#N/A</v>
        <stp/>
        <stp>##V3_BDPV12</stp>
        <stp>US12802DAA46 Corp</stp>
        <stp>FIRST_CPN_DT</stp>
        <stp>[portefeuille USD.xlsm]SSA!R94C23_x0000__x0000_</stp>
        <tr r="W94" s="16"/>
      </tp>
      <tp t="e">
        <v>#N/A</v>
        <stp/>
        <stp>##V3_BDPV12</stp>
        <stp>US912828RU68 Govt</stp>
        <stp>YLD_YTM_ASK</stp>
        <stp>[portefeuille USD.xlsm]treasuries!R176C8_x0000__x0000_</stp>
        <tr r="H176" s="13"/>
      </tp>
      <tp t="e">
        <v>#N/A</v>
        <stp/>
        <stp>##V3_BDPV12</stp>
        <stp>US912810EV62 Govt</stp>
        <stp>YLD_YTM_ASK</stp>
        <stp>[portefeuille USD.xlsm]treasuries!R255C8_x0000__x0000_</stp>
        <tr r="H255" s="13"/>
      </tp>
      <tp t="e">
        <v>#N/A</v>
        <stp/>
        <stp>##V3_BDPV12</stp>
        <stp>US912828LU23 Govt</stp>
        <stp>YLD_YTM_ASK</stp>
        <stp>[portefeuille USD.xlsm]treasuries!R172C8_x0000__x0000_</stp>
        <tr r="H172" s="13"/>
      </tp>
      <tp t="e">
        <v>#N/A</v>
        <stp/>
        <stp>##V3_BDPV12</stp>
        <stp>US912828SV33 Govt</stp>
        <stp>YLD_YTM_ASK</stp>
        <stp>[portefeuille USD.xlsm]treasuries!R248C8_x0000__x0000_</stp>
        <tr r="H248" s="13"/>
      </tp>
      <tp t="e">
        <v>#N/A</v>
        <stp/>
        <stp>##V3_BDPV12</stp>
        <stp>US912828SU59 Govt</stp>
        <stp>YLD_YTM_ASK</stp>
        <stp>[portefeuille USD.xlsm]treasuries!R135C8_x0000__x0000_</stp>
        <tr r="H135" s="13"/>
      </tp>
      <tp t="e">
        <v>#N/A</v>
        <stp/>
        <stp>##V3_BDPV12</stp>
        <stp>US912828QU77 Govt</stp>
        <stp>YLD_YTM_ASK</stp>
        <stp>[portefeuille USD.xlsm]treasuries!R111C8_x0000__x0000_</stp>
        <tr r="H111" s="13"/>
      </tp>
      <tp t="e">
        <v>#N/A</v>
        <stp/>
        <stp>##V3_BDPV12</stp>
        <stp>US912828BR04 Corp</stp>
        <stp>INT_ACC_DT</stp>
        <stp>[portefeuille USD.xlsm]treasuries!R85C23_x0000__x0000_</stp>
        <tr r="W85" s="13"/>
      </tp>
      <tp t="e">
        <v>#N/A</v>
        <stp/>
        <stp>##V3_BDPV12</stp>
        <stp>US912828QZ64 Corp</stp>
        <stp>PENULTIMATE_CPN_DT</stp>
        <stp>[portefeuille USD.xlsm]treasuries!R66C25_x0000__x0000_</stp>
        <tr r="Y66" s="13"/>
      </tp>
      <tp t="e">
        <v>#N/A</v>
        <stp/>
        <stp>##V3_BDPV12</stp>
        <stp>US912828HE37 Corp</stp>
        <stp>INT_ACC_DT</stp>
        <stp>[portefeuille USD.xlsm]treasuries!R23C23_x0000__x0000_</stp>
        <tr r="W23" s="13"/>
      </tp>
      <tp t="e">
        <v>#N/A</v>
        <stp/>
        <stp>##V3_BDPV12</stp>
        <stp>US912828CA69 Corp</stp>
        <stp>INT_ACC_DT</stp>
        <stp>[portefeuille USD.xlsm]treasuries!R95C23_x0000__x0000_</stp>
        <tr r="W95" s="13"/>
      </tp>
      <tp t="e">
        <v>#N/A</v>
        <stp/>
        <stp>##V3_BDPV12</stp>
        <stp>US912828QE36 Corp</stp>
        <stp>PENULTIMATE_CPN_DT</stp>
        <stp>[portefeuille USD.xlsm]treasuries!R60C25_x0000__x0000_</stp>
        <tr r="Y60" s="13"/>
      </tp>
      <tp t="e">
        <v>#N/A</v>
        <stp/>
        <stp>##V3_BDPV12</stp>
        <stp>US912828MR84 Govt</stp>
        <stp>YLD_YTM_ASK</stp>
        <stp>[portefeuille USD.xlsm]treasuries!R130C8_x0000__x0000_</stp>
        <tr r="H130" s="13"/>
      </tp>
      <tp t="e">
        <v>#N/A</v>
        <stp/>
        <stp>##V3_BDPV12</stp>
        <stp>US912828LR93 Corp</stp>
        <stp>CPN</stp>
        <stp>[portefeuille USD.xlsm]treasuries!R27C27_x0000__x0000_</stp>
        <tr r="AA27" s="13"/>
      </tp>
      <tp t="e">
        <v>#N/A</v>
        <stp/>
        <stp>##V3_BDPV12</stp>
        <stp>US912810QQ40 Govt</stp>
        <stp>YLD_YTM_ASK</stp>
        <stp>[portefeuille USD.xlsm]treasuries!R282C8_x0000__x0000_</stp>
        <tr r="H282" s="13"/>
      </tp>
      <tp t="e">
        <v>#N/A</v>
        <stp/>
        <stp>##V3_BDPV12</stp>
        <stp>US912828NR75 Govt</stp>
        <stp>YLD_YTM_ASK</stp>
        <stp>[portefeuille USD.xlsm]treasuries!R194C8_x0000__x0000_</stp>
        <tr r="H194" s="13"/>
      </tp>
      <tp t="e">
        <v>#N/A</v>
        <stp/>
        <stp>##V3_BDPV12</stp>
        <stp>US912810EQ77 Govt</stp>
        <stp>YLD_YTM_ASK</stp>
        <stp>[portefeuille USD.xlsm]treasuries!R252C8_x0000__x0000_</stp>
        <tr r="H252" s="13"/>
      </tp>
      <tp t="e">
        <v>#N/A</v>
        <stp/>
        <stp>##V3_BDPV12</stp>
        <stp>US912828KQ20 Govt</stp>
        <stp>YLD_YTM_ASK</stp>
        <stp>[portefeuille USD.xlsm]treasuries!R227C8_x0000__x0000_</stp>
        <tr r="H227" s="13"/>
      </tp>
      <tp t="e">
        <v>#N/A</v>
        <stp/>
        <stp>##V3_BDPV12</stp>
        <stp>US912828QR49 Govt</stp>
        <stp>YLD_YTM_ASK</stp>
        <stp>[portefeuille USD.xlsm]treasuries!R163C8_x0000__x0000_</stp>
        <tr r="H163" s="13"/>
      </tp>
      <tp t="e">
        <v>#N/A</v>
        <stp/>
        <stp>##V3_BDPV12</stp>
        <stp>US912828SR21 Govt</stp>
        <stp>YLD_YTM_ASK</stp>
        <stp>[portefeuille USD.xlsm]treasuries!R103C8_x0000__x0000_</stp>
        <tr r="H103" s="13"/>
      </tp>
      <tp t="e">
        <v>#N/A</v>
        <stp/>
        <stp>##V3_BDPV12</stp>
        <stp>US912828QW34 Corp</stp>
        <stp>CPN</stp>
        <stp>[portefeuille USD.xlsm]treasuries!R73C27_x0000__x0000_</stp>
        <tr r="AA73" s="13"/>
      </tp>
      <tp t="e">
        <v>#N/A</v>
        <stp/>
        <stp>##V3_BDPV12</stp>
        <stp>US912828KR03 Govt</stp>
        <stp>YLD_YTM_ASK</stp>
        <stp>[portefeuille USD.xlsm]treasuries!R157C8_x0000__x0000_</stp>
        <tr r="H157" s="13"/>
      </tp>
      <tp t="e">
        <v>#N/A</v>
        <stp/>
        <stp>##V3_BDPV12</stp>
        <stp>US912828QQ65 Govt</stp>
        <stp>YLD_YTM_ASK</stp>
        <stp>[portefeuille USD.xlsm]treasuries!R210C8_x0000__x0000_</stp>
        <tr r="H210" s="13"/>
      </tp>
      <tp t="e">
        <v>#N/A</v>
        <stp/>
        <stp>##V3_BDPV12</stp>
        <stp>US912828AU42 Corp</stp>
        <stp>CPN</stp>
        <stp>[portefeuille USD.xlsm]treasuries!R50C27_x0000__x0000_</stp>
        <tr r="AA50" s="13"/>
      </tp>
      <tp t="e">
        <v>#N/A</v>
        <stp/>
        <stp>##V3_BDPV12</stp>
        <stp>US912828HV51 Corp</stp>
        <stp>INT_ACC_DT</stp>
        <stp>[portefeuille USD.xlsm]treasuries!R56C23_x0000__x0000_</stp>
        <tr r="W56" s="13"/>
      </tp>
      <tp t="e">
        <v>#N/A</v>
        <stp/>
        <stp>##V3_BDPV12</stp>
        <stp>US912828HT06 Corp</stp>
        <stp>INT_ACC_DT</stp>
        <stp>[portefeuille USD.xlsm]treasuries!R53C23_x0000__x0000_</stp>
        <tr r="W53" s="13"/>
      </tp>
      <tp t="e">
        <v>#N/A</v>
        <stp/>
        <stp>##V3_BDPV12</stp>
        <stp>US912828JD36 Corp</stp>
        <stp>INT_ACC_DT</stp>
        <stp>[portefeuille USD.xlsm]treasuries!R70C23_x0000__x0000_</stp>
        <tr r="W70" s="13"/>
      </tp>
      <tp t="e">
        <v>#N/A</v>
        <stp/>
        <stp>##V3_BDPV12</stp>
        <stp>US912828JG66 Corp</stp>
        <stp>INT_ACC_DT</stp>
        <stp>[portefeuille USD.xlsm]treasuries!R72C23_x0000__x0000_</stp>
        <tr r="W72" s="13"/>
      </tp>
      <tp t="e">
        <v>#N/A</v>
        <stp/>
        <stp>##V3_BDPV12</stp>
        <stp>US912828LH12 Corp</stp>
        <stp>INT_ACC_DT</stp>
        <stp>[portefeuille USD.xlsm]treasuries!R12C23_x0000__x0000_</stp>
        <tr r="W12" s="13"/>
      </tp>
      <tp t="e">
        <v>#N/A</v>
        <stp/>
        <stp>##V3_BDPV12</stp>
        <stp>US912828JK78 Corp</stp>
        <stp>INT_ACC_DT</stp>
        <stp>[portefeuille USD.xlsm]treasuries!R76C23_x0000__x0000_</stp>
        <tr r="W76" s="13"/>
      </tp>
      <tp t="e">
        <v>#N/A</v>
        <stp/>
        <stp>##V3_BDPV12</stp>
        <stp>US63983TAA34 Corp</stp>
        <stp>AMT_OUTSTANDING</stp>
        <stp>[portefeuille USD.xlsm]SSA!R3C28_x0000_8</stp>
        <tr r="AB3" s="16"/>
      </tp>
      <tp t="e">
        <v>#N/A</v>
        <stp/>
        <stp>##V3_BDPV12</stp>
        <stp>US63983UAA07 Corp</stp>
        <stp>AMT_OUTSTANDING</stp>
        <stp>[portefeuille USD.xlsm]SSA!R4C28_x0000__x0000_</stp>
        <tr r="AB4" s="16"/>
      </tp>
      <tp t="e">
        <v>#N/A</v>
        <stp/>
        <stp>##V3_BDPV12</stp>
        <stp>US912828SS04 Govt</stp>
        <stp>YLD_YTM_ASK</stp>
        <stp>[portefeuille USD.xlsm]treasuries!R186C8_x0000__x0000_</stp>
        <tr r="H186" s="13"/>
      </tp>
      <tp t="e">
        <v>#N/A</v>
        <stp/>
        <stp>##V3_BDPV12</stp>
        <stp>US912828GS32 Govt</stp>
        <stp>YLD_YTM_ASK</stp>
        <stp>[portefeuille USD.xlsm]treasuries!R188C8_x0000__x0000_</stp>
        <tr r="H188" s="13"/>
      </tp>
      <tp t="e">
        <v>#N/A</v>
        <stp/>
        <stp>##V3_BDPV12</stp>
        <stp>US912810FP85 Govt</stp>
        <stp>YLD_YTM_ASK</stp>
        <stp>[portefeuille USD.xlsm]treasuries!R267C8_x0000__x0000_</stp>
        <tr r="H267" s="13"/>
      </tp>
      <tp t="e">
        <v>#N/A</v>
        <stp/>
        <stp>##V3_BDPV12</stp>
        <stp>US912828KS85 Govt</stp>
        <stp>YLD_YTM_ASK</stp>
        <stp>[portefeuille USD.xlsm]treasuries!R152C8_x0000__x0000_</stp>
        <tr r="H152" s="13"/>
      </tp>
      <tp t="e">
        <v>#N/A</v>
        <stp/>
        <stp>##V3_BDPV12</stp>
        <stp>US912810EP94 Govt</stp>
        <stp>YLD_YTM_ASK</stp>
        <stp>[portefeuille USD.xlsm]treasuries!R251C8_x0000__x0000_</stp>
        <tr r="H251" s="13"/>
      </tp>
      <tp t="e">
        <v>#N/A</v>
        <stp/>
        <stp>##V3_BDPV12</stp>
        <stp>US912828MS67 Govt</stp>
        <stp>YLD_YTM_ASK</stp>
        <stp>[portefeuille USD.xlsm]treasuries!R182C8_x0000__x0000_</stp>
        <tr r="H182" s="13"/>
      </tp>
      <tp t="e">
        <v>#N/A</v>
        <stp/>
        <stp>##V3_BDPV12</stp>
        <stp>US912828MP29 Govt</stp>
        <stp>YLD_YTM_ASK</stp>
        <stp>[portefeuille USD.xlsm]treasuries!R233C8_x0000__x0000_</stp>
        <tr r="H233" s="13"/>
      </tp>
      <tp t="e">
        <v>#N/A</v>
        <stp/>
        <stp>##V3_BDPV12</stp>
        <stp>US912828HT06 Corp</stp>
        <stp>CPN</stp>
        <stp>[portefeuille USD.xlsm]treasuries!R53C27_x0000__x0000_</stp>
        <tr r="AA53" s="13"/>
      </tp>
      <tp t="e">
        <v>#N/A</v>
        <stp/>
        <stp>##V3_BDPV12</stp>
        <stp>US9127955Z04 Corp</stp>
        <stp>CPN</stp>
        <stp>[portefeuille USD.xlsm]treasuries!R49C27_x0000__x0000_</stp>
        <tr r="AA49" s="13"/>
      </tp>
      <tp t="e">
        <v>#N/A</v>
        <stp/>
        <stp>##V3_BDPV12</stp>
        <stp>US912810DS43 Govt</stp>
        <stp>YLD_YTM_ASK</stp>
        <stp>[portefeuille USD.xlsm]treasuries!R141C8_x0000__x0000_</stp>
        <tr r="H141" s="13"/>
      </tp>
      <tp t="e">
        <v>#N/A</v>
        <stp/>
        <stp>##V3_BDPV12</stp>
        <stp>US912828MT41 Corp</stp>
        <stp>CPN</stp>
        <stp>[portefeuille USD.xlsm]treasuries!R55C27_x0000__x0000_</stp>
        <tr r="AA55" s="13"/>
      </tp>
      <tp t="e">
        <v>#N/A</v>
        <stp/>
        <stp>##V3_BDPV12</stp>
        <stp>US912828QS22 Govt</stp>
        <stp>YLD_YTM_ASK</stp>
        <stp>[portefeuille USD.xlsm]treasuries!R108C8_x0000__x0000_</stp>
        <tr r="H108" s="13"/>
      </tp>
      <tp t="e">
        <v>#N/A</v>
        <stp/>
        <stp>##V3_BDPV12</stp>
        <stp>US912828PS31 Govt</stp>
        <stp>YLD_YTM_ASK</stp>
        <stp>[portefeuille USD.xlsm]treasuries!R149C8_x0000__x0000_</stp>
        <tr r="H149" s="13"/>
      </tp>
      <tp t="e">
        <v>#N/A</v>
        <stp/>
        <stp>##V3_BDPV12</stp>
        <stp>US912828LS76 Govt</stp>
        <stp>YLD_YTM_ASK</stp>
        <stp>[portefeuille USD.xlsm]treasuries!R119C8_x0000__x0000_</stp>
        <tr r="H119" s="13"/>
      </tp>
      <tp t="e">
        <v>#N/A</v>
        <stp/>
        <stp>##V3_BDPV12</stp>
        <stp>US912828RP73 Govt</stp>
        <stp>YLD_YTM_ASK</stp>
        <stp>[portefeuille USD.xlsm]treasuries!R216C8_x0000__x0000_</stp>
        <tr r="H216" s="13"/>
      </tp>
      <tp t="e">
        <v>#N/A</v>
        <stp/>
        <stp>##V3_BDPV12</stp>
        <stp>US912828HQ66 Corp</stp>
        <stp>INT_ACC_DT</stp>
        <stp>[portefeuille USD.xlsm]treasuries!R48C23_x0000__x0000_</stp>
        <tr r="W48" s="13"/>
      </tp>
      <tp t="e">
        <v>#N/A</v>
        <stp/>
        <stp>##V3_BDPV12</stp>
        <stp>US912828NX44 Corp</stp>
        <stp>INT_ACC_DT</stp>
        <stp>[portefeuille USD.xlsm]treasuries!R24C23_x0000__x0000_</stp>
        <tr r="W24" s="13"/>
      </tp>
      <tp t="e">
        <v>#N/A</v>
        <stp/>
        <stp>##V3_BDPV12</stp>
        <stp>US912828JB79 Corp</stp>
        <stp>INT_ACC_DT</stp>
        <stp>[portefeuille USD.xlsm]treasuries!R67C23_x0000__x0000_</stp>
        <tr r="W67" s="13"/>
      </tp>
      <tp t="e">
        <v>#N/A</v>
        <stp/>
        <stp>##V3_BDPV12</stp>
        <stp>US912828PH75 Corp</stp>
        <stp>PENULTIMATE_CPN_DT</stp>
        <stp>[portefeuille USD.xlsm]treasuries!R16C25_x0000__x0000_</stp>
        <tr r="Y16" s="13"/>
      </tp>
      <tp t="e">
        <v>#N/A</v>
        <stp/>
        <stp>##V3_BDPV12</stp>
        <stp>US912828HM52 Corp</stp>
        <stp>INT_ACC_DT</stp>
        <stp>[portefeuille USD.xlsm]treasuries!R43C23_x0000__x0000_</stp>
        <tr r="W43" s="13"/>
      </tp>
      <tp t="e">
        <v>#N/A</v>
        <stp/>
        <stp>##V3_BDPV12</stp>
        <stp>US912828TA86 Govt</stp>
        <stp>ask</stp>
        <stp>[portefeuille USD.xlsm]suivi globale!R2C17_x0000__x0000_</stp>
        <tr r="Q2" s="14"/>
      </tp>
      <tp t="e">
        <v>#N/A</v>
        <stp/>
        <stp>##V3_BDPV12</stp>
        <stp>US63983UAB89 Corp</stp>
        <stp>AMT_OUTSTANDING</stp>
        <stp>[portefeuille USD.xlsm]SSA!R6C28_x0000_2</stp>
        <tr r="AB6" s="16"/>
      </tp>
      <tp t="e">
        <v>#N/A</v>
        <stp/>
        <stp>##V3_BDPV12</stp>
        <stp>US912810QS06 Govt</stp>
        <stp>YLD_YTM_ASK</stp>
        <stp>[portefeuille USD.xlsm]treasuries!R283C8_x0000__x0000_</stp>
        <tr r="H283" s="13"/>
      </tp>
      <tp t="e">
        <v>#N/A</v>
        <stp/>
        <stp>##V3_BDPV12</stp>
        <stp>US912828QP82 Govt</stp>
        <stp>YLD_YTM_ASK</stp>
        <stp>[portefeuille USD.xlsm]treasuries!R160C8_x0000__x0000_</stp>
        <tr r="H160" s="13"/>
      </tp>
      <tp t="e">
        <v>#N/A</v>
        <stp/>
        <stp>##V3_BDPV12</stp>
        <stp>US912810DP04 Govt</stp>
        <stp>YLD_YTM_ASK</stp>
        <stp>[portefeuille USD.xlsm]treasuries!R127C8_x0000__x0000_</stp>
        <tr r="H127" s="13"/>
      </tp>
      <tp t="e">
        <v>#N/A</v>
        <stp/>
        <stp>##V3_BDPV12</stp>
        <stp>US912828NP10 Govt</stp>
        <stp>YLD_YTM_ASK</stp>
        <stp>[portefeuille USD.xlsm]treasuries!R139C8_x0000__x0000_</stp>
        <tr r="H139" s="13"/>
      </tp>
      <tp t="e">
        <v>#N/A</v>
        <stp/>
        <stp>##V3_BDPV12</stp>
        <stp>US912810ES34 Govt</stp>
        <stp>YLD_YTM_ASK</stp>
        <stp>[portefeuille USD.xlsm]treasuries!R253C8_x0000__x0000_</stp>
        <tr r="H253" s="13"/>
      </tp>
      <tp t="e">
        <v>#N/A</v>
        <stp/>
        <stp>##V3_BDPV12</stp>
        <stp>US912828SP64 Govt</stp>
        <stp>YLD_YTM_ASK</stp>
        <stp>[portefeuille USD.xlsm]treasuries!R133C8_x0000__x0000_</stp>
        <tr r="H133" s="13"/>
      </tp>
      <tp t="e">
        <v>#N/A</v>
        <stp/>
        <stp>##V3_BDPV12</stp>
        <stp>US912828LP38 Govt</stp>
        <stp>YLD_YTM_ASK</stp>
        <stp>[portefeuille USD.xlsm]treasuries!R169C8_x0000__x0000_</stp>
        <tr r="H169" s="13"/>
      </tp>
      <tp t="e">
        <v>#N/A</v>
        <stp/>
        <stp>##V3_BDPV12</stp>
        <stp>US912828PV69 Corp</stp>
        <stp>CPN</stp>
        <stp>[portefeuille USD.xlsm]treasuries!R40C27_x0000__x0000_</stp>
        <tr r="AA40" s="13"/>
      </tp>
      <tp t="e">
        <v>#N/A</v>
        <stp/>
        <stp>##V3_BDPV12</stp>
        <stp>US912828NU05 Corp</stp>
        <stp>CPN</stp>
        <stp>[portefeuille USD.xlsm]treasuries!R74C27_x0000__x0000_</stp>
        <tr r="AA74" s="13"/>
      </tp>
      <tp t="e">
        <v>#N/A</v>
        <stp/>
        <stp>##V3_BDPV12</stp>
        <stp>US912828LX61 Corp</stp>
        <stp>INT_ACC_DT</stp>
        <stp>[portefeuille USD.xlsm]treasuries!R36C23_x0000__x0000_</stp>
        <tr r="W36" s="13"/>
      </tp>
      <tp t="e">
        <v>#N/A</v>
        <stp/>
        <stp>##V3_BDPV12</stp>
        <stp>US12802DAC02 Corp</stp>
        <stp>FIRST_CPN_DT</stp>
        <stp>[portefeuille USD.xlsm]SSA!R98C23_x0000__x0000_</stp>
        <tr r="W98" s="16"/>
      </tp>
      <tp t="e">
        <v>#N/A</v>
        <stp/>
        <stp>##V3_BDPV12</stp>
        <stp>US12802NAA28 Corp</stp>
        <stp>FIRST_CPN_DT</stp>
        <stp>[portefeuille USD.xlsm]SSA!R95C23_x0000__x0000_</stp>
        <tr r="W95" s="16"/>
      </tp>
      <tp t="e">
        <v>#N/A</v>
        <stp/>
        <stp>##V3_BDPV12</stp>
        <stp>US63983TAC99 Corp</stp>
        <stp>AMT_OUTSTANDING</stp>
        <stp>[portefeuille USD.xlsm]SSA!R9C28_x0000__x0000_</stp>
        <tr r="AB9" s="16"/>
      </tp>
      <tp t="e">
        <v>#N/A</v>
        <stp/>
        <stp>##V3_BDPV12</stp>
        <stp>US912828PZ73 Corp</stp>
        <stp>CPN</stp>
        <stp>[portefeuille USD.xlsm]treasuries!R98C27_x0000__x0000_</stp>
        <tr r="AA98" s="13"/>
      </tp>
      <tp t="e">
        <v>#N/A</v>
        <stp/>
        <stp>##V3_BDPV12</stp>
        <stp>US912828FQ84 Govt</stp>
        <stp>YLD_YTM_ASK</stp>
        <stp>[portefeuille USD.xlsm]treasuries!R166C8_x0000__x0000_</stp>
        <tr r="H166" s="13"/>
      </tp>
      <tp t="e">
        <v>#N/A</v>
        <stp/>
        <stp>##V3_BDPV12</stp>
        <stp>US912828HV51 Corp</stp>
        <stp>CPN</stp>
        <stp>[portefeuille USD.xlsm]treasuries!R56C27_x0000__x0000_</stp>
        <tr r="AA56" s="13"/>
      </tp>
      <tp t="e">
        <v>#N/A</v>
        <stp/>
        <stp>##V3_BDPV12</stp>
        <stp>US912828LQ11 Govt</stp>
        <stp>YLD_YTM_ASK</stp>
        <stp>[portefeuille USD.xlsm]treasuries!R117C8_x0000__x0000_</stp>
        <tr r="H117" s="13"/>
      </tp>
      <tp t="e">
        <v>#N/A</v>
        <stp/>
        <stp>##V3_BDPV12</stp>
        <stp>US912828JR22 Govt</stp>
        <stp>YLD_YTM_ASK</stp>
        <stp>[portefeuille USD.xlsm]treasuries!R217C8_x0000__x0000_</stp>
        <tr r="H217" s="13"/>
      </tp>
      <tp t="e">
        <v>#N/A</v>
        <stp/>
        <stp>##V3_BDPV12</stp>
        <stp>US912828PW43 Corp</stp>
        <stp>CPN</stp>
        <stp>[portefeuille USD.xlsm]treasuries!R44C27_x0000__x0000_</stp>
        <tr r="AA44" s="13"/>
      </tp>
      <tp t="e">
        <v>#N/A</v>
        <stp/>
        <stp>##V3_BDPV12</stp>
        <stp>US912828AP56 Corp</stp>
        <stp>CPN</stp>
        <stp>[portefeuille USD.xlsm]treasuries!R35C27_x0000__x0000_</stp>
        <tr r="AA35" s="13"/>
      </tp>
      <tp t="e">
        <v>#N/A</v>
        <stp/>
        <stp>##V3_BDPV12</stp>
        <stp>US912828HR40 Govt</stp>
        <stp>YLD_YTM_ASK</stp>
        <stp>[portefeuille USD.xlsm]treasuries!R204C8_x0000__x0000_</stp>
        <tr r="H204" s="13"/>
      </tp>
      <tp t="e">
        <v>#N/A</v>
        <stp/>
        <stp>##V3_BDPV12</stp>
        <stp>US912828JZ48 Corp</stp>
        <stp>CPN</stp>
        <stp>[portefeuille USD.xlsm]treasuries!R92C27_x0000__x0000_</stp>
        <tr r="AA92" s="13"/>
      </tp>
      <tp t="e">
        <v>#N/A</v>
        <stp/>
        <stp>##V3_BDPV12</stp>
        <stp>US912828RR30 Govt</stp>
        <stp>YLD_YTM_ASK</stp>
        <stp>[portefeuille USD.xlsm]treasuries!R246C8_x0000__x0000_</stp>
        <tr r="H246" s="13"/>
      </tp>
      <tp t="e">
        <v>#N/A</v>
        <stp/>
        <stp>##V3_BDPV12</stp>
        <stp>US912828RQ56 Govt</stp>
        <stp>YLD_YTM_ASK</stp>
        <stp>[portefeuille USD.xlsm]treasuries!R121C8_x0000__x0000_</stp>
        <tr r="H121" s="13"/>
      </tp>
      <tp t="e">
        <v>#N/A</v>
        <stp/>
        <stp>##V3_BDPV12</stp>
        <stp>US912828LR93 Corp</stp>
        <stp>INT_ACC_DT</stp>
        <stp>[portefeuille USD.xlsm]treasuries!R27C23_x0000__x0000_</stp>
        <tr r="W27" s="13"/>
      </tp>
      <tp t="e">
        <v>#N/A</v>
        <stp/>
        <stp>##V3_BDPV12</stp>
        <stp>US912828HY90 Corp</stp>
        <stp>INT_ACC_DT</stp>
        <stp>[portefeuille USD.xlsm]treasuries!R61C23_x0000__x0000_</stp>
        <tr r="W61" s="13"/>
      </tp>
      <tp t="e">
        <v>#N/A</v>
        <stp/>
        <stp>##V3_BDPV12</stp>
        <stp>US912828PD61 Corp</stp>
        <stp>PENULTIMATE_CPN_DT</stp>
        <stp>[portefeuille USD.xlsm]treasuries!R31C25_x0000__x0000_</stp>
        <tr r="Y31" s="13"/>
      </tp>
      <tp t="e">
        <v>#N/A</v>
        <stp/>
        <stp>##V3_BDPV12</stp>
        <stp>US912828LM07 Corp</stp>
        <stp>INT_ACC_DT</stp>
        <stp>[portefeuille USD.xlsm]treasuries!R20C23_x0000__x0000_</stp>
        <tr r="W20" s="13"/>
      </tp>
      <tp t="e">
        <v>#N/A</v>
        <stp/>
        <stp>##V3_BDPV12</stp>
        <stp>US912810QW18 Corp</stp>
        <stp>ISSUE_DT</stp>
        <stp>[portefeuille USD.xlsm]treasuries!R286C22_x0000__x0000_</stp>
        <tr r="V286" s="13"/>
      </tp>
      <tp t="e">
        <v>#N/A</v>
        <stp/>
        <stp>##V3_BDPV12</stp>
        <stp>US912810QD37 Corp</stp>
        <stp>ISSUE_DT</stp>
        <stp>[portefeuille USD.xlsm]treasuries!R276C22_x0000__x0000_</stp>
        <tr r="V276" s="13"/>
      </tp>
      <tp t="e">
        <v>#N/A</v>
        <stp/>
        <stp>##V3_BDPV12</stp>
        <stp>US912810EF13 Corp</stp>
        <stp>MATURITY</stp>
        <stp>[portefeuille USD.xlsm]treasuries!R234C26_x0000__x0000_</stp>
        <tr r="Z234" s="13"/>
      </tp>
      <tp t="e">
        <v>#N/A</v>
        <stp/>
        <stp>##V3_BDPV12</stp>
        <stp>US912810QT88 Corp</stp>
        <stp>ISSUE_DT</stp>
        <stp>[portefeuille USD.xlsm]treasuries!R284C22_x0000__x0000_</stp>
        <tr r="V284" s="13"/>
      </tp>
      <tp t="e">
        <v>#N/A</v>
        <stp/>
        <stp>##V3_BDPV12</stp>
        <stp>US912810FG86 Corp</stp>
        <stp>MATURITY</stp>
        <stp>[portefeuille USD.xlsm]treasuries!R264C26_x0000__x0000_</stp>
        <tr r="Z264" s="13"/>
      </tp>
      <tp t="e">
        <v>#N/A</v>
        <stp/>
        <stp>##V3_BDPV12</stp>
        <stp>US912810FJ26 Corp</stp>
        <stp>MATURITY</stp>
        <stp>[portefeuille USD.xlsm]treasuries!R265C26_x0000__x0000_</stp>
        <tr r="Z265" s="13"/>
      </tp>
      <tp t="e">
        <v>#N/A</v>
        <stp/>
        <stp>##V3_BDPV12</stp>
        <stp>US912828SY71 Corp</stp>
        <stp>ISSUE_DT</stp>
        <stp>[portefeuille USD.xlsm]treasuries!R190C22_x0000__x0000_</stp>
        <tr r="V190" s="13"/>
      </tp>
      <tp t="e">
        <v>#N/A</v>
        <stp/>
        <stp>##V3_BDPV12</stp>
        <stp>US912828QY99 Corp</stp>
        <stp>ISSUE_DT</stp>
        <stp>[portefeuille USD.xlsm]treasuries!R212C22_x0000__x0000_</stp>
        <tr r="V212" s="13"/>
      </tp>
      <tp t="e">
        <v>#N/A</v>
        <stp/>
        <stp>##V3_BDPV12</stp>
        <stp>US912810QA97 Corp</stp>
        <stp>ISSUE_DT</stp>
        <stp>[portefeuille USD.xlsm]treasuries!R273C22_x0000__x0000_</stp>
        <tr r="V273" s="13"/>
      </tp>
      <tp t="e">
        <v>#N/A</v>
        <stp/>
        <stp>##V3_BDPV12</stp>
        <stp>US912810PW27 Corp</stp>
        <stp>ISSUE_DT</stp>
        <stp>[portefeuille USD.xlsm]treasuries!R271C22_x0000__x0000_</stp>
        <tr r="V271" s="13"/>
      </tp>
      <tp t="e">
        <v>#N/A</v>
        <stp/>
        <stp>##V3_BDPV12</stp>
        <stp>US912828CJ78 Corp</stp>
        <stp>MATURITY</stp>
        <stp>[portefeuille USD.xlsm]treasuries!R105C26_x0000__x0000_</stp>
        <tr r="Z105" s="13"/>
      </tp>
      <tp t="e">
        <v>#N/A</v>
        <stp/>
        <stp>##V3_BDPV12</stp>
        <stp>US912828KN98 Corp</stp>
        <stp>MATURITY</stp>
        <stp>[portefeuille USD.xlsm]treasuries!R102C26_x0000__x0000_</stp>
        <tr r="Z102" s="13"/>
      </tp>
      <tp t="e">
        <v>#N/A</v>
        <stp/>
        <stp>##V3_BDPV12</stp>
        <stp>US912828RL69 Corp</stp>
        <stp>ISSUE_DT</stp>
        <stp>[portefeuille USD.xlsm]treasuries!R118C22_x0000__x0000_</stp>
        <tr r="V118" s="13"/>
      </tp>
      <tp t="e">
        <v>#N/A</v>
        <stp/>
        <stp>##V3_BDPV12</stp>
        <stp>US912828NG11 Corp</stp>
        <stp>MATURITY</stp>
        <stp>[portefeuille USD.xlsm]treasuries!R191C26_x0000__x0000_</stp>
        <tr r="Z191" s="13"/>
      </tp>
      <tp t="e">
        <v>#N/A</v>
        <stp/>
        <stp>##V3_BDPV12</stp>
        <stp>US912810PW27 Corp</stp>
        <stp>MATURITY</stp>
        <stp>[portefeuille USD.xlsm]treasuries!R271C26_x0000__x0000_</stp>
        <tr r="Z271" s="13"/>
      </tp>
      <tp t="e">
        <v>#N/A</v>
        <stp/>
        <stp>##V3_BDPV12</stp>
        <stp>US912828CJ78 Corp</stp>
        <stp>ISSUE_DT</stp>
        <stp>[portefeuille USD.xlsm]treasuries!R105C22_x0000__x0000_</stp>
        <tr r="V105" s="13"/>
      </tp>
      <tp t="e">
        <v>#N/A</v>
        <stp/>
        <stp>##V3_BDPV12</stp>
        <stp>US912810QA97 Corp</stp>
        <stp>MATURITY</stp>
        <stp>[portefeuille USD.xlsm]treasuries!R273C26_x0000__x0000_</stp>
        <tr r="Z273" s="13"/>
      </tp>
      <tp t="e">
        <v>#N/A</v>
        <stp/>
        <stp>##V3_BDPV12</stp>
        <stp>US912828SY71 Corp</stp>
        <stp>MATURITY</stp>
        <stp>[portefeuille USD.xlsm]treasuries!R190C26_x0000__x0000_</stp>
        <tr r="Z190" s="13"/>
      </tp>
      <tp t="e">
        <v>#N/A</v>
        <stp/>
        <stp>##V3_BDPV12</stp>
        <stp>US912828QY99 Corp</stp>
        <stp>MATURITY</stp>
        <stp>[portefeuille USD.xlsm]treasuries!R212C26_x0000__x0000_</stp>
        <tr r="Z212" s="13"/>
      </tp>
      <tp t="e">
        <v>#N/A</v>
        <stp/>
        <stp>##V3_BDPV12</stp>
        <stp>US912810FJ26 Corp</stp>
        <stp>ISSUE_DT</stp>
        <stp>[portefeuille USD.xlsm]treasuries!R265C22_x0000__x0000_</stp>
        <tr r="V265" s="13"/>
      </tp>
      <tp t="e">
        <v>#N/A</v>
        <stp/>
        <stp>##V3_BDPV12</stp>
        <stp>US912810QT88 Corp</stp>
        <stp>MATURITY</stp>
        <stp>[portefeuille USD.xlsm]treasuries!R284C26_x0000__x0000_</stp>
        <tr r="Z284" s="13"/>
      </tp>
      <tp t="e">
        <v>#N/A</v>
        <stp/>
        <stp>##V3_BDPV12</stp>
        <stp>US912810FG86 Corp</stp>
        <stp>ISSUE_DT</stp>
        <stp>[portefeuille USD.xlsm]treasuries!R264C22_x0000__x0000_</stp>
        <tr r="V264" s="13"/>
      </tp>
      <tp t="e">
        <v>#N/A</v>
        <stp/>
        <stp>##V3_BDPV12</stp>
        <stp>US912810EF13 Corp</stp>
        <stp>ISSUE_DT</stp>
        <stp>[portefeuille USD.xlsm]treasuries!R234C22_x0000__x0000_</stp>
        <tr r="V234" s="13"/>
      </tp>
      <tp t="e">
        <v>#N/A</v>
        <stp/>
        <stp>##V3_BDPV12</stp>
        <stp>US912810QW18 Corp</stp>
        <stp>MATURITY</stp>
        <stp>[portefeuille USD.xlsm]treasuries!R286C26_x0000__x0000_</stp>
        <tr r="Z286" s="13"/>
      </tp>
      <tp t="e">
        <v>#N/A</v>
        <stp/>
        <stp>##V3_BDPV12</stp>
        <stp>US912810QD37 Corp</stp>
        <stp>MATURITY</stp>
        <stp>[portefeuille USD.xlsm]treasuries!R276C26_x0000__x0000_</stp>
        <tr r="Z276" s="13"/>
      </tp>
      <tp t="e">
        <v>#N/A</v>
        <stp/>
        <stp>##V3_BDPV12</stp>
        <stp>US912828NG11 Corp</stp>
        <stp>ISSUE_DT</stp>
        <stp>[portefeuille USD.xlsm]treasuries!R191C22_x0000__x0000_</stp>
        <tr r="V191" s="13"/>
      </tp>
      <tp t="e">
        <v>#N/A</v>
        <stp/>
        <stp>##V3_BDPV12</stp>
        <stp>US912828RL69 Corp</stp>
        <stp>MATURITY</stp>
        <stp>[portefeuille USD.xlsm]treasuries!R118C26_x0000__x0000_</stp>
        <tr r="Z118" s="13"/>
      </tp>
      <tp t="e">
        <v>#N/A</v>
        <stp/>
        <stp>##V3_BDPV12</stp>
        <stp>US912828KN98 Corp</stp>
        <stp>ISSUE_DT</stp>
        <stp>[portefeuille USD.xlsm]treasuries!R102C22_x0000__x0000_</stp>
        <tr r="V102" s="13"/>
      </tp>
      <tp t="e">
        <v>#N/A</v>
        <stp/>
        <stp>##V3_BDPV12</stp>
        <stp>US912810QT88 Corp</stp>
        <stp>AMT_OUTSTANDING</stp>
        <stp>[portefeuille USD.xlsm]treasuries!R284C28_x0000__x0000_</stp>
        <tr r="AB284" s="13"/>
      </tp>
      <tp t="e">
        <v>#N/A</v>
        <stp/>
        <stp>##V3_BDPV12</stp>
        <stp>US912828KD17 Corp</stp>
        <stp>AMT_OUTSTANDING</stp>
        <stp>[portefeuille USD.xlsm]treasuries!R223C28_x0000__x0000_</stp>
        <tr r="AB223" s="13"/>
      </tp>
      <tp t="e">
        <v>#N/A</v>
        <stp/>
        <stp>##V3_BDPV12</stp>
        <stp>US912810DW54 Corp</stp>
        <stp>AMT_OUTSTANDING</stp>
        <stp>[portefeuille USD.xlsm]treasuries!R158C28_x0000__x0000_</stp>
        <tr r="AB158" s="13"/>
      </tp>
      <tp t="e">
        <v>#N/A</v>
        <stp/>
        <stp>##V3_BDPV12</stp>
        <stp>US912828MZ01 Corp</stp>
        <stp>AMT_OUTSTANDING</stp>
        <stp>[portefeuille USD.xlsm]treasuries!R134C28_x0000__x0000_</stp>
        <tr r="AB134" s="13"/>
      </tp>
      <tp t="e">
        <v>#N/A</v>
        <stp/>
        <stp>##V3_BDPV12</stp>
        <stp>US912828JR22 Corp</stp>
        <stp>AMT_OUTSTANDING</stp>
        <stp>[portefeuille USD.xlsm]treasuries!R217C28_x0000__x0000_</stp>
        <tr r="AB217" s="13"/>
      </tp>
      <tp t="e">
        <v>#N/A</v>
        <stp/>
        <stp>##V3_BDPV12</stp>
        <stp>US912828LC25 Corp</stp>
        <stp>AMT_OUTSTANDING</stp>
        <stp>[portefeuille USD.xlsm]treasuries!R112C28_x0000__x0000_</stp>
        <tr r="AB112" s="13"/>
      </tp>
      <tp t="e">
        <v>#N/A</v>
        <stp/>
        <stp>##V3_BDPV12</stp>
        <stp>US912828DC17 Corp</stp>
        <stp>AMT_OUTSTANDING</stp>
        <stp>[portefeuille USD.xlsm]treasuries!R120C28_x0000__x0000_</stp>
        <tr r="AB120" s="13"/>
      </tp>
      <tp t="e">
        <v>#N/A</v>
        <stp/>
        <stp>##V3_BDPV12</stp>
        <stp>US912828EW61 Corp</stp>
        <stp>AMT_OUTSTANDING</stp>
        <stp>[portefeuille USD.xlsm]treasuries!R151C28_x0000__x0000_</stp>
        <tr r="AB151" s="13"/>
      </tp>
      <tp t="e">
        <v>#N/A</v>
        <stp/>
        <stp>##V3_BDPV12</stp>
        <stp>US912828SE18 Corp</stp>
        <stp>AMT_OUTSTANDING</stp>
        <stp>[portefeuille USD.xlsm]treasuries!R129C28_x0000__x0000_</stp>
        <tr r="AB129" s="13"/>
      </tp>
      <tp t="e">
        <v>#N/A</v>
        <stp/>
        <stp>##V3_BDPV12</stp>
        <stp>US912828RM43 Corp</stp>
        <stp>AMT_OUTSTANDING</stp>
        <stp>[portefeuille USD.xlsm]treasuries!R171C28_x0000__x0000_</stp>
        <tr r="AB171" s="13"/>
      </tp>
      <tp t="e">
        <v>#N/A</v>
        <stp/>
        <stp>##V3_BDPV12</stp>
        <stp>US912828SN17 Corp</stp>
        <stp>AMT_OUTSTANDING</stp>
        <stp>[portefeuille USD.xlsm]treasuries!R225C28_x0000__x0000_</stp>
        <tr r="AB225" s="13"/>
      </tp>
      <tp t="e">
        <v>#N/A</v>
        <stp/>
        <stp>##V3_BDPV12</stp>
        <stp>US912828LZ10 Corp</stp>
        <stp>AMT_OUTSTANDING</stp>
        <stp>[portefeuille USD.xlsm]treasuries!R122C28_x0000__x0000_</stp>
        <tr r="AB122" s="13"/>
      </tp>
      <tp t="e">
        <v>#N/A</v>
        <stp/>
        <stp>##V3_BDPV12</stp>
        <stp>US912828RE27 Corp</stp>
        <stp>AMT_OUTSTANDING</stp>
        <stp>[portefeuille USD.xlsm]treasuries!R214C28_x0000__x0000_</stp>
        <tr r="AB214" s="13"/>
      </tp>
      <tp t="e">
        <v>#N/A</v>
        <stp/>
        <stp>##V3_BDPV12</stp>
        <stp>US912810QB70 Corp</stp>
        <stp>AMT_OUTSTANDING</stp>
        <stp>[portefeuille USD.xlsm]treasuries!R274C28_x0000__x0000_</stp>
        <tr r="AB274" s="13"/>
      </tp>
      <tp t="e">
        <v>#N/A</v>
        <stp/>
        <stp>##V3_BDPV12</stp>
        <stp>US912828KT68 Corp</stp>
        <stp>AMT_OUTSTANDING</stp>
        <stp>[portefeuille USD.xlsm]treasuries!R154C28_x0000__x0000_</stp>
        <tr r="AB154" s="13"/>
      </tp>
      <tp t="e">
        <v>#N/A</v>
        <stp/>
        <stp>##V3_BDPV12</stp>
        <stp>US912828NL06 Corp</stp>
        <stp>AMT_OUTSTANDING</stp>
        <stp>[portefeuille USD.xlsm]treasuries!R138C28_x0000__x0000_</stp>
        <tr r="AB138" s="13"/>
      </tp>
      <tp t="e">
        <v>#N/A</v>
        <stp/>
        <stp>##V3_BDPV12</stp>
        <stp>US912810QK79 Corp</stp>
        <stp>AMT_OUTSTANDING</stp>
        <stp>[portefeuille USD.xlsm]treasuries!R279C28_x0000__x0000_</stp>
        <tr r="AB279" s="13"/>
      </tp>
      <tp t="e">
        <v>#N/A</v>
        <stp/>
        <stp>##V3_BDPV12</stp>
        <stp>US912810DS43 Corp</stp>
        <stp>AMT_OUTSTANDING</stp>
        <stp>[portefeuille USD.xlsm]treasuries!R141C28_x0000__x0000_</stp>
        <tr r="AB141" s="13"/>
      </tp>
      <tp t="e">
        <v>#N/A</v>
        <stp/>
        <stp>##V3_BDPV12</stp>
        <stp>US912828KN98 Govt</stp>
        <stp>YLD_YTM_ASK</stp>
        <stp>[portefeuille USD.xlsm]treasuries!R102C8_x0000__x0000_</stp>
        <tr r="H102" s="13"/>
      </tp>
      <tp t="e">
        <v>#N/A</v>
        <stp/>
        <stp>##V3_BDPV12</stp>
        <stp>US9127956B27 Corp</stp>
        <stp>CPN</stp>
        <stp>[portefeuille USD.xlsm]treasuries!R13C27_x0000__x0000_</stp>
        <tr r="AA13" s="13"/>
      </tp>
      <tp t="e">
        <v>#N/A</v>
        <stp/>
        <stp>##V3_BDPV12</stp>
        <stp>US912810EM63 Govt</stp>
        <stp>YLD_YTM_ASK</stp>
        <stp>[portefeuille USD.xlsm]treasuries!R249C8_x0000__x0000_</stp>
        <tr r="H249" s="13"/>
      </tp>
      <tp t="e">
        <v>#N/A</v>
        <stp/>
        <stp>##V3_BDPV12</stp>
        <stp>US912810FM54 Govt</stp>
        <stp>YLD_YTM_ASK</stp>
        <stp>[portefeuille USD.xlsm]treasuries!R266C8_x0000__x0000_</stp>
        <tr r="H266" s="13"/>
      </tp>
      <tp t="e">
        <v>#N/A</v>
        <stp/>
        <stp>##V3_BDPV12</stp>
        <stp>US912828RK86 Corp</stp>
        <stp>CPN</stp>
        <stp>[portefeuille USD.xlsm]treasuries!R79C27_x0000__x0000_</stp>
        <tr r="AA79" s="13"/>
      </tp>
      <tp t="e">
        <v>#N/A</v>
        <stp/>
        <stp>##V3_BDPV12</stp>
        <stp>US912828JK78 Corp</stp>
        <stp>CPN</stp>
        <stp>[portefeuille USD.xlsm]treasuries!R76C27_x0000__x0000_</stp>
        <tr r="AA76" s="13"/>
      </tp>
      <tp t="e">
        <v>#N/A</v>
        <stp/>
        <stp>##V3_BDPV12</stp>
        <stp>US912828EN62 Govt</stp>
        <stp>YLD_YTM_ASK</stp>
        <stp>[portefeuille USD.xlsm]treasuries!R146C8_x0000__x0000_</stp>
        <tr r="H146" s="13"/>
      </tp>
      <tp t="e">
        <v>#N/A</v>
        <stp/>
        <stp>##V3_BDPV12</stp>
        <stp>US9127956F31 Corp</stp>
        <stp>CPN</stp>
        <stp>[portefeuille USD.xlsm]treasuries!R58C27_x0000__x0000_</stp>
        <tr r="AA58" s="13"/>
      </tp>
      <tp t="e">
        <v>#N/A</v>
        <stp/>
        <stp>##V3_BDPV12</stp>
        <stp>US912828HQ66 Corp</stp>
        <stp>PENULTIMATE_CPN_DT</stp>
        <stp>[portefeuille USD.xlsm]treasuries!R48C25_x0000__x0000_</stp>
        <tr r="Y48" s="13"/>
      </tp>
      <tp t="e">
        <v>#N/A</v>
        <stp/>
        <stp>##V3_BDPV12</stp>
        <stp>US912828NX44 Corp</stp>
        <stp>PENULTIMATE_CPN_DT</stp>
        <stp>[portefeuille USD.xlsm]treasuries!R24C25_x0000__x0000_</stp>
        <tr r="Y24" s="13"/>
      </tp>
      <tp t="e">
        <v>#N/A</v>
        <stp/>
        <stp>##V3_BDPV12</stp>
        <stp>US912828JB79 Corp</stp>
        <stp>PENULTIMATE_CPN_DT</stp>
        <stp>[portefeuille USD.xlsm]treasuries!R67C25_x0000__x0000_</stp>
        <tr r="Y67" s="13"/>
      </tp>
      <tp t="e">
        <v>#N/A</v>
        <stp/>
        <stp>##V3_BDPV12</stp>
        <stp>US912828HM52 Corp</stp>
        <stp>PENULTIMATE_CPN_DT</stp>
        <stp>[portefeuille USD.xlsm]treasuries!R43C25_x0000__x0000_</stp>
        <tr r="Y43" s="13"/>
      </tp>
      <tp t="e">
        <v>#N/A</v>
        <stp/>
        <stp>##V3_BDPV12</stp>
        <stp>US912828PH75 Corp</stp>
        <stp>INT_ACC_DT</stp>
        <stp>[portefeuille USD.xlsm]treasuries!R16C23_x0000__x0000_</stp>
        <tr r="W16" s="13"/>
      </tp>
      <tp t="e">
        <v>#N/A</v>
        <stp/>
        <stp>##V3_BDPV12</stp>
        <stp>US63983TAE55 Corp</stp>
        <stp>FIRST_CPN_DT</stp>
        <stp>[portefeuille USD.xlsm]SSA!R11C23_x0000__x0000_</stp>
        <tr r="W11" s="16"/>
      </tp>
      <tp t="e">
        <v>#N/A</v>
        <stp/>
        <stp>##V3_BDPV12</stp>
        <stp>US29878TBU79 Corp</stp>
        <stp>FIRST_CPN_DT</stp>
        <stp>[portefeuille USD.xlsm]SSA!R75C23_x0000_R</stp>
        <tr r="W75" s="16"/>
      </tp>
      <tp t="e">
        <v>#N/A</v>
        <stp/>
        <stp>##V3_BDPV12</stp>
        <stp>US912828SV33 Govt</stp>
        <stp>bid</stp>
        <stp>[portefeuille USD.xlsm]suivi globale!R3C17_x0000__x0000_</stp>
        <tr r="Q3" s="14"/>
      </tp>
      <tp t="e">
        <v>#N/A</v>
        <stp/>
        <stp>##V3_BDPV12</stp>
        <stp>US912828SV33 Govt</stp>
        <stp>bid</stp>
        <stp>[portefeuille USD.xlsm]suivi globale!R5C17_x0000__x0000_</stp>
        <tr r="Q5" s="14"/>
      </tp>
      <tp t="e">
        <v>#N/A</v>
        <stp/>
        <stp>##V3_BDPV12</stp>
        <stp>US912828PY09 Corp</stp>
        <stp>ISSUE_DT</stp>
        <stp>[portefeuille USD.xlsm]treasuries!R205C22_x0000__x0000_</stp>
        <tr r="V205" s="13"/>
      </tp>
      <tp t="e">
        <v>#N/A</v>
        <stp/>
        <stp>##V3_BDPV12</stp>
        <stp>US912810EP94 Corp</stp>
        <stp>MATURITY</stp>
        <stp>[portefeuille USD.xlsm]treasuries!R251C26_x0000__x0000_</stp>
        <tr r="Z251" s="13"/>
      </tp>
      <tp t="e">
        <v>#N/A</v>
        <stp/>
        <stp>##V3_BDPV12</stp>
        <stp>US912828SC51 Corp</stp>
        <stp>ISSUE_DT</stp>
        <stp>[portefeuille USD.xlsm]treasuries!R180C22_x0000__x0000_</stp>
        <tr r="V180" s="13"/>
      </tp>
      <tp t="e">
        <v>#N/A</v>
        <stp/>
        <stp>##V3_BDPV12</stp>
        <stp>US912810ES34 Corp</stp>
        <stp>MATURITY</stp>
        <stp>[portefeuille USD.xlsm]treasuries!R253C26_x0000__x0000_</stp>
        <tr r="Z253" s="13"/>
      </tp>
      <tp t="e">
        <v>#N/A</v>
        <stp/>
        <stp>##V3_BDPV12</stp>
        <stp>US912810FA17 Corp</stp>
        <stp>MATURITY</stp>
        <stp>[portefeuille USD.xlsm]treasuries!R260C26_x0000__x0000_</stp>
        <tr r="Z260" s="13"/>
      </tp>
      <tp t="e">
        <v>#N/A</v>
        <stp/>
        <stp>##V3_BDPV12</stp>
        <stp>US912828QC79 Corp</stp>
        <stp>ISSUE_DT</stp>
        <stp>[portefeuille USD.xlsm]treasuries!R101C22_x0000__x0000_</stp>
        <tr r="V101" s="13"/>
      </tp>
      <tp t="e">
        <v>#N/A</v>
        <stp/>
        <stp>##V3_BDPV12</stp>
        <stp>US912810EJ35 Corp</stp>
        <stp>MATURITY</stp>
        <stp>[portefeuille USD.xlsm]treasuries!R242C26_x0000__x0000_</stp>
        <tr r="Z242" s="13"/>
      </tp>
      <tp t="e">
        <v>#N/A</v>
        <stp/>
        <stp>##V3_BDPV12</stp>
        <stp>US912810QN19 Corp</stp>
        <stp>ISSUE_DT</stp>
        <stp>[portefeuille USD.xlsm]treasuries!R281C22_x0000__x0000_</stp>
        <tr r="V281" s="13"/>
      </tp>
      <tp t="e">
        <v>#N/A</v>
        <stp/>
        <stp>##V3_BDPV12</stp>
        <stp>US912828NW60 Corp</stp>
        <stp>MATURITY</stp>
        <stp>[portefeuille USD.xlsm]treasuries!R197C26_x0000__x0000_</stp>
        <tr r="Z197" s="13"/>
      </tp>
      <tp t="e">
        <v>#N/A</v>
        <stp/>
        <stp>##V3_BDPV12</stp>
        <stp>US912828NA41 Corp</stp>
        <stp>MATURITY</stp>
        <stp>[portefeuille USD.xlsm]treasuries!R187C26_x0000__x0000_</stp>
        <tr r="Z187" s="13"/>
      </tp>
      <tp t="e">
        <v>#N/A</v>
        <stp/>
        <stp>##V3_BDPV12</stp>
        <stp>US912810DW54 Corp</stp>
        <stp>MATURITY</stp>
        <stp>[portefeuille USD.xlsm]treasuries!R158C26_x0000__x0000_</stp>
        <tr r="Z158" s="13"/>
      </tp>
      <tp t="e">
        <v>#N/A</v>
        <stp/>
        <stp>##V3_BDPV12</stp>
        <stp>US912810PT97 Corp</stp>
        <stp>ISSUE_DT</stp>
        <stp>[portefeuille USD.xlsm]treasuries!R269C22_x0000__x0000_</stp>
        <tr r="V269" s="13"/>
      </tp>
      <tp t="e">
        <v>#N/A</v>
        <stp/>
        <stp>##V3_BDPV12</stp>
        <stp>US912828PF10 Corp</stp>
        <stp>ISSUE_DT</stp>
        <stp>[portefeuille USD.xlsm]treasuries!R199C22_x0000__x0000_</stp>
        <tr r="V199" s="13"/>
      </tp>
      <tp t="e">
        <v>#N/A</v>
        <stp/>
        <stp>##V3_BDPV12</stp>
        <stp>US912810QN19 Corp</stp>
        <stp>MATURITY</stp>
        <stp>[portefeuille USD.xlsm]treasuries!R281C26_x0000__x0000_</stp>
        <tr r="Z281" s="13"/>
      </tp>
      <tp t="e">
        <v>#N/A</v>
        <stp/>
        <stp>##V3_BDPV12</stp>
        <stp>US912810EJ35 Corp</stp>
        <stp>ISSUE_DT</stp>
        <stp>[portefeuille USD.xlsm]treasuries!R242C22_x0000__x0000_</stp>
        <tr r="V242" s="13"/>
      </tp>
      <tp t="e">
        <v>#N/A</v>
        <stp/>
        <stp>##V3_BDPV12</stp>
        <stp>US912828QC79 Corp</stp>
        <stp>MATURITY</stp>
        <stp>[portefeuille USD.xlsm]treasuries!R101C26_x0000__x0000_</stp>
        <tr r="Z101" s="13"/>
      </tp>
      <tp t="e">
        <v>#N/A</v>
        <stp/>
        <stp>##V3_BDPV12</stp>
        <stp>US912810ES34 Corp</stp>
        <stp>ISSUE_DT</stp>
        <stp>[portefeuille USD.xlsm]treasuries!R253C22_x0000__x0000_</stp>
        <tr r="V253" s="13"/>
      </tp>
      <tp t="e">
        <v>#N/A</v>
        <stp/>
        <stp>##V3_BDPV12</stp>
        <stp>US912810FA17 Corp</stp>
        <stp>ISSUE_DT</stp>
        <stp>[portefeuille USD.xlsm]treasuries!R260C22_x0000__x0000_</stp>
        <tr r="V260" s="13"/>
      </tp>
      <tp t="e">
        <v>#N/A</v>
        <stp/>
        <stp>##V3_BDPV12</stp>
        <stp>US912810EP94 Corp</stp>
        <stp>ISSUE_DT</stp>
        <stp>[portefeuille USD.xlsm]treasuries!R251C22_x0000__x0000_</stp>
        <tr r="V251" s="13"/>
      </tp>
      <tp t="e">
        <v>#N/A</v>
        <stp/>
        <stp>##V3_BDPV12</stp>
        <stp>US912828SC51 Corp</stp>
        <stp>MATURITY</stp>
        <stp>[portefeuille USD.xlsm]treasuries!R180C26_x0000__x0000_</stp>
        <tr r="Z180" s="13"/>
      </tp>
      <tp t="e">
        <v>#N/A</v>
        <stp/>
        <stp>##V3_BDPV12</stp>
        <stp>US912828PY09 Corp</stp>
        <stp>MATURITY</stp>
        <stp>[portefeuille USD.xlsm]treasuries!R205C26_x0000__x0000_</stp>
        <tr r="Z205" s="13"/>
      </tp>
      <tp t="e">
        <v>#N/A</v>
        <stp/>
        <stp>##V3_BDPV12</stp>
        <stp>US912810PT97 Corp</stp>
        <stp>MATURITY</stp>
        <stp>[portefeuille USD.xlsm]treasuries!R269C26_x0000__x0000_</stp>
        <tr r="Z269" s="13"/>
      </tp>
      <tp t="e">
        <v>#N/A</v>
        <stp/>
        <stp>##V3_BDPV12</stp>
        <stp>US912828PF10 Corp</stp>
        <stp>MATURITY</stp>
        <stp>[portefeuille USD.xlsm]treasuries!R199C26_x0000__x0000_</stp>
        <tr r="Z199" s="13"/>
      </tp>
      <tp t="e">
        <v>#N/A</v>
        <stp/>
        <stp>##V3_BDPV12</stp>
        <stp>US912810DW54 Corp</stp>
        <stp>ISSUE_DT</stp>
        <stp>[portefeuille USD.xlsm]treasuries!R158C22_x0000__x0000_</stp>
        <tr r="V158" s="13"/>
      </tp>
      <tp t="e">
        <v>#N/A</v>
        <stp/>
        <stp>##V3_BDPV12</stp>
        <stp>US912828NW60 Corp</stp>
        <stp>ISSUE_DT</stp>
        <stp>[portefeuille USD.xlsm]treasuries!R197C22_x0000__x0000_</stp>
        <tr r="V197" s="13"/>
      </tp>
      <tp t="e">
        <v>#N/A</v>
        <stp/>
        <stp>##V3_BDPV12</stp>
        <stp>US912828NA41 Corp</stp>
        <stp>ISSUE_DT</stp>
        <stp>[portefeuille USD.xlsm]treasuries!R187C22_x0000__x0000_</stp>
        <tr r="V187" s="13"/>
      </tp>
      <tp t="e">
        <v>#N/A</v>
        <stp/>
        <stp>##V3_BDPV12</stp>
        <stp>US912828EN62 Corp</stp>
        <stp>AMT_OUTSTANDING</stp>
        <stp>[portefeuille USD.xlsm]treasuries!R146C28_x0000__x0000_</stp>
        <tr r="AB146" s="13"/>
      </tp>
      <tp t="e">
        <v>#N/A</v>
        <stp/>
        <stp>##V3_BDPV12</stp>
        <stp>US912828MH03 Corp</stp>
        <stp>AMT_OUTSTANDING</stp>
        <stp>[portefeuille USD.xlsm]treasuries!R126C28_x0000__x0000_</stp>
        <tr r="AB126" s="13"/>
      </tp>
      <tp t="e">
        <v>#N/A</v>
        <stp/>
        <stp>##V3_BDPV12</stp>
        <stp>US912828SR21 Corp</stp>
        <stp>AMT_OUTSTANDING</stp>
        <stp>[portefeuille USD.xlsm]treasuries!R103C28_x0000__x0000_</stp>
        <tr r="AB103" s="13"/>
      </tp>
      <tp t="e">
        <v>#N/A</v>
        <stp/>
        <stp>##V3_BDPV12</stp>
        <stp>US912828RC60 Corp</stp>
        <stp>AMT_OUTSTANDING</stp>
        <stp>[portefeuille USD.xlsm]treasuries!R243C28_x0000__x0000_</stp>
        <tr r="AB243" s="13"/>
      </tp>
      <tp t="e">
        <v>#N/A</v>
        <stp/>
        <stp>##V3_BDPV12</stp>
        <stp>US912828EE63 Corp</stp>
        <stp>AMT_OUTSTANDING</stp>
        <stp>[portefeuille USD.xlsm]treasuries!R140C28_x0000__x0000_</stp>
        <tr r="AB140" s="13"/>
      </tp>
      <tp t="e">
        <v>#N/A</v>
        <stp/>
        <stp>##V3_BDPV12</stp>
        <stp>US912828MA59 Corp</stp>
        <stp>AMT_OUTSTANDING</stp>
        <stp>[portefeuille USD.xlsm]treasuries!R175C28_x0000__x0000_</stp>
        <tr r="AB175" s="13"/>
      </tp>
      <tp t="e">
        <v>#N/A</v>
        <stp/>
        <stp>##V3_BDPV12</stp>
        <stp>US912810EN47 Corp</stp>
        <stp>AMT_OUTSTANDING</stp>
        <stp>[portefeuille USD.xlsm]treasuries!R250C28_x0000__x0000_</stp>
        <tr r="AB250" s="13"/>
      </tp>
      <tp t="e">
        <v>#N/A</v>
        <stp/>
        <stp>##V3_BDPV12</stp>
        <stp>US912810PU60 Corp</stp>
        <stp>AMT_OUTSTANDING</stp>
        <stp>[portefeuille USD.xlsm]treasuries!R270C28_x0000__x0000_</stp>
        <tr r="AB270" s="13"/>
      </tp>
      <tp t="e">
        <v>#N/A</v>
        <stp/>
        <stp>##V3_BDPV12</stp>
        <stp>US912828PM60 Corp</stp>
        <stp>AMT_OUTSTANDING</stp>
        <stp>[portefeuille USD.xlsm]treasuries!R148C28_x0000__x0000_</stp>
        <tr r="AB148" s="13"/>
      </tp>
      <tp t="e">
        <v>#N/A</v>
        <stp/>
        <stp>##V3_BDPV12</stp>
        <stp>US912810DZ85 Corp</stp>
        <stp>AMT_OUTSTANDING</stp>
        <stp>[portefeuille USD.xlsm]treasuries!R195C28_x0000__x0000_</stp>
        <tr r="AB195" s="13"/>
      </tp>
      <tp t="e">
        <v>#N/A</v>
        <stp/>
        <stp>##V3_BDPV12</stp>
        <stp>US912810EW46 Corp</stp>
        <stp>AMT_OUTSTANDING</stp>
        <stp>[portefeuille USD.xlsm]treasuries!R256C28_x0000__x0000_</stp>
        <tr r="AB256" s="13"/>
      </tp>
      <tp t="e">
        <v>#N/A</v>
        <stp/>
        <stp>##V3_BDPV12</stp>
        <stp>US912828NP10 Corp</stp>
        <stp>AMT_OUTSTANDING</stp>
        <stp>[portefeuille USD.xlsm]treasuries!R139C28_x0000__x0000_</stp>
        <tr r="AB139" s="13"/>
      </tp>
      <tp t="e">
        <v>#N/A</v>
        <stp/>
        <stp>##V3_BDPV12</stp>
        <stp>US912810EB09 Corp</stp>
        <stp>AMT_OUTSTANDING</stp>
        <stp>[portefeuille USD.xlsm]treasuries!R218C28_x0000__x0000_</stp>
        <tr r="AB218" s="13"/>
      </tp>
      <tp t="e">
        <v>#N/A</v>
        <stp/>
        <stp>##V3_BDPV12</stp>
        <stp>US912828QS22 Corp</stp>
        <stp>AMT_OUTSTANDING</stp>
        <stp>[portefeuille USD.xlsm]treasuries!R108C28_x0000__x0000_</stp>
        <tr r="AB108" s="13"/>
      </tp>
      <tp t="e">
        <v>#N/A</v>
        <stp/>
        <stp>##V3_BDPV12</stp>
        <stp>US912828QR49 Corp</stp>
        <stp>AMT_OUTSTANDING</stp>
        <stp>[portefeuille USD.xlsm]treasuries!R163C28_x0000__x0000_</stp>
        <tr r="AB163" s="13"/>
      </tp>
      <tp t="e">
        <v>#N/A</v>
        <stp/>
        <stp>##V3_BDPV12</stp>
        <stp>US9127956C00 Corp</stp>
        <stp>CPN</stp>
        <stp>[portefeuille USD.xlsm]treasuries!R15C27_x0000__x0000_</stp>
        <tr r="AA15" s="13"/>
      </tp>
      <tp t="e">
        <v>#N/A</v>
        <stp/>
        <stp>##V3_BDPV12</stp>
        <stp>US912810EL80 Govt</stp>
        <stp>YLD_YTM_ASK</stp>
        <stp>[portefeuille USD.xlsm]treasuries!R245C8_x0000__x0000_</stp>
        <tr r="H245" s="13"/>
      </tp>
      <tp t="e">
        <v>#N/A</v>
        <stp/>
        <stp>##V3_BDPV12</stp>
        <stp>US912810QL52 Govt</stp>
        <stp>YLD_YTM_ASK</stp>
        <stp>[portefeuille USD.xlsm]treasuries!R280C8_x0000__x0000_</stp>
        <tr r="H280" s="13"/>
      </tp>
      <tp t="e">
        <v>#N/A</v>
        <stp/>
        <stp>##V3_BDPV12</stp>
        <stp>US912828HV51 Corp</stp>
        <stp>PENULTIMATE_CPN_DT</stp>
        <stp>[portefeuille USD.xlsm]treasuries!R56C25_x0000__x0000_</stp>
        <tr r="Y56" s="13"/>
      </tp>
      <tp t="e">
        <v>#N/A</v>
        <stp/>
        <stp>##V3_BDPV12</stp>
        <stp>US912828HT06 Corp</stp>
        <stp>PENULTIMATE_CPN_DT</stp>
        <stp>[portefeuille USD.xlsm]treasuries!R53C25_x0000__x0000_</stp>
        <tr r="Y53" s="13"/>
      </tp>
      <tp t="e">
        <v>#N/A</v>
        <stp/>
        <stp>##V3_BDPV12</stp>
        <stp>US912828JD36 Corp</stp>
        <stp>PENULTIMATE_CPN_DT</stp>
        <stp>[portefeuille USD.xlsm]treasuries!R70C25_x0000__x0000_</stp>
        <tr r="Y70" s="13"/>
      </tp>
      <tp t="e">
        <v>#N/A</v>
        <stp/>
        <stp>##V3_BDPV12</stp>
        <stp>US912828JG66 Corp</stp>
        <stp>PENULTIMATE_CPN_DT</stp>
        <stp>[portefeuille USD.xlsm]treasuries!R72C25_x0000__x0000_</stp>
        <tr r="Y72" s="13"/>
      </tp>
      <tp t="e">
        <v>#N/A</v>
        <stp/>
        <stp>##V3_BDPV12</stp>
        <stp>US912828LH12 Corp</stp>
        <stp>PENULTIMATE_CPN_DT</stp>
        <stp>[portefeuille USD.xlsm]treasuries!R12C25_x0000__x0000_</stp>
        <tr r="Y12" s="13"/>
      </tp>
      <tp t="e">
        <v>#N/A</v>
        <stp/>
        <stp>##V3_BDPV12</stp>
        <stp>US912828JK78 Corp</stp>
        <stp>PENULTIMATE_CPN_DT</stp>
        <stp>[portefeuille USD.xlsm]treasuries!R76C25_x0000__x0000_</stp>
        <tr r="Y76" s="13"/>
      </tp>
      <tp t="e">
        <v>#N/A</v>
        <stp/>
        <stp>##V3_BDPV12</stp>
        <stp>US912810FM54 Corp</stp>
        <stp>MATURITY</stp>
        <stp>[portefeuille USD.xlsm]treasuries!R266C26_x0000__x0000_</stp>
        <tr r="Z266" s="13"/>
      </tp>
      <tp t="e">
        <v>#N/A</v>
        <stp/>
        <stp>##V3_BDPV12</stp>
        <stp>US912828SU59 Corp</stp>
        <stp>ISSUE_DT</stp>
        <stp>[portefeuille USD.xlsm]treasuries!R135C22_x0000__x0000_</stp>
        <tr r="V135" s="13"/>
      </tp>
      <tp t="e">
        <v>#N/A</v>
        <stp/>
        <stp>##V3_BDPV12</stp>
        <stp>US912810DT26 Corp</stp>
        <stp>MATURITY</stp>
        <stp>[portefeuille USD.xlsm]treasuries!R145C26_x0000__x0000_</stp>
        <tr r="Z145" s="13"/>
      </tp>
      <tp t="e">
        <v>#N/A</v>
        <stp/>
        <stp>##V3_BDPV12</stp>
        <stp>US912810ET17 Corp</stp>
        <stp>MATURITY</stp>
        <stp>[portefeuille USD.xlsm]treasuries!R254C26_x0000__x0000_</stp>
        <tr r="Z254" s="13"/>
      </tp>
      <tp t="e">
        <v>#N/A</v>
        <stp/>
        <stp>##V3_BDPV12</stp>
        <stp>US912810EN47 Corp</stp>
        <stp>MATURITY</stp>
        <stp>[portefeuille USD.xlsm]treasuries!R250C26_x0000__x0000_</stp>
        <tr r="Z250" s="13"/>
      </tp>
      <tp t="e">
        <v>#N/A</v>
        <stp/>
        <stp>##V3_BDPV12</stp>
        <stp>US912810FF04 Corp</stp>
        <stp>MATURITY</stp>
        <stp>[portefeuille USD.xlsm]treasuries!R263C26_x0000__x0000_</stp>
        <tr r="Z263" s="13"/>
      </tp>
      <tp t="e">
        <v>#N/A</v>
        <stp/>
        <stp>##V3_BDPV12</stp>
        <stp>US912810EQ77 Corp</stp>
        <stp>MATURITY</stp>
        <stp>[portefeuille USD.xlsm]treasuries!R252C26_x0000__x0000_</stp>
        <tr r="Z252" s="13"/>
      </tp>
      <tp t="e">
        <v>#N/A</v>
        <stp/>
        <stp>##V3_BDPV12</stp>
        <stp>US912828ND89 Corp</stp>
        <stp>MATURITY</stp>
        <stp>[portefeuille USD.xlsm]treasuries!R235C26_x0000__x0000_</stp>
        <tr r="Z235" s="13"/>
      </tp>
      <tp t="e">
        <v>#N/A</v>
        <stp/>
        <stp>##V3_BDPV12</stp>
        <stp>US912828SX98 Corp</stp>
        <stp>ISSUE_DT</stp>
        <stp>[portefeuille USD.xlsm]treasuries!R228C22_x0000__x0000_</stp>
        <tr r="V228" s="13"/>
      </tp>
      <tp t="e">
        <v>#N/A</v>
        <stp/>
        <stp>##V3_BDPV12</stp>
        <stp>US912828DM98 Corp</stp>
        <stp>MATURITY</stp>
        <stp>[portefeuille USD.xlsm]treasuries!R128C26_x0000__x0000_</stp>
        <tr r="Z128" s="13"/>
      </tp>
      <tp t="e">
        <v>#N/A</v>
        <stp/>
        <stp>##V3_BDPV12</stp>
        <stp>US912828NK23 Corp</stp>
        <stp>MATURITY</stp>
        <stp>[portefeuille USD.xlsm]treasuries!R192C26_x0000__x0000_</stp>
        <tr r="Z192" s="13"/>
      </tp>
      <tp t="e">
        <v>#N/A</v>
        <stp/>
        <stp>##V3_BDPV12</stp>
        <stp>US912828SE18 Corp</stp>
        <stp>ISSUE_DT</stp>
        <stp>[portefeuille USD.xlsm]treasuries!R129C22_x0000__x0000_</stp>
        <tr r="V129" s="13"/>
      </tp>
      <tp t="e">
        <v>#N/A</v>
        <stp/>
        <stp>##V3_BDPV12</stp>
        <stp>US912828MP29 Corp</stp>
        <stp>MATURITY</stp>
        <stp>[portefeuille USD.xlsm]treasuries!R233C26_x0000__x0000_</stp>
        <tr r="Z233" s="13"/>
      </tp>
      <tp t="e">
        <v>#N/A</v>
        <stp/>
        <stp>##V3_BDPV12</stp>
        <stp>US912828MW79 Corp</stp>
        <stp>MATURITY</stp>
        <stp>[portefeuille USD.xlsm]treasuries!R132C26_x0000__x0000_</stp>
        <tr r="Z132" s="13"/>
      </tp>
      <tp t="e">
        <v>#N/A</v>
        <stp/>
        <stp>##V3_BDPV12</stp>
        <stp>US912828GS32 Corp</stp>
        <stp>MATURITY</stp>
        <stp>[portefeuille USD.xlsm]treasuries!R188C26_x0000__x0000_</stp>
        <tr r="Z188" s="13"/>
      </tp>
      <tp t="e">
        <v>#N/A</v>
        <stp/>
        <stp>##V3_BDPV12</stp>
        <stp>US912828PA23 Corp</stp>
        <stp>ISSUE_DT</stp>
        <stp>[portefeuille USD.xlsm]treasuries!R198C22_x0000__x0000_</stp>
        <tr r="V198" s="13"/>
      </tp>
      <tp t="e">
        <v>#N/A</v>
        <stp/>
        <stp>##V3_BDPV12</stp>
        <stp>US912810EQ77 Corp</stp>
        <stp>ISSUE_DT</stp>
        <stp>[portefeuille USD.xlsm]treasuries!R252C22_x0000__x0000_</stp>
        <tr r="V252" s="13"/>
      </tp>
      <tp t="e">
        <v>#N/A</v>
        <stp/>
        <stp>##V3_BDPV12</stp>
        <stp>US912810FF04 Corp</stp>
        <stp>ISSUE_DT</stp>
        <stp>[portefeuille USD.xlsm]treasuries!R263C22_x0000__x0000_</stp>
        <tr r="V263" s="13"/>
      </tp>
      <tp t="e">
        <v>#N/A</v>
        <stp/>
        <stp>##V3_BDPV12</stp>
        <stp>US912810EN47 Corp</stp>
        <stp>ISSUE_DT</stp>
        <stp>[portefeuille USD.xlsm]treasuries!R250C22_x0000__x0000_</stp>
        <tr r="V250" s="13"/>
      </tp>
      <tp t="e">
        <v>#N/A</v>
        <stp/>
        <stp>##V3_BDPV12</stp>
        <stp>US912810DT26 Corp</stp>
        <stp>ISSUE_DT</stp>
        <stp>[portefeuille USD.xlsm]treasuries!R145C22_x0000__x0000_</stp>
        <tr r="V145" s="13"/>
      </tp>
      <tp t="e">
        <v>#N/A</v>
        <stp/>
        <stp>##V3_BDPV12</stp>
        <stp>US912810ET17 Corp</stp>
        <stp>ISSUE_DT</stp>
        <stp>[portefeuille USD.xlsm]treasuries!R254C22_x0000__x0000_</stp>
        <tr r="V254" s="13"/>
      </tp>
      <tp t="e">
        <v>#N/A</v>
        <stp/>
        <stp>##V3_BDPV12</stp>
        <stp>US912828SU59 Corp</stp>
        <stp>MATURITY</stp>
        <stp>[portefeuille USD.xlsm]treasuries!R135C26_x0000__x0000_</stp>
        <tr r="Z135" s="13"/>
      </tp>
      <tp t="e">
        <v>#N/A</v>
        <stp/>
        <stp>##V3_BDPV12</stp>
        <stp>US912810FM54 Corp</stp>
        <stp>ISSUE_DT</stp>
        <stp>[portefeuille USD.xlsm]treasuries!R266C22_x0000__x0000_</stp>
        <tr r="V266" s="13"/>
      </tp>
      <tp t="e">
        <v>#N/A</v>
        <stp/>
        <stp>##V3_BDPV12</stp>
        <stp>US912828GS32 Corp</stp>
        <stp>ISSUE_DT</stp>
        <stp>[portefeuille USD.xlsm]treasuries!R188C22_x0000__x0000_</stp>
        <tr r="V188" s="13"/>
      </tp>
      <tp t="e">
        <v>#N/A</v>
        <stp/>
        <stp>##V3_BDPV12</stp>
        <stp>US912828MW79 Corp</stp>
        <stp>ISSUE_DT</stp>
        <stp>[portefeuille USD.xlsm]treasuries!R132C22_x0000__x0000_</stp>
        <tr r="V132" s="13"/>
      </tp>
      <tp t="e">
        <v>#N/A</v>
        <stp/>
        <stp>##V3_BDPV12</stp>
        <stp>US912828PA23 Corp</stp>
        <stp>MATURITY</stp>
        <stp>[portefeuille USD.xlsm]treasuries!R198C26_x0000__x0000_</stp>
        <tr r="Z198" s="13"/>
      </tp>
      <tp t="e">
        <v>#N/A</v>
        <stp/>
        <stp>##V3_BDPV12</stp>
        <stp>US912828MP29 Corp</stp>
        <stp>ISSUE_DT</stp>
        <stp>[portefeuille USD.xlsm]treasuries!R233C22_x0000__x0000_</stp>
        <tr r="V233" s="13"/>
      </tp>
      <tp t="e">
        <v>#N/A</v>
        <stp/>
        <stp>##V3_BDPV12</stp>
        <stp>US912828SE18 Corp</stp>
        <stp>MATURITY</stp>
        <stp>[portefeuille USD.xlsm]treasuries!R129C26_x0000__x0000_</stp>
        <tr r="Z129" s="13"/>
      </tp>
      <tp t="e">
        <v>#N/A</v>
        <stp/>
        <stp>##V3_BDPV12</stp>
        <stp>US912828SX98 Corp</stp>
        <stp>MATURITY</stp>
        <stp>[portefeuille USD.xlsm]treasuries!R228C26_x0000__x0000_</stp>
        <tr r="Z228" s="13"/>
      </tp>
      <tp t="e">
        <v>#N/A</v>
        <stp/>
        <stp>##V3_BDPV12</stp>
        <stp>US912828NK23 Corp</stp>
        <stp>ISSUE_DT</stp>
        <stp>[portefeuille USD.xlsm]treasuries!R192C22_x0000__x0000_</stp>
        <tr r="V192" s="13"/>
      </tp>
      <tp t="e">
        <v>#N/A</v>
        <stp/>
        <stp>##V3_BDPV12</stp>
        <stp>US912828DM98 Corp</stp>
        <stp>ISSUE_DT</stp>
        <stp>[portefeuille USD.xlsm]treasuries!R128C22_x0000__x0000_</stp>
        <tr r="V128" s="13"/>
      </tp>
      <tp t="e">
        <v>#N/A</v>
        <stp/>
        <stp>##V3_BDPV12</stp>
        <stp>US912828ND89 Corp</stp>
        <stp>ISSUE_DT</stp>
        <stp>[portefeuille USD.xlsm]treasuries!R235C22_x0000__x0000_</stp>
        <tr r="V235" s="13"/>
      </tp>
      <tp t="e">
        <v>#N/A</v>
        <stp/>
        <stp>##V3_BDPV12</stp>
        <stp>US912828QT05 Corp</stp>
        <stp>AMT_OUTSTANDING</stp>
        <stp>[portefeuille USD.xlsm]treasuries!R211C28_x0000__x0000_</stp>
        <tr r="AB211" s="13"/>
      </tp>
      <tp t="e">
        <v>#N/A</v>
        <stp/>
        <stp>##V3_BDPV12</stp>
        <stp>US912828SD35 Corp</stp>
        <stp>AMT_OUTSTANDING</stp>
        <stp>[portefeuille USD.xlsm]treasuries!R221C28_x0000__x0000_</stp>
        <tr r="AB221" s="13"/>
      </tp>
      <tp t="e">
        <v>#N/A</v>
        <stp/>
        <stp>##V3_BDPV12</stp>
        <stp>US912810EA26 Corp</stp>
        <stp>AMT_OUTSTANDING</stp>
        <stp>[portefeuille USD.xlsm]treasuries!R208C28_x0000__x0000_</stp>
        <tr r="AB208" s="13"/>
      </tp>
      <tp t="e">
        <v>#N/A</v>
        <stp/>
        <stp>##V3_BDPV12</stp>
        <stp>US912828PT14 Corp</stp>
        <stp>AMT_OUTSTANDING</stp>
        <stp>[portefeuille USD.xlsm]treasuries!R203C28_x0000__x0000_</stp>
        <tr r="AB203" s="13"/>
      </tp>
      <tp t="e">
        <v>#N/A</v>
        <stp/>
        <stp>##V3_BDPV12</stp>
        <stp>US912810EZ76 Corp</stp>
        <stp>AMT_OUTSTANDING</stp>
        <stp>[portefeuille USD.xlsm]treasuries!R259C28_x0000__x0000_</stp>
        <tr r="AB259" s="13"/>
      </tp>
      <tp t="e">
        <v>#N/A</v>
        <stp/>
        <stp>##V3_BDPV12</stp>
        <stp>US912828SW16 Corp</stp>
        <stp>AMT_OUTSTANDING</stp>
        <stp>[portefeuille USD.xlsm]treasuries!R107C28_x0000__x0000_</stp>
        <tr r="AB107" s="13"/>
      </tp>
      <tp t="e">
        <v>#N/A</v>
        <stp/>
        <stp>##V3_BDPV12</stp>
        <stp>US912828MV96 Corp</stp>
        <stp>AMT_OUTSTANDING</stp>
        <stp>[portefeuille USD.xlsm]treasuries!R184C28_x0000__x0000_</stp>
        <tr r="AB184" s="13"/>
      </tp>
      <tp t="e">
        <v>#N/A</v>
        <stp/>
        <stp>##V3_BDPV12</stp>
        <stp>US912810EM63 Corp</stp>
        <stp>AMT_OUTSTANDING</stp>
        <stp>[portefeuille USD.xlsm]treasuries!R249C28_x0000__x0000_</stp>
        <tr r="AB249" s="13"/>
      </tp>
      <tp t="e">
        <v>#N/A</v>
        <stp/>
        <stp>##V3_BDPV12</stp>
        <stp>US912828KV15 Corp</stp>
        <stp>AMT_OUTSTANDING</stp>
        <stp>[portefeuille USD.xlsm]treasuries!R106C28_x0000__x0000_</stp>
        <tr r="AB106" s="13"/>
      </tp>
      <tp t="e">
        <v>#N/A</v>
        <stp/>
        <stp>##V3_BDPV12</stp>
        <stp>US912810EQ77 Corp</stp>
        <stp>AMT_OUTSTANDING</stp>
        <stp>[portefeuille USD.xlsm]treasuries!R252C28_x0000__x0000_</stp>
        <tr r="AB252" s="13"/>
      </tp>
      <tp t="e">
        <v>#N/A</v>
        <stp/>
        <stp>##V3_BDPV12</stp>
        <stp>US912810QC53 Corp</stp>
        <stp>AMT_OUTSTANDING</stp>
        <stp>[portefeuille USD.xlsm]treasuries!R275C28_x0000__x0000_</stp>
        <tr r="AB275" s="13"/>
      </tp>
      <tp t="e">
        <v>#N/A</v>
        <stp/>
        <stp>##V3_BDPV12</stp>
        <stp>US912828RU68 Corp</stp>
        <stp>AMT_OUTSTANDING</stp>
        <stp>[portefeuille USD.xlsm]treasuries!R176C28_x0000__x0000_</stp>
        <tr r="AB176" s="13"/>
      </tp>
      <tp t="e">
        <v>#N/A</v>
        <stp/>
        <stp>##V3_BDPV12</stp>
        <stp>US912828PX26 Corp</stp>
        <stp>AMT_OUTSTANDING</stp>
        <stp>[portefeuille USD.xlsm]treasuries!R239C28_x0000__x0000_</stp>
        <tr r="AB239" s="13"/>
      </tp>
      <tp t="e">
        <v>#N/A</v>
        <stp/>
        <stp>##V3_BDPV12</stp>
        <stp>US912810EF13 Corp</stp>
        <stp>AMT_OUTSTANDING</stp>
        <stp>[portefeuille USD.xlsm]treasuries!R234C28_x0000__x0000_</stp>
        <tr r="AB234" s="13"/>
      </tp>
      <tp t="e">
        <v>#N/A</v>
        <stp/>
        <stp>##V3_BDPV12</stp>
        <stp>US912810DV71 Corp</stp>
        <stp>AMT_OUTSTANDING</stp>
        <stp>[portefeuille USD.xlsm]treasuries!R150C28_x0000__x0000_</stp>
        <tr r="AB150" s="13"/>
      </tp>
      <tp t="e">
        <v>#N/A</v>
        <stp/>
        <stp>##V3_BDPV12</stp>
        <stp>US912828MP29 Corp</stp>
        <stp>AMT_OUTSTANDING</stp>
        <stp>[portefeuille USD.xlsm]treasuries!R233C28_x0000__x0000_</stp>
        <tr r="AB233" s="13"/>
      </tp>
      <tp t="e">
        <v>#N/A</v>
        <stp/>
        <stp>##V3_BDPV12</stp>
        <stp>US912810DP04 Corp</stp>
        <stp>AMT_OUTSTANDING</stp>
        <stp>[portefeuille USD.xlsm]treasuries!R127C28_x0000__x0000_</stp>
        <tr r="AB127" s="13"/>
      </tp>
      <tp t="e">
        <v>#N/A</v>
        <stp/>
        <stp>##V3_BDPV12</stp>
        <stp>US9127955C19 Corp</stp>
        <stp>CPN</stp>
        <stp>[portefeuille USD.xlsm]treasuries!R21C27_x0000__x0000_</stp>
        <tr r="AA21" s="13"/>
      </tp>
      <tp t="e">
        <v>#N/A</v>
        <stp/>
        <stp>##V3_BDPV12</stp>
        <stp>US912828QK95 Corp</stp>
        <stp>CPN</stp>
        <stp>[portefeuille USD.xlsm]treasuries!R52C27_x0000__x0000_</stp>
        <tr r="AA52" s="13"/>
      </tp>
      <tp t="e">
        <v>#N/A</v>
        <stp/>
        <stp>##V3_BDPV12</stp>
        <stp>US9127955Y39 Corp</stp>
        <stp>AMT_OUTSTANDING</stp>
        <stp>[portefeuille USD.xlsm]treasuries!R9C28_x0000_4</stp>
        <tr r="AB9" s="13"/>
      </tp>
      <tp t="e">
        <v>#N/A</v>
        <stp/>
        <stp>##V3_BDPV12</stp>
        <stp>US9127955U17 Corp</stp>
        <stp>AMT_OUTSTANDING</stp>
        <stp>[portefeuille USD.xlsm]treasuries!R2C28_x0000__x0000_</stp>
        <tr r="AB2" s="13"/>
      </tp>
      <tp t="e">
        <v>#N/A</v>
        <stp/>
        <stp>##V3_BDPV12</stp>
        <stp>US9127955W72 Corp</stp>
        <stp>AMT_OUTSTANDING</stp>
        <stp>[portefeuille USD.xlsm]treasuries!R3C28_x0000__x0000_</stp>
        <tr r="AB3" s="13"/>
      </tp>
      <tp t="e">
        <v>#N/A</v>
        <stp/>
        <stp>##V3_BDPV12</stp>
        <stp>US912828NL06 Govt</stp>
        <stp>YLD_YTM_ASK</stp>
        <stp>[portefeuille USD.xlsm]treasuries!R138C8_x0000__x0000_</stp>
        <tr r="H138" s="13"/>
      </tp>
      <tp t="e">
        <v>#N/A</v>
        <stp/>
        <stp>##V3_BDPV12</stp>
        <stp>US912828NH93 Corp</stp>
        <stp>CPN</stp>
        <stp>[portefeuille USD.xlsm]treasuries!R68C27_x0000__x0000_</stp>
        <tr r="AA68" s="13"/>
      </tp>
      <tp t="e">
        <v>#N/A</v>
        <stp/>
        <stp>##V3_BDPV12</stp>
        <stp>US912828SG65 Corp</stp>
        <stp>CPN</stp>
        <stp>[portefeuille USD.xlsm]treasuries!R96C27_x0000__x0000_</stp>
        <tr r="AA96" s="13"/>
      </tp>
      <tp t="e">
        <v>#N/A</v>
        <stp/>
        <stp>##V3_BDPV12</stp>
        <stp>US912828LL24 Govt</stp>
        <stp>YLD_YTM_ASK</stp>
        <stp>[portefeuille USD.xlsm]treasuries!R167C8_x0000__x0000_</stp>
        <tr r="H167" s="13"/>
      </tp>
      <tp t="e">
        <v>#N/A</v>
        <stp/>
        <stp>##V3_BDPV12</stp>
        <stp>US912828RL69 Govt</stp>
        <stp>YLD_YTM_ASK</stp>
        <stp>[portefeuille USD.xlsm]treasuries!R118C8_x0000__x0000_</stp>
        <tr r="H118" s="13"/>
      </tp>
      <tp t="e">
        <v>#N/A</v>
        <stp/>
        <stp>##V3_BDPV12</stp>
        <stp>US9127955X55 Corp</stp>
        <stp>AMT_OUTSTANDING</stp>
        <stp>[portefeuille USD.xlsm]treasuries!R5C28_x0000__x0000_</stp>
        <tr r="AB5" s="13"/>
      </tp>
      <tp t="e">
        <v>#N/A</v>
        <stp/>
        <stp>##V3_BDPV12</stp>
        <stp>US912828LR93 Corp</stp>
        <stp>PENULTIMATE_CPN_DT</stp>
        <stp>[portefeuille USD.xlsm]treasuries!R27C25_x0000__x0000_</stp>
        <tr r="Y27" s="13"/>
      </tp>
      <tp t="e">
        <v>#N/A</v>
        <stp/>
        <stp>##V3_BDPV12</stp>
        <stp>US912828HY90 Corp</stp>
        <stp>PENULTIMATE_CPN_DT</stp>
        <stp>[portefeuille USD.xlsm]treasuries!R61C25_x0000__x0000_</stp>
        <tr r="Y61" s="13"/>
      </tp>
      <tp t="e">
        <v>#N/A</v>
        <stp/>
        <stp>##V3_BDPV12</stp>
        <stp>EI697819 Corp Corp</stp>
        <stp>FIRST_CPN_DT</stp>
        <stp>[portefeuille USD.xlsm]SSA!R141C23_x0000_2</stp>
        <tr r="W141" s="16"/>
      </tp>
      <tp t="e">
        <v>#N/A</v>
        <stp/>
        <stp>##V3_BDPV12</stp>
        <stp>US912828PD61 Corp</stp>
        <stp>INT_ACC_DT</stp>
        <stp>[portefeuille USD.xlsm]treasuries!R31C23_x0000__x0000_</stp>
        <tr r="W31" s="13"/>
      </tp>
      <tp t="e">
        <v>#N/A</v>
        <stp/>
        <stp>##V3_BDPV12</stp>
        <stp>EH828973 Corp Corp</stp>
        <stp>FIRST_CPN_DT</stp>
        <stp>[portefeuille USD.xlsm]SSA!R142C23_x0000_2</stp>
        <tr r="W142" s="16"/>
      </tp>
      <tp t="e">
        <v>#N/A</v>
        <stp/>
        <stp>##V3_BDPV12</stp>
        <stp>US912828LM07 Corp</stp>
        <stp>PENULTIMATE_CPN_DT</stp>
        <stp>[portefeuille USD.xlsm]treasuries!R20C25_x0000__x0000_</stp>
        <tr r="Y20" s="13"/>
      </tp>
      <tp t="e">
        <v>#N/A</v>
        <stp/>
        <stp>##V3_BDPV12</stp>
        <stp>US63983UAD46 Corp</stp>
        <stp>FIRST_CPN_DT</stp>
        <stp>[portefeuille USD.xlsm]SSA!R10C23_x0000__x0000_</stp>
        <tr r="W10" s="16"/>
      </tp>
      <tp t="e">
        <v>#N/A</v>
        <stp/>
        <stp>##V3_BDPV12</stp>
        <stp>USN9638CAY59 Corp</stp>
        <stp>CPN</stp>
        <stp>[portefeuille USD.xlsm]SSA!R12C26_x0000__x0000_</stp>
        <tr r="Z12" s="16"/>
      </tp>
      <tp t="e">
        <v>#N/A</v>
        <stp/>
        <stp>##V3_BDPV12</stp>
        <stp>US912828SH49 Corp</stp>
        <stp>ISSUE_DT</stp>
        <stp>[portefeuille USD.xlsm]treasuries!R224C22_x0000__x0000_</stp>
        <tr r="V224" s="13"/>
      </tp>
      <tp t="e">
        <v>#N/A</v>
        <stp/>
        <stp>##V3_BDPV12</stp>
        <stp>US912810FP85 Corp</stp>
        <stp>MATURITY</stp>
        <stp>[portefeuille USD.xlsm]treasuries!R267C26_x0000__x0000_</stp>
        <tr r="Z267" s="13"/>
      </tp>
      <tp t="e">
        <v>#N/A</v>
        <stp/>
        <stp>##V3_BDPV12</stp>
        <stp>US912810EW46 Corp</stp>
        <stp>MATURITY</stp>
        <stp>[portefeuille USD.xlsm]treasuries!R256C26_x0000__x0000_</stp>
        <tr r="Z256" s="13"/>
      </tp>
      <tp t="e">
        <v>#N/A</v>
        <stp/>
        <stp>##V3_BDPV12</stp>
        <stp>US912810EC81 Corp</stp>
        <stp>MATURITY</stp>
        <stp>[portefeuille USD.xlsm]treasuries!R222C26_x0000__x0000_</stp>
        <tr r="Z222" s="13"/>
      </tp>
      <tp t="e">
        <v>#N/A</v>
        <stp/>
        <stp>##V3_BDPV12</stp>
        <stp>US912828NF38 Corp</stp>
        <stp>MATURITY</stp>
        <stp>[portefeuille USD.xlsm]treasuries!R137C26_x0000__x0000_</stp>
        <tr r="Z137" s="13"/>
      </tp>
      <tp t="e">
        <v>#N/A</v>
        <stp/>
        <stp>##V3_BDPV12</stp>
        <stp>US912810EZ76 Corp</stp>
        <stp>MATURITY</stp>
        <stp>[portefeuille USD.xlsm]treasuries!R259C26_x0000__x0000_</stp>
        <tr r="Z259" s="13"/>
      </tp>
      <tp t="e">
        <v>#N/A</v>
        <stp/>
        <stp>##V3_BDPV12</stp>
        <stp>US912828PC88 Corp</stp>
        <stp>ISSUE_DT</stp>
        <stp>[portefeuille USD.xlsm]treasuries!R238C22_x0000__x0000_</stp>
        <tr r="V238" s="13"/>
      </tp>
      <tp t="e">
        <v>#N/A</v>
        <stp/>
        <stp>##V3_BDPV12</stp>
        <stp>US912810EC81 Corp</stp>
        <stp>ISSUE_DT</stp>
        <stp>[portefeuille USD.xlsm]treasuries!R222C22_x0000__x0000_</stp>
        <tr r="V222" s="13"/>
      </tp>
      <tp t="e">
        <v>#N/A</v>
        <stp/>
        <stp>##V3_BDPV12</stp>
        <stp>US912810EW46 Corp</stp>
        <stp>ISSUE_DT</stp>
        <stp>[portefeuille USD.xlsm]treasuries!R256C22_x0000__x0000_</stp>
        <tr r="V256" s="13"/>
      </tp>
      <tp t="e">
        <v>#N/A</v>
        <stp/>
        <stp>##V3_BDPV12</stp>
        <stp>US912810FP85 Corp</stp>
        <stp>ISSUE_DT</stp>
        <stp>[portefeuille USD.xlsm]treasuries!R267C22_x0000__x0000_</stp>
        <tr r="V267" s="13"/>
      </tp>
      <tp t="e">
        <v>#N/A</v>
        <stp/>
        <stp>##V3_BDPV12</stp>
        <stp>US912828SH49 Corp</stp>
        <stp>MATURITY</stp>
        <stp>[portefeuille USD.xlsm]treasuries!R224C26_x0000__x0000_</stp>
        <tr r="Z224" s="13"/>
      </tp>
      <tp t="e">
        <v>#N/A</v>
        <stp/>
        <stp>##V3_BDPV12</stp>
        <stp>US912828PC88 Corp</stp>
        <stp>MATURITY</stp>
        <stp>[portefeuille USD.xlsm]treasuries!R238C26_x0000__x0000_</stp>
        <tr r="Z238" s="13"/>
      </tp>
      <tp t="e">
        <v>#N/A</v>
        <stp/>
        <stp>##V3_BDPV12</stp>
        <stp>US912810EZ76 Corp</stp>
        <stp>ISSUE_DT</stp>
        <stp>[portefeuille USD.xlsm]treasuries!R259C22_x0000__x0000_</stp>
        <tr r="V259" s="13"/>
      </tp>
      <tp t="e">
        <v>#N/A</v>
        <stp/>
        <stp>##V3_BDPV12</stp>
        <stp>US912828NF38 Corp</stp>
        <stp>ISSUE_DT</stp>
        <stp>[portefeuille USD.xlsm]treasuries!R137C22_x0000__x0000_</stp>
        <tr r="V137" s="13"/>
      </tp>
      <tp t="e">
        <v>#N/A</v>
        <stp/>
        <stp>##V3_BDPV12</stp>
        <stp>US912828PK05 Corp</stp>
        <stp>AMT_OUTSTANDING</stp>
        <stp>[portefeuille USD.xlsm]treasuries!R201C28_x0000__x0000_</stp>
        <tr r="AB201" s="13"/>
      </tp>
      <tp t="e">
        <v>#N/A</v>
        <stp/>
        <stp>##V3_BDPV12</stp>
        <stp>US912828NT32 Corp</stp>
        <stp>AMT_OUTSTANDING</stp>
        <stp>[portefeuille USD.xlsm]treasuries!R237C28_x0000__x0000_</stp>
        <tr r="AB237" s="13"/>
      </tp>
      <tp t="e">
        <v>#N/A</v>
        <stp/>
        <stp>##V3_BDPV12</stp>
        <stp>US912828LQ11 Corp</stp>
        <stp>AMT_OUTSTANDING</stp>
        <stp>[portefeuille USD.xlsm]treasuries!R117C28_x0000__x0000_</stp>
        <tr r="AB117" s="13"/>
      </tp>
      <tp t="e">
        <v>#N/A</v>
        <stp/>
        <stp>##V3_BDPV12</stp>
        <stp>US912828KQ20 Corp</stp>
        <stp>AMT_OUTSTANDING</stp>
        <stp>[portefeuille USD.xlsm]treasuries!R227C28_x0000__x0000_</stp>
        <tr r="AB227" s="13"/>
      </tp>
      <tp t="e">
        <v>#N/A</v>
        <stp/>
        <stp>##V3_BDPV12</stp>
        <stp>US912810EH78 Corp</stp>
        <stp>AMT_OUTSTANDING</stp>
        <stp>[portefeuille USD.xlsm]treasuries!R240C28_x0000__x0000_</stp>
        <tr r="AB240" s="13"/>
      </tp>
      <tp t="e">
        <v>#N/A</v>
        <stp/>
        <stp>##V3_BDPV12</stp>
        <stp>US912828PE45 Corp</stp>
        <stp>AMT_OUTSTANDING</stp>
        <stp>[portefeuille USD.xlsm]treasuries!R144C28_x0000__x0000_</stp>
        <tr r="AB144" s="13"/>
      </tp>
      <tp t="e">
        <v>#N/A</v>
        <stp/>
        <stp>##V3_BDPV12</stp>
        <stp>US912810QH41 Corp</stp>
        <stp>AMT_OUTSTANDING</stp>
        <stp>[portefeuille USD.xlsm]treasuries!R278C28_x0000__x0000_</stp>
        <tr r="AB278" s="13"/>
      </tp>
      <tp t="e">
        <v>#N/A</v>
        <stp/>
        <stp>##V3_BDPV12</stp>
        <stp>US9127954B45 Corp</stp>
        <stp>AMT_OUTSTANDING</stp>
        <stp>[portefeuille USD.xlsm]treasuries!R6C28_x0000_6</stp>
        <tr r="AB6" s="13"/>
      </tp>
      <tp t="e">
        <v>#N/A</v>
        <stp/>
        <stp>##V3_BDPV12</stp>
        <stp>US912828PY09 Corp</stp>
        <stp>AMT_OUTSTANDING</stp>
        <stp>[portefeuille USD.xlsm]treasuries!R205C28_x0000__x0000_</stp>
        <tr r="AB205" s="13"/>
      </tp>
      <tp t="e">
        <v>#N/A</v>
        <stp/>
        <stp>##V3_BDPV12</stp>
        <stp>US912828NF38 Corp</stp>
        <stp>AMT_OUTSTANDING</stp>
        <stp>[portefeuille USD.xlsm]treasuries!R137C28_x0000__x0000_</stp>
        <tr r="AB137" s="13"/>
      </tp>
      <tp t="e">
        <v>#N/A</v>
        <stp/>
        <stp>##V3_BDPV12</stp>
        <stp>US912810EV62 Corp</stp>
        <stp>AMT_OUTSTANDING</stp>
        <stp>[portefeuille USD.xlsm]treasuries!R255C28_x0000__x0000_</stp>
        <tr r="AB255" s="13"/>
      </tp>
      <tp t="e">
        <v>#N/A</v>
        <stp/>
        <stp>##V3_BDPV12</stp>
        <stp>US912810FM54 Corp</stp>
        <stp>AMT_OUTSTANDING</stp>
        <stp>[portefeuille USD.xlsm]treasuries!R266C28_x0000__x0000_</stp>
        <tr r="AB266" s="13"/>
      </tp>
      <tp t="e">
        <v>#N/A</v>
        <stp/>
        <stp>##V3_BDPV12</stp>
        <stp>US912828DM98 Govt</stp>
        <stp>YLD_YTM_ASK</stp>
        <stp>[portefeuille USD.xlsm]treasuries!R128C8_x0000__x0000_</stp>
        <tr r="H128" s="13"/>
      </tp>
      <tp t="e">
        <v>#N/A</v>
        <stp/>
        <stp>##V3_BDPV12</stp>
        <stp>US912828SM34 Govt</stp>
        <stp>YLD_YTM_ASK</stp>
        <stp>[portefeuille USD.xlsm]treasuries!R185C8_x0000__x0000_</stp>
        <tr r="H185" s="13"/>
      </tp>
      <tp t="e">
        <v>#N/A</v>
        <stp/>
        <stp>##V3_BDPV12</stp>
        <stp>US9127956E65 Corp</stp>
        <stp>CPN</stp>
        <stp>[portefeuille USD.xlsm]treasuries!R54C27_x0000__x0000_</stp>
        <tr r="AA54" s="13"/>
      </tp>
      <tp t="e">
        <v>#N/A</v>
        <stp/>
        <stp>##V3_BDPV12</stp>
        <stp>US912810QN19 Govt</stp>
        <stp>YLD_YTM_ASK</stp>
        <stp>[portefeuille USD.xlsm]treasuries!R281C8_x0000__x0000_</stp>
        <tr r="H281" s="13"/>
      </tp>
      <tp t="e">
        <v>#N/A</v>
        <stp/>
        <stp>##V3_BDPV12</stp>
        <stp>US9127956A44 Corp</stp>
        <stp>CPN</stp>
        <stp>[portefeuille USD.xlsm]treasuries!R10C27_x0000__x0000_</stp>
        <tr r="AA10" s="13"/>
      </tp>
      <tp t="e">
        <v>#N/A</v>
        <stp/>
        <stp>##V3_BDPV12</stp>
        <stp>US912828SN17 Govt</stp>
        <stp>YLD_YTM_ASK</stp>
        <stp>[portefeuille USD.xlsm]treasuries!R225C8_x0000__x0000_</stp>
        <tr r="H225" s="13"/>
      </tp>
      <tp t="e">
        <v>#N/A</v>
        <stp/>
        <stp>##V3_BDPV12</stp>
        <stp>US912828RM43 Govt</stp>
        <stp>YLD_YTM_ASK</stp>
        <stp>[portefeuille USD.xlsm]treasuries!R171C8_x0000__x0000_</stp>
        <tr r="H171" s="13"/>
      </tp>
      <tp t="e">
        <v>#N/A</v>
        <stp/>
        <stp>##V3_BDPV12</stp>
        <stp>US912828KF64 Corp</stp>
        <stp>CPN</stp>
        <stp>[portefeuille USD.xlsm]treasuries!R97C27_x0000__x0000_</stp>
        <tr r="AA97" s="13"/>
      </tp>
      <tp t="e">
        <v>#N/A</v>
        <stp/>
        <stp>##V3_BDPV12</stp>
        <stp>US912810EN47 Govt</stp>
        <stp>YLD_YTM_ASK</stp>
        <stp>[portefeuille USD.xlsm]treasuries!R250C8_x0000__x0000_</stp>
        <tr r="H250" s="13"/>
      </tp>
      <tp t="e">
        <v>#N/A</v>
        <stp/>
        <stp>##V3_BDPV12</stp>
        <stp>US912828PM60 Govt</stp>
        <stp>YLD_YTM_ASK</stp>
        <stp>[portefeuille USD.xlsm]treasuries!R148C8_x0000__x0000_</stp>
        <tr r="H148" s="13"/>
      </tp>
      <tp t="e">
        <v>#N/A</v>
        <stp/>
        <stp>##V3_BDPV12</stp>
        <stp>US912828LM07 Corp</stp>
        <stp>CPN</stp>
        <stp>[portefeuille USD.xlsm]treasuries!R20C27_x0000__x0000_</stp>
        <tr r="AA20" s="13"/>
      </tp>
      <tp t="e">
        <v>#N/A</v>
        <stp/>
        <stp>##V3_BDPV12</stp>
        <stp>US912828QM51 Govt</stp>
        <stp>YLD_YTM_ASK</stp>
        <stp>[portefeuille USD.xlsm]treasuries!R104C8_x0000__x0000_</stp>
        <tr r="H104" s="13"/>
      </tp>
      <tp t="e">
        <v>#N/A</v>
        <stp/>
        <stp>##V3_BDPV12</stp>
        <stp>US912828BH22 Corp</stp>
        <stp>CPN</stp>
        <stp>[portefeuille USD.xlsm]treasuries!R75C27_x0000__x0000_</stp>
        <tr r="AA75" s="13"/>
      </tp>
      <tp t="e">
        <v>#N/A</v>
        <stp/>
        <stp>##V3_BDPV12</stp>
        <stp>US912828PN44 Govt</stp>
        <stp>YLD_YTM_ASK</stp>
        <stp>[portefeuille USD.xlsm]treasuries!R202C8_x0000__x0000_</stp>
        <tr r="H202" s="13"/>
      </tp>
      <tp t="e">
        <v>#N/A</v>
        <stp/>
        <stp>##V3_BDPV12</stp>
        <stp>US912828QN35 Govt</stp>
        <stp>YLD_YTM_ASK</stp>
        <stp>[portefeuille USD.xlsm]treasuries!R241C8_x0000__x0000_</stp>
        <tr r="H241" s="13"/>
      </tp>
      <tp t="e">
        <v>#N/A</v>
        <stp/>
        <stp>##V3_BDPV12</stp>
        <stp>US912828LX61 Corp</stp>
        <stp>PENULTIMATE_CPN_DT</stp>
        <stp>[portefeuille USD.xlsm]treasuries!R36C25_x0000__x0000_</stp>
        <tr r="Y36" s="13"/>
      </tp>
      <tp t="e">
        <v>#N/A</v>
        <stp/>
        <stp>##V3_BDPV12</stp>
        <stp>ED650463 Corp Corp</stp>
        <stp>FIRST_CPN_DT</stp>
        <stp>[portefeuille USD.xlsm]SSA!R140C23_x0000_2</stp>
        <tr r="W140" s="16"/>
      </tp>
      <tp t="e">
        <v>#N/A</v>
        <stp/>
        <stp>##V3_BDPV12</stp>
        <stp>US912810EL80 Corp</stp>
        <stp>MATURITY</stp>
        <stp>[portefeuille USD.xlsm]treasuries!R245C26_x0000__x0000_</stp>
        <tr r="Z245" s="13"/>
      </tp>
      <tp t="e">
        <v>#N/A</v>
        <stp/>
        <stp>##V3_BDPV12</stp>
        <stp>US912828SM34 Corp</stp>
        <stp>ISSUE_DT</stp>
        <stp>[portefeuille USD.xlsm]treasuries!R185C22_x0000__x0000_</stp>
        <tr r="V185" s="13"/>
      </tp>
      <tp t="e">
        <v>#N/A</v>
        <stp/>
        <stp>##V3_BDPV12</stp>
        <stp>US912828SS04 Corp</stp>
        <stp>ISSUE_DT</stp>
        <stp>[portefeuille USD.xlsm]treasuries!R186C22_x0000__x0000_</stp>
        <tr r="V186" s="13"/>
      </tp>
      <tp t="e">
        <v>#N/A</v>
        <stp/>
        <stp>##V3_BDPV12</stp>
        <stp>US912810QC53 Corp</stp>
        <stp>ISSUE_DT</stp>
        <stp>[portefeuille USD.xlsm]treasuries!R275C22_x0000__x0000_</stp>
        <tr r="V275" s="13"/>
      </tp>
      <tp t="e">
        <v>#N/A</v>
        <stp/>
        <stp>##V3_BDPV12</stp>
        <stp>US912810DV71 Corp</stp>
        <stp>MATURITY</stp>
        <stp>[portefeuille USD.xlsm]treasuries!R150C26_x0000__x0000_</stp>
        <tr r="Z150" s="13"/>
      </tp>
      <tp t="e">
        <v>#N/A</v>
        <stp/>
        <stp>##V3_BDPV12</stp>
        <stp>US912828NR75 Corp</stp>
        <stp>MATURITY</stp>
        <stp>[portefeuille USD.xlsm]treasuries!R194C26_x0000__x0000_</stp>
        <tr r="Z194" s="13"/>
      </tp>
      <tp t="e">
        <v>#N/A</v>
        <stp/>
        <stp>##V3_BDPV12</stp>
        <stp>US912828HA15 Corp</stp>
        <stp>MATURITY</stp>
        <stp>[portefeuille USD.xlsm]treasuries!R196C26_x0000__x0000_</stp>
        <tr r="Z196" s="13"/>
      </tp>
      <tp t="e">
        <v>#N/A</v>
        <stp/>
        <stp>##V3_BDPV12</stp>
        <stp>US912810DV71 Corp</stp>
        <stp>ISSUE_DT</stp>
        <stp>[portefeuille USD.xlsm]treasuries!R150C22_x0000__x0000_</stp>
        <tr r="V150" s="13"/>
      </tp>
      <tp t="e">
        <v>#N/A</v>
        <stp/>
        <stp>##V3_BDPV12</stp>
        <stp>US912810QC53 Corp</stp>
        <stp>MATURITY</stp>
        <stp>[portefeuille USD.xlsm]treasuries!R275C26_x0000__x0000_</stp>
        <tr r="Z275" s="13"/>
      </tp>
      <tp t="e">
        <v>#N/A</v>
        <stp/>
        <stp>##V3_BDPV12</stp>
        <stp>US912828SS04 Corp</stp>
        <stp>MATURITY</stp>
        <stp>[portefeuille USD.xlsm]treasuries!R186C26_x0000__x0000_</stp>
        <tr r="Z186" s="13"/>
      </tp>
      <tp t="e">
        <v>#N/A</v>
        <stp/>
        <stp>##V3_BDPV12</stp>
        <stp>US912828SM34 Corp</stp>
        <stp>MATURITY</stp>
        <stp>[portefeuille USD.xlsm]treasuries!R185C26_x0000__x0000_</stp>
        <tr r="Z185" s="13"/>
      </tp>
      <tp t="e">
        <v>#N/A</v>
        <stp/>
        <stp>##V3_BDPV12</stp>
        <stp>US912810EL80 Corp</stp>
        <stp>ISSUE_DT</stp>
        <stp>[portefeuille USD.xlsm]treasuries!R245C22_x0000__x0000_</stp>
        <tr r="V245" s="13"/>
      </tp>
      <tp t="e">
        <v>#N/A</v>
        <stp/>
        <stp>##V3_BDPV12</stp>
        <stp>US912828HA15 Corp</stp>
        <stp>ISSUE_DT</stp>
        <stp>[portefeuille USD.xlsm]treasuries!R196C22_x0000__x0000_</stp>
        <tr r="V196" s="13"/>
      </tp>
      <tp t="e">
        <v>#N/A</v>
        <stp/>
        <stp>##V3_BDPV12</stp>
        <stp>US912828NR75 Corp</stp>
        <stp>ISSUE_DT</stp>
        <stp>[portefeuille USD.xlsm]treasuries!R194C22_x0000__x0000_</stp>
        <tr r="V194" s="13"/>
      </tp>
      <tp t="e">
        <v>#N/A</v>
        <stp/>
        <stp>##V3_BDPV12</stp>
        <stp>US912828QN35 Corp</stp>
        <stp>AMT_OUTSTANDING</stp>
        <stp>[portefeuille USD.xlsm]treasuries!R241C28_x0000__x0000_</stp>
        <tr r="AB241" s="13"/>
      </tp>
      <tp t="e">
        <v>#N/A</v>
        <stp/>
        <stp>##V3_BDPV12</stp>
        <stp>US912828LY45 Corp</stp>
        <stp>AMT_OUTSTANDING</stp>
        <stp>[portefeuille USD.xlsm]treasuries!R231C28_x0000__x0000_</stp>
        <tr r="AB231" s="13"/>
      </tp>
      <tp t="e">
        <v>#N/A</v>
        <stp/>
        <stp>##V3_BDPV12</stp>
        <stp>US912810DX38 Corp</stp>
        <stp>AMT_OUTSTANDING</stp>
        <stp>[portefeuille USD.xlsm]treasuries!R174C28_x0000__x0000_</stp>
        <tr r="AB174" s="13"/>
      </tp>
      <tp t="e">
        <v>#N/A</v>
        <stp/>
        <stp>##V3_BDPV12</stp>
        <stp>US912810EK08 Corp</stp>
        <stp>AMT_OUTSTANDING</stp>
        <stp>[portefeuille USD.xlsm]treasuries!R244C28_x0000__x0000_</stp>
        <tr r="AB244" s="13"/>
      </tp>
      <tp t="e">
        <v>#N/A</v>
        <stp/>
        <stp>##V3_BDPV12</stp>
        <stp>US912828PJ32 Corp</stp>
        <stp>AMT_OUTSTANDING</stp>
        <stp>[portefeuille USD.xlsm]treasuries!R147C28_x0000__x0000_</stp>
        <tr r="AB147" s="13"/>
      </tp>
      <tp t="e">
        <v>#N/A</v>
        <stp/>
        <stp>##V3_BDPV12</stp>
        <stp>US912828QQ65 Corp</stp>
        <stp>AMT_OUTSTANDING</stp>
        <stp>[portefeuille USD.xlsm]treasuries!R210C28_x0000__x0000_</stp>
        <tr r="AB210" s="13"/>
      </tp>
      <tp t="e">
        <v>#N/A</v>
        <stp/>
        <stp>##V3_BDPV12</stp>
        <stp>US912828RR30 Corp</stp>
        <stp>AMT_OUTSTANDING</stp>
        <stp>[portefeuille USD.xlsm]treasuries!R246C28_x0000__x0000_</stp>
        <tr r="AB246" s="13"/>
      </tp>
      <tp t="e">
        <v>#N/A</v>
        <stp/>
        <stp>##V3_BDPV12</stp>
        <stp>US912828RQ56 Corp</stp>
        <stp>AMT_OUTSTANDING</stp>
        <stp>[portefeuille USD.xlsm]treasuries!R121C28_x0000__x0000_</stp>
        <tr r="AB121" s="13"/>
      </tp>
      <tp t="e">
        <v>#N/A</v>
        <stp/>
        <stp>##V3_BDPV12</stp>
        <stp>US912828QJ23 Corp</stp>
        <stp>AMT_OUTSTANDING</stp>
        <stp>[portefeuille USD.xlsm]treasuries!R153C28_x0000__x0000_</stp>
        <tr r="AB153" s="13"/>
      </tp>
      <tp t="e">
        <v>#N/A</v>
        <stp/>
        <stp>##V3_BDPV12</stp>
        <stp>US912828RZ55 Corp</stp>
        <stp>AMT_OUTSTANDING</stp>
        <stp>[portefeuille USD.xlsm]treasuries!R125C28_x0000__x0000_</stp>
        <tr r="AB125" s="13"/>
      </tp>
      <tp t="e">
        <v>#N/A</v>
        <stp/>
        <stp>##V3_BDPV12</stp>
        <stp>US912828RL69 Corp</stp>
        <stp>AMT_OUTSTANDING</stp>
        <stp>[portefeuille USD.xlsm]treasuries!R118C28_x0000__x0000_</stp>
        <tr r="AB118" s="13"/>
      </tp>
      <tp t="e">
        <v>#N/A</v>
        <stp/>
        <stp>##V3_BDPV12</stp>
        <stp>US912828QX17 Corp</stp>
        <stp>AMT_OUTSTANDING</stp>
        <stp>[portefeuille USD.xlsm]treasuries!R164C28_x0000__x0000_</stp>
        <tr r="AB164" s="13"/>
      </tp>
      <tp t="e">
        <v>#N/A</v>
        <stp/>
        <stp>##V3_BDPV12</stp>
        <stp>US912828CJ78 Corp</stp>
        <stp>AMT_OUTSTANDING</stp>
        <stp>[portefeuille USD.xlsm]treasuries!R105C28_x0000__x0000_</stp>
        <tr r="AB105" s="13"/>
      </tp>
      <tp t="e">
        <v>#N/A</v>
        <stp/>
        <stp>##V3_BDPV12</stp>
        <stp>US912828RX08 Corp</stp>
        <stp>AMT_OUTSTANDING</stp>
        <stp>[portefeuille USD.xlsm]treasuries!R177C28_x0000__x0000_</stp>
        <tr r="AB177" s="13"/>
      </tp>
      <tp t="e">
        <v>#N/A</v>
        <stp/>
        <stp>##V3_BDPV12</stp>
        <stp>US912828PS31 Corp</stp>
        <stp>AMT_OUTSTANDING</stp>
        <stp>[portefeuille USD.xlsm]treasuries!R149C28_x0000__x0000_</stp>
        <tr r="AB149" s="13"/>
      </tp>
      <tp t="e">
        <v>#N/A</v>
        <stp/>
        <stp>##V3_BDPV12</stp>
        <stp>US912828QC79 Corp</stp>
        <stp>AMT_OUTSTANDING</stp>
        <stp>[portefeuille USD.xlsm]treasuries!R101C28_x0000__x0000_</stp>
        <tr r="AB101" s="13"/>
      </tp>
      <tp t="e">
        <v>#N/A</v>
        <stp/>
        <stp>##V3_BDPV12</stp>
        <stp>US912810QD37 Corp</stp>
        <stp>AMT_OUTSTANDING</stp>
        <stp>[portefeuille USD.xlsm]treasuries!R276C28_x0000__x0000_</stp>
        <tr r="AB276" s="13"/>
      </tp>
      <tp t="e">
        <v>#N/A</v>
        <stp/>
        <stp>##V3_BDPV12</stp>
        <stp>US912828FF20 Corp</stp>
        <stp>AMT_OUTSTANDING</stp>
        <stp>[portefeuille USD.xlsm]treasuries!R159C28_x0000__x0000_</stp>
        <tr r="AB159" s="13"/>
      </tp>
      <tp t="e">
        <v>#N/A</v>
        <stp/>
        <stp>##V3_BDPV12</stp>
        <stp>US912828SV33 Corp</stp>
        <stp>AMT_OUTSTANDING</stp>
        <stp>[portefeuille USD.xlsm]treasuries!R248C28_x0000__x0000_</stp>
        <tr r="AB248" s="13"/>
      </tp>
      <tp t="e">
        <v>#N/A</v>
        <stp/>
        <stp>##V3_BDPV12</stp>
        <stp>US912810ET17 Corp</stp>
        <stp>AMT_OUTSTANDING</stp>
        <stp>[portefeuille USD.xlsm]treasuries!R254C28_x0000__x0000_</stp>
        <tr r="AB254" s="13"/>
      </tp>
      <tp t="e">
        <v>#N/A</v>
        <stp/>
        <stp>##V3_BDPV12</stp>
        <stp>US912810FJ26 Corp</stp>
        <stp>AMT_OUTSTANDING</stp>
        <stp>[portefeuille USD.xlsm]treasuries!R265C28_x0000__x0000_</stp>
        <tr r="AB265" s="13"/>
      </tp>
      <tp t="e">
        <v>#N/A</v>
        <stp/>
        <stp>##V3_BDPV12</stp>
        <stp>US912828SJ05 Govt</stp>
        <stp>YLD_YTM_ASK</stp>
        <stp>[portefeuille USD.xlsm]treasuries!R183C8_x0000__x0000_</stp>
        <tr r="H183" s="13"/>
      </tp>
      <tp t="e">
        <v>#N/A</v>
        <stp/>
        <stp>##V3_BDPV12</stp>
        <stp>US912828KJ86 Govt</stp>
        <stp>YLD_YTM_ASK</stp>
        <stp>[portefeuille USD.xlsm]treasuries!R100C8_x0000__x0000_</stp>
        <tr r="H100" s="13"/>
      </tp>
      <tp t="e">
        <v>#N/A</v>
        <stp/>
        <stp>##V3_BDPV12</stp>
        <stp>US912828CA69 Corp</stp>
        <stp>CPN</stp>
        <stp>[portefeuille USD.xlsm]treasuries!R95C27_x0000__x0000_</stp>
        <tr r="AA95" s="13"/>
      </tp>
      <tp t="e">
        <v>#N/A</v>
        <stp/>
        <stp>##V3_BDPV12</stp>
        <stp>US912828HK96 Corp</stp>
        <stp>CPN</stp>
        <stp>[portefeuille USD.xlsm]treasuries!R39C27_x0000__x0000_</stp>
        <tr r="AA39" s="13"/>
      </tp>
      <tp t="e">
        <v>#N/A</v>
        <stp/>
        <stp>##V3_BDPV12</stp>
        <stp>US912828CJ78 Govt</stp>
        <stp>YLD_YTM_ASK</stp>
        <stp>[portefeuille USD.xlsm]treasuries!R105C8_x0000__x0000_</stp>
        <tr r="H105" s="13"/>
      </tp>
      <tp t="e">
        <v>#N/A</v>
        <stp/>
        <stp>##V3_BDPV12</stp>
        <stp>US912828PJ32 Govt</stp>
        <stp>YLD_YTM_ASK</stp>
        <stp>[portefeuille USD.xlsm]treasuries!R147C8_x0000__x0000_</stp>
        <tr r="H147" s="13"/>
      </tp>
      <tp t="e">
        <v>#N/A</v>
        <stp/>
        <stp>##V3_BDPV12</stp>
        <stp>US912828QJ23 Govt</stp>
        <stp>YLD_YTM_ASK</stp>
        <stp>[portefeuille USD.xlsm]treasuries!R153C8_x0000__x0000_</stp>
        <tr r="H153" s="13"/>
      </tp>
      <tp t="e">
        <v>#N/A</v>
        <stp/>
        <stp>##V3_BDPV12</stp>
        <stp>US912828RJ14 Govt</stp>
        <stp>YLD_YTM_ASK</stp>
        <stp>[portefeuille USD.xlsm]treasuries!R170C8_x0000__x0000_</stp>
        <tr r="H170" s="13"/>
      </tp>
      <tp t="e">
        <v>#N/A</v>
        <stp/>
        <stp>##V3_BDPV12</stp>
        <stp>US912828MT41 Corp</stp>
        <stp>PENULTIMATE_CPN_DT</stp>
        <stp>[portefeuille USD.xlsm]treasuries!R55C25_x0000__x0000_</stp>
        <tr r="Y55" s="13"/>
      </tp>
      <tp t="e">
        <v>#N/A</v>
        <stp/>
        <stp>##V3_BDPV12</stp>
        <stp>US912828MX52 Corp</stp>
        <stp>PENULTIMATE_CPN_DT</stp>
        <stp>[portefeuille USD.xlsm]treasuries!R59C25_x0000__x0000_</stp>
        <tr r="Y59" s="13"/>
      </tp>
      <tp t="e">
        <v>#N/A</v>
        <stp/>
        <stp>##V3_BDPV12</stp>
        <stp>US912828RK86 Corp</stp>
        <stp>INT_ACC_DT</stp>
        <stp>[portefeuille USD.xlsm]treasuries!R79C23_x0000__x0000_</stp>
        <tr r="W79" s="13"/>
      </tp>
      <tp t="e">
        <v>#N/A</v>
        <stp/>
        <stp>##V3_BDPV12</stp>
        <stp>US912828RD44 Corp</stp>
        <stp>INT_ACC_DT</stp>
        <stp>[portefeuille USD.xlsm]treasuries!R77C23_x0000__x0000_</stp>
        <tr r="W77" s="13"/>
      </tp>
      <tp t="e">
        <v>#N/A</v>
        <stp/>
        <stp>##V3_BDPV12</stp>
        <stp>US912828NC07 Corp</stp>
        <stp>PENULTIMATE_CPN_DT</stp>
        <stp>[portefeuille USD.xlsm]treasuries!R63C25_x0000__x0000_</stp>
        <tr r="Y63" s="13"/>
      </tp>
      <tp t="e">
        <v>#N/A</v>
        <stp/>
        <stp>##V3_BDPV12</stp>
        <stp>US912828NH93 Corp</stp>
        <stp>PENULTIMATE_CPN_DT</stp>
        <stp>[portefeuille USD.xlsm]treasuries!R68C25_x0000__x0000_</stp>
        <tr r="Y68" s="13"/>
      </tp>
      <tp t="e">
        <v>#N/A</v>
        <stp/>
        <stp>##V3_BDPV12</stp>
        <stp>US12802DAB29 Corp</stp>
        <stp>CPN</stp>
        <stp>[portefeuille USD.xlsm]SSA!R102C26_x0000__x0000_</stp>
        <tr r="Z102" s="16"/>
      </tp>
      <tp t="e">
        <v>#N/A</v>
        <stp/>
        <stp>##V3_BDPV12</stp>
        <stp>US912828MN70 Corp</stp>
        <stp>PENULTIMATE_CPN_DT</stp>
        <stp>[portefeuille USD.xlsm]treasuries!R51C25_x0000__x0000_</stp>
        <tr r="Y51" s="13"/>
      </tp>
      <tp t="e">
        <v>#N/A</v>
        <stp/>
        <stp>##V3_BDPV12</stp>
        <stp>US29878TCC62 Corp</stp>
        <stp>FIRST_CPN_DT</stp>
        <stp>[portefeuille USD.xlsm]SSA!R83C23_x0000_R</stp>
        <tr r="W83" s="16"/>
      </tp>
      <tp t="e">
        <v>#N/A</v>
        <stp/>
        <stp>##V3_BDPV12</stp>
        <stp>US912828SJ05 Corp</stp>
        <stp>ISSUE_DT</stp>
        <stp>[portefeuille USD.xlsm]treasuries!R183C22_x0000__x0000_</stp>
        <tr r="V183" s="13"/>
      </tp>
      <tp t="e">
        <v>#N/A</v>
        <stp/>
        <stp>##V3_BDPV12</stp>
        <stp>US912828KT68 Corp</stp>
        <stp>MATURITY</stp>
        <stp>[portefeuille USD.xlsm]treasuries!R154C26_x0000__x0000_</stp>
        <tr r="Z154" s="13"/>
      </tp>
      <tp t="e">
        <v>#N/A</v>
        <stp/>
        <stp>##V3_BDPV12</stp>
        <stp>US912828SJ05 Corp</stp>
        <stp>MATURITY</stp>
        <stp>[portefeuille USD.xlsm]treasuries!R183C26_x0000__x0000_</stp>
        <tr r="Z183" s="13"/>
      </tp>
      <tp t="e">
        <v>#N/A</v>
        <stp/>
        <stp>##V3_BDPV12</stp>
        <stp>US912828KT68 Corp</stp>
        <stp>ISSUE_DT</stp>
        <stp>[portefeuille USD.xlsm]treasuries!R154C22_x0000__x0000_</stp>
        <tr r="V154" s="13"/>
      </tp>
      <tp t="e">
        <v>#N/A</v>
        <stp/>
        <stp>##V3_BDPV12</stp>
        <stp>US912828RJ14 Corp</stp>
        <stp>AMT_OUTSTANDING</stp>
        <stp>[portefeuille USD.xlsm]treasuries!R170C28_x0000__x0000_</stp>
        <tr r="AB170" s="13"/>
      </tp>
      <tp t="e">
        <v>#N/A</v>
        <stp/>
        <stp>##V3_BDPV12</stp>
        <stp>US912828RP73 Corp</stp>
        <stp>AMT_OUTSTANDING</stp>
        <stp>[portefeuille USD.xlsm]treasuries!R216C28_x0000__x0000_</stp>
        <tr r="AB216" s="13"/>
      </tp>
      <tp t="e">
        <v>#N/A</v>
        <stp/>
        <stp>##V3_BDPV12</stp>
        <stp>US912828QU77 Corp</stp>
        <stp>AMT_OUTSTANDING</stp>
        <stp>[portefeuille USD.xlsm]treasuries!R111C28_x0000__x0000_</stp>
        <tr r="AB111" s="13"/>
      </tp>
      <tp t="e">
        <v>#N/A</v>
        <stp/>
        <stp>##V3_BDPV12</stp>
        <stp>US912828HH67 Corp</stp>
        <stp>AMT_OUTSTANDING</stp>
        <stp>[portefeuille USD.xlsm]treasuries!R200C28_x0000__x0000_</stp>
        <tr r="AB200" s="13"/>
      </tp>
      <tp t="e">
        <v>#N/A</v>
        <stp/>
        <stp>##V3_BDPV12</stp>
        <stp>US912828RV42 Corp</stp>
        <stp>AMT_OUTSTANDING</stp>
        <stp>[portefeuille USD.xlsm]treasuries!R123C28_x0000__x0000_</stp>
        <tr r="AB123" s="13"/>
      </tp>
      <tp t="e">
        <v>#N/A</v>
        <stp/>
        <stp>##V3_BDPV12</stp>
        <stp>US912828RG74 Corp</stp>
        <stp>AMT_OUTSTANDING</stp>
        <stp>[portefeuille USD.xlsm]treasuries!R116C28_x0000__x0000_</stp>
        <tr r="AB116" s="13"/>
      </tp>
      <tp t="e">
        <v>#N/A</v>
        <stp/>
        <stp>##V3_BDPV12</stp>
        <stp>US912810EY02 Corp</stp>
        <stp>AMT_OUTSTANDING</stp>
        <stp>[portefeuille USD.xlsm]treasuries!R258C28_x0000__x0000_</stp>
        <tr r="AB258" s="13"/>
      </tp>
      <tp t="e">
        <v>#N/A</v>
        <stp/>
        <stp>##V3_BDPV12</stp>
        <stp>US912810FE39 Corp</stp>
        <stp>AMT_OUTSTANDING</stp>
        <stp>[portefeuille USD.xlsm]treasuries!R262C28_x0000__x0000_</stp>
        <tr r="AB262" s="13"/>
      </tp>
      <tp t="e">
        <v>#N/A</v>
        <stp/>
        <stp>##V3_BDPV12</stp>
        <stp>US912828SU59 Corp</stp>
        <stp>AMT_OUTSTANDING</stp>
        <stp>[portefeuille USD.xlsm]treasuries!R135C28_x0000__x0000_</stp>
        <tr r="AB135" s="13"/>
      </tp>
      <tp t="e">
        <v>#N/A</v>
        <stp/>
        <stp>##V3_BDPV12</stp>
        <stp>US912828HZ65 Corp</stp>
        <stp>AMT_OUTSTANDING</stp>
        <stp>[portefeuille USD.xlsm]treasuries!R209C28_x0000__x0000_</stp>
        <tr r="AB209" s="13"/>
      </tp>
      <tp t="e">
        <v>#N/A</v>
        <stp/>
        <stp>##V3_BDPV12</stp>
        <stp>US912810ED64 Corp</stp>
        <stp>AMT_OUTSTANDING</stp>
        <stp>[portefeuille USD.xlsm]treasuries!R230C28_x0000__x0000_</stp>
        <tr r="AB230" s="13"/>
      </tp>
      <tp t="e">
        <v>#N/A</v>
        <stp/>
        <stp>##V3_BDPV12</stp>
        <stp>US912828SH49 Corp</stp>
        <stp>AMT_OUTSTANDING</stp>
        <stp>[portefeuille USD.xlsm]treasuries!R224C28_x0000__x0000_</stp>
        <tr r="AB224" s="13"/>
      </tp>
      <tp t="e">
        <v>#N/A</v>
        <stp/>
        <stp>##V3_BDPV12</stp>
        <stp>US912828LD08 Corp</stp>
        <stp>AMT_OUTSTANDING</stp>
        <stp>[portefeuille USD.xlsm]treasuries!R165C28_x0000__x0000_</stp>
        <tr r="AB165" s="13"/>
      </tp>
      <tp t="e">
        <v>#N/A</v>
        <stp/>
        <stp>##V3_BDPV12</stp>
        <stp>US912810PW27 Corp</stp>
        <stp>AMT_OUTSTANDING</stp>
        <stp>[portefeuille USD.xlsm]treasuries!R271C28_x0000__x0000_</stp>
        <tr r="AB271" s="13"/>
      </tp>
      <tp t="e">
        <v>#N/A</v>
        <stp/>
        <stp>##V3_BDPV12</stp>
        <stp>US912828LS76 Corp</stp>
        <stp>AMT_OUTSTANDING</stp>
        <stp>[portefeuille USD.xlsm]treasuries!R119C28_x0000__x0000_</stp>
        <tr r="AB119" s="13"/>
      </tp>
      <tp t="e">
        <v>#N/A</v>
        <stp/>
        <stp>##V3_BDPV12</stp>
        <stp>US912828FY19 Corp</stp>
        <stp>AMT_OUTSTANDING</stp>
        <stp>[portefeuille USD.xlsm]treasuries!R173C28_x0000__x0000_</stp>
        <tr r="AB173" s="13"/>
      </tp>
      <tp t="e">
        <v>#N/A</v>
        <stp/>
        <stp>##V3_BDPV12</stp>
        <stp>US912828NK23 Govt</stp>
        <stp>YLD_YTM_ASK</stp>
        <stp>[portefeuille USD.xlsm]treasuries!R192C8_x0000__x0000_</stp>
        <tr r="H192" s="13"/>
      </tp>
      <tp t="e">
        <v>#N/A</v>
        <stp/>
        <stp>##V3_BDPV12</stp>
        <stp>US912828LH12 Corp</stp>
        <stp>CPN</stp>
        <stp>[portefeuille USD.xlsm]treasuries!R12C27_x0000__x0000_</stp>
        <tr r="AA12" s="13"/>
      </tp>
      <tp t="e">
        <v>#N/A</v>
        <stp/>
        <stp>##V3_BDPV12</stp>
        <stp>US912810EH78 Govt</stp>
        <stp>YLD_YTM_ASK</stp>
        <stp>[portefeuille USD.xlsm]treasuries!R240C8_x0000__x0000_</stp>
        <tr r="H240" s="13"/>
      </tp>
      <tp t="e">
        <v>#N/A</v>
        <stp/>
        <stp>##V3_BDPV12</stp>
        <stp>US912810QH41 Govt</stp>
        <stp>YLD_YTM_ASK</stp>
        <stp>[portefeuille USD.xlsm]treasuries!R278C8_x0000__x0000_</stp>
        <tr r="H278" s="13"/>
      </tp>
      <tp t="e">
        <v>#N/A</v>
        <stp/>
        <stp>##V3_BDPV12</stp>
        <stp>US9127956G14 Corp</stp>
        <stp>CPN</stp>
        <stp>[portefeuille USD.xlsm]treasuries!R18C27_x0000__x0000_</stp>
        <tr r="AA18" s="13"/>
      </tp>
      <tp t="e">
        <v>#N/A</v>
        <stp/>
        <stp>##V3_BDPV12</stp>
        <stp>US912828PH75 Corp</stp>
        <stp>CPN</stp>
        <stp>[portefeuille USD.xlsm]treasuries!R16C27_x0000__x0000_</stp>
        <tr r="AA16" s="13"/>
      </tp>
      <tp t="e">
        <v>#N/A</v>
        <stp/>
        <stp>##V3_BDPV12</stp>
        <stp>US912828QL78 Corp</stp>
        <stp>CPN</stp>
        <stp>[portefeuille USD.xlsm]treasuries!R57C27_x0000__x0000_</stp>
        <tr r="AA57" s="13"/>
      </tp>
      <tp t="e">
        <v>#N/A</v>
        <stp/>
        <stp>##V3_BDPV12</stp>
        <stp>US912828LK41 Govt</stp>
        <stp>YLD_YTM_ASK</stp>
        <stp>[portefeuille USD.xlsm]treasuries!R115C8_x0000__x0000_</stp>
        <tr r="H115" s="13"/>
      </tp>
      <tp t="e">
        <v>#N/A</v>
        <stp/>
        <stp>##V3_BDPV12</stp>
        <stp>US912828JH40 Govt</stp>
        <stp>YLD_YTM_ASK</stp>
        <stp>[portefeuille USD.xlsm]treasuries!R213C8_x0000__x0000_</stp>
        <tr r="H213" s="13"/>
      </tp>
      <tp t="e">
        <v>#N/A</v>
        <stp/>
        <stp>##V3_BDPV12</stp>
        <stp>US912828NN61 Corp</stp>
        <stp>CPN</stp>
        <stp>[portefeuille USD.xlsm]treasuries!R71C27_x0000__x0000_</stp>
        <tr r="AA71" s="13"/>
      </tp>
      <tp t="e">
        <v>#N/A</v>
        <stp/>
        <stp>##V3_BDPV12</stp>
        <stp>US912828MK32 Govt</stp>
        <stp>YLD_YTM_ASK</stp>
        <stp>[portefeuille USD.xlsm]treasuries!R179C8_x0000__x0000_</stp>
        <tr r="H179" s="13"/>
      </tp>
      <tp t="e">
        <v>#N/A</v>
        <stp/>
        <stp>##V3_BDPV12</stp>
        <stp>US912828SK77 Govt</stp>
        <stp>YLD_YTM_ASK</stp>
        <stp>[portefeuille USD.xlsm]treasuries!R131C8_x0000__x0000_</stp>
        <tr r="H131" s="13"/>
      </tp>
      <tp t="e">
        <v>#N/A</v>
        <stp/>
        <stp>##V3_BDPV12</stp>
        <stp>US912828RH57 Govt</stp>
        <stp>YLD_YTM_ASK</stp>
        <stp>[portefeuille USD.xlsm]treasuries!R215C8_x0000__x0000_</stp>
        <tr r="H215" s="13"/>
      </tp>
      <tp t="e">
        <v>#N/A</v>
        <stp/>
        <stp>##V3_BDPV12</stp>
        <stp>US912828HM52 Corp</stp>
        <stp>CPN</stp>
        <stp>[portefeuille USD.xlsm]treasuries!R43C27_x0000__x0000_</stp>
        <tr r="AA43" s="13"/>
      </tp>
      <tp t="e">
        <v>#N/A</v>
        <stp/>
        <stp>##V3_BDPV12</stp>
        <stp>US912828SH49 Govt</stp>
        <stp>YLD_YTM_ASK</stp>
        <stp>[portefeuille USD.xlsm]treasuries!R224C8_x0000__x0000_</stp>
        <tr r="H224" s="13"/>
      </tp>
      <tp t="e">
        <v>#N/A</v>
        <stp/>
        <stp>##V3_BDPV12</stp>
        <stp>US912828HH67 Govt</stp>
        <stp>YLD_YTM_ASK</stp>
        <stp>[portefeuille USD.xlsm]treasuries!R200C8_x0000__x0000_</stp>
        <tr r="H200" s="13"/>
      </tp>
      <tp t="e">
        <v>#N/A</v>
        <stp/>
        <stp>##V3_BDPV12</stp>
        <stp>US912828PW43 Corp</stp>
        <stp>INT_ACC_DT</stp>
        <stp>[portefeuille USD.xlsm]treasuries!R44C23_x0000__x0000_</stp>
        <tr r="W44" s="13"/>
      </tp>
      <tp t="e">
        <v>#N/A</v>
        <stp/>
        <stp>##V3_BDPV12</stp>
        <stp>US912828NU05 Corp</stp>
        <stp>PENULTIMATE_CPN_DT</stp>
        <stp>[portefeuille USD.xlsm]treasuries!R74C25_x0000__x0000_</stp>
        <tr r="Y74" s="13"/>
      </tp>
      <tp t="e">
        <v>#N/A</v>
        <stp/>
        <stp>##V3_BDPV12</stp>
        <stp>US912828NY27 Corp</stp>
        <stp>PENULTIMATE_CPN_DT</stp>
        <stp>[portefeuille USD.xlsm]treasuries!R78C25_x0000__x0000_</stp>
        <tr r="Y78" s="13"/>
      </tp>
      <tp t="e">
        <v>#N/A</v>
        <stp/>
        <stp>##V3_BDPV12</stp>
        <stp>US912828PV69 Corp</stp>
        <stp>INT_ACC_DT</stp>
        <stp>[portefeuille USD.xlsm]treasuries!R40C23_x0000__x0000_</stp>
        <tr r="W40" s="13"/>
      </tp>
      <tp t="e">
        <v>#N/A</v>
        <stp/>
        <stp>##V3_BDPV12</stp>
        <stp>US912828PR57 Corp</stp>
        <stp>INT_ACC_DT</stp>
        <stp>[portefeuille USD.xlsm]treasuries!R47C23_x0000__x0000_</stp>
        <tr r="W47" s="13"/>
      </tp>
      <tp t="e">
        <v>#N/A</v>
        <stp/>
        <stp>##V3_BDPV12</stp>
        <stp>US912828MB33 Corp</stp>
        <stp>PENULTIMATE_CPN_DT</stp>
        <stp>[portefeuille USD.xlsm]treasuries!R42C25_x0000__x0000_</stp>
        <tr r="Y42" s="13"/>
      </tp>
      <tp t="e">
        <v>#N/A</v>
        <stp/>
        <stp>##V3_BDPV12</stp>
        <stp>EF501708 Corp Corp</stp>
        <stp>FIRST_CPN_DT</stp>
        <stp>[portefeuille USD.xlsm]SSA!R135C23_x0000_2</stp>
        <tr r="W135" s="16"/>
      </tp>
      <tp t="e">
        <v>#N/A</v>
        <stp/>
        <stp>##V3_BDPV12</stp>
        <stp>US912828MG20 Corp</stp>
        <stp>PENULTIMATE_CPN_DT</stp>
        <stp>[portefeuille USD.xlsm]treasuries!R46C25_x0000__x0000_</stp>
        <tr r="Y46" s="13"/>
      </tp>
      <tp t="e">
        <v>#N/A</v>
        <stp/>
        <stp>##V3_BDPV12</stp>
        <stp>EI791877 Corp Corp</stp>
        <stp>FIRST_CPN_DT</stp>
        <stp>[portefeuille USD.xlsm]SSA!R137C23_x0000_2</stp>
        <tr r="W137" s="16"/>
      </tp>
      <tp t="e">
        <v>#N/A</v>
        <stp/>
        <stp>##V3_BDPV12</stp>
        <stp>US912828HC70 Corp</stp>
        <stp>PENULTIMATE_CPN_DT</stp>
        <stp>[portefeuille USD.xlsm]treasuries!R17C25_x0000__x0000_</stp>
        <tr r="Y17" s="13"/>
      </tp>
      <tp t="e">
        <v>#N/A</v>
        <stp/>
        <stp>##V3_BDPV12</stp>
        <stp>US912828QL78 Corp</stp>
        <stp>INT_ACC_DT</stp>
        <stp>[portefeuille USD.xlsm]treasuries!R57C23_x0000__x0000_</stp>
        <tr r="W57" s="13"/>
      </tp>
      <tp t="e">
        <v>#N/A</v>
        <stp/>
        <stp>##V3_BDPV12</stp>
        <stp>US912828RA05 Corp</stp>
        <stp>INT_ACC_DT</stp>
        <stp>[portefeuille USD.xlsm]treasuries!R69C23_x0000__x0000_</stp>
        <tr r="W69" s="13"/>
      </tp>
      <tp t="e">
        <v>#N/A</v>
        <stp/>
        <stp>##V3_BDPV12</stp>
        <stp>US912828QK95 Corp</stp>
        <stp>INT_ACC_DT</stp>
        <stp>[portefeuille USD.xlsm]treasuries!R52C23_x0000__x0000_</stp>
        <tr r="W52" s="13"/>
      </tp>
      <tp t="e">
        <v>#N/A</v>
        <stp/>
        <stp>##V3_BDPV12</stp>
        <stp>US912828NN61 Corp</stp>
        <stp>PENULTIMATE_CPN_DT</stp>
        <stp>[portefeuille USD.xlsm]treasuries!R71C25_x0000__x0000_</stp>
        <tr r="Y71" s="13"/>
      </tp>
      <tp t="e">
        <v>#N/A</v>
        <stp/>
        <stp>##V3_BDPV12</stp>
        <stp>US912810DP04 Corp</stp>
        <stp>MATURITY</stp>
        <stp>[portefeuille USD.xlsm]treasuries!R127C26_x0000__x0000_</stp>
        <tr r="Z127" s="13"/>
      </tp>
      <tp t="e">
        <v>#N/A</v>
        <stp/>
        <stp>##V3_BDPV12</stp>
        <stp>US912810EG95 Corp</stp>
        <stp>MATURITY</stp>
        <stp>[portefeuille USD.xlsm]treasuries!R236C26_x0000__x0000_</stp>
        <tr r="Z236" s="13"/>
      </tp>
      <tp t="e">
        <v>#N/A</v>
        <stp/>
        <stp>##V3_BDPV12</stp>
        <stp>US912828FY19 Corp</stp>
        <stp>MATURITY</stp>
        <stp>[portefeuille USD.xlsm]treasuries!R173C26_x0000__x0000_</stp>
        <tr r="Z173" s="13"/>
      </tp>
      <tp t="e">
        <v>#N/A</v>
        <stp/>
        <stp>##V3_BDPV12</stp>
        <stp>US912828LP38 Corp</stp>
        <stp>MATURITY</stp>
        <stp>[portefeuille USD.xlsm]treasuries!R169C26_x0000__x0000_</stp>
        <tr r="Z169" s="13"/>
      </tp>
      <tp t="e">
        <v>#N/A</v>
        <stp/>
        <stp>##V3_BDPV12</stp>
        <stp>US912828GH76 Corp</stp>
        <stp>MATURITY</stp>
        <stp>[portefeuille USD.xlsm]treasuries!R181C26_x0000__x0000_</stp>
        <tr r="Z181" s="13"/>
      </tp>
      <tp t="e">
        <v>#N/A</v>
        <stp/>
        <stp>##V3_BDPV12</stp>
        <stp>US912828MA59 Corp</stp>
        <stp>MATURITY</stp>
        <stp>[portefeuille USD.xlsm]treasuries!R175C26_x0000__x0000_</stp>
        <tr r="Z175" s="13"/>
      </tp>
      <tp t="e">
        <v>#N/A</v>
        <stp/>
        <stp>##V3_BDPV12</stp>
        <stp>US912828MV96 Corp</stp>
        <stp>MATURITY</stp>
        <stp>[portefeuille USD.xlsm]treasuries!R184C26_x0000__x0000_</stp>
        <tr r="Z184" s="13"/>
      </tp>
      <tp t="e">
        <v>#N/A</v>
        <stp/>
        <stp>##V3_BDPV12</stp>
        <stp>US912828LD08 Corp</stp>
        <stp>MATURITY</stp>
        <stp>[portefeuille USD.xlsm]treasuries!R165C26_x0000__x0000_</stp>
        <tr r="Z165" s="13"/>
      </tp>
      <tp t="e">
        <v>#N/A</v>
        <stp/>
        <stp>##V3_BDPV12</stp>
        <stp>US912810EA26 Corp</stp>
        <stp>MATURITY</stp>
        <stp>[portefeuille USD.xlsm]treasuries!R208C26_x0000__x0000_</stp>
        <tr r="Z208" s="13"/>
      </tp>
      <tp t="e">
        <v>#N/A</v>
        <stp/>
        <stp>##V3_BDPV12</stp>
        <stp>US912810QH41 Corp</stp>
        <stp>ISSUE_DT</stp>
        <stp>[portefeuille USD.xlsm]treasuries!R278C22_x0000__x0000_</stp>
        <tr r="V278" s="13"/>
      </tp>
      <tp t="e">
        <v>#N/A</v>
        <stp/>
        <stp>##V3_BDPV12</stp>
        <stp>US912828GH76 Corp</stp>
        <stp>ISSUE_DT</stp>
        <stp>[portefeuille USD.xlsm]treasuries!R181C22_x0000__x0000_</stp>
        <tr r="V181" s="13"/>
      </tp>
      <tp t="e">
        <v>#N/A</v>
        <stp/>
        <stp>##V3_BDPV12</stp>
        <stp>US912828LP38 Corp</stp>
        <stp>ISSUE_DT</stp>
        <stp>[portefeuille USD.xlsm]treasuries!R169C22_x0000__x0000_</stp>
        <tr r="V169" s="13"/>
      </tp>
      <tp t="e">
        <v>#N/A</v>
        <stp/>
        <stp>##V3_BDPV12</stp>
        <stp>US912828FY19 Corp</stp>
        <stp>ISSUE_DT</stp>
        <stp>[portefeuille USD.xlsm]treasuries!R173C22_x0000__x0000_</stp>
        <tr r="V173" s="13"/>
      </tp>
      <tp t="e">
        <v>#N/A</v>
        <stp/>
        <stp>##V3_BDPV12</stp>
        <stp>US912810DP04 Corp</stp>
        <stp>ISSUE_DT</stp>
        <stp>[portefeuille USD.xlsm]treasuries!R127C22_x0000__x0000_</stp>
        <tr r="V127" s="13"/>
      </tp>
      <tp t="e">
        <v>#N/A</v>
        <stp/>
        <stp>##V3_BDPV12</stp>
        <stp>US912810EG95 Corp</stp>
        <stp>ISSUE_DT</stp>
        <stp>[portefeuille USD.xlsm]treasuries!R236C22_x0000__x0000_</stp>
        <tr r="V236" s="13"/>
      </tp>
      <tp t="e">
        <v>#N/A</v>
        <stp/>
        <stp>##V3_BDPV12</stp>
        <stp>US912810QH41 Corp</stp>
        <stp>MATURITY</stp>
        <stp>[portefeuille USD.xlsm]treasuries!R278C26_x0000__x0000_</stp>
        <tr r="Z278" s="13"/>
      </tp>
      <tp t="e">
        <v>#N/A</v>
        <stp/>
        <stp>##V3_BDPV12</stp>
        <stp>US912810EA26 Corp</stp>
        <stp>ISSUE_DT</stp>
        <stp>[portefeuille USD.xlsm]treasuries!R208C22_x0000__x0000_</stp>
        <tr r="V208" s="13"/>
      </tp>
      <tp t="e">
        <v>#N/A</v>
        <stp/>
        <stp>##V3_BDPV12</stp>
        <stp>US912828MV96 Corp</stp>
        <stp>ISSUE_DT</stp>
        <stp>[portefeuille USD.xlsm]treasuries!R184C22_x0000__x0000_</stp>
        <tr r="V184" s="13"/>
      </tp>
      <tp t="e">
        <v>#N/A</v>
        <stp/>
        <stp>##V3_BDPV12</stp>
        <stp>US912828LD08 Corp</stp>
        <stp>ISSUE_DT</stp>
        <stp>[portefeuille USD.xlsm]treasuries!R165C22_x0000__x0000_</stp>
        <tr r="V165" s="13"/>
      </tp>
      <tp t="e">
        <v>#N/A</v>
        <stp/>
        <stp>##V3_BDPV12</stp>
        <stp>US912828MA59 Corp</stp>
        <stp>ISSUE_DT</stp>
        <stp>[portefeuille USD.xlsm]treasuries!R175C22_x0000__x0000_</stp>
        <tr r="V175" s="13"/>
      </tp>
      <tp t="e">
        <v>#N/A</v>
        <stp/>
        <stp>##V3_BDPV12</stp>
        <stp>US912828LK41 Corp</stp>
        <stp>AMT_OUTSTANDING</stp>
        <stp>[portefeuille USD.xlsm]treasuries!R115C28_x0000__x0000_</stp>
        <tr r="AB115" s="13"/>
      </tp>
      <tp t="e">
        <v>#N/A</v>
        <stp/>
        <stp>##V3_BDPV12</stp>
        <stp>US912828KR03 Corp</stp>
        <stp>AMT_OUTSTANDING</stp>
        <stp>[portefeuille USD.xlsm]treasuries!R157C28_x0000__x0000_</stp>
        <tr r="AB157" s="13"/>
      </tp>
      <tp t="e">
        <v>#N/A</v>
        <stp/>
        <stp>##V3_BDPV12</stp>
        <stp>US912828QM51 Corp</stp>
        <stp>AMT_OUTSTANDING</stp>
        <stp>[portefeuille USD.xlsm]treasuries!R104C28_x0000__x0000_</stp>
        <tr r="AB104" s="13"/>
      </tp>
      <tp t="e">
        <v>#N/A</v>
        <stp/>
        <stp>##V3_BDPV12</stp>
        <stp>US912828ME71 Corp</stp>
        <stp>AMT_OUTSTANDING</stp>
        <stp>[portefeuille USD.xlsm]treasuries!R124C28_x0000__x0000_</stp>
        <tr r="AB124" s="13"/>
      </tp>
      <tp t="e">
        <v>#N/A</v>
        <stp/>
        <stp>##V3_BDPV12</stp>
        <stp>US912828QF01 Corp</stp>
        <stp>AMT_OUTSTANDING</stp>
        <stp>[portefeuille USD.xlsm]treasuries!R156C28_x0000__x0000_</stp>
        <tr r="AB156" s="13"/>
      </tp>
      <tp t="e">
        <v>#N/A</v>
        <stp/>
        <stp>##V3_BDPV12</stp>
        <stp>US912828SP64 Corp</stp>
        <stp>AMT_OUTSTANDING</stp>
        <stp>[portefeuille USD.xlsm]treasuries!R133C28_x0000__x0000_</stp>
        <tr r="AB133" s="13"/>
      </tp>
      <tp t="e">
        <v>#N/A</v>
        <stp/>
        <stp>##V3_BDPV12</stp>
        <stp>US912828LU23 Corp</stp>
        <stp>AMT_OUTSTANDING</stp>
        <stp>[portefeuille USD.xlsm]treasuries!R172C28_x0000__x0000_</stp>
        <tr r="AB172" s="13"/>
      </tp>
      <tp t="e">
        <v>#N/A</v>
        <stp/>
        <stp>##V3_BDPV12</stp>
        <stp>US912828LP38 Corp</stp>
        <stp>AMT_OUTSTANDING</stp>
        <stp>[portefeuille USD.xlsm]treasuries!R169C28_x0000__x0000_</stp>
        <tr r="AB169" s="13"/>
      </tp>
      <tp t="e">
        <v>#N/A</v>
        <stp/>
        <stp>##V3_BDPV12</stp>
        <stp>US912828JH40 Corp</stp>
        <stp>AMT_OUTSTANDING</stp>
        <stp>[portefeuille USD.xlsm]treasuries!R213C28_x0000__x0000_</stp>
        <tr r="AB213" s="13"/>
      </tp>
      <tp t="e">
        <v>#N/A</v>
        <stp/>
        <stp>##V3_BDPV12</stp>
        <stp>US912828LJ77 Corp</stp>
        <stp>AMT_OUTSTANDING</stp>
        <stp>[portefeuille USD.xlsm]treasuries!R229C28_x0000__x0000_</stp>
        <tr r="AB229" s="13"/>
      </tp>
      <tp t="e">
        <v>#N/A</v>
        <stp/>
        <stp>##V3_BDPV12</stp>
        <stp>US912810QE10 Corp</stp>
        <stp>AMT_OUTSTANDING</stp>
        <stp>[portefeuille USD.xlsm]treasuries!R277C28_x0000__x0000_</stp>
        <tr r="AB277" s="13"/>
      </tp>
      <tp t="e">
        <v>#N/A</v>
        <stp/>
        <stp>##V3_BDPV12</stp>
        <stp>US912810ES34 Corp</stp>
        <stp>AMT_OUTSTANDING</stp>
        <stp>[portefeuille USD.xlsm]treasuries!R253C28_x0000__x0000_</stp>
        <tr r="AB253" s="13"/>
      </tp>
      <tp t="e">
        <v>#N/A</v>
        <stp/>
        <stp>##V3_BDPV12</stp>
        <stp>US912810FF04 Corp</stp>
        <stp>AMT_OUTSTANDING</stp>
        <stp>[portefeuille USD.xlsm]treasuries!R263C28_x0000__x0000_</stp>
        <tr r="AB263" s="13"/>
      </tp>
      <tp t="e">
        <v>#N/A</v>
        <stp/>
        <stp>##V3_BDPV12</stp>
        <stp>US912810FT08 Corp</stp>
        <stp>AMT_OUTSTANDING</stp>
        <stp>[portefeuille USD.xlsm]treasuries!R268C28_x0000__x0000_</stp>
        <tr r="AB268" s="13"/>
      </tp>
      <tp t="e">
        <v>#N/A</v>
        <stp/>
        <stp>##V3_BDPV12</stp>
        <stp>US912828KY53 Corp</stp>
        <stp>AMT_OUTSTANDING</stp>
        <stp>[portefeuille USD.xlsm]treasuries!R109C28_x0000__x0000_</stp>
        <tr r="AB109" s="13"/>
      </tp>
      <tp t="e">
        <v>#N/A</v>
        <stp/>
        <stp>##V3_BDPV12</stp>
        <stp>US912810DT26 Corp</stp>
        <stp>AMT_OUTSTANDING</stp>
        <stp>[portefeuille USD.xlsm]treasuries!R145C28_x0000__x0000_</stp>
        <tr r="AB145" s="13"/>
      </tp>
      <tp t="e">
        <v>#N/A</v>
        <stp/>
        <stp>##V3_BDPV12</stp>
        <stp>US912828GH76 Govt</stp>
        <stp>YLD_YTM_ASK</stp>
        <stp>[portefeuille USD.xlsm]treasuries!R181C8_x0000__x0000_</stp>
        <tr r="H181" s="13"/>
      </tp>
      <tp t="e">
        <v>#N/A</v>
        <stp/>
        <stp>##V3_BDPV12</stp>
        <stp>US912828PK05 Govt</stp>
        <stp>YLD_YTM_ASK</stp>
        <stp>[portefeuille USD.xlsm]treasuries!R201C8_x0000__x0000_</stp>
        <tr r="H201" s="13"/>
      </tp>
      <tp t="e">
        <v>#N/A</v>
        <stp/>
        <stp>##V3_BDPV12</stp>
        <stp>US912810QK79 Govt</stp>
        <stp>YLD_YTM_ASK</stp>
        <stp>[portefeuille USD.xlsm]treasuries!R279C8_x0000__x0000_</stp>
        <tr r="H279" s="13"/>
      </tp>
      <tp t="e">
        <v>#N/A</v>
        <stp/>
        <stp>##V3_BDPV12</stp>
        <stp>US912828PB06 Corp</stp>
        <stp>CPN</stp>
        <stp>[portefeuille USD.xlsm]treasuries!R81C27_x0000__x0000_</stp>
        <tr r="AA81" s="13"/>
      </tp>
      <tp t="e">
        <v>#N/A</v>
        <stp/>
        <stp>##V3_BDPV12</stp>
        <stp>US9127955G23 Corp</stp>
        <stp>CPN</stp>
        <stp>[portefeuille USD.xlsm]treasuries!R28C27_x0000__x0000_</stp>
        <tr r="AA28" s="13"/>
      </tp>
      <tp t="e">
        <v>#N/A</v>
        <stp/>
        <stp>##V3_BDPV12</stp>
        <stp>US912828MH03 Govt</stp>
        <stp>YLD_YTM_ASK</stp>
        <stp>[portefeuille USD.xlsm]treasuries!R126C8_x0000__x0000_</stp>
        <tr r="H126" s="13"/>
      </tp>
      <tp t="e">
        <v>#N/A</v>
        <stp/>
        <stp>##V3_BDPV12</stp>
        <stp>US912810EK08 Govt</stp>
        <stp>YLD_YTM_ASK</stp>
        <stp>[portefeuille USD.xlsm]treasuries!R244C8_x0000__x0000_</stp>
        <tr r="H244" s="13"/>
      </tp>
      <tp t="e">
        <v>#N/A</v>
        <stp/>
        <stp>##V3_BDPV12</stp>
        <stp>US912828BR04 Corp</stp>
        <stp>PENULTIMATE_CPN_DT</stp>
        <stp>[portefeuille USD.xlsm]treasuries!R85C25_x0000__x0000_</stp>
        <tr r="Y85" s="13"/>
      </tp>
      <tp t="e">
        <v>#N/A</v>
        <stp/>
        <stp>##V3_BDPV12</stp>
        <stp>US912828QZ64 Corp</stp>
        <stp>INT_ACC_DT</stp>
        <stp>[portefeuille USD.xlsm]treasuries!R66C23_x0000__x0000_</stp>
        <tr r="W66" s="13"/>
      </tp>
      <tp t="e">
        <v>#N/A</v>
        <stp/>
        <stp>##V3_BDPV12</stp>
        <stp>US912828HE37 Corp</stp>
        <stp>PENULTIMATE_CPN_DT</stp>
        <stp>[portefeuille USD.xlsm]treasuries!R23C25_x0000__x0000_</stp>
        <tr r="Y23" s="13"/>
      </tp>
      <tp t="e">
        <v>#N/A</v>
        <stp/>
        <stp>##V3_BDPV12</stp>
        <stp>US912828CA69 Corp</stp>
        <stp>PENULTIMATE_CPN_DT</stp>
        <stp>[portefeuille USD.xlsm]treasuries!R95C25_x0000__x0000_</stp>
        <tr r="Y95" s="13"/>
      </tp>
      <tp t="e">
        <v>#N/A</v>
        <stp/>
        <stp>##V3_BDPV12</stp>
        <stp>US912828QE36 Corp</stp>
        <stp>INT_ACC_DT</stp>
        <stp>[portefeuille USD.xlsm]treasuries!R60C23_x0000__x0000_</stp>
        <tr r="W60" s="13"/>
      </tp>
      <tp t="e">
        <v>#N/A</v>
        <stp/>
        <stp>##V3_BDPV12</stp>
        <stp>US12802NAB01 Corp</stp>
        <stp>CPN</stp>
        <stp>[portefeuille USD.xlsm]SSA!R101C26_x0000__x0000_</stp>
        <tr r="Z101" s="16"/>
      </tp>
      <tp t="e">
        <v>#N/A</v>
        <stp/>
        <stp>##V3_BDPV12</stp>
        <stp>US912810EV62 Corp</stp>
        <stp>MATURITY</stp>
        <stp>[portefeuille USD.xlsm]treasuries!R255C26_x0000__x0000_</stp>
        <tr r="Z255" s="13"/>
      </tp>
      <tp t="e">
        <v>#N/A</v>
        <stp/>
        <stp>##V3_BDPV12</stp>
        <stp>US912810QE10 Corp</stp>
        <stp>ISSUE_DT</stp>
        <stp>[portefeuille USD.xlsm]treasuries!R277C22_x0000__x0000_</stp>
        <tr r="V277" s="13"/>
      </tp>
      <tp t="e">
        <v>#N/A</v>
        <stp/>
        <stp>##V3_BDPV12</stp>
        <stp>US912828RX08 Corp</stp>
        <stp>ISSUE_DT</stp>
        <stp>[portefeuille USD.xlsm]treasuries!R177C22_x0000__x0000_</stp>
        <tr r="V177" s="13"/>
      </tp>
      <tp t="e">
        <v>#N/A</v>
        <stp/>
        <stp>##V3_BDPV12</stp>
        <stp>US912810QB70 Corp</stp>
        <stp>ISSUE_DT</stp>
        <stp>[portefeuille USD.xlsm]treasuries!R274C22_x0000__x0000_</stp>
        <tr r="V274" s="13"/>
      </tp>
      <tp t="e">
        <v>#N/A</v>
        <stp/>
        <stp>##V3_BDPV12</stp>
        <stp>US912828RU68 Corp</stp>
        <stp>ISSUE_DT</stp>
        <stp>[portefeuille USD.xlsm]treasuries!R176C22_x0000__x0000_</stp>
        <tr r="V176" s="13"/>
      </tp>
      <tp t="e">
        <v>#N/A</v>
        <stp/>
        <stp>##V3_BDPV12</stp>
        <stp>US912828QR49 Corp</stp>
        <stp>ISSUE_DT</stp>
        <stp>[portefeuille USD.xlsm]treasuries!R163C22_x0000__x0000_</stp>
        <tr r="V163" s="13"/>
      </tp>
      <tp t="e">
        <v>#N/A</v>
        <stp/>
        <stp>##V3_BDPV12</stp>
        <stp>US912810PX00 Corp</stp>
        <stp>ISSUE_DT</stp>
        <stp>[portefeuille USD.xlsm]treasuries!R272C22_x0000__x0000_</stp>
        <tr r="V272" s="13"/>
      </tp>
      <tp t="e">
        <v>#N/A</v>
        <stp/>
        <stp>##V3_BDPV12</stp>
        <stp>US912810DS43 Corp</stp>
        <stp>MATURITY</stp>
        <stp>[portefeuille USD.xlsm]treasuries!R141C26_x0000__x0000_</stp>
        <tr r="Z141" s="13"/>
      </tp>
      <tp t="e">
        <v>#N/A</v>
        <stp/>
        <stp>##V3_BDPV12</stp>
        <stp>US912810ED64 Corp</stp>
        <stp>MATURITY</stp>
        <stp>[portefeuille USD.xlsm]treasuries!R230C26_x0000__x0000_</stp>
        <tr r="Z230" s="13"/>
      </tp>
      <tp t="e">
        <v>#N/A</v>
        <stp/>
        <stp>##V3_BDPV12</stp>
        <stp>US912828MD98 Corp</stp>
        <stp>MATURITY</stp>
        <stp>[portefeuille USD.xlsm]treasuries!R178C26_x0000__x0000_</stp>
        <tr r="Z178" s="13"/>
      </tp>
      <tp t="e">
        <v>#N/A</v>
        <stp/>
        <stp>##V3_BDPV12</stp>
        <stp>US912810PU60 Corp</stp>
        <stp>ISSUE_DT</stp>
        <stp>[portefeuille USD.xlsm]treasuries!R270C22_x0000__x0000_</stp>
        <tr r="V270" s="13"/>
      </tp>
      <tp t="e">
        <v>#N/A</v>
        <stp/>
        <stp>##V3_BDPV12</stp>
        <stp>US912828KZ29 Corp</stp>
        <stp>MATURITY</stp>
        <stp>[portefeuille USD.xlsm]treasuries!R162C26_x0000__x0000_</stp>
        <tr r="Z162" s="13"/>
      </tp>
      <tp t="e">
        <v>#N/A</v>
        <stp/>
        <stp>##V3_BDPV12</stp>
        <stp>US912810EM63 Corp</stp>
        <stp>MATURITY</stp>
        <stp>[portefeuille USD.xlsm]treasuries!R249C26_x0000__x0000_</stp>
        <tr r="Z249" s="13"/>
      </tp>
      <tp t="e">
        <v>#N/A</v>
        <stp/>
        <stp>##V3_BDPV12</stp>
        <stp>US912810EY02 Corp</stp>
        <stp>MATURITY</stp>
        <stp>[portefeuille USD.xlsm]treasuries!R258C26_x0000__x0000_</stp>
        <tr r="Z258" s="13"/>
      </tp>
      <tp t="e">
        <v>#N/A</v>
        <stp/>
        <stp>##V3_BDPV12</stp>
        <stp>US912828MS67 Corp</stp>
        <stp>MATURITY</stp>
        <stp>[portefeuille USD.xlsm]treasuries!R182C26_x0000__x0000_</stp>
        <tr r="Z182" s="13"/>
      </tp>
      <tp t="e">
        <v>#N/A</v>
        <stp/>
        <stp>##V3_BDPV12</stp>
        <stp>US912810PU60 Corp</stp>
        <stp>MATURITY</stp>
        <stp>[portefeuille USD.xlsm]treasuries!R270C26_x0000__x0000_</stp>
        <tr r="Z270" s="13"/>
      </tp>
      <tp t="e">
        <v>#N/A</v>
        <stp/>
        <stp>##V3_BDPV12</stp>
        <stp>US912810DS43 Corp</stp>
        <stp>ISSUE_DT</stp>
        <stp>[portefeuille USD.xlsm]treasuries!R141C22_x0000__x0000_</stp>
        <tr r="V141" s="13"/>
      </tp>
      <tp t="e">
        <v>#N/A</v>
        <stp/>
        <stp>##V3_BDPV12</stp>
        <stp>US912810PX00 Corp</stp>
        <stp>MATURITY</stp>
        <stp>[portefeuille USD.xlsm]treasuries!R272C26_x0000__x0000_</stp>
        <tr r="Z272" s="13"/>
      </tp>
      <tp t="e">
        <v>#N/A</v>
        <stp/>
        <stp>##V3_BDPV12</stp>
        <stp>US912828QR49 Corp</stp>
        <stp>MATURITY</stp>
        <stp>[portefeuille USD.xlsm]treasuries!R163C26_x0000__x0000_</stp>
        <tr r="Z163" s="13"/>
      </tp>
      <tp t="e">
        <v>#N/A</v>
        <stp/>
        <stp>##V3_BDPV12</stp>
        <stp>US912810ED64 Corp</stp>
        <stp>ISSUE_DT</stp>
        <stp>[portefeuille USD.xlsm]treasuries!R230C22_x0000__x0000_</stp>
        <tr r="V230" s="13"/>
      </tp>
      <tp t="e">
        <v>#N/A</v>
        <stp/>
        <stp>##V3_BDPV12</stp>
        <stp>US912828MD98 Corp</stp>
        <stp>ISSUE_DT</stp>
        <stp>[portefeuille USD.xlsm]treasuries!R178C22_x0000__x0000_</stp>
        <tr r="V178" s="13"/>
      </tp>
      <tp t="e">
        <v>#N/A</v>
        <stp/>
        <stp>##V3_BDPV12</stp>
        <stp>US912828RU68 Corp</stp>
        <stp>MATURITY</stp>
        <stp>[portefeuille USD.xlsm]treasuries!R176C26_x0000__x0000_</stp>
        <tr r="Z176" s="13"/>
      </tp>
      <tp t="e">
        <v>#N/A</v>
        <stp/>
        <stp>##V3_BDPV12</stp>
        <stp>US912828RX08 Corp</stp>
        <stp>MATURITY</stp>
        <stp>[portefeuille USD.xlsm]treasuries!R177C26_x0000__x0000_</stp>
        <tr r="Z177" s="13"/>
      </tp>
      <tp t="e">
        <v>#N/A</v>
        <stp/>
        <stp>##V3_BDPV12</stp>
        <stp>US912810QB70 Corp</stp>
        <stp>MATURITY</stp>
        <stp>[portefeuille USD.xlsm]treasuries!R274C26_x0000__x0000_</stp>
        <tr r="Z274" s="13"/>
      </tp>
      <tp t="e">
        <v>#N/A</v>
        <stp/>
        <stp>##V3_BDPV12</stp>
        <stp>US912810QE10 Corp</stp>
        <stp>MATURITY</stp>
        <stp>[portefeuille USD.xlsm]treasuries!R277C26_x0000__x0000_</stp>
        <tr r="Z277" s="13"/>
      </tp>
      <tp t="e">
        <v>#N/A</v>
        <stp/>
        <stp>##V3_BDPV12</stp>
        <stp>US912810EV62 Corp</stp>
        <stp>ISSUE_DT</stp>
        <stp>[portefeuille USD.xlsm]treasuries!R255C22_x0000__x0000_</stp>
        <tr r="V255" s="13"/>
      </tp>
      <tp t="e">
        <v>#N/A</v>
        <stp/>
        <stp>##V3_BDPV12</stp>
        <stp>US912828MS67 Corp</stp>
        <stp>ISSUE_DT</stp>
        <stp>[portefeuille USD.xlsm]treasuries!R182C22_x0000__x0000_</stp>
        <tr r="V182" s="13"/>
      </tp>
      <tp t="e">
        <v>#N/A</v>
        <stp/>
        <stp>##V3_BDPV12</stp>
        <stp>US912810EY02 Corp</stp>
        <stp>ISSUE_DT</stp>
        <stp>[portefeuille USD.xlsm]treasuries!R258C22_x0000__x0000_</stp>
        <tr r="V258" s="13"/>
      </tp>
      <tp t="e">
        <v>#N/A</v>
        <stp/>
        <stp>##V3_BDPV12</stp>
        <stp>US912810EM63 Corp</stp>
        <stp>ISSUE_DT</stp>
        <stp>[portefeuille USD.xlsm]treasuries!R249C22_x0000__x0000_</stp>
        <tr r="V249" s="13"/>
      </tp>
      <tp t="e">
        <v>#N/A</v>
        <stp/>
        <stp>##V3_BDPV12</stp>
        <stp>US912828KZ29 Corp</stp>
        <stp>ISSUE_DT</stp>
        <stp>[portefeuille USD.xlsm]treasuries!R162C22_x0000__x0000_</stp>
        <tr r="V162" s="13"/>
      </tp>
      <tp t="e">
        <v>#N/A</v>
        <stp/>
        <stp>##V3_BDPV12</stp>
        <stp>US912828HR40 Corp</stp>
        <stp>AMT_OUTSTANDING</stp>
        <stp>[portefeuille USD.xlsm]treasuries!R204C28_x0000__x0000_</stp>
        <tr r="AB204" s="13"/>
      </tp>
      <tp t="e">
        <v>#N/A</v>
        <stp/>
        <stp>##V3_BDPV12</stp>
        <stp>US912828PN44 Corp</stp>
        <stp>AMT_OUTSTANDING</stp>
        <stp>[portefeuille USD.xlsm]treasuries!R202C28_x0000__x0000_</stp>
        <tr r="AB202" s="13"/>
      </tp>
      <tp t="e">
        <v>#N/A</v>
        <stp/>
        <stp>##V3_BDPV12</stp>
        <stp>US912828SK77 Corp</stp>
        <stp>AMT_OUTSTANDING</stp>
        <stp>[portefeuille USD.xlsm]treasuries!R131C28_x0000__x0000_</stp>
        <tr r="AB131" s="13"/>
      </tp>
      <tp t="e">
        <v>#N/A</v>
        <stp/>
        <stp>##V3_BDPV12</stp>
        <stp>US912810EX29 Corp</stp>
        <stp>AMT_OUTSTANDING</stp>
        <stp>[portefeuille USD.xlsm]treasuries!R257C28_x0000__x0000_</stp>
        <tr r="AB257" s="13"/>
      </tp>
      <tp t="e">
        <v>#N/A</v>
        <stp/>
        <stp>##V3_BDPV12</stp>
        <stp>US912828QA14 Corp</stp>
        <stp>AMT_OUTSTANDING</stp>
        <stp>[portefeuille USD.xlsm]treasuries!R155C28_x0000__x0000_</stp>
        <tr r="AB155" s="13"/>
      </tp>
      <tp t="e">
        <v>#N/A</v>
        <stp/>
        <stp>##V3_BDPV12</stp>
        <stp>US912828RH57 Corp</stp>
        <stp>AMT_OUTSTANDING</stp>
        <stp>[portefeuille USD.xlsm]treasuries!R215C28_x0000__x0000_</stp>
        <tr r="AB215" s="13"/>
      </tp>
      <tp t="e">
        <v>#N/A</v>
        <stp/>
        <stp>##V3_BDPV12</stp>
        <stp>US912810EE48 Corp</stp>
        <stp>AMT_OUTSTANDING</stp>
        <stp>[portefeuille USD.xlsm]treasuries!R232C28_x0000__x0000_</stp>
        <tr r="AB232" s="13"/>
      </tp>
      <tp t="e">
        <v>#N/A</v>
        <stp/>
        <stp>##V3_BDPV12</stp>
        <stp>US912828LL24 Corp</stp>
        <stp>AMT_OUTSTANDING</stp>
        <stp>[portefeuille USD.xlsm]treasuries!R167C28_x0000__x0000_</stp>
        <tr r="AB167" s="13"/>
      </tp>
      <tp t="e">
        <v>#N/A</v>
        <stp/>
        <stp>##V3_BDPV12</stp>
        <stp>US912828CT50 Corp</stp>
        <stp>AMT_OUTSTANDING</stp>
        <stp>[portefeuille USD.xlsm]treasuries!R113C28_x0000__x0000_</stp>
        <tr r="AB113" s="13"/>
      </tp>
      <tp t="e">
        <v>#N/A</v>
        <stp/>
        <stp>##V3_BDPV12</stp>
        <stp>US912810EJ35 Corp</stp>
        <stp>AMT_OUTSTANDING</stp>
        <stp>[portefeuille USD.xlsm]treasuries!R242C28_x0000__x0000_</stp>
        <tr r="AB242" s="13"/>
      </tp>
      <tp t="e">
        <v>#N/A</v>
        <stp/>
        <stp>##V3_BDPV12</stp>
        <stp>US912810FA17 Corp</stp>
        <stp>AMT_OUTSTANDING</stp>
        <stp>[portefeuille USD.xlsm]treasuries!R260C28_x0000__x0000_</stp>
        <tr r="AB260" s="13"/>
      </tp>
      <tp t="e">
        <v>#N/A</v>
        <stp/>
        <stp>##V3_BDPV12</stp>
        <stp>US912810PX00 Corp</stp>
        <stp>AMT_OUTSTANDING</stp>
        <stp>[portefeuille USD.xlsm]treasuries!R272C28_x0000__x0000_</stp>
        <tr r="AB272" s="13"/>
      </tp>
      <tp t="e">
        <v>#N/A</v>
        <stp/>
        <stp>##V3_BDPV12</stp>
        <stp>US912828MW79 Corp</stp>
        <stp>AMT_OUTSTANDING</stp>
        <stp>[portefeuille USD.xlsm]treasuries!R132C28_x0000__x0000_</stp>
        <tr r="AB132" s="13"/>
      </tp>
      <tp t="e">
        <v>#N/A</v>
        <stp/>
        <stp>##V3_BDPV12</stp>
        <stp>US912828MK32 Corp</stp>
        <stp>AMT_OUTSTANDING</stp>
        <stp>[portefeuille USD.xlsm]treasuries!R179C28_x0000__x0000_</stp>
        <tr r="AB179" s="13"/>
      </tp>
      <tp t="e">
        <v>#N/A</v>
        <stp/>
        <stp>##V3_BDPV12</stp>
        <stp>US912828KZ29 Corp</stp>
        <stp>AMT_OUTSTANDING</stp>
        <stp>[portefeuille USD.xlsm]treasuries!R162C28_x0000__x0000_</stp>
        <tr r="AB162" s="13"/>
      </tp>
      <tp t="e">
        <v>#N/A</v>
        <stp/>
        <stp>##V3_BDPV12</stp>
        <stp>US912828AJ96 Corp</stp>
        <stp>CPN</stp>
        <stp>[portefeuille USD.xlsm]treasuries!R11C27_x0000__x0000_</stp>
        <tr r="AA11" s="13"/>
      </tp>
      <tp t="e">
        <v>#N/A</v>
        <stp/>
        <stp>##V3_BDPV12</stp>
        <stp>US912828LJ77 Govt</stp>
        <stp>YLD_YTM_ASK</stp>
        <stp>[portefeuille USD.xlsm]treasuries!R229C8_x0000__x0000_</stp>
        <tr r="H229" s="13"/>
      </tp>
      <tp t="e">
        <v>#N/A</v>
        <stp/>
        <stp>##V3_BDPV12</stp>
        <stp>US912810EJ35 Govt</stp>
        <stp>YLD_YTM_ASK</stp>
        <stp>[portefeuille USD.xlsm]treasuries!R242C8_x0000__x0000_</stp>
        <tr r="H242" s="13"/>
      </tp>
      <tp t="e">
        <v>#N/A</v>
        <stp/>
        <stp>##V3_BDPV12</stp>
        <stp>US912828MN70 Corp</stp>
        <stp>CPN</stp>
        <stp>[portefeuille USD.xlsm]treasuries!R51C27_x0000__x0000_</stp>
        <tr r="AA51" s="13"/>
      </tp>
      <tp t="e">
        <v>#N/A</v>
        <stp/>
        <stp>##V3_BDPV12</stp>
        <stp>US912810FJ26 Govt</stp>
        <stp>YLD_YTM_ASK</stp>
        <stp>[portefeuille USD.xlsm]treasuries!R265C8_x0000__x0000_</stp>
        <tr r="H265" s="13"/>
      </tp>
      <tp t="e">
        <v>#N/A</v>
        <stp/>
        <stp>##V3_BDPV12</stp>
        <stp>US912828SB78 Corp</stp>
        <stp>CPN</stp>
        <stp>[portefeuille USD.xlsm]treasuries!R93C27_x0000__x0000_</stp>
        <tr r="AA93" s="13"/>
      </tp>
      <tp t="e">
        <v>#N/A</v>
        <stp/>
        <stp>##V3_BDPV12</stp>
        <stp>US912828QW34 Corp</stp>
        <stp>INT_ACC_DT</stp>
        <stp>[portefeuille USD.xlsm]treasuries!R73C23_x0000__x0000_</stp>
        <tr r="W73" s="13"/>
      </tp>
      <tp t="e">
        <v>#N/A</v>
        <stp/>
        <stp>##V3_BDPV12</stp>
        <stp>US912828HK96 Corp</stp>
        <stp>PENULTIMATE_CPN_DT</stp>
        <stp>[portefeuille USD.xlsm]treasuries!R39C25_x0000__x0000_</stp>
        <tr r="Y39" s="13"/>
      </tp>
      <tp t="e">
        <v>#N/A</v>
        <stp/>
        <stp>##V3_BDPV12</stp>
        <stp>US912828HG84 Corp</stp>
        <stp>PENULTIMATE_CPN_DT</stp>
        <stp>[portefeuille USD.xlsm]treasuries!R30C25_x0000__x0000_</stp>
        <tr r="Y30" s="13"/>
      </tp>
      <tp t="e">
        <v>#N/A</v>
        <stp/>
        <stp>##V3_BDPV12</stp>
        <stp>EJ095994 Corp Corp</stp>
        <stp>FIRST_CPN_DT</stp>
        <stp>[portefeuille USD.xlsm]SSA!R130C23_x0000_2</stp>
        <tr r="W130" s="16"/>
      </tp>
      <tp t="e">
        <v>#N/A</v>
        <stp/>
        <stp>##V3_BDPV12</stp>
        <stp>US912828TB69 Corp</stp>
        <stp>ISSUE_DT</stp>
        <stp>[portefeuille USD.xlsm]treasuries!R193C22_x0000__x0000_</stp>
        <tr r="V193" s="13"/>
      </tp>
      <tp t="e">
        <v>#N/A</v>
        <stp/>
        <stp>##V3_BDPV12</stp>
        <stp>US912810QQ40 Corp</stp>
        <stp>ISSUE_DT</stp>
        <stp>[portefeuille USD.xlsm]treasuries!R282C22_x0000__x0000_</stp>
        <tr r="V282" s="13"/>
      </tp>
      <tp t="e">
        <v>#N/A</v>
        <stp/>
        <stp>##V3_BDPV12</stp>
        <stp>US912828RV42 Corp</stp>
        <stp>ISSUE_DT</stp>
        <stp>[portefeuille USD.xlsm]treasuries!R123C22_x0000__x0000_</stp>
        <tr r="V123" s="13"/>
      </tp>
      <tp t="e">
        <v>#N/A</v>
        <stp/>
        <stp>##V3_BDPV12</stp>
        <stp>US912828KS85 Corp</stp>
        <stp>MATURITY</stp>
        <stp>[portefeuille USD.xlsm]treasuries!R152C26_x0000__x0000_</stp>
        <tr r="Z152" s="13"/>
      </tp>
      <tp t="e">
        <v>#N/A</v>
        <stp/>
        <stp>##V3_BDPV12</stp>
        <stp>US912828LK41 Corp</stp>
        <stp>MATURITY</stp>
        <stp>[portefeuille USD.xlsm]treasuries!R115C26_x0000__x0000_</stp>
        <tr r="Z115" s="13"/>
      </tp>
      <tp t="e">
        <v>#N/A</v>
        <stp/>
        <stp>##V3_BDPV12</stp>
        <stp>US912828LQ11 Corp</stp>
        <stp>MATURITY</stp>
        <stp>[portefeuille USD.xlsm]treasuries!R117C26_x0000__x0000_</stp>
        <tr r="Z117" s="13"/>
      </tp>
      <tp t="e">
        <v>#N/A</v>
        <stp/>
        <stp>##V3_BDPV12</stp>
        <stp>US912828HR40 Corp</stp>
        <stp>MATURITY</stp>
        <stp>[portefeuille USD.xlsm]treasuries!R204C26_x0000__x0000_</stp>
        <tr r="Z204" s="13"/>
      </tp>
      <tp t="e">
        <v>#N/A</v>
        <stp/>
        <stp>##V3_BDPV12</stp>
        <stp>US912810EB09 Corp</stp>
        <stp>MATURITY</stp>
        <stp>[portefeuille USD.xlsm]treasuries!R218C26_x0000__x0000_</stp>
        <tr r="Z218" s="13"/>
      </tp>
      <tp t="e">
        <v>#N/A</v>
        <stp/>
        <stp>##V3_BDPV12</stp>
        <stp>US912828RV42 Corp</stp>
        <stp>MATURITY</stp>
        <stp>[portefeuille USD.xlsm]treasuries!R123C26_x0000__x0000_</stp>
        <tr r="Z123" s="13"/>
      </tp>
      <tp t="e">
        <v>#N/A</v>
        <stp/>
        <stp>##V3_BDPV12</stp>
        <stp>US912810QQ40 Corp</stp>
        <stp>MATURITY</stp>
        <stp>[portefeuille USD.xlsm]treasuries!R282C26_x0000__x0000_</stp>
        <tr r="Z282" s="13"/>
      </tp>
      <tp t="e">
        <v>#N/A</v>
        <stp/>
        <stp>##V3_BDPV12</stp>
        <stp>US912828TB69 Corp</stp>
        <stp>MATURITY</stp>
        <stp>[portefeuille USD.xlsm]treasuries!R193C26_x0000__x0000_</stp>
        <tr r="Z193" s="13"/>
      </tp>
      <tp t="e">
        <v>#N/A</v>
        <stp/>
        <stp>##V3_BDPV12</stp>
        <stp>US912810EB09 Corp</stp>
        <stp>ISSUE_DT</stp>
        <stp>[portefeuille USD.xlsm]treasuries!R218C22_x0000__x0000_</stp>
        <tr r="V218" s="13"/>
      </tp>
      <tp t="e">
        <v>#N/A</v>
        <stp/>
        <stp>##V3_BDPV12</stp>
        <stp>US912828HR40 Corp</stp>
        <stp>ISSUE_DT</stp>
        <stp>[portefeuille USD.xlsm]treasuries!R204C22_x0000__x0000_</stp>
        <tr r="V204" s="13"/>
      </tp>
      <tp t="e">
        <v>#N/A</v>
        <stp/>
        <stp>##V3_BDPV12</stp>
        <stp>US912828LQ11 Corp</stp>
        <stp>ISSUE_DT</stp>
        <stp>[portefeuille USD.xlsm]treasuries!R117C22_x0000__x0000_</stp>
        <tr r="V117" s="13"/>
      </tp>
      <tp t="e">
        <v>#N/A</v>
        <stp/>
        <stp>##V3_BDPV12</stp>
        <stp>US912828KS85 Corp</stp>
        <stp>ISSUE_DT</stp>
        <stp>[portefeuille USD.xlsm]treasuries!R152C22_x0000__x0000_</stp>
        <tr r="V152" s="13"/>
      </tp>
      <tp t="e">
        <v>#N/A</v>
        <stp/>
        <stp>##V3_BDPV12</stp>
        <stp>US912828LK41 Corp</stp>
        <stp>ISSUE_DT</stp>
        <stp>[portefeuille USD.xlsm]treasuries!R115C22_x0000__x0000_</stp>
        <tr r="V115" s="13"/>
      </tp>
      <tp t="e">
        <v>#N/A</v>
        <stp/>
        <stp>##V3_BDPV12</stp>
        <stp>US912828MR84 Corp</stp>
        <stp>AMT_OUTSTANDING</stp>
        <stp>[portefeuille USD.xlsm]treasuries!R130C28_x0000__x0000_</stp>
        <tr r="AB130" s="13"/>
      </tp>
      <tp t="e">
        <v>#N/A</v>
        <stp/>
        <stp>##V3_BDPV12</stp>
        <stp>US912828PC88 Corp</stp>
        <stp>AMT_OUTSTANDING</stp>
        <stp>[portefeuille USD.xlsm]treasuries!R238C28_x0000__x0000_</stp>
        <tr r="AB238" s="13"/>
      </tp>
      <tp t="e">
        <v>#N/A</v>
        <stp/>
        <stp>##V3_BDPV12</stp>
        <stp>US912828SX98 Corp</stp>
        <stp>AMT_OUTSTANDING</stp>
        <stp>[portefeuille USD.xlsm]treasuries!R228C28_x0000__x0000_</stp>
        <tr r="AB228" s="13"/>
      </tp>
      <tp t="e">
        <v>#N/A</v>
        <stp/>
        <stp>##V3_BDPV12</stp>
        <stp>US912828DM98 Corp</stp>
        <stp>AMT_OUTSTANDING</stp>
        <stp>[portefeuille USD.xlsm]treasuries!R128C28_x0000__x0000_</stp>
        <tr r="AB128" s="13"/>
      </tp>
      <tp t="e">
        <v>#N/A</v>
        <stp/>
        <stp>##V3_BDPV12</stp>
        <stp>US912828SM34 Corp</stp>
        <stp>AMT_OUTSTANDING</stp>
        <stp>[portefeuille USD.xlsm]treasuries!R185C28_x0000__x0000_</stp>
        <tr r="AB185" s="13"/>
      </tp>
      <tp t="e">
        <v>#N/A</v>
        <stp/>
        <stp>##V3_BDPV12</stp>
        <stp>US912828NK23 Corp</stp>
        <stp>AMT_OUTSTANDING</stp>
        <stp>[portefeuille USD.xlsm]treasuries!R192C28_x0000__x0000_</stp>
        <tr r="AB192" s="13"/>
      </tp>
      <tp t="e">
        <v>#N/A</v>
        <stp/>
        <stp>##V3_BDPV12</stp>
        <stp>US912828ND89 Corp</stp>
        <stp>AMT_OUTSTANDING</stp>
        <stp>[portefeuille USD.xlsm]treasuries!R235C28_x0000__x0000_</stp>
        <tr r="AB235" s="13"/>
      </tp>
      <tp t="e">
        <v>#N/A</v>
        <stp/>
        <stp>##V3_BDPV12</stp>
        <stp>US912810QS06 Corp</stp>
        <stp>AMT_OUTSTANDING</stp>
        <stp>[portefeuille USD.xlsm]treasuries!R283C28_x0000__x0000_</stp>
        <tr r="AB283" s="13"/>
      </tp>
      <tp t="e">
        <v>#N/A</v>
        <stp/>
        <stp>##V3_BDPV12</stp>
        <stp>US912828GS32 Corp</stp>
        <stp>AMT_OUTSTANDING</stp>
        <stp>[portefeuille USD.xlsm]treasuries!R188C28_x0000__x0000_</stp>
        <tr r="AB188" s="13"/>
      </tp>
      <tp t="e">
        <v>#N/A</v>
        <stp/>
        <stp>##V3_BDPV12</stp>
        <stp>US912828PA23 Corp</stp>
        <stp>AMT_OUTSTANDING</stp>
        <stp>[portefeuille USD.xlsm]treasuries!R198C28_x0000__x0000_</stp>
        <tr r="AB198" s="13"/>
      </tp>
      <tp t="e">
        <v>#N/A</v>
        <stp/>
        <stp>##V3_BDPV12</stp>
        <stp>US912828PF10 Govt</stp>
        <stp>YLD_YTM_ASK</stp>
        <stp>[portefeuille USD.xlsm]treasuries!R199C8_x0000__x0000_</stp>
        <tr r="H199" s="13"/>
      </tp>
      <tp t="e">
        <v>#N/A</v>
        <stp/>
        <stp>##V3_BDPV12</stp>
        <stp>US912828HG84 Corp</stp>
        <stp>CPN</stp>
        <stp>[portefeuille USD.xlsm]treasuries!R30C27_x0000__x0000_</stp>
        <tr r="AA30" s="13"/>
      </tp>
      <tp t="e">
        <v>#N/A</v>
        <stp/>
        <stp>##V3_BDPV12</stp>
        <stp>US912828RF91 Govt</stp>
        <stp>YLD_YTM_ASK</stp>
        <stp>[portefeuille USD.xlsm]treasuries!R168C8_x0000__x0000_</stp>
        <tr r="H168" s="13"/>
      </tp>
      <tp t="e">
        <v>#N/A</v>
        <stp/>
        <stp>##V3_BDPV12</stp>
        <stp>US912828NF38 Govt</stp>
        <stp>YLD_YTM_ASK</stp>
        <stp>[portefeuille USD.xlsm]treasuries!R137C8_x0000__x0000_</stp>
        <tr r="H137" s="13"/>
      </tp>
      <tp t="e">
        <v>#N/A</v>
        <stp/>
        <stp>##V3_BDPV12</stp>
        <stp>US912828RE27 Govt</stp>
        <stp>YLD_YTM_ASK</stp>
        <stp>[portefeuille USD.xlsm]treasuries!R214C8_x0000__x0000_</stp>
        <tr r="H214" s="13"/>
      </tp>
      <tp t="e">
        <v>#N/A</v>
        <stp/>
        <stp>##V3_BDPV12</stp>
        <stp>US912828PL87 Corp</stp>
        <stp>CPN</stp>
        <stp>[portefeuille USD.xlsm]treasuries!R88C27_x0000__x0000_</stp>
        <tr r="AA88" s="13"/>
      </tp>
      <tp t="e">
        <v>#N/A</v>
        <stp/>
        <stp>##V3_BDPV12</stp>
        <stp>US912828JB79 Corp</stp>
        <stp>CPN</stp>
        <stp>[portefeuille USD.xlsm]treasuries!R67C27_x0000__x0000_</stp>
        <tr r="AA67" s="13"/>
      </tp>
      <tp t="e">
        <v>#N/A</v>
        <stp/>
        <stp>##V3_BDPV12</stp>
        <stp>US912810QE10 Govt</stp>
        <stp>YLD_YTM_ASK</stp>
        <stp>[portefeuille USD.xlsm]treasuries!R277C8_x0000__x0000_</stp>
        <tr r="H277" s="13"/>
      </tp>
      <tp t="e">
        <v>#N/A</v>
        <stp/>
        <stp>##V3_BDPV12</stp>
        <stp>US912828QF01 Govt</stp>
        <stp>YLD_YTM_ASK</stp>
        <stp>[portefeuille USD.xlsm]treasuries!R156C8_x0000__x0000_</stp>
        <tr r="H156" s="13"/>
      </tp>
      <tp t="e">
        <v>#N/A</v>
        <stp/>
        <stp>##V3_BDPV12</stp>
        <stp>US912810EE48 Govt</stp>
        <stp>YLD_YTM_ASK</stp>
        <stp>[portefeuille USD.xlsm]treasuries!R232C8_x0000__x0000_</stp>
        <tr r="H232" s="13"/>
      </tp>
      <tp t="e">
        <v>#N/A</v>
        <stp/>
        <stp>##V3_BDPV12</stp>
        <stp>US912828FF20 Govt</stp>
        <stp>YLD_YTM_ASK</stp>
        <stp>[portefeuille USD.xlsm]treasuries!R159C8_x0000__x0000_</stp>
        <tr r="H159" s="13"/>
      </tp>
      <tp t="e">
        <v>#N/A</v>
        <stp/>
        <stp>##V3_BDPV12</stp>
        <stp>US912810FE39 Govt</stp>
        <stp>YLD_YTM_ASK</stp>
        <stp>[portefeuille USD.xlsm]treasuries!R262C8_x0000__x0000_</stp>
        <tr r="H262" s="13"/>
      </tp>
      <tp t="e">
        <v>#N/A</v>
        <stp/>
        <stp>##V3_BDPV12</stp>
        <stp>US912828PZ73 Corp</stp>
        <stp>INT_ACC_DT</stp>
        <stp>[portefeuille USD.xlsm]treasuries!R98C23_x0000__x0000_</stp>
        <tr r="W98" s="13"/>
      </tp>
      <tp t="e">
        <v>#N/A</v>
        <stp/>
        <stp>##V3_BDPV12</stp>
        <stp>US912828PQ74 Corp</stp>
        <stp>INT_ACC_DT</stp>
        <stp>[portefeuille USD.xlsm]treasuries!R91C23_x0000__x0000_</stp>
        <tr r="W91" s="13"/>
      </tp>
      <tp t="e">
        <v>#N/A</v>
        <stp/>
        <stp>##V3_BDPV12</stp>
        <stp>US912828AU42 Corp</stp>
        <stp>PENULTIMATE_CPN_DT</stp>
        <stp>[portefeuille USD.xlsm]treasuries!R50C25_x0000__x0000_</stp>
        <tr r="Y50" s="13"/>
      </tp>
      <tp t="e">
        <v>#N/A</v>
        <stp/>
        <stp>##V3_BDPV12</stp>
        <stp>US912828BA78 Corp</stp>
        <stp>PENULTIMATE_CPN_DT</stp>
        <stp>[portefeuille USD.xlsm]treasuries!R64C25_x0000__x0000_</stp>
        <tr r="Y64" s="13"/>
      </tp>
      <tp t="e">
        <v>#N/A</v>
        <stp/>
        <stp>##V3_BDPV12</stp>
        <stp>EI133522 Corp Corp</stp>
        <stp>FIRST_CPN_DT</stp>
        <stp>[portefeuille USD.xlsm]SSA!R138C23_x0000_2</stp>
        <tr r="W138" s="16"/>
      </tp>
      <tp t="e">
        <v>#N/A</v>
        <stp/>
        <stp>##V3_BDPV12</stp>
        <stp>US912795Y967 Corp</stp>
        <stp>INT_ACC_DT</stp>
        <stp>[portefeuille USD.xlsm]treasuries!R14C23_x0000__x0000_</stp>
        <tr r="W14" s="13"/>
      </tp>
      <tp t="e">
        <v>#N/A</v>
        <stp/>
        <stp>##V3_BDPV12</stp>
        <stp>US912828CT50 Corp</stp>
        <stp>MATURITY</stp>
        <stp>[portefeuille USD.xlsm]treasuries!R113C26_x0000__x0000_</stp>
        <tr r="Z113" s="13"/>
      </tp>
      <tp t="e">
        <v>#N/A</v>
        <stp/>
        <stp>##V3_BDPV12</stp>
        <stp>US912828QX17 Corp</stp>
        <stp>ISSUE_DT</stp>
        <stp>[portefeuille USD.xlsm]treasuries!R164C22_x0000__x0000_</stp>
        <tr r="V164" s="13"/>
      </tp>
      <tp t="e">
        <v>#N/A</v>
        <stp/>
        <stp>##V3_BDPV12</stp>
        <stp>US912828QM51 Corp</stp>
        <stp>ISSUE_DT</stp>
        <stp>[portefeuille USD.xlsm]treasuries!R104C22_x0000__x0000_</stp>
        <tr r="V104" s="13"/>
      </tp>
      <tp t="e">
        <v>#N/A</v>
        <stp/>
        <stp>##V3_BDPV12</stp>
        <stp>US912810QU51 Corp</stp>
        <stp>ISSUE_DT</stp>
        <stp>[portefeuille USD.xlsm]treasuries!R285C22_x0000__x0000_</stp>
        <tr r="V285" s="13"/>
      </tp>
      <tp t="e">
        <v>#N/A</v>
        <stp/>
        <stp>##V3_BDPV12</stp>
        <stp>US912828QA14 Corp</stp>
        <stp>ISSUE_DT</stp>
        <stp>[portefeuille USD.xlsm]treasuries!R155C22_x0000__x0000_</stp>
        <tr r="V155" s="13"/>
      </tp>
      <tp t="e">
        <v>#N/A</v>
        <stp/>
        <stp>##V3_BDPV12</stp>
        <stp>US912828PE45 Corp</stp>
        <stp>ISSUE_DT</stp>
        <stp>[portefeuille USD.xlsm]treasuries!R144C22_x0000__x0000_</stp>
        <tr r="V144" s="13"/>
      </tp>
      <tp t="e">
        <v>#N/A</v>
        <stp/>
        <stp>##V3_BDPV12</stp>
        <stp>US912828SR21 Corp</stp>
        <stp>ISSUE_DT</stp>
        <stp>[portefeuille USD.xlsm]treasuries!R103C22_x0000__x0000_</stp>
        <tr r="V103" s="13"/>
      </tp>
      <tp t="e">
        <v>#N/A</v>
        <stp/>
        <stp>##V3_BDPV12</stp>
        <stp>US912828QN35 Corp</stp>
        <stp>ISSUE_DT</stp>
        <stp>[portefeuille USD.xlsm]treasuries!R241C22_x0000__x0000_</stp>
        <tr r="V241" s="13"/>
      </tp>
      <tp t="e">
        <v>#N/A</v>
        <stp/>
        <stp>##V3_BDPV12</stp>
        <stp>US912828NT32 Corp</stp>
        <stp>MATURITY</stp>
        <stp>[portefeuille USD.xlsm]treasuries!R237C26_x0000__x0000_</stp>
        <tr r="Z237" s="13"/>
      </tp>
      <tp t="e">
        <v>#N/A</v>
        <stp/>
        <stp>##V3_BDPV12</stp>
        <stp>US912828JH40 Corp</stp>
        <stp>MATURITY</stp>
        <stp>[portefeuille USD.xlsm]treasuries!R213C26_x0000__x0000_</stp>
        <tr r="Z213" s="13"/>
      </tp>
      <tp t="e">
        <v>#N/A</v>
        <stp/>
        <stp>##V3_BDPV12</stp>
        <stp>US912828KW97 Corp</stp>
        <stp>MATURITY</stp>
        <stp>[portefeuille USD.xlsm]treasuries!R161C26_x0000__x0000_</stp>
        <tr r="Z161" s="13"/>
      </tp>
      <tp t="e">
        <v>#N/A</v>
        <stp/>
        <stp>##V3_BDPV12</stp>
        <stp>US912828MH03 Corp</stp>
        <stp>MATURITY</stp>
        <stp>[portefeuille USD.xlsm]treasuries!R126C26_x0000__x0000_</stp>
        <tr r="Z126" s="13"/>
      </tp>
      <tp t="e">
        <v>#N/A</v>
        <stp/>
        <stp>##V3_BDPV12</stp>
        <stp>US912810DY11 Corp</stp>
        <stp>MATURITY</stp>
        <stp>[portefeuille USD.xlsm]treasuries!R189C26_x0000__x0000_</stp>
        <tr r="Z189" s="13"/>
      </tp>
      <tp t="e">
        <v>#N/A</v>
        <stp/>
        <stp>##V3_BDPV12</stp>
        <stp>US912828SR21 Corp</stp>
        <stp>MATURITY</stp>
        <stp>[portefeuille USD.xlsm]treasuries!R103C26_x0000__x0000_</stp>
        <tr r="Z103" s="13"/>
      </tp>
      <tp t="e">
        <v>#N/A</v>
        <stp/>
        <stp>##V3_BDPV12</stp>
        <stp>US912828QN35 Corp</stp>
        <stp>MATURITY</stp>
        <stp>[portefeuille USD.xlsm]treasuries!R241C26_x0000__x0000_</stp>
        <tr r="Z241" s="13"/>
      </tp>
      <tp t="e">
        <v>#N/A</v>
        <stp/>
        <stp>##V3_BDPV12</stp>
        <stp>US912810QU51 Corp</stp>
        <stp>MATURITY</stp>
        <stp>[portefeuille USD.xlsm]treasuries!R285C26_x0000__x0000_</stp>
        <tr r="Z285" s="13"/>
      </tp>
      <tp t="e">
        <v>#N/A</v>
        <stp/>
        <stp>##V3_BDPV12</stp>
        <stp>US912828PE45 Corp</stp>
        <stp>MATURITY</stp>
        <stp>[portefeuille USD.xlsm]treasuries!R144C26_x0000__x0000_</stp>
        <tr r="Z144" s="13"/>
      </tp>
      <tp t="e">
        <v>#N/A</v>
        <stp/>
        <stp>##V3_BDPV12</stp>
        <stp>US912828QA14 Corp</stp>
        <stp>MATURITY</stp>
        <stp>[portefeuille USD.xlsm]treasuries!R155C26_x0000__x0000_</stp>
        <tr r="Z155" s="13"/>
      </tp>
      <tp t="e">
        <v>#N/A</v>
        <stp/>
        <stp>##V3_BDPV12</stp>
        <stp>US912828QX17 Corp</stp>
        <stp>MATURITY</stp>
        <stp>[portefeuille USD.xlsm]treasuries!R164C26_x0000__x0000_</stp>
        <tr r="Z164" s="13"/>
      </tp>
      <tp t="e">
        <v>#N/A</v>
        <stp/>
        <stp>##V3_BDPV12</stp>
        <stp>US912828QM51 Corp</stp>
        <stp>MATURITY</stp>
        <stp>[portefeuille USD.xlsm]treasuries!R104C26_x0000__x0000_</stp>
        <tr r="Z104" s="13"/>
      </tp>
      <tp t="e">
        <v>#N/A</v>
        <stp/>
        <stp>##V3_BDPV12</stp>
        <stp>US912828CT50 Corp</stp>
        <stp>ISSUE_DT</stp>
        <stp>[portefeuille USD.xlsm]treasuries!R113C22_x0000__x0000_</stp>
        <tr r="V113" s="13"/>
      </tp>
      <tp t="e">
        <v>#N/A</v>
        <stp/>
        <stp>##V3_BDPV12</stp>
        <stp>US912810DY11 Corp</stp>
        <stp>ISSUE_DT</stp>
        <stp>[portefeuille USD.xlsm]treasuries!R189C22_x0000__x0000_</stp>
        <tr r="V189" s="13"/>
      </tp>
      <tp t="e">
        <v>#N/A</v>
        <stp/>
        <stp>##V3_BDPV12</stp>
        <stp>US912828MH03 Corp</stp>
        <stp>ISSUE_DT</stp>
        <stp>[portefeuille USD.xlsm]treasuries!R126C22_x0000__x0000_</stp>
        <tr r="V126" s="13"/>
      </tp>
      <tp t="e">
        <v>#N/A</v>
        <stp/>
        <stp>##V3_BDPV12</stp>
        <stp>US912828KW97 Corp</stp>
        <stp>ISSUE_DT</stp>
        <stp>[portefeuille USD.xlsm]treasuries!R161C22_x0000__x0000_</stp>
        <tr r="V161" s="13"/>
      </tp>
      <tp t="e">
        <v>#N/A</v>
        <stp/>
        <stp>##V3_BDPV12</stp>
        <stp>US912828NT32 Corp</stp>
        <stp>ISSUE_DT</stp>
        <stp>[portefeuille USD.xlsm]treasuries!R237C22_x0000__x0000_</stp>
        <tr r="V237" s="13"/>
      </tp>
      <tp t="e">
        <v>#N/A</v>
        <stp/>
        <stp>##V3_BDPV12</stp>
        <stp>US912828JH40 Corp</stp>
        <stp>ISSUE_DT</stp>
        <stp>[portefeuille USD.xlsm]treasuries!R213C22_x0000__x0000_</stp>
        <tr r="V213" s="13"/>
      </tp>
      <tp t="e">
        <v>#N/A</v>
        <stp/>
        <stp>##V3_BDPV12</stp>
        <stp>US912810QW18 Corp</stp>
        <stp>AMT_OUTSTANDING</stp>
        <stp>[portefeuille USD.xlsm]treasuries!R286C28_x0000__x0000_</stp>
        <tr r="AB286" s="13"/>
      </tp>
      <tp t="e">
        <v>#N/A</v>
        <stp/>
        <stp>##V3_BDPV12</stp>
        <stp>US912810QN19 Corp</stp>
        <stp>AMT_OUTSTANDING</stp>
        <stp>[portefeuille USD.xlsm]treasuries!R281C28_x0000__x0000_</stp>
        <tr r="AB281" s="13"/>
      </tp>
      <tp t="e">
        <v>#N/A</v>
        <stp/>
        <stp>##V3_BDPV12</stp>
        <stp>US912828RY80 Corp</stp>
        <stp>AMT_OUTSTANDING</stp>
        <stp>[portefeuille USD.xlsm]treasuries!R220C28_x0000__x0000_</stp>
        <tr r="AB220" s="13"/>
      </tp>
      <tp t="e">
        <v>#N/A</v>
        <stp/>
        <stp>##V3_BDPV12</stp>
        <stp>US912828ST86 Corp</stp>
        <stp>AMT_OUTSTANDING</stp>
        <stp>[portefeuille USD.xlsm]treasuries!R226C28_x0000__x0000_</stp>
        <tr r="AB226" s="13"/>
      </tp>
      <tp t="e">
        <v>#N/A</v>
        <stp/>
        <stp>##V3_BDPV12</stp>
        <stp>US912810DY11 Corp</stp>
        <stp>AMT_OUTSTANDING</stp>
        <stp>[portefeuille USD.xlsm]treasuries!R189C28_x0000__x0000_</stp>
        <tr r="AB189" s="13"/>
      </tp>
      <tp t="e">
        <v>#N/A</v>
        <stp/>
        <stp>##V3_BDPV12</stp>
        <stp>US912828DV97 Corp</stp>
        <stp>AMT_OUTSTANDING</stp>
        <stp>[portefeuille USD.xlsm]treasuries!R136C28_x0000__x0000_</stp>
        <tr r="AB136" s="13"/>
      </tp>
      <tp t="e">
        <v>#N/A</v>
        <stp/>
        <stp>##V3_BDPV12</stp>
        <stp>US912828NG11 Govt</stp>
        <stp>YLD_YTM_ASK</stp>
        <stp>[portefeuille USD.xlsm]treasuries!R191C8_x0000__x0000_</stp>
        <tr r="H191" s="13"/>
      </tp>
      <tp t="e">
        <v>#N/A</v>
        <stp/>
        <stp>##V3_BDPV12</stp>
        <stp>US912828ND89 Govt</stp>
        <stp>YLD_YTM_ASK</stp>
        <stp>[portefeuille USD.xlsm]treasuries!R235C8_x0000__x0000_</stp>
        <tr r="H235" s="13"/>
      </tp>
      <tp t="e">
        <v>#N/A</v>
        <stp/>
        <stp>##V3_BDPV12</stp>
        <stp>US9127956L09 Corp</stp>
        <stp>CPN</stp>
        <stp>[portefeuille USD.xlsm]treasuries!R62C27_x0000__x0000_</stp>
        <tr r="AA62" s="13"/>
      </tp>
      <tp t="e">
        <v>#N/A</v>
        <stp/>
        <stp>##V3_BDPV12</stp>
        <stp>US912828SL50 Corp</stp>
        <stp>CPN</stp>
        <stp>[portefeuille USD.xlsm]treasuries!R99C27_x0000__x0000_</stp>
        <tr r="AA99" s="13"/>
      </tp>
      <tp t="e">
        <v>#N/A</v>
        <stp/>
        <stp>##V3_BDPV12</stp>
        <stp>US912828SD35 Govt</stp>
        <stp>YLD_YTM_ASK</stp>
        <stp>[portefeuille USD.xlsm]treasuries!R221C8_x0000__x0000_</stp>
        <tr r="H221" s="13"/>
      </tp>
      <tp t="e">
        <v>#N/A</v>
        <stp/>
        <stp>##V3_BDPV12</stp>
        <stp>US912828JM35 Corp</stp>
        <stp>CPN</stp>
        <stp>[portefeuille USD.xlsm]treasuries!R80C27_x0000__x0000_</stp>
        <tr r="AA80" s="13"/>
      </tp>
      <tp t="e">
        <v>#N/A</v>
        <stp/>
        <stp>##V3_BDPV12</stp>
        <stp>US912828NC07 Corp</stp>
        <stp>CPN</stp>
        <stp>[portefeuille USD.xlsm]treasuries!R63C27_x0000__x0000_</stp>
        <tr r="AA63" s="13"/>
      </tp>
      <tp t="e">
        <v>#N/A</v>
        <stp/>
        <stp>##V3_BDPV12</stp>
        <stp>US912828KD17 Govt</stp>
        <stp>YLD_YTM_ASK</stp>
        <stp>[portefeuille USD.xlsm]treasuries!R223C8_x0000__x0000_</stp>
        <tr r="H223" s="13"/>
      </tp>
      <tp t="e">
        <v>#N/A</v>
        <stp/>
        <stp>##V3_BDPV12</stp>
        <stp>US912810QD37 Govt</stp>
        <stp>YLD_YTM_ASK</stp>
        <stp>[portefeuille USD.xlsm]treasuries!R276C8_x0000__x0000_</stp>
        <tr r="H276" s="13"/>
      </tp>
      <tp t="e">
        <v>#N/A</v>
        <stp/>
        <stp>##V3_BDPV12</stp>
        <stp>US912810ED64 Govt</stp>
        <stp>YLD_YTM_ASK</stp>
        <stp>[portefeuille USD.xlsm]treasuries!R230C8_x0000__x0000_</stp>
        <tr r="H230" s="13"/>
      </tp>
      <tp t="e">
        <v>#N/A</v>
        <stp/>
        <stp>##V3_BDPV12</stp>
        <stp>US912828RG74 Govt</stp>
        <stp>YLD_YTM_ASK</stp>
        <stp>[portefeuille USD.xlsm]treasuries!R116C8_x0000__x0000_</stp>
        <tr r="H116" s="13"/>
      </tp>
      <tp t="e">
        <v>#N/A</v>
        <stp/>
        <stp>##V3_BDPV12</stp>
        <stp>US912828PU86 Corp</stp>
        <stp>INT_ACC_DT</stp>
        <stp>[portefeuille USD.xlsm]treasuries!R84C23_x0000__x0000_</stp>
        <tr r="W84" s="13"/>
      </tp>
      <tp t="e">
        <v>#N/A</v>
        <stp/>
        <stp>##V3_BDPV12</stp>
        <stp>EI575402 Corp Corp</stp>
        <stp>FIRST_CPN_DT</stp>
        <stp>[portefeuille USD.xlsm]SSA!R136C23_x0000_2</stp>
        <tr r="W136" s="16"/>
      </tp>
      <tp t="e">
        <v>#N/A</v>
        <stp/>
        <stp>##V3_BDPV12</stp>
        <stp>US912828PB06 Corp</stp>
        <stp>INT_ACC_DT</stp>
        <stp>[portefeuille USD.xlsm]treasuries!R81C23_x0000__x0000_</stp>
        <tr r="W81" s="13"/>
      </tp>
      <tp t="e">
        <v>#N/A</v>
        <stp/>
        <stp>##V3_BDPV12</stp>
        <stp>US912828PL87 Corp</stp>
        <stp>INT_ACC_DT</stp>
        <stp>[portefeuille USD.xlsm]treasuries!R88C23_x0000__x0000_</stp>
        <tr r="W88" s="13"/>
      </tp>
      <tp t="e">
        <v>#N/A</v>
        <stp/>
        <stp>##V3_BDPV12</stp>
        <stp>US9127956W63 Govt</stp>
        <stp>PX_MID</stp>
        <stp>[portefeuille USD.xlsm]MV Repo!R10C5_x0000__x0000_</stp>
        <tr r="E10" s="6"/>
      </tp>
      <tp t="e">
        <v>#N/A</v>
        <stp/>
        <stp>##V3_BDPV12</stp>
        <stp>US912828QH66 Corp</stp>
        <stp>INT_ACC_DT</stp>
        <stp>[portefeuille USD.xlsm]treasuries!R94C23_x0000__x0000_</stp>
        <tr r="W94" s="13"/>
      </tp>
      <tp t="e">
        <v>#N/A</v>
        <stp/>
        <stp>##V3_BDPV12</stp>
        <stp>US912828BH22 Corp</stp>
        <stp>PENULTIMATE_CPN_DT</stp>
        <stp>[portefeuille USD.xlsm]treasuries!R75C25_x0000__x0000_</stp>
        <tr r="Y75" s="13"/>
      </tp>
      <tp t="e">
        <v>#N/A</v>
        <stp/>
        <stp>##V3_BDPV12</stp>
        <stp>US912828FQ84 Corp</stp>
        <stp>MATURITY</stp>
        <stp>[portefeuille USD.xlsm]treasuries!R166C26_x0000__x0000_</stp>
        <tr r="Z166" s="13"/>
      </tp>
      <tp t="e">
        <v>#N/A</v>
        <stp/>
        <stp>##V3_BDPV12</stp>
        <stp>US912828RP73 Corp</stp>
        <stp>ISSUE_DT</stp>
        <stp>[portefeuille USD.xlsm]treasuries!R216C22_x0000__x0000_</stp>
        <tr r="V216" s="13"/>
      </tp>
      <tp t="e">
        <v>#N/A</v>
        <stp/>
        <stp>##V3_BDPV12</stp>
        <stp>US912828RY80 Corp</stp>
        <stp>ISSUE_DT</stp>
        <stp>[portefeuille USD.xlsm]treasuries!R220C22_x0000__x0000_</stp>
        <tr r="V220" s="13"/>
      </tp>
      <tp t="e">
        <v>#N/A</v>
        <stp/>
        <stp>##V3_BDPV12</stp>
        <stp>US912810QL52 Corp</stp>
        <stp>ISSUE_DT</stp>
        <stp>[portefeuille USD.xlsm]treasuries!R280C22_x0000__x0000_</stp>
        <tr r="V280" s="13"/>
      </tp>
      <tp t="e">
        <v>#N/A</v>
        <stp/>
        <stp>##V3_BDPV12</stp>
        <stp>US912828MZ01 Corp</stp>
        <stp>MATURITY</stp>
        <stp>[portefeuille USD.xlsm]treasuries!R134C26_x0000__x0000_</stp>
        <tr r="Z134" s="13"/>
      </tp>
      <tp t="e">
        <v>#N/A</v>
        <stp/>
        <stp>##V3_BDPV12</stp>
        <stp>US912828LL24 Corp</stp>
        <stp>MATURITY</stp>
        <stp>[portefeuille USD.xlsm]treasuries!R167C26_x0000__x0000_</stp>
        <tr r="Z167" s="13"/>
      </tp>
      <tp t="e">
        <v>#N/A</v>
        <stp/>
        <stp>##V3_BDPV12</stp>
        <stp>US912828KQ20 Corp</stp>
        <stp>MATURITY</stp>
        <stp>[portefeuille USD.xlsm]treasuries!R227C26_x0000__x0000_</stp>
        <tr r="Z227" s="13"/>
      </tp>
      <tp t="e">
        <v>#N/A</v>
        <stp/>
        <stp>##V3_BDPV12</stp>
        <stp>US912828QS22 Corp</stp>
        <stp>ISSUE_DT</stp>
        <stp>[portefeuille USD.xlsm]treasuries!R108C22_x0000__x0000_</stp>
        <tr r="V108" s="13"/>
      </tp>
      <tp t="e">
        <v>#N/A</v>
        <stp/>
        <stp>##V3_BDPV12</stp>
        <stp>US912828LZ10 Corp</stp>
        <stp>MATURITY</stp>
        <stp>[portefeuille USD.xlsm]treasuries!R122C26_x0000__x0000_</stp>
        <tr r="Z122" s="13"/>
      </tp>
      <tp t="e">
        <v>#N/A</v>
        <stp/>
        <stp>##V3_BDPV12</stp>
        <stp>US912810QL52 Corp</stp>
        <stp>MATURITY</stp>
        <stp>[portefeuille USD.xlsm]treasuries!R280C26_x0000__x0000_</stp>
        <tr r="Z280" s="13"/>
      </tp>
      <tp t="e">
        <v>#N/A</v>
        <stp/>
        <stp>##V3_BDPV12</stp>
        <stp>US912828RY80 Corp</stp>
        <stp>MATURITY</stp>
        <stp>[portefeuille USD.xlsm]treasuries!R220C26_x0000__x0000_</stp>
        <tr r="Z220" s="13"/>
      </tp>
      <tp t="e">
        <v>#N/A</v>
        <stp/>
        <stp>##V3_BDPV12</stp>
        <stp>US912828RP73 Corp</stp>
        <stp>MATURITY</stp>
        <stp>[portefeuille USD.xlsm]treasuries!R216C26_x0000__x0000_</stp>
        <tr r="Z216" s="13"/>
      </tp>
      <tp t="e">
        <v>#N/A</v>
        <stp/>
        <stp>##V3_BDPV12</stp>
        <stp>US912828FQ84 Corp</stp>
        <stp>ISSUE_DT</stp>
        <stp>[portefeuille USD.xlsm]treasuries!R166C22_x0000__x0000_</stp>
        <tr r="V166" s="13"/>
      </tp>
      <tp t="e">
        <v>#N/A</v>
        <stp/>
        <stp>##V3_BDPV12</stp>
        <stp>US912828LZ10 Corp</stp>
        <stp>ISSUE_DT</stp>
        <stp>[portefeuille USD.xlsm]treasuries!R122C22_x0000__x0000_</stp>
        <tr r="V122" s="13"/>
      </tp>
      <tp t="e">
        <v>#N/A</v>
        <stp/>
        <stp>##V3_BDPV12</stp>
        <stp>US912828QS22 Corp</stp>
        <stp>MATURITY</stp>
        <stp>[portefeuille USD.xlsm]treasuries!R108C26_x0000__x0000_</stp>
        <tr r="Z108" s="13"/>
      </tp>
      <tp t="e">
        <v>#N/A</v>
        <stp/>
        <stp>##V3_BDPV12</stp>
        <stp>US912828KQ20 Corp</stp>
        <stp>ISSUE_DT</stp>
        <stp>[portefeuille USD.xlsm]treasuries!R227C22_x0000__x0000_</stp>
        <tr r="V227" s="13"/>
      </tp>
      <tp t="e">
        <v>#N/A</v>
        <stp/>
        <stp>##V3_BDPV12</stp>
        <stp>US912828LL24 Corp</stp>
        <stp>ISSUE_DT</stp>
        <stp>[portefeuille USD.xlsm]treasuries!R167C22_x0000__x0000_</stp>
        <tr r="V167" s="13"/>
      </tp>
      <tp t="e">
        <v>#N/A</v>
        <stp/>
        <stp>##V3_BDPV12</stp>
        <stp>US912828MZ01 Corp</stp>
        <stp>ISSUE_DT</stp>
        <stp>[portefeuille USD.xlsm]treasuries!R134C22_x0000__x0000_</stp>
        <tr r="V134" s="13"/>
      </tp>
      <tp t="e">
        <v>#N/A</v>
        <stp/>
        <stp>##V3_BDPV12</stp>
        <stp>US912828TA86 Corp</stp>
        <stp>AMT_OUTSTANDING</stp>
        <stp>[portefeuille USD.xlsm]treasuries!R110C28_x0000__x0000_</stp>
        <tr r="AB110" s="13"/>
      </tp>
      <tp t="e">
        <v>#N/A</v>
        <stp/>
        <stp>##V3_BDPV12</stp>
        <stp>US912828QB96 Corp</stp>
        <stp>AMT_OUTSTANDING</stp>
        <stp>[portefeuille USD.xlsm]treasuries!R206C28_x0000__x0000_</stp>
        <tr r="AB206" s="13"/>
      </tp>
      <tp t="e">
        <v>#N/A</v>
        <stp/>
        <stp>##V3_BDPV12</stp>
        <stp>US912828RB87 Corp</stp>
        <stp>AMT_OUTSTANDING</stp>
        <stp>[portefeuille USD.xlsm]treasuries!R114C28_x0000__x0000_</stp>
        <tr r="AB114" s="13"/>
      </tp>
      <tp t="e">
        <v>#N/A</v>
        <stp/>
        <stp>##V3_BDPV12</stp>
        <stp>US912828KN98 Corp</stp>
        <stp>AMT_OUTSTANDING</stp>
        <stp>[portefeuille USD.xlsm]treasuries!R102C28_x0000__x0000_</stp>
        <tr r="AB102" s="13"/>
      </tp>
      <tp t="e">
        <v>#N/A</v>
        <stp/>
        <stp>##V3_BDPV12</stp>
        <stp>US912810EG95 Corp</stp>
        <stp>AMT_OUTSTANDING</stp>
        <stp>[portefeuille USD.xlsm]treasuries!R236C28_x0000__x0000_</stp>
        <tr r="AB236" s="13"/>
      </tp>
      <tp t="e">
        <v>#N/A</v>
        <stp/>
        <stp>##V3_BDPV12</stp>
        <stp>US912810EC81 Corp</stp>
        <stp>AMT_OUTSTANDING</stp>
        <stp>[portefeuille USD.xlsm]treasuries!R222C28_x0000__x0000_</stp>
        <tr r="AB222" s="13"/>
      </tp>
      <tp t="e">
        <v>#N/A</v>
        <stp/>
        <stp>##V3_BDPV12</stp>
        <stp>US912810EG95 Govt</stp>
        <stp>YLD_YTM_ASK</stp>
        <stp>[portefeuille USD.xlsm]treasuries!R236C8_x0000__x0000_</stp>
        <tr r="H236" s="13"/>
      </tp>
      <tp t="e">
        <v>#N/A</v>
        <stp/>
        <stp>##V3_BDPV12</stp>
        <stp>US9127956H96 Corp</stp>
        <stp>CPN</stp>
        <stp>[portefeuille USD.xlsm]treasuries!R19C27_x0000__x0000_</stp>
        <tr r="AA19" s="13"/>
      </tp>
      <tp t="e">
        <v>#N/A</v>
        <stp/>
        <stp>##V3_BDPV12</stp>
        <stp>US912828QG83 Govt</stp>
        <stp>YLD_YTM_ASK</stp>
        <stp>[portefeuille USD.xlsm]treasuries!R207C8_x0000__x0000_</stp>
        <tr r="H207" s="13"/>
      </tp>
      <tp t="e">
        <v>#N/A</v>
        <stp/>
        <stp>##V3_BDPV12</stp>
        <stp>US912810FG86 Govt</stp>
        <stp>YLD_YTM_ASK</stp>
        <stp>[portefeuille USD.xlsm]treasuries!R264C8_x0000__x0000_</stp>
        <tr r="H264" s="13"/>
      </tp>
      <tp t="e">
        <v>#N/A</v>
        <stp/>
        <stp>##V3_BDPV12</stp>
        <stp>US912828MD98 Govt</stp>
        <stp>YLD_YTM_ASK</stp>
        <stp>[portefeuille USD.xlsm]treasuries!R178C8_x0000__x0000_</stp>
        <tr r="H178" s="13"/>
      </tp>
      <tp t="e">
        <v>#N/A</v>
        <stp/>
        <stp>##V3_BDPV12</stp>
        <stp>US9127956K26 Corp</stp>
        <stp>CPN</stp>
        <stp>[portefeuille USD.xlsm]treasuries!R25C27_x0000__x0000_</stp>
        <tr r="AA25" s="13"/>
      </tp>
      <tp t="e">
        <v>#N/A</v>
        <stp/>
        <stp>##V3_BDPV12</stp>
        <stp>US912828MB33 Corp</stp>
        <stp>CPN</stp>
        <stp>[portefeuille USD.xlsm]treasuries!R42C27_x0000__x0000_</stp>
        <tr r="AA42" s="13"/>
      </tp>
      <tp t="e">
        <v>#N/A</v>
        <stp/>
        <stp>##V3_BDPV12</stp>
        <stp>US912828RN26 Corp</stp>
        <stp>CPN</stp>
        <stp>[portefeuille USD.xlsm]treasuries!R82C27_x0000__x0000_</stp>
        <tr r="AA82" s="13"/>
      </tp>
      <tp t="e">
        <v>#N/A</v>
        <stp/>
        <stp>##V3_BDPV12</stp>
        <stp>US912828LD08 Govt</stp>
        <stp>YLD_YTM_ASK</stp>
        <stp>[portefeuille USD.xlsm]treasuries!R165C8_x0000__x0000_</stp>
        <tr r="H165" s="13"/>
      </tp>
      <tp t="e">
        <v>#N/A</v>
        <stp/>
        <stp>##V3_BDPV12</stp>
        <stp>US12802NAB01 Corp</stp>
        <stp>FIRST_CPN_DT</stp>
        <stp>[portefeuille USD.xlsm]SSA!R101C23_x0000__x0000_</stp>
        <tr r="W101" s="16"/>
      </tp>
      <tp t="e">
        <v>#N/A</v>
        <stp/>
        <stp>##V3_BDPV12</stp>
        <stp>US12802DAB29 Corp</stp>
        <stp>FIRST_CPN_DT</stp>
        <stp>[portefeuille USD.xlsm]SSA!R102C23_x0000__x0000_</stp>
        <tr r="W102" s="16"/>
      </tp>
      <tp t="e">
        <v>#N/A</v>
        <stp/>
        <stp>##V3_BDPV12</stp>
        <stp>EI265078 Corp Corp</stp>
        <stp>FIRST_CPN_DT</stp>
        <stp>[portefeuille USD.xlsm]SSA!R144C23_x0000_2</stp>
        <tr r="W144" s="16"/>
      </tp>
      <tp t="e">
        <v>#N/A</v>
        <stp/>
        <stp>##V3_BDPV12</stp>
        <stp>EG524914 Corp Corp</stp>
        <stp>FIRST_CPN_DT</stp>
        <stp>[portefeuille USD.xlsm]SSA!R133C23_x0000_2</stp>
        <tr r="W133" s="16"/>
      </tp>
      <tp t="e">
        <v>#N/A</v>
        <stp/>
        <stp>##V3_BDPV12</stp>
        <stp>EH531108 Corp Corp</stp>
        <stp>FIRST_CPN_DT</stp>
        <stp>[portefeuille USD.xlsm]SSA!R143C23_x0000_2</stp>
        <tr r="W143" s="16"/>
      </tp>
      <tp t="e">
        <v>#N/A</v>
        <stp/>
        <stp>##V3_BDPV12</stp>
        <stp>US912828QG83 Corp</stp>
        <stp>ISSUE_DT</stp>
        <stp>[portefeuille USD.xlsm]treasuries!R207C22_x0000__x0000_</stp>
        <tr r="V207" s="13"/>
      </tp>
      <tp t="e">
        <v>#N/A</v>
        <stp/>
        <stp>##V3_BDPV12</stp>
        <stp>US912828KY53 Corp</stp>
        <stp>MATURITY</stp>
        <stp>[portefeuille USD.xlsm]treasuries!R109C26_x0000__x0000_</stp>
        <tr r="Z109" s="13"/>
      </tp>
      <tp t="e">
        <v>#N/A</v>
        <stp/>
        <stp>##V3_BDPV12</stp>
        <stp>US912828RJ14 Corp</stp>
        <stp>ISSUE_DT</stp>
        <stp>[portefeuille USD.xlsm]treasuries!R170C22_x0000__x0000_</stp>
        <tr r="V170" s="13"/>
      </tp>
      <tp t="e">
        <v>#N/A</v>
        <stp/>
        <stp>##V3_BDPV12</stp>
        <stp>US912828NP10 Corp</stp>
        <stp>MATURITY</stp>
        <stp>[portefeuille USD.xlsm]treasuries!R139C26_x0000__x0000_</stp>
        <tr r="Z139" s="13"/>
      </tp>
      <tp t="e">
        <v>#N/A</v>
        <stp/>
        <stp>##V3_BDPV12</stp>
        <stp>US912810EE48 Corp</stp>
        <stp>MATURITY</stp>
        <stp>[portefeuille USD.xlsm]treasuries!R232C26_x0000__x0000_</stp>
        <tr r="Z232" s="13"/>
      </tp>
      <tp t="e">
        <v>#N/A</v>
        <stp/>
        <stp>##V3_BDPV12</stp>
        <stp>US912828ME71 Corp</stp>
        <stp>MATURITY</stp>
        <stp>[portefeuille USD.xlsm]treasuries!R124C26_x0000__x0000_</stp>
        <tr r="Z124" s="13"/>
      </tp>
      <tp t="e">
        <v>#N/A</v>
        <stp/>
        <stp>##V3_BDPV12</stp>
        <stp>US912828NV87 Corp</stp>
        <stp>MATURITY</stp>
        <stp>[portefeuille USD.xlsm]treasuries!R142C26_x0000__x0000_</stp>
        <tr r="Z142" s="13"/>
      </tp>
      <tp t="e">
        <v>#N/A</v>
        <stp/>
        <stp>##V3_BDPV12</stp>
        <stp>US912828JR22 Corp</stp>
        <stp>MATURITY</stp>
        <stp>[portefeuille USD.xlsm]treasuries!R217C26_x0000__x0000_</stp>
        <tr r="Z217" s="13"/>
      </tp>
      <tp t="e">
        <v>#N/A</v>
        <stp/>
        <stp>##V3_BDPV12</stp>
        <stp>US912828NP10 Corp</stp>
        <stp>ISSUE_DT</stp>
        <stp>[portefeuille USD.xlsm]treasuries!R139C22_x0000__x0000_</stp>
        <tr r="V139" s="13"/>
      </tp>
      <tp t="e">
        <v>#N/A</v>
        <stp/>
        <stp>##V3_BDPV12</stp>
        <stp>US912810EE48 Corp</stp>
        <stp>ISSUE_DT</stp>
        <stp>[portefeuille USD.xlsm]treasuries!R232C22_x0000__x0000_</stp>
        <tr r="V232" s="13"/>
      </tp>
      <tp t="e">
        <v>#N/A</v>
        <stp/>
        <stp>##V3_BDPV12</stp>
        <stp>US912828RJ14 Corp</stp>
        <stp>MATURITY</stp>
        <stp>[portefeuille USD.xlsm]treasuries!R170C26_x0000__x0000_</stp>
        <tr r="Z170" s="13"/>
      </tp>
      <tp t="e">
        <v>#N/A</v>
        <stp/>
        <stp>##V3_BDPV12</stp>
        <stp>US912828KY53 Corp</stp>
        <stp>ISSUE_DT</stp>
        <stp>[portefeuille USD.xlsm]treasuries!R109C22_x0000__x0000_</stp>
        <tr r="V109" s="13"/>
      </tp>
      <tp t="e">
        <v>#N/A</v>
        <stp/>
        <stp>##V3_BDPV12</stp>
        <stp>US912828QG83 Corp</stp>
        <stp>MATURITY</stp>
        <stp>[portefeuille USD.xlsm]treasuries!R207C26_x0000__x0000_</stp>
        <tr r="Z207" s="13"/>
      </tp>
      <tp t="e">
        <v>#N/A</v>
        <stp/>
        <stp>##V3_BDPV12</stp>
        <stp>US912828JR22 Corp</stp>
        <stp>ISSUE_DT</stp>
        <stp>[portefeuille USD.xlsm]treasuries!R217C22_x0000__x0000_</stp>
        <tr r="V217" s="13"/>
      </tp>
      <tp t="e">
        <v>#N/A</v>
        <stp/>
        <stp>##V3_BDPV12</stp>
        <stp>US912828NV87 Corp</stp>
        <stp>ISSUE_DT</stp>
        <stp>[portefeuille USD.xlsm]treasuries!R142C22_x0000__x0000_</stp>
        <tr r="V142" s="13"/>
      </tp>
      <tp t="e">
        <v>#N/A</v>
        <stp/>
        <stp>##V3_BDPV12</stp>
        <stp>US912828ME71 Corp</stp>
        <stp>ISSUE_DT</stp>
        <stp>[portefeuille USD.xlsm]treasuries!R124C22_x0000__x0000_</stp>
        <tr r="V124" s="13"/>
      </tp>
      <tp t="e">
        <v>#N/A</v>
        <stp/>
        <stp>##V3_BDPV12</stp>
        <stp>US912828QG83 Corp</stp>
        <stp>AMT_OUTSTANDING</stp>
        <stp>[portefeuille USD.xlsm]treasuries!R207C28_x0000__x0000_</stp>
        <tr r="AB207" s="13"/>
      </tp>
      <tp t="e">
        <v>#N/A</v>
        <stp/>
        <stp>##V3_BDPV12</stp>
        <stp>US912828SJ05 Corp</stp>
        <stp>AMT_OUTSTANDING</stp>
        <stp>[portefeuille USD.xlsm]treasuries!R183C28_x0000__x0000_</stp>
        <tr r="AB183" s="13"/>
      </tp>
      <tp t="e">
        <v>#N/A</v>
        <stp/>
        <stp>##V3_BDPV12</stp>
        <stp>US912828KJ86 Corp</stp>
        <stp>AMT_OUTSTANDING</stp>
        <stp>[portefeuille USD.xlsm]treasuries!R100C28_x0000__x0000_</stp>
        <tr r="AB100" s="13"/>
      </tp>
      <tp t="e">
        <v>#N/A</v>
        <stp/>
        <stp>##V3_BDPV12</stp>
        <stp>US912828NG11 Corp</stp>
        <stp>AMT_OUTSTANDING</stp>
        <stp>[portefeuille USD.xlsm]treasuries!R191C28_x0000__x0000_</stp>
        <tr r="AB191" s="13"/>
      </tp>
      <tp t="e">
        <v>#N/A</v>
        <stp/>
        <stp>##V3_BDPV12</stp>
        <stp>US912828SS04 Corp</stp>
        <stp>AMT_OUTSTANDING</stp>
        <stp>[portefeuille USD.xlsm]treasuries!R186C28_x0000__x0000_</stp>
        <tr r="AB186" s="13"/>
      </tp>
      <tp t="e">
        <v>#N/A</v>
        <stp/>
        <stp>##V3_BDPV12</stp>
        <stp>US912828HA15 Corp</stp>
        <stp>AMT_OUTSTANDING</stp>
        <stp>[portefeuille USD.xlsm]treasuries!R196C28_x0000__x0000_</stp>
        <tr r="AB196" s="13"/>
      </tp>
      <tp t="e">
        <v>#N/A</v>
        <stp/>
        <stp>##V3_BDPV12</stp>
        <stp>US912828RT95 Corp</stp>
        <stp>AMT_OUTSTANDING</stp>
        <stp>[portefeuille USD.xlsm]treasuries!R219C28_x0000__x0000_</stp>
        <tr r="AB219" s="13"/>
      </tp>
      <tp t="e">
        <v>#N/A</v>
        <stp/>
        <stp>##V3_BDPV12</stp>
        <stp>US912828PF10 Corp</stp>
        <stp>AMT_OUTSTANDING</stp>
        <stp>[portefeuille USD.xlsm]treasuries!R199C28_x0000__x0000_</stp>
        <tr r="AB199" s="13"/>
      </tp>
      <tp t="e">
        <v>#N/A</v>
        <stp/>
        <stp>##V3_BDPV12</stp>
        <stp>US912828QY99 Corp</stp>
        <stp>AMT_OUTSTANDING</stp>
        <stp>[portefeuille USD.xlsm]treasuries!R212C28_x0000__x0000_</stp>
        <tr r="AB212" s="13"/>
      </tp>
      <tp t="e">
        <v>#N/A</v>
        <stp/>
        <stp>##V3_BDPV12</stp>
        <stp>US912828RA05 Corp</stp>
        <stp>CPN</stp>
        <stp>[portefeuille USD.xlsm]treasuries!R69C27_x0000__x0000_</stp>
        <tr r="AA69" s="13"/>
      </tp>
      <tp t="e">
        <v>#N/A</v>
        <stp/>
        <stp>##V3_BDPV12</stp>
        <stp>US912828SF82 Govt</stp>
        <stp>YLD_YTM_ASK</stp>
        <stp>[portefeuille USD.xlsm]treasuries!R247C8_x0000__x0000_</stp>
        <tr r="H247" s="13"/>
      </tp>
      <tp t="e">
        <v>#N/A</v>
        <stp/>
        <stp>##V3_BDPV12</stp>
        <stp>US9127956J52 Corp</stp>
        <stp>CPN</stp>
        <stp>[portefeuille USD.xlsm]treasuries!R22C27_x0000__x0000_</stp>
        <tr r="AA22" s="13"/>
      </tp>
      <tp t="e">
        <v>#N/A</v>
        <stp/>
        <stp>##V3_BDPV12</stp>
        <stp>US912810EF13 Govt</stp>
        <stp>YLD_YTM_ASK</stp>
        <stp>[portefeuille USD.xlsm]treasuries!R234C8_x0000__x0000_</stp>
        <tr r="H234" s="13"/>
      </tp>
      <tp t="e">
        <v>#N/A</v>
        <stp/>
        <stp>##V3_BDPV12</stp>
        <stp>US912828BA78 Corp</stp>
        <stp>CPN</stp>
        <stp>[portefeuille USD.xlsm]treasuries!R64C27_x0000__x0000_</stp>
        <tr r="AA64" s="13"/>
      </tp>
      <tp t="e">
        <v>#N/A</v>
        <stp/>
        <stp>##V3_BDPV12</stp>
        <stp>US912828PE45 Govt</stp>
        <stp>YLD_YTM_ASK</stp>
        <stp>[portefeuille USD.xlsm]treasuries!R144C8_x0000__x0000_</stp>
        <tr r="H144" s="13"/>
      </tp>
      <tp t="e">
        <v>#N/A</v>
        <stp/>
        <stp>##V3_BDPV12</stp>
        <stp>US912828SE18 Govt</stp>
        <stp>YLD_YTM_ASK</stp>
        <stp>[portefeuille USD.xlsm]treasuries!R129C8_x0000__x0000_</stp>
        <tr r="H129" s="13"/>
      </tp>
      <tp t="e">
        <v>#N/A</v>
        <stp/>
        <stp>##V3_BDPV12</stp>
        <stp>US912828EE63 Govt</stp>
        <stp>YLD_YTM_ASK</stp>
        <stp>[portefeuille USD.xlsm]treasuries!R140C8_x0000__x0000_</stp>
        <tr r="H140" s="13"/>
      </tp>
      <tp t="e">
        <v>#N/A</v>
        <stp/>
        <stp>##V3_BDPV12</stp>
        <stp>US912828HE37 Corp</stp>
        <stp>CPN</stp>
        <stp>[portefeuille USD.xlsm]treasuries!R23C27_x0000__x0000_</stp>
        <tr r="AA23" s="13"/>
      </tp>
      <tp t="e">
        <v>#N/A</v>
        <stp/>
        <stp>##V3_BDPV12</stp>
        <stp>US912810FF04 Govt</stp>
        <stp>YLD_YTM_ASK</stp>
        <stp>[portefeuille USD.xlsm]treasuries!R263C8_x0000__x0000_</stp>
        <tr r="H263" s="13"/>
      </tp>
      <tp t="e">
        <v>#N/A</v>
        <stp/>
        <stp>##V3_BDPV12</stp>
        <stp>US912828ME71 Govt</stp>
        <stp>YLD_YTM_ASK</stp>
        <stp>[portefeuille USD.xlsm]treasuries!R124C8_x0000__x0000_</stp>
        <tr r="H124" s="13"/>
      </tp>
      <tp t="e">
        <v>#N/A</v>
        <stp/>
        <stp>##V3_BDPV12</stp>
        <stp>US912828PD61 Corp</stp>
        <stp>CPN</stp>
        <stp>[portefeuille USD.xlsm]treasuries!R31C27_x0000__x0000_</stp>
        <tr r="AA31" s="13"/>
      </tp>
      <tp t="e">
        <v>#N/A</v>
        <stp/>
        <stp>##V3_BDPV12</stp>
        <stp>US912828RS13 Corp</stp>
        <stp>INT_ACC_DT</stp>
        <stp>[portefeuille USD.xlsm]treasuries!R86C23_x0000__x0000_</stp>
        <tr r="W86" s="13"/>
      </tp>
      <tp t="e">
        <v>#N/A</v>
        <stp/>
        <stp>##V3_BDPV12</stp>
        <stp>US912828RW25 Corp</stp>
        <stp>INT_ACC_DT</stp>
        <stp>[portefeuille USD.xlsm]treasuries!R89C23_x0000__x0000_</stp>
        <tr r="W89" s="13"/>
      </tp>
      <tp t="e">
        <v>#N/A</v>
        <stp/>
        <stp>##V3_BDPV12</stp>
        <stp>US912828SG65 Corp</stp>
        <stp>INT_ACC_DT</stp>
        <stp>[portefeuille USD.xlsm]treasuries!R96C23_x0000__x0000_</stp>
        <tr r="W96" s="13"/>
      </tp>
      <tp t="e">
        <v>#N/A</v>
        <stp/>
        <stp>##V3_BDPV12</stp>
        <stp>US912828SB78 Corp</stp>
        <stp>INT_ACC_DT</stp>
        <stp>[portefeuille USD.xlsm]treasuries!R93C23_x0000__x0000_</stp>
        <tr r="W93" s="13"/>
      </tp>
      <tp t="e">
        <v>#N/A</v>
        <stp/>
        <stp>##V3_BDPV12</stp>
        <stp>US912828SL50 Corp</stp>
        <stp>INT_ACC_DT</stp>
        <stp>[portefeuille USD.xlsm]treasuries!R99C23_x0000__x0000_</stp>
        <tr r="W99" s="13"/>
      </tp>
      <tp t="e">
        <v>#N/A</v>
        <stp/>
        <stp>##V3_BDPV12</stp>
        <stp>US912828RN26 Corp</stp>
        <stp>INT_ACC_DT</stp>
        <stp>[portefeuille USD.xlsm]treasuries!R82C23_x0000__x0000_</stp>
        <tr r="W82" s="13"/>
      </tp>
      <tp t="e">
        <v>#N/A</v>
        <stp/>
        <stp>##V3_BDPV12</stp>
        <stp>EI472618 Corp Corp</stp>
        <stp>FIRST_CPN_DT</stp>
        <stp>[portefeuille USD.xlsm]SSA!R139C23_x0000_2</stp>
        <tr r="W139" s="16"/>
      </tp>
      <tp t="e">
        <v>#N/A</v>
        <stp/>
        <stp>##V3_BDPV12</stp>
        <stp>USN9638CAY59 Corp</stp>
        <stp>DAY_CNT_DES</stp>
        <stp>[portefeuille USD.xlsm]SSA!R12C29_x0000__x0000_</stp>
        <tr r="AC12" s="16"/>
      </tp>
      <tp t="e">
        <v>#N/A</v>
        <stp/>
        <stp>##V3_BDPV12</stp>
        <stp>US912828QF01 Corp</stp>
        <stp>ISSUE_DT</stp>
        <stp>[portefeuille USD.xlsm]treasuries!R156C22_x0000__x0000_</stp>
        <tr r="V156" s="13"/>
      </tp>
      <tp t="e">
        <v>#N/A</v>
        <stp/>
        <stp>##V3_BDPV12</stp>
        <stp>US912810DZ85 Corp</stp>
        <stp>MATURITY</stp>
        <stp>[portefeuille USD.xlsm]treasuries!R195C26_x0000__x0000_</stp>
        <tr r="Z195" s="13"/>
      </tp>
      <tp t="e">
        <v>#N/A</v>
        <stp/>
        <stp>##V3_BDPV12</stp>
        <stp>US912810EK08 Corp</stp>
        <stp>MATURITY</stp>
        <stp>[portefeuille USD.xlsm]treasuries!R244C26_x0000__x0000_</stp>
        <tr r="Z244" s="13"/>
      </tp>
      <tp t="e">
        <v>#N/A</v>
        <stp/>
        <stp>##V3_BDPV12</stp>
        <stp>US912810EX29 Corp</stp>
        <stp>MATURITY</stp>
        <stp>[portefeuille USD.xlsm]treasuries!R257C26_x0000__x0000_</stp>
        <tr r="Z257" s="13"/>
      </tp>
      <tp t="e">
        <v>#N/A</v>
        <stp/>
        <stp>##V3_BDPV12</stp>
        <stp>US912828ST86 Corp</stp>
        <stp>ISSUE_DT</stp>
        <stp>[portefeuille USD.xlsm]treasuries!R226C22_x0000__x0000_</stp>
        <tr r="V226" s="13"/>
      </tp>
      <tp t="e">
        <v>#N/A</v>
        <stp/>
        <stp>##V3_BDPV12</stp>
        <stp>US912828DV97 Corp</stp>
        <stp>MATURITY</stp>
        <stp>[portefeuille USD.xlsm]treasuries!R136C26_x0000__x0000_</stp>
        <tr r="Z136" s="13"/>
      </tp>
      <tp t="e">
        <v>#N/A</v>
        <stp/>
        <stp>##V3_BDPV12</stp>
        <stp>US912828RR30 Corp</stp>
        <stp>ISSUE_DT</stp>
        <stp>[portefeuille USD.xlsm]treasuries!R246C22_x0000__x0000_</stp>
        <tr r="V246" s="13"/>
      </tp>
      <tp t="e">
        <v>#N/A</v>
        <stp/>
        <stp>##V3_BDPV12</stp>
        <stp>US912828RQ56 Corp</stp>
        <stp>ISSUE_DT</stp>
        <stp>[portefeuille USD.xlsm]treasuries!R121C22_x0000__x0000_</stp>
        <tr r="V121" s="13"/>
      </tp>
      <tp t="e">
        <v>#N/A</v>
        <stp/>
        <stp>##V3_BDPV12</stp>
        <stp>US912828PT14 Corp</stp>
        <stp>ISSUE_DT</stp>
        <stp>[portefeuille USD.xlsm]treasuries!R203C22_x0000__x0000_</stp>
        <tr r="V203" s="13"/>
      </tp>
      <tp t="e">
        <v>#N/A</v>
        <stp/>
        <stp>##V3_BDPV12</stp>
        <stp>US912828EW61 Corp</stp>
        <stp>MATURITY</stp>
        <stp>[portefeuille USD.xlsm]treasuries!R151C26_x0000__x0000_</stp>
        <tr r="Z151" s="13"/>
      </tp>
      <tp t="e">
        <v>#N/A</v>
        <stp/>
        <stp>##V3_BDPV12</stp>
        <stp>US912828RM43 Corp</stp>
        <stp>ISSUE_DT</stp>
        <stp>[portefeuille USD.xlsm]treasuries!R171C22_x0000__x0000_</stp>
        <tr r="V171" s="13"/>
      </tp>
      <tp t="e">
        <v>#N/A</v>
        <stp/>
        <stp>##V3_BDPV12</stp>
        <stp>US912810EH78 Corp</stp>
        <stp>MATURITY</stp>
        <stp>[portefeuille USD.xlsm]treasuries!R240C26_x0000__x0000_</stp>
        <tr r="Z240" s="13"/>
      </tp>
      <tp t="e">
        <v>#N/A</v>
        <stp/>
        <stp>##V3_BDPV12</stp>
        <stp>US912828SK77 Corp</stp>
        <stp>ISSUE_DT</stp>
        <stp>[portefeuille USD.xlsm]treasuries!R131C22_x0000__x0000_</stp>
        <tr r="V131" s="13"/>
      </tp>
      <tp t="e">
        <v>#N/A</v>
        <stp/>
        <stp>##V3_BDPV12</stp>
        <stp>US912828PN44 Corp</stp>
        <stp>ISSUE_DT</stp>
        <stp>[portefeuille USD.xlsm]treasuries!R202C22_x0000__x0000_</stp>
        <tr r="V202" s="13"/>
      </tp>
      <tp t="e">
        <v>#N/A</v>
        <stp/>
        <stp>##V3_BDPV12</stp>
        <stp>US912828QQ65 Corp</stp>
        <stp>ISSUE_DT</stp>
        <stp>[portefeuille USD.xlsm]treasuries!R210C22_x0000__x0000_</stp>
        <tr r="V210" s="13"/>
      </tp>
      <tp t="e">
        <v>#N/A</v>
        <stp/>
        <stp>##V3_BDPV12</stp>
        <stp>US912828QP82 Corp</stp>
        <stp>ISSUE_DT</stp>
        <stp>[portefeuille USD.xlsm]treasuries!R160C22_x0000__x0000_</stp>
        <tr r="V160" s="13"/>
      </tp>
      <tp t="e">
        <v>#N/A</v>
        <stp/>
        <stp>##V3_BDPV12</stp>
        <stp>US912828RC60 Corp</stp>
        <stp>ISSUE_DT</stp>
        <stp>[portefeuille USD.xlsm]treasuries!R243C22_x0000__x0000_</stp>
        <tr r="V243" s="13"/>
      </tp>
      <tp t="e">
        <v>#N/A</v>
        <stp/>
        <stp>##V3_BDPV12</stp>
        <stp>US912828QT05 Corp</stp>
        <stp>ISSUE_DT</stp>
        <stp>[portefeuille USD.xlsm]treasuries!R211C22_x0000__x0000_</stp>
        <tr r="V211" s="13"/>
      </tp>
      <tp t="e">
        <v>#N/A</v>
        <stp/>
        <stp>##V3_BDPV12</stp>
        <stp>US912828RT95 Corp</stp>
        <stp>ISSUE_DT</stp>
        <stp>[portefeuille USD.xlsm]treasuries!R219C22_x0000__x0000_</stp>
        <tr r="V219" s="13"/>
      </tp>
      <tp t="e">
        <v>#N/A</v>
        <stp/>
        <stp>##V3_BDPV12</stp>
        <stp>US912828LU23 Corp</stp>
        <stp>MATURITY</stp>
        <stp>[portefeuille USD.xlsm]treasuries!R172C26_x0000__x0000_</stp>
        <tr r="Z172" s="13"/>
      </tp>
      <tp t="e">
        <v>#N/A</v>
        <stp/>
        <stp>##V3_BDPV12</stp>
        <stp>US912828LC25 Corp</stp>
        <stp>MATURITY</stp>
        <stp>[portefeuille USD.xlsm]treasuries!R112C26_x0000__x0000_</stp>
        <tr r="Z112" s="13"/>
      </tp>
      <tp t="e">
        <v>#N/A</v>
        <stp/>
        <stp>##V3_BDPV12</stp>
        <stp>US912828PM60 Corp</stp>
        <stp>ISSUE_DT</stp>
        <stp>[portefeuille USD.xlsm]treasuries!R148C22_x0000__x0000_</stp>
        <tr r="V148" s="13"/>
      </tp>
      <tp t="e">
        <v>#N/A</v>
        <stp/>
        <stp>##V3_BDPV12</stp>
        <stp>US912828QT05 Corp</stp>
        <stp>MATURITY</stp>
        <stp>[portefeuille USD.xlsm]treasuries!R211C26_x0000__x0000_</stp>
        <tr r="Z211" s="13"/>
      </tp>
      <tp t="e">
        <v>#N/A</v>
        <stp/>
        <stp>##V3_BDPV12</stp>
        <stp>US912828QP82 Corp</stp>
        <stp>MATURITY</stp>
        <stp>[portefeuille USD.xlsm]treasuries!R160C26_x0000__x0000_</stp>
        <tr r="Z160" s="13"/>
      </tp>
      <tp t="e">
        <v>#N/A</v>
        <stp/>
        <stp>##V3_BDPV12</stp>
        <stp>US912828QQ65 Corp</stp>
        <stp>MATURITY</stp>
        <stp>[portefeuille USD.xlsm]treasuries!R210C26_x0000__x0000_</stp>
        <tr r="Z210" s="13"/>
      </tp>
      <tp t="e">
        <v>#N/A</v>
        <stp/>
        <stp>##V3_BDPV12</stp>
        <stp>US912828RC60 Corp</stp>
        <stp>MATURITY</stp>
        <stp>[portefeuille USD.xlsm]treasuries!R243C26_x0000__x0000_</stp>
        <tr r="Z243" s="13"/>
      </tp>
      <tp t="e">
        <v>#N/A</v>
        <stp/>
        <stp>##V3_BDPV12</stp>
        <stp>US912828PN44 Corp</stp>
        <stp>MATURITY</stp>
        <stp>[portefeuille USD.xlsm]treasuries!R202C26_x0000__x0000_</stp>
        <tr r="Z202" s="13"/>
      </tp>
      <tp t="e">
        <v>#N/A</v>
        <stp/>
        <stp>##V3_BDPV12</stp>
        <stp>US912828SK77 Corp</stp>
        <stp>MATURITY</stp>
        <stp>[portefeuille USD.xlsm]treasuries!R131C26_x0000__x0000_</stp>
        <tr r="Z131" s="13"/>
      </tp>
      <tp t="e">
        <v>#N/A</v>
        <stp/>
        <stp>##V3_BDPV12</stp>
        <stp>US912810EH78 Corp</stp>
        <stp>ISSUE_DT</stp>
        <stp>[portefeuille USD.xlsm]treasuries!R240C22_x0000__x0000_</stp>
        <tr r="V240" s="13"/>
      </tp>
      <tp t="e">
        <v>#N/A</v>
        <stp/>
        <stp>##V3_BDPV12</stp>
        <stp>US912828EW61 Corp</stp>
        <stp>ISSUE_DT</stp>
        <stp>[portefeuille USD.xlsm]treasuries!R151C22_x0000__x0000_</stp>
        <tr r="V151" s="13"/>
      </tp>
      <tp t="e">
        <v>#N/A</v>
        <stp/>
        <stp>##V3_BDPV12</stp>
        <stp>US912828PT14 Corp</stp>
        <stp>MATURITY</stp>
        <stp>[portefeuille USD.xlsm]treasuries!R203C26_x0000__x0000_</stp>
        <tr r="Z203" s="13"/>
      </tp>
      <tp t="e">
        <v>#N/A</v>
        <stp/>
        <stp>##V3_BDPV12</stp>
        <stp>US912828RQ56 Corp</stp>
        <stp>MATURITY</stp>
        <stp>[portefeuille USD.xlsm]treasuries!R121C26_x0000__x0000_</stp>
        <tr r="Z121" s="13"/>
      </tp>
      <tp t="e">
        <v>#N/A</v>
        <stp/>
        <stp>##V3_BDPV12</stp>
        <stp>US912828RM43 Corp</stp>
        <stp>MATURITY</stp>
        <stp>[portefeuille USD.xlsm]treasuries!R171C26_x0000__x0000_</stp>
        <tr r="Z171" s="13"/>
      </tp>
      <tp t="e">
        <v>#N/A</v>
        <stp/>
        <stp>##V3_BDPV12</stp>
        <stp>US912828RR30 Corp</stp>
        <stp>MATURITY</stp>
        <stp>[portefeuille USD.xlsm]treasuries!R246C26_x0000__x0000_</stp>
        <tr r="Z246" s="13"/>
      </tp>
      <tp t="e">
        <v>#N/A</v>
        <stp/>
        <stp>##V3_BDPV12</stp>
        <stp>US912828DV97 Corp</stp>
        <stp>ISSUE_DT</stp>
        <stp>[portefeuille USD.xlsm]treasuries!R136C22_x0000__x0000_</stp>
        <tr r="V136" s="13"/>
      </tp>
      <tp t="e">
        <v>#N/A</v>
        <stp/>
        <stp>##V3_BDPV12</stp>
        <stp>US912828ST86 Corp</stp>
        <stp>MATURITY</stp>
        <stp>[portefeuille USD.xlsm]treasuries!R226C26_x0000__x0000_</stp>
        <tr r="Z226" s="13"/>
      </tp>
      <tp t="e">
        <v>#N/A</v>
        <stp/>
        <stp>##V3_BDPV12</stp>
        <stp>US912810EX29 Corp</stp>
        <stp>ISSUE_DT</stp>
        <stp>[portefeuille USD.xlsm]treasuries!R257C22_x0000__x0000_</stp>
        <tr r="V257" s="13"/>
      </tp>
      <tp t="e">
        <v>#N/A</v>
        <stp/>
        <stp>##V3_BDPV12</stp>
        <stp>US912810DZ85 Corp</stp>
        <stp>ISSUE_DT</stp>
        <stp>[portefeuille USD.xlsm]treasuries!R195C22_x0000__x0000_</stp>
        <tr r="V195" s="13"/>
      </tp>
      <tp t="e">
        <v>#N/A</v>
        <stp/>
        <stp>##V3_BDPV12</stp>
        <stp>US912810EK08 Corp</stp>
        <stp>ISSUE_DT</stp>
        <stp>[portefeuille USD.xlsm]treasuries!R244C22_x0000__x0000_</stp>
        <tr r="V244" s="13"/>
      </tp>
      <tp t="e">
        <v>#N/A</v>
        <stp/>
        <stp>##V3_BDPV12</stp>
        <stp>US912828QF01 Corp</stp>
        <stp>MATURITY</stp>
        <stp>[portefeuille USD.xlsm]treasuries!R156C26_x0000__x0000_</stp>
        <tr r="Z156" s="13"/>
      </tp>
      <tp t="e">
        <v>#N/A</v>
        <stp/>
        <stp>##V3_BDPV12</stp>
        <stp>US912828PM60 Corp</stp>
        <stp>MATURITY</stp>
        <stp>[portefeuille USD.xlsm]treasuries!R148C26_x0000__x0000_</stp>
        <tr r="Z148" s="13"/>
      </tp>
      <tp t="e">
        <v>#N/A</v>
        <stp/>
        <stp>##V3_BDPV12</stp>
        <stp>US912828LU23 Corp</stp>
        <stp>ISSUE_DT</stp>
        <stp>[portefeuille USD.xlsm]treasuries!R172C22_x0000__x0000_</stp>
        <tr r="V172" s="13"/>
      </tp>
      <tp t="e">
        <v>#N/A</v>
        <stp/>
        <stp>##V3_BDPV12</stp>
        <stp>US912828LC25 Corp</stp>
        <stp>ISSUE_DT</stp>
        <stp>[portefeuille USD.xlsm]treasuries!R112C22_x0000__x0000_</stp>
        <tr r="V112" s="13"/>
      </tp>
      <tp t="e">
        <v>#N/A</v>
        <stp/>
        <stp>##V3_BDPV12</stp>
        <stp>US912828RT95 Corp</stp>
        <stp>MATURITY</stp>
        <stp>[portefeuille USD.xlsm]treasuries!R219C26_x0000__x0000_</stp>
        <tr r="Z219" s="13"/>
      </tp>
      <tp t="e">
        <v>#N/A</v>
        <stp/>
        <stp>##V3_BDPV12</stp>
        <stp>US912828KW97 Corp</stp>
        <stp>AMT_OUTSTANDING</stp>
        <stp>[portefeuille USD.xlsm]treasuries!R161C28_x0000__x0000_</stp>
        <tr r="AB161" s="13"/>
      </tp>
      <tp t="e">
        <v>#N/A</v>
        <stp/>
        <stp>##V3_BDPV12</stp>
        <stp>US912828NW60 Corp</stp>
        <stp>AMT_OUTSTANDING</stp>
        <stp>[portefeuille USD.xlsm]treasuries!R197C28_x0000__x0000_</stp>
        <tr r="AB197" s="13"/>
      </tp>
      <tp t="e">
        <v>#N/A</v>
        <stp/>
        <stp>##V3_BDPV12</stp>
        <stp>US912828GH76 Corp</stp>
        <stp>AMT_OUTSTANDING</stp>
        <stp>[portefeuille USD.xlsm]treasuries!R181C28_x0000__x0000_</stp>
        <tr r="AB181" s="13"/>
      </tp>
      <tp t="e">
        <v>#N/A</v>
        <stp/>
        <stp>##V3_BDPV12</stp>
        <stp>US912810EP94 Corp</stp>
        <stp>AMT_OUTSTANDING</stp>
        <stp>[portefeuille USD.xlsm]treasuries!R251C28_x0000__x0000_</stp>
        <tr r="AB251" s="13"/>
      </tp>
      <tp t="e">
        <v>#N/A</v>
        <stp/>
        <stp>##V3_BDPV12</stp>
        <stp>US912810EL80 Corp</stp>
        <stp>AMT_OUTSTANDING</stp>
        <stp>[portefeuille USD.xlsm]treasuries!R245C28_x0000__x0000_</stp>
        <tr r="AB245" s="13"/>
      </tp>
      <tp t="e">
        <v>#N/A</v>
        <stp/>
        <stp>##V3_BDPV12</stp>
        <stp>US912828RF91 Corp</stp>
        <stp>AMT_OUTSTANDING</stp>
        <stp>[portefeuille USD.xlsm]treasuries!R168C28_x0000__x0000_</stp>
        <tr r="AB168" s="13"/>
      </tp>
      <tp t="e">
        <v>#N/A</v>
        <stp/>
        <stp>##V3_BDPV12</stp>
        <stp>US912828TB69 Corp</stp>
        <stp>AMT_OUTSTANDING</stp>
        <stp>[portefeuille USD.xlsm]treasuries!R193C28_x0000__x0000_</stp>
        <tr r="AB193" s="13"/>
      </tp>
      <tp t="e">
        <v>#N/A</v>
        <stp/>
        <stp>##V3_BDPV12</stp>
        <stp>US912810QQ40 Corp</stp>
        <stp>AMT_OUTSTANDING</stp>
        <stp>[portefeuille USD.xlsm]treasuries!R282C28_x0000__x0000_</stp>
        <tr r="AB282" s="13"/>
      </tp>
      <tp t="e">
        <v>#N/A</v>
        <stp/>
        <stp>##V3_BDPV12</stp>
        <stp>US912828RB87 Govt</stp>
        <stp>YLD_YTM_ASK</stp>
        <stp>[portefeuille USD.xlsm]treasuries!R114C8_x0000__x0000_</stp>
        <tr r="H114" s="13"/>
      </tp>
      <tp t="e">
        <v>#N/A</v>
        <stp/>
        <stp>##V3_BDPV12</stp>
        <stp>US912810QA97 Govt</stp>
        <stp>YLD_YTM_ASK</stp>
        <stp>[portefeuille USD.xlsm]treasuries!R273C8_x0000__x0000_</stp>
        <tr r="H273" s="13"/>
      </tp>
      <tp t="e">
        <v>#N/A</v>
        <stp/>
        <stp>##V3_BDPV12</stp>
        <stp>US9127955L18 Corp</stp>
        <stp>CPN</stp>
        <stp>[portefeuille USD.xlsm]treasuries!R34C27_x0000__x0000_</stp>
        <tr r="AA34" s="13"/>
      </tp>
      <tp t="e">
        <v>#N/A</v>
        <stp/>
        <stp>##V3_BDPV12</stp>
        <stp>US912828TB69 Govt</stp>
        <stp>YLD_YTM_ASK</stp>
        <stp>[portefeuille USD.xlsm]treasuries!R193C8_x0000__x0000_</stp>
        <tr r="H193" s="13"/>
      </tp>
      <tp t="e">
        <v>#N/A</v>
        <stp/>
        <stp>##V3_BDPV12</stp>
        <stp>US912810EA26 Govt</stp>
        <stp>YLD_YTM_ASK</stp>
        <stp>[portefeuille USD.xlsm]treasuries!R208C8_x0000__x0000_</stp>
        <tr r="H208" s="13"/>
      </tp>
      <tp t="e">
        <v>#N/A</v>
        <stp/>
        <stp>##V3_BDPV12</stp>
        <stp>US912810FA17 Govt</stp>
        <stp>YLD_YTM_ASK</stp>
        <stp>[portefeuille USD.xlsm]treasuries!R260C8_x0000__x0000_</stp>
        <tr r="H260" s="13"/>
      </tp>
      <tp t="e">
        <v>#N/A</v>
        <stp/>
        <stp>##V3_BDPV12</stp>
        <stp>US9127956M81 Corp</stp>
        <stp>CPN</stp>
        <stp>[portefeuille USD.xlsm]treasuries!R26C27_x0000__x0000_</stp>
        <tr r="AA26" s="13"/>
      </tp>
      <tp t="e">
        <v>#N/A</v>
        <stp/>
        <stp>##V3_BDPV12</stp>
        <stp>US912828JG66 Corp</stp>
        <stp>CPN</stp>
        <stp>[portefeuille USD.xlsm]treasuries!R72C27_x0000__x0000_</stp>
        <tr r="AA72" s="13"/>
      </tp>
      <tp t="e">
        <v>#N/A</v>
        <stp/>
        <stp>##V3_BDPV12</stp>
        <stp>US912828AJ96 Corp</stp>
        <stp>PENULTIMATE_CPN_DT</stp>
        <stp>[portefeuille USD.xlsm]treasuries!R11C25_x0000__x0000_</stp>
        <tr r="Y11" s="13"/>
      </tp>
      <tp t="e">
        <v>#N/A</v>
        <stp/>
        <stp>##V3_BDPV12</stp>
        <stp>EI954150 Corp Corp</stp>
        <stp>FIRST_CPN_DT</stp>
        <stp>[portefeuille USD.xlsm]SSA!R134C23_x0000_2</stp>
        <tr r="W134" s="16"/>
      </tp>
      <tp t="e">
        <v>#N/A</v>
        <stp/>
        <stp>##V3_BDPV12</stp>
        <stp>US912828HZ65 Corp</stp>
        <stp>MATURITY</stp>
        <stp>[portefeuille USD.xlsm]treasuries!R209C26_x0000__x0000_</stp>
        <tr r="Z209" s="13"/>
      </tp>
      <tp t="e">
        <v>#N/A</v>
        <stp/>
        <stp>##V3_BDPV12</stp>
        <stp>US912828SN17 Corp</stp>
        <stp>ISSUE_DT</stp>
        <stp>[portefeuille USD.xlsm]treasuries!R225C22_x0000__x0000_</stp>
        <tr r="V225" s="13"/>
      </tp>
      <tp t="e">
        <v>#N/A</v>
        <stp/>
        <stp>##V3_BDPV12</stp>
        <stp>US912828RG74 Corp</stp>
        <stp>ISSUE_DT</stp>
        <stp>[portefeuille USD.xlsm]treasuries!R116C22_x0000__x0000_</stp>
        <tr r="V116" s="13"/>
      </tp>
      <tp t="e">
        <v>#N/A</v>
        <stp/>
        <stp>##V3_BDPV12</stp>
        <stp>US912828MK32 Corp</stp>
        <stp>MATURITY</stp>
        <stp>[portefeuille USD.xlsm]treasuries!R179C26_x0000__x0000_</stp>
        <tr r="Z179" s="13"/>
      </tp>
      <tp t="e">
        <v>#N/A</v>
        <stp/>
        <stp>##V3_BDPV12</stp>
        <stp>US912828DC17 Corp</stp>
        <stp>MATURITY</stp>
        <stp>[portefeuille USD.xlsm]treasuries!R120C26_x0000__x0000_</stp>
        <tr r="Z120" s="13"/>
      </tp>
      <tp t="e">
        <v>#N/A</v>
        <stp/>
        <stp>##V3_BDPV12</stp>
        <stp>US912828LJ77 Corp</stp>
        <stp>MATURITY</stp>
        <stp>[portefeuille USD.xlsm]treasuries!R229C26_x0000__x0000_</stp>
        <tr r="Z229" s="13"/>
      </tp>
      <tp t="e">
        <v>#N/A</v>
        <stp/>
        <stp>##V3_BDPV12</stp>
        <stp>US912828NL06 Corp</stp>
        <stp>MATURITY</stp>
        <stp>[portefeuille USD.xlsm]treasuries!R138C26_x0000__x0000_</stp>
        <tr r="Z138" s="13"/>
      </tp>
      <tp t="e">
        <v>#N/A</v>
        <stp/>
        <stp>##V3_BDPV12</stp>
        <stp>US912828PK05 Corp</stp>
        <stp>ISSUE_DT</stp>
        <stp>[portefeuille USD.xlsm]treasuries!R201C22_x0000__x0000_</stp>
        <tr r="V201" s="13"/>
      </tp>
      <tp t="e">
        <v>#N/A</v>
        <stp/>
        <stp>##V3_BDPV12</stp>
        <stp>US912828KD17 Corp</stp>
        <stp>MATURITY</stp>
        <stp>[portefeuille USD.xlsm]treasuries!R223C26_x0000__x0000_</stp>
        <tr r="Z223" s="13"/>
      </tp>
      <tp t="e">
        <v>#N/A</v>
        <stp/>
        <stp>##V3_BDPV12</stp>
        <stp>US912828NZ91 Corp</stp>
        <stp>MATURITY</stp>
        <stp>[portefeuille USD.xlsm]treasuries!R143C26_x0000__x0000_</stp>
        <tr r="Z143" s="13"/>
      </tp>
      <tp t="e">
        <v>#N/A</v>
        <stp/>
        <stp>##V3_BDPV12</stp>
        <stp>US912828KV15 Corp</stp>
        <stp>MATURITY</stp>
        <stp>[portefeuille USD.xlsm]treasuries!R106C26_x0000__x0000_</stp>
        <tr r="Z106" s="13"/>
      </tp>
      <tp t="e">
        <v>#N/A</v>
        <stp/>
        <stp>##V3_BDPV12</stp>
        <stp>US912828PS31 Corp</stp>
        <stp>ISSUE_DT</stp>
        <stp>[portefeuille USD.xlsm]treasuries!R149C22_x0000__x0000_</stp>
        <tr r="V149" s="13"/>
      </tp>
      <tp t="e">
        <v>#N/A</v>
        <stp/>
        <stp>##V3_BDPV12</stp>
        <stp>US912828PX26 Corp</stp>
        <stp>ISSUE_DT</stp>
        <stp>[portefeuille USD.xlsm]treasuries!R239C22_x0000__x0000_</stp>
        <tr r="V239" s="13"/>
      </tp>
      <tp t="e">
        <v>#N/A</v>
        <stp/>
        <stp>##V3_BDPV12</stp>
        <stp>US912828FF20 Corp</stp>
        <stp>MATURITY</stp>
        <stp>[portefeuille USD.xlsm]treasuries!R159C26_x0000__x0000_</stp>
        <tr r="Z159" s="13"/>
      </tp>
      <tp t="e">
        <v>#N/A</v>
        <stp/>
        <stp>##V3_BDPV12</stp>
        <stp>US912828PK05 Corp</stp>
        <stp>MATURITY</stp>
        <stp>[portefeuille USD.xlsm]treasuries!R201C26_x0000__x0000_</stp>
        <tr r="Z201" s="13"/>
      </tp>
      <tp t="e">
        <v>#N/A</v>
        <stp/>
        <stp>##V3_BDPV12</stp>
        <stp>US912828NL06 Corp</stp>
        <stp>ISSUE_DT</stp>
        <stp>[portefeuille USD.xlsm]treasuries!R138C22_x0000__x0000_</stp>
        <tr r="V138" s="13"/>
      </tp>
      <tp t="e">
        <v>#N/A</v>
        <stp/>
        <stp>##V3_BDPV12</stp>
        <stp>US912828LJ77 Corp</stp>
        <stp>ISSUE_DT</stp>
        <stp>[portefeuille USD.xlsm]treasuries!R229C22_x0000__x0000_</stp>
        <tr r="V229" s="13"/>
      </tp>
      <tp t="e">
        <v>#N/A</v>
        <stp/>
        <stp>##V3_BDPV12</stp>
        <stp>US912828DC17 Corp</stp>
        <stp>ISSUE_DT</stp>
        <stp>[portefeuille USD.xlsm]treasuries!R120C22_x0000__x0000_</stp>
        <tr r="V120" s="13"/>
      </tp>
      <tp t="e">
        <v>#N/A</v>
        <stp/>
        <stp>##V3_BDPV12</stp>
        <stp>US912828MK32 Corp</stp>
        <stp>ISSUE_DT</stp>
        <stp>[portefeuille USD.xlsm]treasuries!R179C22_x0000__x0000_</stp>
        <tr r="V179" s="13"/>
      </tp>
      <tp t="e">
        <v>#N/A</v>
        <stp/>
        <stp>##V3_BDPV12</stp>
        <stp>US912828RG74 Corp</stp>
        <stp>MATURITY</stp>
        <stp>[portefeuille USD.xlsm]treasuries!R116C26_x0000__x0000_</stp>
        <tr r="Z116" s="13"/>
      </tp>
      <tp t="e">
        <v>#N/A</v>
        <stp/>
        <stp>##V3_BDPV12</stp>
        <stp>US912828HZ65 Corp</stp>
        <stp>ISSUE_DT</stp>
        <stp>[portefeuille USD.xlsm]treasuries!R209C22_x0000__x0000_</stp>
        <tr r="V209" s="13"/>
      </tp>
      <tp t="e">
        <v>#N/A</v>
        <stp/>
        <stp>##V3_BDPV12</stp>
        <stp>US912828SN17 Corp</stp>
        <stp>MATURITY</stp>
        <stp>[portefeuille USD.xlsm]treasuries!R225C26_x0000__x0000_</stp>
        <tr r="Z225" s="13"/>
      </tp>
      <tp t="e">
        <v>#N/A</v>
        <stp/>
        <stp>##V3_BDPV12</stp>
        <stp>US912828FF20 Corp</stp>
        <stp>ISSUE_DT</stp>
        <stp>[portefeuille USD.xlsm]treasuries!R159C22_x0000__x0000_</stp>
        <tr r="V159" s="13"/>
      </tp>
      <tp t="e">
        <v>#N/A</v>
        <stp/>
        <stp>##V3_BDPV12</stp>
        <stp>US912828PX26 Corp</stp>
        <stp>MATURITY</stp>
        <stp>[portefeuille USD.xlsm]treasuries!R239C26_x0000__x0000_</stp>
        <tr r="Z239" s="13"/>
      </tp>
      <tp t="e">
        <v>#N/A</v>
        <stp/>
        <stp>##V3_BDPV12</stp>
        <stp>US912828PS31 Corp</stp>
        <stp>MATURITY</stp>
        <stp>[portefeuille USD.xlsm]treasuries!R149C26_x0000__x0000_</stp>
        <tr r="Z149" s="13"/>
      </tp>
      <tp t="e">
        <v>#N/A</v>
        <stp/>
        <stp>##V3_BDPV12</stp>
        <stp>US912828KV15 Corp</stp>
        <stp>ISSUE_DT</stp>
        <stp>[portefeuille USD.xlsm]treasuries!R106C22_x0000__x0000_</stp>
        <tr r="V106" s="13"/>
      </tp>
      <tp t="e">
        <v>#N/A</v>
        <stp/>
        <stp>##V3_BDPV12</stp>
        <stp>US912828NZ91 Corp</stp>
        <stp>ISSUE_DT</stp>
        <stp>[portefeuille USD.xlsm]treasuries!R143C22_x0000__x0000_</stp>
        <tr r="V143" s="13"/>
      </tp>
      <tp t="e">
        <v>#N/A</v>
        <stp/>
        <stp>##V3_BDPV12</stp>
        <stp>US912828KD17 Corp</stp>
        <stp>ISSUE_DT</stp>
        <stp>[portefeuille USD.xlsm]treasuries!R223C22_x0000__x0000_</stp>
        <tr r="V223" s="13"/>
      </tp>
      <tp t="e">
        <v>#N/A</v>
        <stp/>
        <stp>##V3_BDPV12</stp>
        <stp>US912828MS67 Corp</stp>
        <stp>AMT_OUTSTANDING</stp>
        <stp>[portefeuille USD.xlsm]treasuries!R182C28_x0000__x0000_</stp>
        <tr r="AB182" s="13"/>
      </tp>
      <tp t="e">
        <v>#N/A</v>
        <stp/>
        <stp>##V3_BDPV12</stp>
        <stp>US912828MD98 Corp</stp>
        <stp>AMT_OUTSTANDING</stp>
        <stp>[portefeuille USD.xlsm]treasuries!R178C28_x0000__x0000_</stp>
        <tr r="AB178" s="13"/>
      </tp>
      <tp t="e">
        <v>#N/A</v>
        <stp/>
        <stp>##V3_BDPV12</stp>
        <stp>US912828SY71 Corp</stp>
        <stp>AMT_OUTSTANDING</stp>
        <stp>[portefeuille USD.xlsm]treasuries!R190C28_x0000__x0000_</stp>
        <tr r="AB190" s="13"/>
      </tp>
      <tp t="e">
        <v>#N/A</v>
        <stp/>
        <stp>##V3_BDPV12</stp>
        <stp>US912828NR75 Corp</stp>
        <stp>AMT_OUTSTANDING</stp>
        <stp>[portefeuille USD.xlsm]treasuries!R194C28_x0000__x0000_</stp>
        <tr r="AB194" s="13"/>
      </tp>
      <tp t="e">
        <v>#N/A</v>
        <stp/>
        <stp>##V3_BDPV12</stp>
        <stp>US912828QP82 Corp</stp>
        <stp>AMT_OUTSTANDING</stp>
        <stp>[portefeuille USD.xlsm]treasuries!R160C28_x0000__x0000_</stp>
        <tr r="AB160" s="13"/>
      </tp>
      <tp t="e">
        <v>#N/A</v>
        <stp/>
        <stp>##V3_BDPV12</stp>
        <stp>US912828FQ84 Corp</stp>
        <stp>AMT_OUTSTANDING</stp>
        <stp>[portefeuille USD.xlsm]treasuries!R166C28_x0000__x0000_</stp>
        <tr r="AB166" s="13"/>
      </tp>
      <tp t="e">
        <v>#N/A</v>
        <stp/>
        <stp>##V3_BDPV12</stp>
        <stp>US912810QU51 Corp</stp>
        <stp>AMT_OUTSTANDING</stp>
        <stp>[portefeuille USD.xlsm]treasuries!R285C28_x0000__x0000_</stp>
        <tr r="AB285" s="13"/>
      </tp>
      <tp t="e">
        <v>#N/A</v>
        <stp/>
        <stp>##V3_BDPV12</stp>
        <stp>US912810QL52 Corp</stp>
        <stp>AMT_OUTSTANDING</stp>
        <stp>[portefeuille USD.xlsm]treasuries!R280C28_x0000__x0000_</stp>
        <tr r="AB280" s="13"/>
      </tp>
      <tp t="e">
        <v>#N/A</v>
        <stp/>
        <stp>##V3_BDPV12</stp>
        <stp>US912828SC51 Govt</stp>
        <stp>YLD_YTM_ASK</stp>
        <stp>[portefeuille USD.xlsm]treasuries!R180C8_x0000__x0000_</stp>
        <tr r="H180" s="13"/>
      </tp>
      <tp t="e">
        <v>#N/A</v>
        <stp/>
        <stp>##V3_BDPV12</stp>
        <stp>US912828QH66 Corp</stp>
        <stp>CPN</stp>
        <stp>[portefeuille USD.xlsm]treasuries!R94C27_x0000__x0000_</stp>
        <tr r="AA94" s="13"/>
      </tp>
      <tp t="e">
        <v>#N/A</v>
        <stp/>
        <stp>##V3_BDPV12</stp>
        <stp>US912828DC17 Govt</stp>
        <stp>YLD_YTM_ASK</stp>
        <stp>[portefeuille USD.xlsm]treasuries!R120C8_x0000__x0000_</stp>
        <tr r="H120" s="13"/>
      </tp>
      <tp t="e">
        <v>#N/A</v>
        <stp/>
        <stp>##V3_BDPV12</stp>
        <stp>US912828LC25 Govt</stp>
        <stp>YLD_YTM_ASK</stp>
        <stp>[portefeuille USD.xlsm]treasuries!R112C8_x0000__x0000_</stp>
        <tr r="H112" s="13"/>
      </tp>
      <tp t="e">
        <v>#N/A</v>
        <stp/>
        <stp>##V3_BDPV12</stp>
        <stp>US912828QC79 Govt</stp>
        <stp>YLD_YTM_ASK</stp>
        <stp>[portefeuille USD.xlsm]treasuries!R101C8_x0000__x0000_</stp>
        <tr r="H101" s="13"/>
      </tp>
      <tp t="e">
        <v>#N/A</v>
        <stp/>
        <stp>##V3_BDPV12</stp>
        <stp>EI355035 Corp Corp</stp>
        <stp>FIRST_CPN_DT</stp>
        <stp>[portefeuille USD.xlsm]SSA!R132C23_x0000_2</stp>
        <tr r="W132" s="16"/>
      </tp>
      <tp t="e">
        <v>#N/A</v>
        <stp/>
        <stp>##V3_BDPV12</stp>
        <stp>US912828QB96 Corp</stp>
        <stp>ISSUE_DT</stp>
        <stp>[portefeuille USD.xlsm]treasuries!R206C22_x0000__x0000_</stp>
        <tr r="V206" s="13"/>
      </tp>
      <tp t="e">
        <v>#N/A</v>
        <stp/>
        <stp>##V3_BDPV12</stp>
        <stp>US912828RH57 Corp</stp>
        <stp>ISSUE_DT</stp>
        <stp>[portefeuille USD.xlsm]treasuries!R215C22_x0000__x0000_</stp>
        <tr r="V215" s="13"/>
      </tp>
      <tp t="e">
        <v>#N/A</v>
        <stp/>
        <stp>##V3_BDPV12</stp>
        <stp>US912828PJ32 Corp</stp>
        <stp>ISSUE_DT</stp>
        <stp>[portefeuille USD.xlsm]treasuries!R147C22_x0000__x0000_</stp>
        <tr r="V147" s="13"/>
      </tp>
      <tp t="e">
        <v>#N/A</v>
        <stp/>
        <stp>##V3_BDPV12</stp>
        <stp>US912828RB87 Corp</stp>
        <stp>ISSUE_DT</stp>
        <stp>[portefeuille USD.xlsm]treasuries!R114C22_x0000__x0000_</stp>
        <tr r="V114" s="13"/>
      </tp>
      <tp t="e">
        <v>#N/A</v>
        <stp/>
        <stp>##V3_BDPV12</stp>
        <stp>US912828RE27 Corp</stp>
        <stp>ISSUE_DT</stp>
        <stp>[portefeuille USD.xlsm]treasuries!R214C22_x0000__x0000_</stp>
        <tr r="V214" s="13"/>
      </tp>
      <tp t="e">
        <v>#N/A</v>
        <stp/>
        <stp>##V3_BDPV12</stp>
        <stp>US912828SW16 Corp</stp>
        <stp>ISSUE_DT</stp>
        <stp>[portefeuille USD.xlsm]treasuries!R107C22_x0000__x0000_</stp>
        <tr r="V107" s="13"/>
      </tp>
      <tp t="e">
        <v>#N/A</v>
        <stp/>
        <stp>##V3_BDPV12</stp>
        <stp>US912828EN62 Corp</stp>
        <stp>MATURITY</stp>
        <stp>[portefeuille USD.xlsm]treasuries!R146C26_x0000__x0000_</stp>
        <tr r="Z146" s="13"/>
      </tp>
      <tp t="e">
        <v>#N/A</v>
        <stp/>
        <stp>##V3_BDPV12</stp>
        <stp>US912828SF82 Corp</stp>
        <stp>ISSUE_DT</stp>
        <stp>[portefeuille USD.xlsm]treasuries!R247C22_x0000__x0000_</stp>
        <tr r="V247" s="13"/>
      </tp>
      <tp t="e">
        <v>#N/A</v>
        <stp/>
        <stp>##V3_BDPV12</stp>
        <stp>US912810QS06 Corp</stp>
        <stp>ISSUE_DT</stp>
        <stp>[portefeuille USD.xlsm]treasuries!R283C22_x0000__x0000_</stp>
        <tr r="V283" s="13"/>
      </tp>
      <tp t="e">
        <v>#N/A</v>
        <stp/>
        <stp>##V3_BDPV12</stp>
        <stp>US912828QJ23 Corp</stp>
        <stp>ISSUE_DT</stp>
        <stp>[portefeuille USD.xlsm]treasuries!R153C22_x0000__x0000_</stp>
        <tr r="V153" s="13"/>
      </tp>
      <tp t="e">
        <v>#N/A</v>
        <stp/>
        <stp>##V3_BDPV12</stp>
        <stp>US912828QU77 Corp</stp>
        <stp>ISSUE_DT</stp>
        <stp>[portefeuille USD.xlsm]treasuries!R111C22_x0000__x0000_</stp>
        <tr r="V111" s="13"/>
      </tp>
      <tp t="e">
        <v>#N/A</v>
        <stp/>
        <stp>##V3_BDPV12</stp>
        <stp>US912828KJ86 Corp</stp>
        <stp>MATURITY</stp>
        <stp>[portefeuille USD.xlsm]treasuries!R100C26_x0000__x0000_</stp>
        <tr r="Z100" s="13"/>
      </tp>
      <tp t="e">
        <v>#N/A</v>
        <stp/>
        <stp>##V3_BDPV12</stp>
        <stp>US912828KR03 Corp</stp>
        <stp>MATURITY</stp>
        <stp>[portefeuille USD.xlsm]treasuries!R157C26_x0000__x0000_</stp>
        <tr r="Z157" s="13"/>
      </tp>
      <tp t="e">
        <v>#N/A</v>
        <stp/>
        <stp>##V3_BDPV12</stp>
        <stp>US912828LY45 Corp</stp>
        <stp>MATURITY</stp>
        <stp>[portefeuille USD.xlsm]treasuries!R231C26_x0000__x0000_</stp>
        <tr r="Z231" s="13"/>
      </tp>
      <tp t="e">
        <v>#N/A</v>
        <stp/>
        <stp>##V3_BDPV12</stp>
        <stp>US912810FT08 Corp</stp>
        <stp>MATURITY</stp>
        <stp>[portefeuille USD.xlsm]treasuries!R268C26_x0000__x0000_</stp>
        <tr r="Z268" s="13"/>
      </tp>
      <tp t="e">
        <v>#N/A</v>
        <stp/>
        <stp>##V3_BDPV12</stp>
        <stp>US912810QK79 Corp</stp>
        <stp>ISSUE_DT</stp>
        <stp>[portefeuille USD.xlsm]treasuries!R279C22_x0000__x0000_</stp>
        <tr r="V279" s="13"/>
      </tp>
      <tp t="e">
        <v>#N/A</v>
        <stp/>
        <stp>##V3_BDPV12</stp>
        <stp>US912828QU77 Corp</stp>
        <stp>MATURITY</stp>
        <stp>[portefeuille USD.xlsm]treasuries!R111C26_x0000__x0000_</stp>
        <tr r="Z111" s="13"/>
      </tp>
      <tp t="e">
        <v>#N/A</v>
        <stp/>
        <stp>##V3_BDPV12</stp>
        <stp>US912810QS06 Corp</stp>
        <stp>MATURITY</stp>
        <stp>[portefeuille USD.xlsm]treasuries!R283C26_x0000__x0000_</stp>
        <tr r="Z283" s="13"/>
      </tp>
      <tp t="e">
        <v>#N/A</v>
        <stp/>
        <stp>##V3_BDPV12</stp>
        <stp>US912828QJ23 Corp</stp>
        <stp>MATURITY</stp>
        <stp>[portefeuille USD.xlsm]treasuries!R153C26_x0000__x0000_</stp>
        <tr r="Z153" s="13"/>
      </tp>
      <tp t="e">
        <v>#N/A</v>
        <stp/>
        <stp>##V3_BDPV12</stp>
        <stp>US912828SW16 Corp</stp>
        <stp>MATURITY</stp>
        <stp>[portefeuille USD.xlsm]treasuries!R107C26_x0000__x0000_</stp>
        <tr r="Z107" s="13"/>
      </tp>
      <tp t="e">
        <v>#N/A</v>
        <stp/>
        <stp>##V3_BDPV12</stp>
        <stp>US912828SF82 Corp</stp>
        <stp>MATURITY</stp>
        <stp>[portefeuille USD.xlsm]treasuries!R247C26_x0000__x0000_</stp>
        <tr r="Z247" s="13"/>
      </tp>
      <tp t="e">
        <v>#N/A</v>
        <stp/>
        <stp>##V3_BDPV12</stp>
        <stp>US912828EN62 Corp</stp>
        <stp>ISSUE_DT</stp>
        <stp>[portefeuille USD.xlsm]treasuries!R146C22_x0000__x0000_</stp>
        <tr r="V146" s="13"/>
      </tp>
      <tp t="e">
        <v>#N/A</v>
        <stp/>
        <stp>##V3_BDPV12</stp>
        <stp>US912828RE27 Corp</stp>
        <stp>MATURITY</stp>
        <stp>[portefeuille USD.xlsm]treasuries!R214C26_x0000__x0000_</stp>
        <tr r="Z214" s="13"/>
      </tp>
      <tp t="e">
        <v>#N/A</v>
        <stp/>
        <stp>##V3_BDPV12</stp>
        <stp>US912828RB87 Corp</stp>
        <stp>MATURITY</stp>
        <stp>[portefeuille USD.xlsm]treasuries!R114C26_x0000__x0000_</stp>
        <tr r="Z114" s="13"/>
      </tp>
      <tp t="e">
        <v>#N/A</v>
        <stp/>
        <stp>##V3_BDPV12</stp>
        <stp>US912828RH57 Corp</stp>
        <stp>MATURITY</stp>
        <stp>[portefeuille USD.xlsm]treasuries!R215C26_x0000__x0000_</stp>
        <tr r="Z215" s="13"/>
      </tp>
      <tp t="e">
        <v>#N/A</v>
        <stp/>
        <stp>##V3_BDPV12</stp>
        <stp>US912828PJ32 Corp</stp>
        <stp>MATURITY</stp>
        <stp>[portefeuille USD.xlsm]treasuries!R147C26_x0000__x0000_</stp>
        <tr r="Z147" s="13"/>
      </tp>
      <tp t="e">
        <v>#N/A</v>
        <stp/>
        <stp>##V3_BDPV12</stp>
        <stp>US912828QB96 Corp</stp>
        <stp>MATURITY</stp>
        <stp>[portefeuille USD.xlsm]treasuries!R206C26_x0000__x0000_</stp>
        <tr r="Z206" s="13"/>
      </tp>
      <tp t="e">
        <v>#N/A</v>
        <stp/>
        <stp>##V3_BDPV12</stp>
        <stp>US912810QK79 Corp</stp>
        <stp>MATURITY</stp>
        <stp>[portefeuille USD.xlsm]treasuries!R279C26_x0000__x0000_</stp>
        <tr r="Z279" s="13"/>
      </tp>
      <tp t="e">
        <v>#N/A</v>
        <stp/>
        <stp>##V3_BDPV12</stp>
        <stp>US912810FT08 Corp</stp>
        <stp>ISSUE_DT</stp>
        <stp>[portefeuille USD.xlsm]treasuries!R268C22_x0000__x0000_</stp>
        <tr r="V268" s="13"/>
      </tp>
      <tp t="e">
        <v>#N/A</v>
        <stp/>
        <stp>##V3_BDPV12</stp>
        <stp>US912828LY45 Corp</stp>
        <stp>ISSUE_DT</stp>
        <stp>[portefeuille USD.xlsm]treasuries!R231C22_x0000__x0000_</stp>
        <tr r="V231" s="13"/>
      </tp>
      <tp t="e">
        <v>#N/A</v>
        <stp/>
        <stp>##V3_BDPV12</stp>
        <stp>US912828KR03 Corp</stp>
        <stp>ISSUE_DT</stp>
        <stp>[portefeuille USD.xlsm]treasuries!R157C22_x0000__x0000_</stp>
        <tr r="V157" s="13"/>
      </tp>
      <tp t="e">
        <v>#N/A</v>
        <stp/>
        <stp>##V3_BDPV12</stp>
        <stp>US912828KJ86 Corp</stp>
        <stp>ISSUE_DT</stp>
        <stp>[portefeuille USD.xlsm]treasuries!R100C22_x0000__x0000_</stp>
        <tr r="V100" s="13"/>
      </tp>
      <tp t="e">
        <v>#N/A</v>
        <stp/>
        <stp>##V3_BDPV12</stp>
        <stp>US912828KS85 Corp</stp>
        <stp>AMT_OUTSTANDING</stp>
        <stp>[portefeuille USD.xlsm]treasuries!R152C28_x0000__x0000_</stp>
        <tr r="AB152" s="13"/>
      </tp>
      <tp t="e">
        <v>#N/A</v>
        <stp/>
        <stp>##V3_BDPV12</stp>
        <stp>US912828SC51 Corp</stp>
        <stp>AMT_OUTSTANDING</stp>
        <stp>[portefeuille USD.xlsm]treasuries!R180C28_x0000__x0000_</stp>
        <tr r="AB180" s="13"/>
      </tp>
      <tp t="e">
        <v>#N/A</v>
        <stp/>
        <stp>##V3_BDPV12</stp>
        <stp>US912828NZ91 Corp</stp>
        <stp>AMT_OUTSTANDING</stp>
        <stp>[portefeuille USD.xlsm]treasuries!R143C28_x0000__x0000_</stp>
        <tr r="AB143" s="13"/>
      </tp>
      <tp t="e">
        <v>#N/A</v>
        <stp/>
        <stp>##V3_BDPV12</stp>
        <stp>US912810QA97 Corp</stp>
        <stp>AMT_OUTSTANDING</stp>
        <stp>[portefeuille USD.xlsm]treasuries!R273C28_x0000__x0000_</stp>
        <tr r="AB273" s="13"/>
      </tp>
      <tp t="e">
        <v>#N/A</v>
        <stp/>
        <stp>##V3_BDPV12</stp>
        <stp>US912810FP85 Corp</stp>
        <stp>AMT_OUTSTANDING</stp>
        <stp>[portefeuille USD.xlsm]treasuries!R267C28_x0000__x0000_</stp>
        <tr r="AB267" s="13"/>
      </tp>
      <tp t="e">
        <v>#N/A</v>
        <stp/>
        <stp>##V3_BDPV12</stp>
        <stp>US912810FG86 Corp</stp>
        <stp>AMT_OUTSTANDING</stp>
        <stp>[portefeuille USD.xlsm]treasuries!R264C28_x0000__x0000_</stp>
        <tr r="AB264" s="13"/>
      </tp>
      <tp t="e">
        <v>#N/A</v>
        <stp/>
        <stp>##V3_BDPV12</stp>
        <stp>US912810EC81 Govt</stp>
        <stp>YLD_YTM_ASK</stp>
        <stp>[portefeuille USD.xlsm]treasuries!R222C8_x0000__x0000_</stp>
        <tr r="H222" s="13"/>
      </tp>
      <tp t="e">
        <v>#N/A</v>
        <stp/>
        <stp>##V3_BDPV12</stp>
        <stp>US912828PC88 Govt</stp>
        <stp>YLD_YTM_ASK</stp>
        <stp>[portefeuille USD.xlsm]treasuries!R238C8_x0000__x0000_</stp>
        <tr r="H238" s="13"/>
      </tp>
      <tp t="e">
        <v>#N/A</v>
        <stp/>
        <stp>##V3_BDPV12</stp>
        <stp>US912810QC53 Govt</stp>
        <stp>YLD_YTM_ASK</stp>
        <stp>[portefeuille USD.xlsm]treasuries!R275C8_x0000__x0000_</stp>
        <tr r="H275" s="13"/>
      </tp>
      <tp t="e">
        <v>#N/A</v>
        <stp/>
        <stp>##V3_BDPV12</stp>
        <stp>US912828RC60 Govt</stp>
        <stp>YLD_YTM_ASK</stp>
        <stp>[portefeuille USD.xlsm]treasuries!R243C8_x0000__x0000_</stp>
        <tr r="H243" s="13"/>
      </tp>
      <tp t="e">
        <v>#N/A</v>
        <stp/>
        <stp>##V3_BDPV12</stp>
        <stp>US912828HC70 Corp</stp>
        <stp>CPN</stp>
        <stp>[portefeuille USD.xlsm]treasuries!R17C27_x0000__x0000_</stp>
        <tr r="AA17" s="13"/>
      </tp>
      <tp t="e">
        <v>#N/A</v>
        <stp/>
        <stp>##V3_BDPV12</stp>
        <stp>US912828JQ49 Corp</stp>
        <stp>PENULTIMATE_CPN_DT</stp>
        <stp>[portefeuille USD.xlsm]treasuries!R83C25_x0000__x0000_</stp>
        <tr r="Y83" s="13"/>
      </tp>
      <tp t="e">
        <v>#N/A</v>
        <stp/>
        <stp>##V3_BDPV12</stp>
        <stp>US912828JT87 Corp</stp>
        <stp>PENULTIMATE_CPN_DT</stp>
        <stp>[portefeuille USD.xlsm]treasuries!R87C25_x0000__x0000_</stp>
        <tr r="Y87" s="13"/>
      </tp>
      <tp t="e">
        <v>#N/A</v>
        <stp/>
        <stp>##V3_BDPV12</stp>
        <stp>US912828AP56 Corp</stp>
        <stp>PENULTIMATE_CPN_DT</stp>
        <stp>[portefeuille USD.xlsm]treasuries!R35C25_x0000__x0000_</stp>
        <tr r="Y35" s="13"/>
      </tp>
      <tp t="e">
        <v>#N/A</v>
        <stp/>
        <stp>##V3_BDPV12</stp>
        <stp>US912828KF64 Corp</stp>
        <stp>PENULTIMATE_CPN_DT</stp>
        <stp>[portefeuille USD.xlsm]treasuries!R97C25_x0000__x0000_</stp>
        <tr r="Y97" s="13"/>
      </tp>
      <tp t="e">
        <v>#N/A</v>
        <stp/>
        <stp>##V3_BDPV12</stp>
        <stp>EI791385 Corp Corp</stp>
        <stp>FIRST_CPN_DT</stp>
        <stp>[portefeuille USD.xlsm]SSA!R131C23_x0000_2</stp>
        <tr r="W131" s="16"/>
      </tp>
      <tp t="e">
        <v>#N/A</v>
        <stp/>
        <stp>##V3_BDPV12</stp>
        <stp>US912828JM35 Corp</stp>
        <stp>PENULTIMATE_CPN_DT</stp>
        <stp>[portefeuille USD.xlsm]treasuries!R80C25_x0000__x0000_</stp>
        <tr r="Y80" s="13"/>
      </tp>
      <tp t="e">
        <v>#N/A</v>
        <stp/>
        <stp>##V3_BDPV12</stp>
        <stp>US912810DX38 Corp</stp>
        <stp>MATURITY</stp>
        <stp>[portefeuille USD.xlsm]treasuries!R174C26_x0000__x0000_</stp>
        <tr r="Z174" s="13"/>
      </tp>
      <tp t="e">
        <v>#N/A</v>
        <stp/>
        <stp>##V3_BDPV12</stp>
        <stp>US912828RZ55 Corp</stp>
        <stp>ISSUE_DT</stp>
        <stp>[portefeuille USD.xlsm]treasuries!R125C22_x0000__x0000_</stp>
        <tr r="V125" s="13"/>
      </tp>
      <tp t="e">
        <v>#N/A</v>
        <stp/>
        <stp>##V3_BDPV12</stp>
        <stp>US912828TA86 Corp</stp>
        <stp>ISSUE_DT</stp>
        <stp>[portefeuille USD.xlsm]treasuries!R110C22_x0000__x0000_</stp>
        <tr r="V110" s="13"/>
      </tp>
      <tp t="e">
        <v>#N/A</v>
        <stp/>
        <stp>##V3_BDPV12</stp>
        <stp>US912810FE39 Corp</stp>
        <stp>MATURITY</stp>
        <stp>[portefeuille USD.xlsm]treasuries!R262C26_x0000__x0000_</stp>
        <tr r="Z262" s="13"/>
      </tp>
      <tp t="e">
        <v>#N/A</v>
        <stp/>
        <stp>##V3_BDPV12</stp>
        <stp>US912828LS76 Corp</stp>
        <stp>MATURITY</stp>
        <stp>[portefeuille USD.xlsm]treasuries!R119C26_x0000__x0000_</stp>
        <tr r="Z119" s="13"/>
      </tp>
      <tp t="e">
        <v>#N/A</v>
        <stp/>
        <stp>##V3_BDPV12</stp>
        <stp>US912828SD35 Corp</stp>
        <stp>ISSUE_DT</stp>
        <stp>[portefeuille USD.xlsm]treasuries!R221C22_x0000__x0000_</stp>
        <tr r="V221" s="13"/>
      </tp>
      <tp t="e">
        <v>#N/A</v>
        <stp/>
        <stp>##V3_BDPV12</stp>
        <stp>US912828EE63 Corp</stp>
        <stp>MATURITY</stp>
        <stp>[portefeuille USD.xlsm]treasuries!R140C26_x0000__x0000_</stp>
        <tr r="Z140" s="13"/>
      </tp>
      <tp t="e">
        <v>#N/A</v>
        <stp/>
        <stp>##V3_BDPV12</stp>
        <stp>US912828SP64 Corp</stp>
        <stp>ISSUE_DT</stp>
        <stp>[portefeuille USD.xlsm]treasuries!R133C22_x0000__x0000_</stp>
        <tr r="V133" s="13"/>
      </tp>
      <tp t="e">
        <v>#N/A</v>
        <stp/>
        <stp>##V3_BDPV12</stp>
        <stp>US912810FB99 Corp</stp>
        <stp>MATURITY</stp>
        <stp>[portefeuille USD.xlsm]treasuries!R261C26_x0000__x0000_</stp>
        <tr r="Z261" s="13"/>
      </tp>
      <tp t="e">
        <v>#N/A</v>
        <stp/>
        <stp>##V3_BDPV12</stp>
        <stp>US912828HH67 Corp</stp>
        <stp>MATURITY</stp>
        <stp>[portefeuille USD.xlsm]treasuries!R200C26_x0000__x0000_</stp>
        <tr r="Z200" s="13"/>
      </tp>
      <tp t="e">
        <v>#N/A</v>
        <stp/>
        <stp>##V3_BDPV12</stp>
        <stp>US912828SV33 Corp</stp>
        <stp>ISSUE_DT</stp>
        <stp>[portefeuille USD.xlsm]treasuries!R248C22_x0000__x0000_</stp>
        <tr r="V248" s="13"/>
      </tp>
      <tp t="e">
        <v>#N/A</v>
        <stp/>
        <stp>##V3_BDPV12</stp>
        <stp>US912828MR84 Corp</stp>
        <stp>MATURITY</stp>
        <stp>[portefeuille USD.xlsm]treasuries!R130C26_x0000__x0000_</stp>
        <tr r="Z130" s="13"/>
      </tp>
      <tp t="e">
        <v>#N/A</v>
        <stp/>
        <stp>##V3_BDPV12</stp>
        <stp>US912828RF91 Corp</stp>
        <stp>ISSUE_DT</stp>
        <stp>[portefeuille USD.xlsm]treasuries!R168C22_x0000__x0000_</stp>
        <tr r="V168" s="13"/>
      </tp>
      <tp t="e">
        <v>#N/A</v>
        <stp/>
        <stp>##V3_BDPV12</stp>
        <stp>US912828SP64 Corp</stp>
        <stp>MATURITY</stp>
        <stp>[portefeuille USD.xlsm]treasuries!R133C26_x0000__x0000_</stp>
        <tr r="Z133" s="13"/>
      </tp>
      <tp t="e">
        <v>#N/A</v>
        <stp/>
        <stp>##V3_BDPV12</stp>
        <stp>US912810FB99 Corp</stp>
        <stp>ISSUE_DT</stp>
        <stp>[portefeuille USD.xlsm]treasuries!R261C22_x0000__x0000_</stp>
        <tr r="V261" s="13"/>
      </tp>
      <tp t="e">
        <v>#N/A</v>
        <stp/>
        <stp>##V3_BDPV12</stp>
        <stp>US912828LS76 Corp</stp>
        <stp>ISSUE_DT</stp>
        <stp>[portefeuille USD.xlsm]treasuries!R119C22_x0000__x0000_</stp>
        <tr r="V119" s="13"/>
      </tp>
      <tp t="e">
        <v>#N/A</v>
        <stp/>
        <stp>##V3_BDPV12</stp>
        <stp>US912828EE63 Corp</stp>
        <stp>ISSUE_DT</stp>
        <stp>[portefeuille USD.xlsm]treasuries!R140C22_x0000__x0000_</stp>
        <tr r="V140" s="13"/>
      </tp>
      <tp t="e">
        <v>#N/A</v>
        <stp/>
        <stp>##V3_BDPV12</stp>
        <stp>US912828SD35 Corp</stp>
        <stp>MATURITY</stp>
        <stp>[portefeuille USD.xlsm]treasuries!R221C26_x0000__x0000_</stp>
        <tr r="Z221" s="13"/>
      </tp>
      <tp t="e">
        <v>#N/A</v>
        <stp/>
        <stp>##V3_BDPV12</stp>
        <stp>US912810FE39 Corp</stp>
        <stp>ISSUE_DT</stp>
        <stp>[portefeuille USD.xlsm]treasuries!R262C22_x0000__x0000_</stp>
        <tr r="V262" s="13"/>
      </tp>
      <tp t="e">
        <v>#N/A</v>
        <stp/>
        <stp>##V3_BDPV12</stp>
        <stp>US912828TA86 Corp</stp>
        <stp>MATURITY</stp>
        <stp>[portefeuille USD.xlsm]treasuries!R110C26_x0000__x0000_</stp>
        <tr r="Z110" s="13"/>
      </tp>
      <tp t="e">
        <v>#N/A</v>
        <stp/>
        <stp>##V3_BDPV12</stp>
        <stp>US912828RZ55 Corp</stp>
        <stp>MATURITY</stp>
        <stp>[portefeuille USD.xlsm]treasuries!R125C26_x0000__x0000_</stp>
        <tr r="Z125" s="13"/>
      </tp>
      <tp t="e">
        <v>#N/A</v>
        <stp/>
        <stp>##V3_BDPV12</stp>
        <stp>US912810DX38 Corp</stp>
        <stp>ISSUE_DT</stp>
        <stp>[portefeuille USD.xlsm]treasuries!R174C22_x0000__x0000_</stp>
        <tr r="V174" s="13"/>
      </tp>
      <tp t="e">
        <v>#N/A</v>
        <stp/>
        <stp>##V3_BDPV12</stp>
        <stp>US912828MR84 Corp</stp>
        <stp>ISSUE_DT</stp>
        <stp>[portefeuille USD.xlsm]treasuries!R130C22_x0000__x0000_</stp>
        <tr r="V130" s="13"/>
      </tp>
      <tp t="e">
        <v>#N/A</v>
        <stp/>
        <stp>##V3_BDPV12</stp>
        <stp>US912828RF91 Corp</stp>
        <stp>MATURITY</stp>
        <stp>[portefeuille USD.xlsm]treasuries!R168C26_x0000__x0000_</stp>
        <tr r="Z168" s="13"/>
      </tp>
      <tp t="e">
        <v>#N/A</v>
        <stp/>
        <stp>##V3_BDPV12</stp>
        <stp>US912828SV33 Corp</stp>
        <stp>MATURITY</stp>
        <stp>[portefeuille USD.xlsm]treasuries!R248C26_x0000__x0000_</stp>
        <tr r="Z248" s="13"/>
      </tp>
      <tp t="e">
        <v>#N/A</v>
        <stp/>
        <stp>##V3_BDPV12</stp>
        <stp>US912828HH67 Corp</stp>
        <stp>ISSUE_DT</stp>
        <stp>[portefeuille USD.xlsm]treasuries!R200C22_x0000__x0000_</stp>
        <tr r="V200" s="13"/>
      </tp>
      <tp t="e">
        <v>#N/A</v>
        <stp/>
        <stp>##V3_BDPV12</stp>
        <stp>US912828SF82 Corp</stp>
        <stp>AMT_OUTSTANDING</stp>
        <stp>[portefeuille USD.xlsm]treasuries!R247C28_x0000__x0000_</stp>
        <tr r="AB247" s="13"/>
      </tp>
      <tp t="e">
        <v>#N/A</v>
        <stp/>
        <stp>##V3_BDPV12</stp>
        <stp>US912828NV87 Corp</stp>
        <stp>AMT_OUTSTANDING</stp>
        <stp>[portefeuille USD.xlsm]treasuries!R142C28_x0000__x0000_</stp>
        <tr r="AB142" s="13"/>
      </tp>
      <tp t="e">
        <v>#N/A</v>
        <stp/>
        <stp>##V3_BDPV12</stp>
        <stp>US912810PT97 Corp</stp>
        <stp>AMT_OUTSTANDING</stp>
        <stp>[portefeuille USD.xlsm]treasuries!R269C28_x0000__x0000_</stp>
        <tr r="AB269" s="13"/>
      </tp>
      <tp t="e">
        <v>#N/A</v>
        <stp/>
        <stp>##V3_BDPV12</stp>
        <stp>US912828NA41 Corp</stp>
        <stp>AMT_OUTSTANDING</stp>
        <stp>[portefeuille USD.xlsm]treasuries!R187C28_x0000__x0000_</stp>
        <tr r="AB187" s="13"/>
      </tp>
      <tp t="e">
        <v>#N/A</v>
        <stp/>
        <stp>##V3_BDPV12</stp>
        <stp>US912810FB99 Corp</stp>
        <stp>AMT_OUTSTANDING</stp>
        <stp>[portefeuille USD.xlsm]treasuries!R261C28_x0000__x0000_</stp>
        <tr r="AB261" s="13"/>
      </tp>
      <tp t="e">
        <v>#N/A</v>
        <stp/>
        <stp>##V3_BDPV12</stp>
        <stp>US912828TA86 Govt</stp>
        <stp>YLD_YTM_ASK</stp>
        <stp>[portefeuille USD.xlsm]treasuries!R110C8_x0000__x0000_</stp>
        <tr r="H110" s="13"/>
      </tp>
      <tp t="e">
        <v>#N/A</v>
        <stp/>
        <stp>##V3_BDPV12</stp>
        <stp>US912828QB96 Govt</stp>
        <stp>YLD_YTM_ASK</stp>
        <stp>[portefeuille USD.xlsm]treasuries!R206C8_x0000__x0000_</stp>
        <tr r="H206" s="13"/>
      </tp>
      <tp t="e">
        <v>#N/A</v>
        <stp/>
        <stp>##V3_BDPV12</stp>
        <stp>US912828HA15 Govt</stp>
        <stp>YLD_YTM_ASK</stp>
        <stp>[portefeuille USD.xlsm]treasuries!R196C8_x0000__x0000_</stp>
        <tr r="H196" s="13"/>
      </tp>
      <tp t="e">
        <v>#N/A</v>
        <stp/>
        <stp>##V3_BDPV12</stp>
        <stp>US912828PA23 Govt</stp>
        <stp>YLD_YTM_ASK</stp>
        <stp>[portefeuille USD.xlsm]treasuries!R198C8_x0000__x0000_</stp>
        <tr r="H198" s="13"/>
      </tp>
      <tp t="e">
        <v>#N/A</v>
        <stp/>
        <stp>##V3_BDPV12</stp>
        <stp>US912828NA41 Govt</stp>
        <stp>YLD_YTM_ASK</stp>
        <stp>[portefeuille USD.xlsm]treasuries!R187C8_x0000__x0000_</stp>
        <tr r="H187" s="13"/>
      </tp>
      <tp t="e">
        <v>#N/A</v>
        <stp/>
        <stp>##V3_BDPV12</stp>
        <stp>US912810FB99 Govt</stp>
        <stp>YLD_YTM_ASK</stp>
        <stp>[portefeuille USD.xlsm]treasuries!R261C8_x0000__x0000_</stp>
        <tr r="H261" s="13"/>
      </tp>
      <tp t="e">
        <v>#N/A</v>
        <stp/>
        <stp>##V3_BDPV12</stp>
        <stp>US912828RD44 Corp</stp>
        <stp>CPN</stp>
        <stp>[portefeuille USD.xlsm]treasuries!R77C27_x0000__x0000_</stp>
        <tr r="AA77" s="13"/>
      </tp>
      <tp t="e">
        <v>#N/A</v>
        <stp/>
        <stp>##V3_BDPV12</stp>
        <stp>US912828JD36 Corp</stp>
        <stp>CPN</stp>
        <stp>[portefeuille USD.xlsm]treasuries!R70C27_x0000__x0000_</stp>
        <tr r="AA70" s="13"/>
      </tp>
      <tp t="e">
        <v>#N/A</v>
        <stp/>
        <stp>##V3_BDPV12</stp>
        <stp>US912828QE36 Corp</stp>
        <stp>CPN</stp>
        <stp>[portefeuille USD.xlsm]treasuries!R60C27_x0000__x0000_</stp>
        <tr r="AA60" s="13"/>
      </tp>
      <tp t="e">
        <v>#N/A</v>
        <stp/>
        <stp>##V3_BDPV12</stp>
        <stp>US912810QB70 Govt</stp>
        <stp>YLD_YTM_ASK</stp>
        <stp>[portefeuille USD.xlsm]treasuries!R274C8_x0000__x0000_</stp>
        <tr r="H274" s="13"/>
      </tp>
      <tp t="e">
        <v>#N/A</v>
        <stp/>
        <stp>##V3_BDPV12</stp>
        <stp>US912828MA59 Govt</stp>
        <stp>YLD_YTM_ASK</stp>
        <stp>[portefeuille USD.xlsm]treasuries!R175C8_x0000__x0000_</stp>
        <tr r="H175" s="13"/>
      </tp>
      <tp t="e">
        <v>#N/A</v>
        <stp/>
        <stp>##V3_BDPV12</stp>
        <stp>US912810EB09 Govt</stp>
        <stp>YLD_YTM_ASK</stp>
        <stp>[portefeuille USD.xlsm]treasuries!R218C8_x0000__x0000_</stp>
        <tr r="H218" s="13"/>
      </tp>
      <tp t="e">
        <v>#N/A</v>
        <stp/>
        <stp>##V3_BDPV12</stp>
        <stp>US912828QA14 Govt</stp>
        <stp>YLD_YTM_ASK</stp>
        <stp>[portefeuille USD.xlsm]treasuries!R155C8_x0000__x0000_</stp>
        <tr r="H155" s="13"/>
      </tp>
      <tp t="e">
        <v>#N/A</v>
        <stp/>
        <stp>##V3_BDPV12</stp>
        <stp>US912828MG20 Corp</stp>
        <stp>CPN</stp>
        <stp>[portefeuille USD.xlsm]treasuries!R46C27_x0000__x0000_</stp>
        <tr r="AA46" s="13"/>
      </tp>
      <tp t="e">
        <v>#N/A</v>
        <stp/>
        <stp>##V3_BDPV12</stp>
        <stp>US9127956N64 Corp</stp>
        <stp>CPN</stp>
        <stp>[portefeuille USD.xlsm]treasuries!R29C27_x0000__x0000_</stp>
        <tr r="AA29" s="13"/>
      </tp>
      <tp t="e">
        <v>#N/A</v>
        <stp/>
        <stp>##V3_BDPV12</stp>
        <stp>US912828JW17 Corp</stp>
        <stp>PENULTIMATE_CPN_DT</stp>
        <stp>[portefeuille USD.xlsm]treasuries!R90C25_x0000__x0000_</stp>
        <tr r="Y90" s="13"/>
      </tp>
      <tp t="e">
        <v>#N/A</v>
        <stp/>
        <stp>##V3_BDPV12</stp>
        <stp>US912828JZ48 Corp</stp>
        <stp>PENULTIMATE_CPN_DT</stp>
        <stp>[portefeuille USD.xlsm]treasuries!R92C25_x0000__x0000_</stp>
        <tr r="Y92" s="13"/>
      </tp>
      <tp t="e">
        <v>#N/A</v>
        <stp/>
        <stp>##V3_BDPV12</stp>
        <stp>US912828DC17 Corp</stp>
        <stp>INT_ACC_DT</stp>
        <stp>[portefeuille USD.xlsm]treasuries!R120C23_x0000__x0000_</stp>
        <tr r="W120" s="13"/>
      </tp>
      <tp t="e">
        <v>#N/A</v>
        <stp/>
        <stp>##V3_BDPV12</stp>
        <stp>US912828JB79 Corp</stp>
        <stp>MATURITY</stp>
        <stp>[portefeuille USD.xlsm]treasuries!R67C26_x0000__x0000_</stp>
        <tr r="Z67" s="13"/>
      </tp>
      <tp t="e">
        <v>#N/A</v>
        <stp/>
        <stp>##V3_BDPV12</stp>
        <stp>US912828PE45 Corp</stp>
        <stp>INT_ACC_DT</stp>
        <stp>[portefeuille USD.xlsm]treasuries!R144C23_x0000__x0000_</stp>
        <tr r="W144" s="13"/>
      </tp>
      <tp t="e">
        <v>#N/A</v>
        <stp/>
        <stp>##V3_BDPV12</stp>
        <stp>US912828BA78 Corp</stp>
        <stp>MATURITY</stp>
        <stp>[portefeuille USD.xlsm]treasuries!R64C26_x0000__x0000_</stp>
        <tr r="Z64" s="13"/>
      </tp>
      <tp t="e">
        <v>#N/A</v>
        <stp/>
        <stp>##V3_BDPV12</stp>
        <stp>US9127956M81 Corp</stp>
        <stp>MATURITY</stp>
        <stp>[portefeuille USD.xlsm]treasuries!R26C26_x0000__x0000_</stp>
        <tr r="Z26" s="13"/>
      </tp>
      <tp t="e">
        <v>#N/A</v>
        <stp/>
        <stp>##V3_BDPV12</stp>
        <stp>XS0372089572 Corp</stp>
        <stp>CPN</stp>
        <stp>[portefeuille USD.xlsm]SSA!R124C26_x0000__x0000_</stp>
        <tr r="Z124" s="16"/>
      </tp>
      <tp t="e">
        <v>#N/A</v>
        <stp/>
        <stp>##V3_BDPV12</stp>
        <stp>US912828EE63 Corp</stp>
        <stp>INT_ACC_DT</stp>
        <stp>[portefeuille USD.xlsm]treasuries!R140C23_x0000__x0000_</stp>
        <tr r="W140" s="13"/>
      </tp>
      <tp t="e">
        <v>#N/A</v>
        <stp/>
        <stp>##V3_BDPV12</stp>
        <stp>US912810EA26 Corp</stp>
        <stp>INT_ACC_DT</stp>
        <stp>[portefeuille USD.xlsm]treasuries!R208C23_x0000__x0000_</stp>
        <tr r="W208" s="13"/>
      </tp>
      <tp t="e">
        <v>#N/A</v>
        <stp/>
        <stp>##V3_BDPV12</stp>
        <stp>US912810EC81 Corp</stp>
        <stp>INT_ACC_DT</stp>
        <stp>[portefeuille USD.xlsm]treasuries!R222C23_x0000__x0000_</stp>
        <tr r="W222" s="13"/>
      </tp>
      <tp t="e">
        <v>#N/A</v>
        <stp/>
        <stp>##V3_BDPV12</stp>
        <stp>US912828JG66 Corp</stp>
        <stp>MATURITY</stp>
        <stp>[portefeuille USD.xlsm]treasuries!R72C26_x0000__x0000_</stp>
        <tr r="Z72" s="13"/>
      </tp>
      <tp t="e">
        <v>#N/A</v>
        <stp/>
        <stp>##V3_BDPV12</stp>
        <stp>US912828HE37 Corp</stp>
        <stp>MATURITY</stp>
        <stp>[portefeuille USD.xlsm]treasuries!R23C26_x0000__x0000_</stp>
        <tr r="Z23" s="13"/>
      </tp>
      <tp t="e">
        <v>#N/A</v>
        <stp/>
        <stp>##V3_BDPV12</stp>
        <stp>US912828MT41 Corp</stp>
        <stp>MATURITY</stp>
        <stp>[portefeuille USD.xlsm]treasuries!R55C26_x0000__x0000_</stp>
        <tr r="Z55" s="13"/>
      </tp>
      <tp t="e">
        <v>#N/A</v>
        <stp/>
        <stp>##V3_BDPV12</stp>
        <stp>XS0353485492 Corp</stp>
        <stp>CPN</stp>
        <stp>[portefeuille USD.xlsm]SSA!R126C26_x0000__x0000_</stp>
        <tr r="Z126" s="16"/>
      </tp>
      <tp t="e">
        <v>#N/A</v>
        <stp/>
        <stp>##V3_BDPV12</stp>
        <stp>US912828AU42 Corp</stp>
        <stp>MATURITY</stp>
        <stp>[portefeuille USD.xlsm]treasuries!R50C26_x0000__x0000_</stp>
        <tr r="Z50" s="13"/>
      </tp>
      <tp t="e">
        <v>#N/A</v>
        <stp/>
        <stp>##V3_BDPV12</stp>
        <stp>US912810FG86 Corp</stp>
        <stp>INT_ACC_DT</stp>
        <stp>[portefeuille USD.xlsm]treasuries!R264C23_x0000__x0000_</stp>
        <tr r="W264" s="13"/>
      </tp>
      <tp t="e">
        <v>#N/A</v>
        <stp/>
        <stp>##V3_BDPV12</stp>
        <stp>US912828PR57 Corp</stp>
        <stp>MATURITY</stp>
        <stp>[portefeuille USD.xlsm]treasuries!R47C26_x0000__x0000_</stp>
        <tr r="Z47" s="13"/>
      </tp>
      <tp t="e">
        <v>#N/A</v>
        <stp/>
        <stp>##V3_BDPV12</stp>
        <stp>US912828NN61 Corp</stp>
        <stp>MATURITY</stp>
        <stp>[portefeuille USD.xlsm]treasuries!R71C26_x0000__x0000_</stp>
        <tr r="Z71" s="13"/>
      </tp>
      <tp t="e">
        <v>#N/A</v>
        <stp/>
        <stp>##V3_BDPV12</stp>
        <stp>US912828HM52 Corp</stp>
        <stp>MATURITY</stp>
        <stp>[portefeuille USD.xlsm]treasuries!R43C26_x0000__x0000_</stp>
        <tr r="Z43" s="13"/>
      </tp>
      <tp t="e">
        <v>#N/A</v>
        <stp/>
        <stp>##V3_BDPV12</stp>
        <stp>XS0353485492 Corp</stp>
        <stp>INT_ACC_DT</stp>
        <stp>[portefeuille USD.xlsm]SSA!R126C22_x0000__x0000_</stp>
        <tr r="V126" s="16"/>
      </tp>
      <tp t="e">
        <v>#N/A</v>
        <stp/>
        <stp>##V3_BDPV12</stp>
        <stp>US912828RC60 Corp</stp>
        <stp>PENULTIMATE_CPN_DT</stp>
        <stp>[portefeuille USD.xlsm]treasuries!R243C25_x0000__x0000_</stp>
        <tr r="Y243" s="13"/>
      </tp>
      <tp t="e">
        <v>#N/A</v>
        <stp/>
        <stp>##V3_BDPV12</stp>
        <stp>US912810ED64 Corp</stp>
        <stp>PENULTIMATE_CPN_DT</stp>
        <stp>[portefeuille USD.xlsm]treasuries!R230C25_x0000__x0000_</stp>
        <tr r="Y230" s="13"/>
      </tp>
      <tp t="e">
        <v>#N/A</v>
        <stp/>
        <stp>##V3_BDPV12</stp>
        <stp>US12802DAA46 Corp</stp>
        <stp>DAY_CNT_DES</stp>
        <stp>[portefeuille USD.xlsm]SSA!R94C29_x0000__x0000_</stp>
        <tr r="AC94" s="16"/>
      </tp>
      <tp t="e">
        <v>#N/A</v>
        <stp/>
        <stp>##V3_BDPV12</stp>
        <stp>US912828ME71 Corp</stp>
        <stp>PENULTIMATE_CPN_DT</stp>
        <stp>[portefeuille USD.xlsm]treasuries!R124C25_x0000__x0000_</stp>
        <tr r="Y124" s="13"/>
      </tp>
      <tp t="e">
        <v>#N/A</v>
        <stp/>
        <stp>##V3_BDPV12</stp>
        <stp>US912810FA17 Corp</stp>
        <stp>PENULTIMATE_CPN_DT</stp>
        <stp>[portefeuille USD.xlsm]treasuries!R260C25_x0000__x0000_</stp>
        <tr r="Y260" s="13"/>
      </tp>
      <tp t="e">
        <v>#N/A</v>
        <stp/>
        <stp>##V3_BDPV12</stp>
        <stp>US912828QG83 Corp</stp>
        <stp>PENULTIMATE_CPN_DT</stp>
        <stp>[portefeuille USD.xlsm]treasuries!R207C25_x0000__x0000_</stp>
        <tr r="Y207" s="13"/>
      </tp>
      <tp t="e">
        <v>#N/A</v>
        <stp/>
        <stp>##V3_BDPV12</stp>
        <stp>US912828ND89 Corp</stp>
        <stp>PENULTIMATE_CPN_DT</stp>
        <stp>[portefeuille USD.xlsm]treasuries!R235C25_x0000__x0000_</stp>
        <tr r="Y235" s="13"/>
      </tp>
      <tp t="e">
        <v>#N/A</v>
        <stp/>
        <stp>##V3_BDPV12</stp>
        <stp>US63983TAE55 Corp</stp>
        <stp>CPN</stp>
        <stp>[portefeuille USD.xlsm]SSA!R11C26_x0000__x0000_</stp>
        <tr r="Z11" s="16"/>
      </tp>
      <tp t="e">
        <v>#N/A</v>
        <stp/>
        <stp>##V3_BDPV12</stp>
        <stp>US912828SE18 Corp</stp>
        <stp>PENULTIMATE_CPN_DT</stp>
        <stp>[portefeuille USD.xlsm]treasuries!R129C25_x0000__x0000_</stp>
        <tr r="Y129" s="13"/>
      </tp>
      <tp t="e">
        <v>#N/A</v>
        <stp/>
        <stp>##V3_BDPV12</stp>
        <stp>XS0610555681 Corp</stp>
        <stp>INT_ACC_DT</stp>
        <stp>[portefeuille USD.xlsm]SSA!R123C22_x0000__x0000_</stp>
        <tr r="V123" s="16"/>
      </tp>
      <tp t="e">
        <v>#N/A</v>
        <stp/>
        <stp>##V3_BDPV12</stp>
        <stp>US912828SF82 Govt</stp>
        <stp>INT_ACC</stp>
        <stp>[portefeuille USD.xlsm]MV Repo!R27C6_x0000__x0000_</stp>
        <tr r="F27" s="6"/>
      </tp>
      <tp t="e">
        <v>#N/A</v>
        <stp/>
        <stp>##V3_BDPV12</stp>
        <stp>EG914838 Corp Corp</stp>
        <stp>CPN_FREQ</stp>
        <stp>[portefeuille USD.xlsm]SSA!R37C27_x0000__x0000_</stp>
        <tr r="AA37" s="16"/>
      </tp>
      <tp t="e">
        <v>#N/A</v>
        <stp/>
        <stp>##V3_BDPV12</stp>
        <stp>EF684257 Corp Corp</stp>
        <stp>CPN_FREQ</stp>
        <stp>[portefeuille USD.xlsm]SSA!R38C27_x0000__x0000_</stp>
        <tr r="AA38" s="16"/>
      </tp>
      <tp t="e">
        <v>#N/A</v>
        <stp/>
        <stp>##V3_BDPV12</stp>
        <stp>US912828GZ74 Corp</stp>
        <stp>AMT_OUTSTANDING</stp>
        <stp>[portefeuille USD.xlsm]treasuries!R8C28_x0000__x0000_</stp>
        <tr r="AB8" s="13"/>
      </tp>
      <tp t="e">
        <v>#N/A</v>
        <stp/>
        <stp>##V3_BDPV12</stp>
        <stp>FR0010827246 Corp</stp>
        <stp>YLD_YTM_ASK</stp>
        <stp>[portefeuille USD.xlsm]SSA!R110C8_x0000_R</stp>
        <tr r="H110" s="16"/>
      </tp>
      <tp t="e">
        <v>#N/A</v>
        <stp/>
        <stp>##V3_BDPV12</stp>
        <stp>US298785FM34 Corp</stp>
        <stp>CPN</stp>
        <stp>[portefeuille USD.xlsm]SSA!R85C26_x0000_R</stp>
        <tr r="Z85" s="16"/>
      </tp>
      <tp t="e">
        <v>#N/A</v>
        <stp/>
        <stp>##V3_BDPV12</stp>
        <stp>XS0271449000 Corp</stp>
        <stp>CPN</stp>
        <stp>[portefeuille USD.xlsm]SSA!R50C26_x0000_R</stp>
        <tr r="Z50" s="16"/>
      </tp>
      <tp t="e">
        <v>#N/A</v>
        <stp/>
        <stp>##V3_BDPV12</stp>
        <stp>XS0311512957 Corp</stp>
        <stp>CPN</stp>
        <stp>[portefeuille USD.xlsm]SSA!R13C26_x0000__x0000_</stp>
        <tr r="Z13" s="16"/>
      </tp>
      <tp t="e">
        <v>#N/A</v>
        <stp/>
        <stp>##V3_BDPV12</stp>
        <stp>XS0225513703 Corp</stp>
        <stp>CPN</stp>
        <stp>[portefeuille USD.xlsm]SSA!R40C26_x0000_R</stp>
        <tr r="Z40" s="16"/>
      </tp>
      <tp t="e">
        <v>#N/A</v>
        <stp/>
        <stp>##V3_BDPV12</stp>
        <stp>US912828RF91 Corp</stp>
        <stp>INT_ACC_DT</stp>
        <stp>[portefeuille USD.xlsm]treasuries!R168C23_x0000__x0000_</stp>
        <tr r="W168" s="13"/>
      </tp>
      <tp t="e">
        <v>#N/A</v>
        <stp/>
        <stp>##V3_BDPV12</stp>
        <stp>US912828JK78 Corp</stp>
        <stp>MATURITY</stp>
        <stp>[portefeuille USD.xlsm]treasuries!R76C26_x0000__x0000_</stp>
        <tr r="Z76" s="13"/>
      </tp>
      <tp t="e">
        <v>#N/A</v>
        <stp/>
        <stp>##V3_BDPV12</stp>
        <stp>US912810FF04 Corp</stp>
        <stp>INT_ACC_DT</stp>
        <stp>[portefeuille USD.xlsm]treasuries!R263C23_x0000__x0000_</stp>
        <tr r="W263" s="13"/>
      </tp>
      <tp t="e">
        <v>#N/A</v>
        <stp/>
        <stp>##V3_BDPV12</stp>
        <stp>US912828PC88 Corp</stp>
        <stp>INT_ACC_DT</stp>
        <stp>[portefeuille USD.xlsm]treasuries!R238C23_x0000__x0000_</stp>
        <tr r="W238" s="13"/>
      </tp>
      <tp t="e">
        <v>#N/A</v>
        <stp/>
        <stp>##V3_BDPV12</stp>
        <stp>US912828PL87 Corp</stp>
        <stp>MATURITY</stp>
        <stp>[portefeuille USD.xlsm]treasuries!R88C26_x0000__x0000_</stp>
        <tr r="Z88" s="13"/>
      </tp>
      <tp t="e">
        <v>#N/A</v>
        <stp/>
        <stp>##V3_BDPV12</stp>
        <stp>XS0451654189 Corp</stp>
        <stp>CPN</stp>
        <stp>[portefeuille USD.xlsm]SSA!R129C26_x0000__x0000_</stp>
        <tr r="Z129" s="16"/>
      </tp>
      <tp t="e">
        <v>#N/A</v>
        <stp/>
        <stp>##V3_BDPV12</stp>
        <stp>US912828MX52 Corp</stp>
        <stp>MATURITY</stp>
        <stp>[portefeuille USD.xlsm]treasuries!R59C26_x0000__x0000_</stp>
        <tr r="Z59" s="13"/>
      </tp>
      <tp t="e">
        <v>#N/A</v>
        <stp/>
        <stp>##V3_BDPV12</stp>
        <stp>XS0490844718 Corp</stp>
        <stp>CPN</stp>
        <stp>[portefeuille USD.xlsm]SSA!R127C26_x0000__x0000_</stp>
        <tr r="Z127" s="16"/>
      </tp>
      <tp t="e">
        <v>#N/A</v>
        <stp/>
        <stp>##V3_BDPV12</stp>
        <stp>US912828GH76 Corp</stp>
        <stp>INT_ACC_DT</stp>
        <stp>[portefeuille USD.xlsm]treasuries!R181C23_x0000__x0000_</stp>
        <tr r="W181" s="13"/>
      </tp>
      <tp t="e">
        <v>#N/A</v>
        <stp/>
        <stp>##V3_BDPV12</stp>
        <stp>US912828TA86 Corp</stp>
        <stp>INT_ACC_DT</stp>
        <stp>[portefeuille USD.xlsm]treasuries!R110C23_x0000__x0000_</stp>
        <tr r="W110" s="13"/>
      </tp>
      <tp t="e">
        <v>#N/A</v>
        <stp/>
        <stp>##V3_BDPV12</stp>
        <stp>US912828PW43 Corp</stp>
        <stp>MATURITY</stp>
        <stp>[portefeuille USD.xlsm]treasuries!R44C26_x0000__x0000_</stp>
        <tr r="Z44" s="13"/>
      </tp>
      <tp t="e">
        <v>#N/A</v>
        <stp/>
        <stp>##V3_BDPV12</stp>
        <stp>US912828HV51 Corp</stp>
        <stp>MATURITY</stp>
        <stp>[portefeuille USD.xlsm]treasuries!R56C26_x0000__x0000_</stp>
        <tr r="Z56" s="13"/>
      </tp>
      <tp t="e">
        <v>#N/A</v>
        <stp/>
        <stp>##V3_BDPV12</stp>
        <stp>US912828QZ64 Corp</stp>
        <stp>MATURITY</stp>
        <stp>[portefeuille USD.xlsm]treasuries!R66C26_x0000__x0000_</stp>
        <tr r="Z66" s="13"/>
      </tp>
      <tp t="e">
        <v>#N/A</v>
        <stp/>
        <stp>##V3_BDPV12</stp>
        <stp>US912828PU86 Corp</stp>
        <stp>MATURITY</stp>
        <stp>[portefeuille USD.xlsm]treasuries!R84C26_x0000__x0000_</stp>
        <tr r="Z84" s="13"/>
      </tp>
      <tp t="e">
        <v>#N/A</v>
        <stp/>
        <stp>##V3_BDPV12</stp>
        <stp>US912828JT87 Corp</stp>
        <stp>MATURITY</stp>
        <stp>[portefeuille USD.xlsm]treasuries!R87C26_x0000__x0000_</stp>
        <tr r="Z87" s="13"/>
      </tp>
      <tp t="e">
        <v>#N/A</v>
        <stp/>
        <stp>##V3_BDPV12</stp>
        <stp>US912828LH12 Corp</stp>
        <stp>MATURITY</stp>
        <stp>[portefeuille USD.xlsm]treasuries!R12C26_x0000__x0000_</stp>
        <tr r="Z12" s="13"/>
      </tp>
      <tp t="e">
        <v>#N/A</v>
        <stp/>
        <stp>##V3_BDPV12</stp>
        <stp>US912810EE48 Corp</stp>
        <stp>PENULTIMATE_CPN_DT</stp>
        <stp>[portefeuille USD.xlsm]treasuries!R232C25_x0000__x0000_</stp>
        <tr r="Y232" s="13"/>
      </tp>
      <tp t="e">
        <v>#N/A</v>
        <stp/>
        <stp>##V3_BDPV12</stp>
        <stp>XS0490844718 Corp</stp>
        <stp>FIRST_CPN_DT</stp>
        <stp>[portefeuille USD.xlsm]SSA!R127C23_x0000__x0000_</stp>
        <tr r="W127" s="16"/>
      </tp>
      <tp t="e">
        <v>#N/A</v>
        <stp/>
        <stp>##V3_BDPV12</stp>
        <stp>US912810QN19 Corp</stp>
        <stp>PENULTIMATE_CPN_DT</stp>
        <stp>[portefeuille USD.xlsm]treasuries!R281C25_x0000__x0000_</stp>
        <tr r="Y281" s="13"/>
      </tp>
      <tp t="e">
        <v>#N/A</v>
        <stp/>
        <stp>##V3_BDPV12</stp>
        <stp>US912828KD17 Corp</stp>
        <stp>PENULTIMATE_CPN_DT</stp>
        <stp>[portefeuille USD.xlsm]treasuries!R223C25_x0000__x0000_</stp>
        <tr r="Y223" s="13"/>
      </tp>
      <tp t="e">
        <v>#N/A</v>
        <stp/>
        <stp>##V3_BDPV12</stp>
        <stp>US912828SD35 Corp</stp>
        <stp>PENULTIMATE_CPN_DT</stp>
        <stp>[portefeuille USD.xlsm]treasuries!R221C25_x0000__x0000_</stp>
        <tr r="Y221" s="13"/>
      </tp>
      <tp t="e">
        <v>#N/A</v>
        <stp/>
        <stp>##V3_BDPV12</stp>
        <stp>US912828RG74 Corp</stp>
        <stp>PENULTIMATE_CPN_DT</stp>
        <stp>[portefeuille USD.xlsm]treasuries!R116C25_x0000__x0000_</stp>
        <tr r="Y116" s="13"/>
      </tp>
      <tp t="e">
        <v>#N/A</v>
        <stp/>
        <stp>##V3_BDPV12</stp>
        <stp>US912828MA59 Corp</stp>
        <stp>PENULTIMATE_CPN_DT</stp>
        <stp>[portefeuille USD.xlsm]treasuries!R175C25_x0000__x0000_</stp>
        <tr r="Y175" s="13"/>
      </tp>
      <tp t="e">
        <v>#N/A</v>
        <stp/>
        <stp>##V3_BDPV12</stp>
        <stp>FR0010950675 Corp</stp>
        <stp>INT_ACC_DT</stp>
        <stp>[portefeuille USD.xlsm]SSA!R106C22_x0000__x0000_</stp>
        <tr r="V106" s="16"/>
      </tp>
      <tp t="e">
        <v>#N/A</v>
        <stp/>
        <stp>##V3_BDPV12</stp>
        <stp>US63983UAD46 Corp</stp>
        <stp>CPN</stp>
        <stp>[portefeuille USD.xlsm]SSA!R10C26_x0000__x0000_</stp>
        <tr r="Z10" s="16"/>
      </tp>
      <tp t="e">
        <v>#N/A</v>
        <stp/>
        <stp>##V3_BDPV12</stp>
        <stp>US912810QA97 Corp</stp>
        <stp>PENULTIMATE_CPN_DT</stp>
        <stp>[portefeuille USD.xlsm]treasuries!R273C25_x0000__x0000_</stp>
        <tr r="Y273" s="13"/>
      </tp>
      <tp t="e">
        <v>#N/A</v>
        <stp/>
        <stp>##V3_BDPV12</stp>
        <stp>US298785EX08 Corp</stp>
        <stp>DAY_CNT_DES</stp>
        <stp>[portefeuille USD.xlsm]SSA!R53C29_x0000_R</stp>
        <tr r="AC53" s="16"/>
      </tp>
      <tp t="e">
        <v>#N/A</v>
        <stp/>
        <stp>##V3_BDPV12</stp>
        <stp>FR0010925446 Corp</stp>
        <stp>YLD_YTM_ASK</stp>
        <stp>[portefeuille USD.xlsm]SSA!R107C8_x0000_R</stp>
        <tr r="H107" s="16"/>
      </tp>
      <tp t="e">
        <v>#N/A</v>
        <stp/>
        <stp>##V3_BDPV12</stp>
        <stp>US298785FE18 Corp</stp>
        <stp>DAY_CNT_DES</stp>
        <stp>[portefeuille USD.xlsm]SSA!R47C29_x0000_R</stp>
        <tr r="AC47" s="16"/>
      </tp>
      <tp t="e">
        <v>#N/A</v>
        <stp/>
        <stp>##V3_BDPV12</stp>
        <stp>XS0610555681 Corp</stp>
        <stp>YLD_YTM_ASK</stp>
        <stp>[portefeuille USD.xlsm]SSA!R123C8_x0000_R</stp>
        <tr r="H123" s="16"/>
      </tp>
      <tp t="e">
        <v>#N/A</v>
        <stp/>
        <stp>##V3_BDPV12</stp>
        <stp>US298785FV33 Corp</stp>
        <stp>DAY_CNT_DES</stp>
        <stp>[portefeuille USD.xlsm]SSA!R63C29_x0000_R</stp>
        <tr r="AC63" s="16"/>
      </tp>
      <tp t="e">
        <v>#N/A</v>
        <stp/>
        <stp>##V3_BDPV12</stp>
        <stp>US298785FD35 Corp</stp>
        <stp>DAY_CNT_DES</stp>
        <stp>[portefeuille USD.xlsm]SSA!R62C29_x0000_R</stp>
        <tr r="AC62" s="16"/>
      </tp>
      <tp t="e">
        <v>#N/A</v>
        <stp/>
        <stp>##V3_BDPV12</stp>
        <stp>XS0353485492 Corp</stp>
        <stp>YLD_YTM_ASK</stp>
        <stp>[portefeuille USD.xlsm]SSA!R126C8_x0000_R</stp>
        <tr r="H126" s="16"/>
      </tp>
      <tp t="e">
        <v>#N/A</v>
        <stp/>
        <stp>##V3_BDPV12</stp>
        <stp>FR0010394452 Corp</stp>
        <stp>DAY_CNT_DES</stp>
        <stp>[portefeuille USD.xlsm]SSA!R93C29_x0000__x0000_</stp>
        <tr r="AC93" s="16"/>
      </tp>
      <tp t="e">
        <v>#N/A</v>
        <stp/>
        <stp>##V3_BDPV12</stp>
        <stp>FR0010875302 Corp</stp>
        <stp>CPN</stp>
        <stp>[portefeuille USD.xlsm]SSA!R88C26_x0000__x0000_</stp>
        <tr r="Z88" s="16"/>
      </tp>
      <tp t="e">
        <v>#N/A</v>
        <stp/>
        <stp>##V3_BDPV12</stp>
        <stp>XS0547845205 Corp</stp>
        <stp>CPN</stp>
        <stp>[portefeuille USD.xlsm]SSA!R81C26_x0000_R</stp>
        <tr r="Z81" s="16"/>
      </tp>
      <tp t="e">
        <v>#N/A</v>
        <stp/>
        <stp>##V3_BDPV12</stp>
        <stp>US912828MD98 Corp</stp>
        <stp>INT_ACC_DT</stp>
        <stp>[portefeuille USD.xlsm]treasuries!R178C23_x0000__x0000_</stp>
        <tr r="W178" s="13"/>
      </tp>
      <tp t="e">
        <v>#N/A</v>
        <stp/>
        <stp>##V3_BDPV12</stp>
        <stp>XS0284982922 Corp</stp>
        <stp>CPN</stp>
        <stp>[portefeuille USD.xlsm]SSA!R114C26_x0000__x0000_</stp>
        <tr r="Z114" s="16"/>
      </tp>
      <tp t="e">
        <v>#N/A</v>
        <stp/>
        <stp>##V3_BDPV12</stp>
        <stp>US912810FE39 Corp</stp>
        <stp>INT_ACC_DT</stp>
        <stp>[portefeuille USD.xlsm]treasuries!R262C23_x0000__x0000_</stp>
        <tr r="W262" s="13"/>
      </tp>
      <tp t="e">
        <v>#N/A</v>
        <stp/>
        <stp>##V3_BDPV12</stp>
        <stp>US912810QD37 Corp</stp>
        <stp>INT_ACC_DT</stp>
        <stp>[portefeuille USD.xlsm]treasuries!R276C23_x0000__x0000_</stp>
        <tr r="W276" s="13"/>
      </tp>
      <tp t="e">
        <v>#N/A</v>
        <stp/>
        <stp>##V3_BDPV12</stp>
        <stp>US912828QC79 Corp</stp>
        <stp>INT_ACC_DT</stp>
        <stp>[portefeuille USD.xlsm]treasuries!R101C23_x0000__x0000_</stp>
        <tr r="W101" s="13"/>
      </tp>
      <tp t="e">
        <v>#N/A</v>
        <stp/>
        <stp>##V3_BDPV12</stp>
        <stp>US912828QF01 Corp</stp>
        <stp>INT_ACC_DT</stp>
        <stp>[portefeuille USD.xlsm]treasuries!R156C23_x0000__x0000_</stp>
        <tr r="W156" s="13"/>
      </tp>
      <tp t="e">
        <v>#N/A</v>
        <stp/>
        <stp>##V3_BDPV12</stp>
        <stp>US912810EB09 Corp</stp>
        <stp>INT_ACC_DT</stp>
        <stp>[portefeuille USD.xlsm]treasuries!R218C23_x0000__x0000_</stp>
        <tr r="W218" s="13"/>
      </tp>
      <tp t="e">
        <v>#N/A</v>
        <stp/>
        <stp>##V3_BDPV12</stp>
        <stp>US912828FF20 Corp</stp>
        <stp>INT_ACC_DT</stp>
        <stp>[portefeuille USD.xlsm]treasuries!R159C23_x0000__x0000_</stp>
        <tr r="W159" s="13"/>
      </tp>
      <tp t="e">
        <v>#N/A</v>
        <stp/>
        <stp>##V3_BDPV12</stp>
        <stp>XS0635033128 Corp</stp>
        <stp>CPN</stp>
        <stp>[portefeuille USD.xlsm]SSA!R146C26_x0000__x0000_</stp>
        <tr r="Z146" s="16"/>
      </tp>
      <tp t="e">
        <v>#N/A</v>
        <stp/>
        <stp>##V3_BDPV12</stp>
        <stp>US9127956H96 Corp</stp>
        <stp>MATURITY</stp>
        <stp>[portefeuille USD.xlsm]treasuries!R19C26_x0000__x0000_</stp>
        <tr r="Z19" s="13"/>
      </tp>
      <tp t="e">
        <v>#N/A</v>
        <stp/>
        <stp>##V3_BDPV12</stp>
        <stp>US912828RB87 Corp</stp>
        <stp>INT_ACC_DT</stp>
        <stp>[portefeuille USD.xlsm]treasuries!R114C23_x0000__x0000_</stp>
        <tr r="W114" s="13"/>
      </tp>
      <tp t="e">
        <v>#N/A</v>
        <stp/>
        <stp>##V3_BDPV12</stp>
        <stp>US912828RD44 Corp</stp>
        <stp>MATURITY</stp>
        <stp>[portefeuille USD.xlsm]treasuries!R77C26_x0000__x0000_</stp>
        <tr r="Z77" s="13"/>
      </tp>
      <tp t="e">
        <v>#N/A</v>
        <stp/>
        <stp>##V3_BDPV12</stp>
        <stp>XS0372089572 Corp</stp>
        <stp>FIRST_CPN_DT</stp>
        <stp>[portefeuille USD.xlsm]SSA!R124C23_x0000__x0000_</stp>
        <tr r="W124" s="16"/>
      </tp>
      <tp t="e">
        <v>#N/A</v>
        <stp/>
        <stp>##V3_BDPV12</stp>
        <stp>US912828SM34 Corp</stp>
        <stp>PENULTIMATE_CPN_DT</stp>
        <stp>[portefeuille USD.xlsm]treasuries!R185C25_x0000__x0000_</stp>
        <tr r="Y185" s="13"/>
      </tp>
      <tp t="e">
        <v>#N/A</v>
        <stp/>
        <stp>##V3_BDPV12</stp>
        <stp>US912810EF13 Corp</stp>
        <stp>PENULTIMATE_CPN_DT</stp>
        <stp>[portefeuille USD.xlsm]treasuries!R234C25_x0000__x0000_</stp>
        <tr r="Y234" s="13"/>
      </tp>
      <tp t="e">
        <v>#N/A</v>
        <stp/>
        <stp>##V3_BDPV12</stp>
        <stp>US912828NF38 Corp</stp>
        <stp>PENULTIMATE_CPN_DT</stp>
        <stp>[portefeuille USD.xlsm]treasuries!R137C25_x0000__x0000_</stp>
        <tr r="Y137" s="13"/>
      </tp>
      <tp t="e">
        <v>#N/A</v>
        <stp/>
        <stp>##V3_BDPV12</stp>
        <stp>US912810QB70 Corp</stp>
        <stp>PENULTIMATE_CPN_DT</stp>
        <stp>[portefeuille USD.xlsm]treasuries!R274C25_x0000__x0000_</stp>
        <tr r="Y274" s="13"/>
      </tp>
      <tp t="e">
        <v>#N/A</v>
        <stp/>
        <stp>##V3_BDPV12</stp>
        <stp>FR0010827246 Corp</stp>
        <stp>INT_ACC_DT</stp>
        <stp>[portefeuille USD.xlsm]SSA!R110C22_x0000__x0000_</stp>
        <tr r="V110" s="16"/>
      </tp>
      <tp t="e">
        <v>#N/A</v>
        <stp/>
        <stp>##V3_BDPV12</stp>
        <stp>FR0010925446 Corp</stp>
        <stp>INT_ACC_DT</stp>
        <stp>[portefeuille USD.xlsm]SSA!R107C22_x0000__x0000_</stp>
        <tr r="V107" s="16"/>
      </tp>
      <tp t="e">
        <v>#N/A</v>
        <stp/>
        <stp>##V3_BDPV12</stp>
        <stp>EI297586 Corp Corp</stp>
        <stp>CPN_FREQ</stp>
        <stp>[portefeuille USD.xlsm]SSA!R26C27_x0000__x0000_</stp>
        <tr r="AA26" s="16"/>
      </tp>
      <tp t="e">
        <v>#N/A</v>
        <stp/>
        <stp>##V3_BDPV12</stp>
        <stp>EH237816 Corp Corp</stp>
        <stp>CPN_FREQ</stp>
        <stp>[portefeuille USD.xlsm]SSA!R29C27_x0000__x0000_</stp>
        <tr r="AA29" s="16"/>
      </tp>
      <tp t="e">
        <v>#N/A</v>
        <stp/>
        <stp>##V3_BDPV12</stp>
        <stp>EI347021 Corp Corp</stp>
        <stp>CPN_FREQ</stp>
        <stp>[portefeuille USD.xlsm]SSA!R27C27_x0000__x0000_</stp>
        <tr r="AA27" s="16"/>
      </tp>
      <tp t="e">
        <v>#N/A</v>
        <stp/>
        <stp>##V3_BDPV12</stp>
        <stp>EF086162 Corp Corp</stp>
        <stp>CPN_FREQ</stp>
        <stp>[portefeuille USD.xlsm]SSA!R33C27_x0000__x0000_</stp>
        <tr r="AA33" s="16"/>
      </tp>
      <tp t="e">
        <v>#N/A</v>
        <stp/>
        <stp>##V3_BDPV12</stp>
        <stp>EI787877 Corp Corp</stp>
        <stp>CPN_FREQ</stp>
        <stp>[portefeuille USD.xlsm]SSA!R25C27_x0000__x0000_</stp>
        <tr r="AA25" s="16"/>
      </tp>
      <tp t="e">
        <v>#N/A</v>
        <stp/>
        <stp>##V3_BDPV12</stp>
        <stp>US298785FW16 Corp</stp>
        <stp>DAY_CNT_DES</stp>
        <stp>[portefeuille USD.xlsm]SSA!R79C29_x0000_R</stp>
        <tr r="AC79" s="16"/>
      </tp>
      <tp t="e">
        <v>#N/A</v>
        <stp/>
        <stp>##V3_BDPV12</stp>
        <stp>FR0010950675 Corp</stp>
        <stp>YLD_YTM_ASK</stp>
        <stp>[portefeuille USD.xlsm]SSA!R106C8_x0000_R</stp>
        <tr r="H106" s="16"/>
      </tp>
      <tp t="e">
        <v>#N/A</v>
        <stp/>
        <stp>##V3_BDPV12</stp>
        <stp>US298785EZ55 Corp</stp>
        <stp>DAY_CNT_DES</stp>
        <stp>[portefeuille USD.xlsm]SSA!R39C29_x0000_R</stp>
        <tr r="AC39" s="16"/>
      </tp>
      <tp t="e">
        <v>#N/A</v>
        <stp/>
        <stp>##V3_BDPV12</stp>
        <stp>US912828LB42 Corp</stp>
        <stp>ISSUE_DT</stp>
        <stp>[portefeuille USD.xlsm]treasuries!R4C22_x0000__x0000_</stp>
        <tr r="V4" s="13"/>
      </tp>
      <tp t="e">
        <v>#N/A</v>
        <stp/>
        <stp>##V3_BDPV12</stp>
        <stp>US298785FJ05 Corp</stp>
        <stp>DAY_CNT_DES</stp>
        <stp>[portefeuille USD.xlsm]SSA!R66C29_x0000_R</stp>
        <tr r="AC66" s="16"/>
      </tp>
      <tp t="e">
        <v>#N/A</v>
        <stp/>
        <stp>##V3_BDPV12</stp>
        <stp>US298785EN26 Corp</stp>
        <stp>DAY_CNT_DES</stp>
        <stp>[portefeuille USD.xlsm]SSA!R44C29_x0000_R</stp>
        <tr r="AC44" s="16"/>
      </tp>
      <tp t="e">
        <v>#N/A</v>
        <stp/>
        <stp>##V3_BDPV12</stp>
        <stp>US298785CX26 Corp</stp>
        <stp>DAY_CNT_DES</stp>
        <stp>[portefeuille USD.xlsm]SSA!R46C29_x0000_R</stp>
        <tr r="AC46" s="16"/>
      </tp>
      <tp t="e">
        <v>#N/A</v>
        <stp/>
        <stp>##V3_BDPV12</stp>
        <stp>US298785FN17 Corp</stp>
        <stp>DAY_CNT_DES</stp>
        <stp>[portefeuille USD.xlsm]SSA!R70C29_x0000_R</stp>
        <tr r="AC70" s="16"/>
      </tp>
      <tp t="e">
        <v>#N/A</v>
        <stp/>
        <stp>##V3_BDPV12</stp>
        <stp>XS0451654189 Corp</stp>
        <stp>YLD_YTM_ASK</stp>
        <stp>[portefeuille USD.xlsm]SSA!R129C8_x0000_R</stp>
        <tr r="H129" s="16"/>
      </tp>
      <tp t="e">
        <v>#N/A</v>
        <stp/>
        <stp>##V3_BDPV12</stp>
        <stp>US912828MW79 Govt</stp>
        <stp>PX_MID</stp>
        <stp>[portefeuille USD.xlsm]MV Repo!R19C5_x0000__x0000_</stp>
        <tr r="E19" s="6"/>
      </tp>
      <tp t="e">
        <v>#N/A</v>
        <stp/>
        <stp>##V3_BDPV12</stp>
        <stp>XS0287792914 Corp</stp>
        <stp>CPN</stp>
        <stp>[portefeuille USD.xlsm]SSA!R54C26_x0000_R</stp>
        <tr r="Z54" s="16"/>
      </tp>
      <tp t="e">
        <v>#N/A</v>
        <stp/>
        <stp>##V3_BDPV12</stp>
        <stp>US912828MZ01 Govt</stp>
        <stp>PX_MID</stp>
        <stp>[portefeuille USD.xlsm]MV Repo!R20C5_x0000__x0000_</stp>
        <tr r="E20" s="6"/>
      </tp>
      <tp t="e">
        <v>#N/A</v>
        <stp/>
        <stp>##V3_BDPV12</stp>
        <stp>FR0010941732 Corp</stp>
        <stp>CPN</stp>
        <stp>[portefeuille USD.xlsm]SSA!R96C26_x0000__x0000_</stp>
        <tr r="Z96" s="16"/>
      </tp>
      <tp t="e">
        <v>#N/A</v>
        <stp/>
        <stp>##V3_BDPV12</stp>
        <stp>US912828HQ66 Corp</stp>
        <stp>MATURITY</stp>
        <stp>[portefeuille USD.xlsm]treasuries!R48C26_x0000__x0000_</stp>
        <tr r="Z48" s="13"/>
      </tp>
      <tp t="e">
        <v>#N/A</v>
        <stp/>
        <stp>##V3_BDPV12</stp>
        <stp>US912828LC25 Corp</stp>
        <stp>INT_ACC_DT</stp>
        <stp>[portefeuille USD.xlsm]treasuries!R112C23_x0000__x0000_</stp>
        <tr r="W112" s="13"/>
      </tp>
      <tp t="e">
        <v>#N/A</v>
        <stp/>
        <stp>##V3_BDPV12</stp>
        <stp>US912828NK23 Corp</stp>
        <stp>INT_ACC_DT</stp>
        <stp>[portefeuille USD.xlsm]treasuries!R192C23_x0000__x0000_</stp>
        <tr r="W192" s="13"/>
      </tp>
      <tp t="e">
        <v>#N/A</v>
        <stp/>
        <stp>##V3_BDPV12</stp>
        <stp>US912828QL78 Corp</stp>
        <stp>MATURITY</stp>
        <stp>[portefeuille USD.xlsm]treasuries!R57C26_x0000__x0000_</stp>
        <tr r="Z57" s="13"/>
      </tp>
      <tp t="e">
        <v>#N/A</v>
        <stp/>
        <stp>##V3_BDPV12</stp>
        <stp>US912828SJ05 Corp</stp>
        <stp>INT_ACC_DT</stp>
        <stp>[portefeuille USD.xlsm]treasuries!R183C23_x0000__x0000_</stp>
        <tr r="W183" s="13"/>
      </tp>
      <tp t="e">
        <v>#N/A</v>
        <stp/>
        <stp>##V3_BDPV12</stp>
        <stp>US912828LD08 Corp</stp>
        <stp>INT_ACC_DT</stp>
        <stp>[portefeuille USD.xlsm]treasuries!R165C23_x0000__x0000_</stp>
        <tr r="W165" s="13"/>
      </tp>
      <tp t="e">
        <v>#N/A</v>
        <stp/>
        <stp>##V3_BDPV12</stp>
        <stp>US912810QE10 Corp</stp>
        <stp>INT_ACC_DT</stp>
        <stp>[portefeuille USD.xlsm]treasuries!R277C23_x0000__x0000_</stp>
        <tr r="W277" s="13"/>
      </tp>
      <tp t="e">
        <v>#N/A</v>
        <stp/>
        <stp>##V3_BDPV12</stp>
        <stp>US912828PV69 Corp</stp>
        <stp>MATURITY</stp>
        <stp>[portefeuille USD.xlsm]treasuries!R40C26_x0000__x0000_</stp>
        <tr r="Z40" s="13"/>
      </tp>
      <tp t="e">
        <v>#N/A</v>
        <stp/>
        <stp>##V3_BDPV12</stp>
        <stp>US912828LM07 Corp</stp>
        <stp>MATURITY</stp>
        <stp>[portefeuille USD.xlsm]treasuries!R20C26_x0000__x0000_</stp>
        <tr r="Z20" s="13"/>
      </tp>
      <tp t="e">
        <v>#N/A</v>
        <stp/>
        <stp>##V3_BDPV12</stp>
        <stp>US12802DAD84 Corp</stp>
        <stp>CPN</stp>
        <stp>[portefeuille USD.xlsm]SSA!R91C26_x0000__x0000_</stp>
        <tr r="Z91" s="16"/>
      </tp>
      <tp t="e">
        <v>#N/A</v>
        <stp/>
        <stp>##V3_BDPV12</stp>
        <stp>US912828QB96 Corp</stp>
        <stp>INT_ACC_DT</stp>
        <stp>[portefeuille USD.xlsm]treasuries!R206C23_x0000__x0000_</stp>
        <tr r="W206" s="13"/>
      </tp>
      <tp t="e">
        <v>#N/A</v>
        <stp/>
        <stp>##V3_BDPV12</stp>
        <stp>US912828SF82 Corp</stp>
        <stp>INT_ACC_DT</stp>
        <stp>[portefeuille USD.xlsm]treasuries!R247C23_x0000__x0000_</stp>
        <tr r="W247" s="13"/>
      </tp>
      <tp t="e">
        <v>#N/A</v>
        <stp/>
        <stp>##V3_BDPV12</stp>
        <stp>US912828MN70 Corp</stp>
        <stp>MATURITY</stp>
        <stp>[portefeuille USD.xlsm]treasuries!R51C26_x0000__x0000_</stp>
        <tr r="Z51" s="13"/>
      </tp>
      <tp t="e">
        <v>#N/A</v>
        <stp/>
        <stp>##V3_BDPV12</stp>
        <stp>US912828RE27 Corp</stp>
        <stp>PENULTIMATE_CPN_DT</stp>
        <stp>[portefeuille USD.xlsm]treasuries!R214C25_x0000__x0000_</stp>
        <tr r="Y214" s="13"/>
      </tp>
      <tp t="e">
        <v>#N/A</v>
        <stp/>
        <stp>##V3_BDPV12</stp>
        <stp>US912810QL52 Corp</stp>
        <stp>PENULTIMATE_CPN_DT</stp>
        <stp>[portefeuille USD.xlsm]treasuries!R280C25_x0000__x0000_</stp>
        <tr r="Y280" s="13"/>
      </tp>
      <tp t="e">
        <v>#N/A</v>
        <stp/>
        <stp>##V3_BDPV12</stp>
        <stp>US912828QA14 Corp</stp>
        <stp>PENULTIMATE_CPN_DT</stp>
        <stp>[portefeuille USD.xlsm]treasuries!R155C25_x0000__x0000_</stp>
        <tr r="Y155" s="13"/>
      </tp>
      <tp t="e">
        <v>#N/A</v>
        <stp/>
        <stp>##V3_BDPV12</stp>
        <stp>US912810QC53 Corp</stp>
        <stp>PENULTIMATE_CPN_DT</stp>
        <stp>[portefeuille USD.xlsm]treasuries!R275C25_x0000__x0000_</stp>
        <tr r="Y275" s="13"/>
      </tp>
      <tp t="e">
        <v>#N/A</v>
        <stp/>
        <stp>##V3_BDPV12</stp>
        <stp>XS0546548636 Corp</stp>
        <stp>FIRST_CPN_DT</stp>
        <stp>[portefeuille USD.xlsm]SSA!R117C23_x0000__x0000_</stp>
        <tr r="W117" s="16"/>
      </tp>
      <tp t="e">
        <v>#N/A</v>
        <stp/>
        <stp>##V3_BDPV12</stp>
        <stp>US912810EG95 Corp</stp>
        <stp>PENULTIMATE_CPN_DT</stp>
        <stp>[portefeuille USD.xlsm]treasuries!R236C25_x0000__x0000_</stp>
        <tr r="Y236" s="13"/>
      </tp>
      <tp t="e">
        <v>#N/A</v>
        <stp/>
        <stp>##V3_BDPV12</stp>
        <stp>US912810FB99 Corp</stp>
        <stp>PENULTIMATE_CPN_DT</stp>
        <stp>[portefeuille USD.xlsm]treasuries!R261C25_x0000__x0000_</stp>
        <tr r="Y261" s="13"/>
      </tp>
      <tp t="e">
        <v>#N/A</v>
        <stp/>
        <stp>##V3_BDPV12</stp>
        <stp>XS0451654189 Corp</stp>
        <stp>INT_ACC_DT</stp>
        <stp>[portefeuille USD.xlsm]SSA!R129C22_x0000__x0000_</stp>
        <tr r="V129" s="16"/>
      </tp>
      <tp t="e">
        <v>#N/A</v>
        <stp/>
        <stp>##V3_BDPV12</stp>
        <stp>EH967487 Corp Corp</stp>
        <stp>CPN_FREQ</stp>
        <stp>[portefeuille USD.xlsm]SSA!R31C27_x0000__x0000_</stp>
        <tr r="AA31" s="16"/>
      </tp>
      <tp t="e">
        <v>#N/A</v>
        <stp/>
        <stp>##V3_BDPV12</stp>
        <stp>ED037578 Corp Corp</stp>
        <stp>CPN_FREQ</stp>
        <stp>[portefeuille USD.xlsm]SSA!R30C27_x0000__x0000_</stp>
        <tr r="AA30" s="16"/>
      </tp>
      <tp t="e">
        <v>#N/A</v>
        <stp/>
        <stp>##V3_BDPV12</stp>
        <stp>EC687043 Corp Corp</stp>
        <stp>CPN_FREQ</stp>
        <stp>[portefeuille USD.xlsm]SSA!R35C27_x0000__x0000_</stp>
        <tr r="AA35" s="16"/>
      </tp>
      <tp t="e">
        <v>#N/A</v>
        <stp/>
        <stp>##V3_BDPV12</stp>
        <stp>ED607736 Corp Corp</stp>
        <stp>CPN_FREQ</stp>
        <stp>[portefeuille USD.xlsm]SSA!R36C27_x0000__x0000_</stp>
        <tr r="AA36" s="16"/>
      </tp>
      <tp t="e">
        <v>#N/A</v>
        <stp/>
        <stp>##V3_BDPV12</stp>
        <stp>XS0205179483 Corp</stp>
        <stp>DAY_CNT_DES</stp>
        <stp>[portefeuille USD.xlsm]SSA!R41C29_x0000_R</stp>
        <tr r="AC41" s="16"/>
      </tp>
      <tp t="e">
        <v>#N/A</v>
        <stp/>
        <stp>##V3_BDPV12</stp>
        <stp>US298785FR21 Corp</stp>
        <stp>DAY_CNT_DES</stp>
        <stp>[portefeuille USD.xlsm]SSA!R58C29_x0000_R</stp>
        <tr r="AC58" s="16"/>
      </tp>
      <tp t="e">
        <v>#N/A</v>
        <stp/>
        <stp>##V3_BDPV12</stp>
        <stp>US298785ER30 Corp</stp>
        <stp>DAY_CNT_DES</stp>
        <stp>[portefeuille USD.xlsm]SSA!R48C29_x0000_R</stp>
        <tr r="AC48" s="16"/>
      </tp>
      <tp t="e">
        <v>#N/A</v>
        <stp/>
        <stp>##V3_BDPV12</stp>
        <stp>XS0477425283 Corp</stp>
        <stp>DAY_CNT_DES</stp>
        <stp>[portefeuille USD.xlsm]SSA!R14C29_x0000__x0000_</stp>
        <tr r="AC14" s="16"/>
      </tp>
      <tp t="e">
        <v>#N/A</v>
        <stp/>
        <stp>##V3_BDPV12</stp>
        <stp>US298785EA05 Corp</stp>
        <stp>DAY_CNT_DES</stp>
        <stp>[portefeuille USD.xlsm]SSA!R76C29_x0000_R</stp>
        <tr r="AC76" s="16"/>
      </tp>
      <tp t="e">
        <v>#N/A</v>
        <stp/>
        <stp>##V3_BDPV12</stp>
        <stp>US298785FS04 Corp</stp>
        <stp>DAY_CNT_DES</stp>
        <stp>[portefeuille USD.xlsm]SSA!R73C29_x0000_R</stp>
        <tr r="AC73" s="16"/>
      </tp>
      <tp t="e">
        <v>#N/A</v>
        <stp/>
        <stp>##V3_BDPV12</stp>
        <stp>XS0579811489 Corp</stp>
        <stp>CPN</stp>
        <stp>[portefeuille USD.xlsm]SSA!R20C26_x0000__x0000_</stp>
        <tr r="Z20" s="16"/>
      </tp>
      <tp t="e">
        <v>#N/A</v>
        <stp/>
        <stp>##V3_BDPV12</stp>
        <stp>US912810QB70 Corp</stp>
        <stp>INT_ACC_DT</stp>
        <stp>[portefeuille USD.xlsm]treasuries!R274C23_x0000__x0000_</stp>
        <tr r="W274" s="13"/>
      </tp>
      <tp t="e">
        <v>#N/A</v>
        <stp/>
        <stp>##V3_BDPV12</stp>
        <stp>US912828NY27 Corp</stp>
        <stp>MATURITY</stp>
        <stp>[portefeuille USD.xlsm]treasuries!R78C26_x0000__x0000_</stp>
        <tr r="Z78" s="13"/>
      </tp>
      <tp t="e">
        <v>#N/A</v>
        <stp/>
        <stp>##V3_BDPV12</stp>
        <stp>XS0592582653 Corp</stp>
        <stp>CPN</stp>
        <stp>[portefeuille USD.xlsm]SSA!R113C26_x0000__x0000_</stp>
        <tr r="Z113" s="16"/>
      </tp>
      <tp t="e">
        <v>#N/A</v>
        <stp/>
        <stp>##V3_BDPV12</stp>
        <stp>US912828NF38 Corp</stp>
        <stp>INT_ACC_DT</stp>
        <stp>[portefeuille USD.xlsm]treasuries!R137C23_x0000__x0000_</stp>
        <tr r="W137" s="13"/>
      </tp>
      <tp t="e">
        <v>#N/A</v>
        <stp/>
        <stp>##V3_BDPV12</stp>
        <stp>US29878TBU79 Corp</stp>
        <stp>DAY_CNT_DES</stp>
        <stp>[portefeuille USD.xlsm]SSA!R75C29_x0000_R</stp>
        <tr r="AC75" s="16"/>
      </tp>
      <tp t="e">
        <v>#N/A</v>
        <stp/>
        <stp>##V3_BDPV12</stp>
        <stp>US912810EF13 Corp</stp>
        <stp>INT_ACC_DT</stp>
        <stp>[portefeuille USD.xlsm]treasuries!R234C23_x0000__x0000_</stp>
        <tr r="W234" s="13"/>
      </tp>
      <tp t="e">
        <v>#N/A</v>
        <stp/>
        <stp>##V3_BDPV12</stp>
        <stp>US912828SM34 Corp</stp>
        <stp>INT_ACC_DT</stp>
        <stp>[portefeuille USD.xlsm]treasuries!R185C23_x0000__x0000_</stp>
        <tr r="W185" s="13"/>
      </tp>
      <tp t="e">
        <v>#N/A</v>
        <stp/>
        <stp>##V3_BDPV12</stp>
        <stp>US912828QE36 Corp</stp>
        <stp>MATURITY</stp>
        <stp>[portefeuille USD.xlsm]treasuries!R60C26_x0000__x0000_</stp>
        <tr r="Z60" s="13"/>
      </tp>
      <tp t="e">
        <v>#N/A</v>
        <stp/>
        <stp>##V3_BDPV12</stp>
        <stp>US912828BH22 Corp</stp>
        <stp>MATURITY</stp>
        <stp>[portefeuille USD.xlsm]treasuries!R75C26_x0000__x0000_</stp>
        <tr r="Z75" s="13"/>
      </tp>
      <tp t="e">
        <v>#N/A</v>
        <stp/>
        <stp>##V3_BDPV12</stp>
        <stp>US912828LX61 Corp</stp>
        <stp>MATURITY</stp>
        <stp>[portefeuille USD.xlsm]treasuries!R36C26_x0000__x0000_</stp>
        <tr r="Z36" s="13"/>
      </tp>
      <tp t="e">
        <v>#N/A</v>
        <stp/>
        <stp>##V3_BDPV12</stp>
        <stp>US912828HT06 Corp</stp>
        <stp>MATURITY</stp>
        <stp>[portefeuille USD.xlsm]treasuries!R53C26_x0000__x0000_</stp>
        <tr r="Z53" s="13"/>
      </tp>
      <tp t="e">
        <v>#N/A</v>
        <stp/>
        <stp>##V3_BDPV12</stp>
        <stp>US912828PD61 Corp</stp>
        <stp>MATURITY</stp>
        <stp>[portefeuille USD.xlsm]treasuries!R31C26_x0000__x0000_</stp>
        <tr r="Z31" s="13"/>
      </tp>
      <tp t="e">
        <v>#N/A</v>
        <stp/>
        <stp>##V3_BDPV12</stp>
        <stp>US912828QF01 Corp</stp>
        <stp>PENULTIMATE_CPN_DT</stp>
        <stp>[portefeuille USD.xlsm]treasuries!R156C25_x0000__x0000_</stp>
        <tr r="Y156" s="13"/>
      </tp>
      <tp t="e">
        <v>#N/A</v>
        <stp/>
        <stp>##V3_BDPV12</stp>
        <stp>US912810QD37 Corp</stp>
        <stp>PENULTIMATE_CPN_DT</stp>
        <stp>[portefeuille USD.xlsm]treasuries!R276C25_x0000__x0000_</stp>
        <tr r="Y276" s="13"/>
      </tp>
      <tp t="e">
        <v>#N/A</v>
        <stp/>
        <stp>##V3_BDPV12</stp>
        <stp>US912828QC79 Corp</stp>
        <stp>PENULTIMATE_CPN_DT</stp>
        <stp>[portefeuille USD.xlsm]treasuries!R101C25_x0000__x0000_</stp>
        <tr r="Y101" s="13"/>
      </tp>
      <tp t="e">
        <v>#N/A</v>
        <stp/>
        <stp>##V3_BDPV12</stp>
        <stp>XS0490844718 Corp</stp>
        <stp>INT_ACC_DT</stp>
        <stp>[portefeuille USD.xlsm]SSA!R127C22_x0000__x0000_</stp>
        <tr r="V127" s="16"/>
      </tp>
      <tp t="e">
        <v>#N/A</v>
        <stp/>
        <stp>##V3_BDPV12</stp>
        <stp>XS0561837013 Corp</stp>
        <stp>INT_ACC_DT</stp>
        <stp>[portefeuille USD.xlsm]SSA!R128C22_x0000__x0000_</stp>
        <tr r="V128" s="16"/>
      </tp>
      <tp t="e">
        <v>#N/A</v>
        <stp/>
        <stp>##V3_BDPV12</stp>
        <stp>XS0592582653 Corp</stp>
        <stp>FIRST_CPN_DT</stp>
        <stp>[portefeuille USD.xlsm]SSA!R113C23_x0000__x0000_</stp>
        <tr r="W113" s="16"/>
      </tp>
      <tp t="e">
        <v>#N/A</v>
        <stp/>
        <stp>##V3_BDPV12</stp>
        <stp>US912810FE39 Corp</stp>
        <stp>PENULTIMATE_CPN_DT</stp>
        <stp>[portefeuille USD.xlsm]treasuries!R262C25_x0000__x0000_</stp>
        <tr r="Y262" s="13"/>
      </tp>
      <tp t="e">
        <v>#N/A</v>
        <stp/>
        <stp>##V3_BDPV12</stp>
        <stp>XS0576210289 Corp</stp>
        <stp>INT_ACC_DT</stp>
        <stp>[portefeuille USD.xlsm]SSA!R116C22_x0000__x0000_</stp>
        <tr r="V116" s="16"/>
      </tp>
      <tp t="e">
        <v>#N/A</v>
        <stp/>
        <stp>##V3_BDPV12</stp>
        <stp>US912828MD98 Corp</stp>
        <stp>PENULTIMATE_CPN_DT</stp>
        <stp>[portefeuille USD.xlsm]treasuries!R178C25_x0000__x0000_</stp>
        <tr r="Y178" s="13"/>
      </tp>
      <tp t="e">
        <v>#N/A</v>
        <stp/>
        <stp>##V3_BDPV12</stp>
        <stp>US912828RB87 Corp</stp>
        <stp>PENULTIMATE_CPN_DT</stp>
        <stp>[portefeuille USD.xlsm]treasuries!R114C25_x0000__x0000_</stp>
        <tr r="Y114" s="13"/>
      </tp>
      <tp t="e">
        <v>#N/A</v>
        <stp/>
        <stp>##V3_BDPV12</stp>
        <stp>US12802DAC02 Corp</stp>
        <stp>DAY_CNT_DES</stp>
        <stp>[portefeuille USD.xlsm]SSA!R98C29_x0000__x0000_</stp>
        <tr r="AC98" s="16"/>
      </tp>
      <tp t="e">
        <v>#N/A</v>
        <stp/>
        <stp>##V3_BDPV12</stp>
        <stp>US912810EB09 Corp</stp>
        <stp>PENULTIMATE_CPN_DT</stp>
        <stp>[portefeuille USD.xlsm]treasuries!R218C25_x0000__x0000_</stp>
        <tr r="Y218" s="13"/>
      </tp>
      <tp t="e">
        <v>#N/A</v>
        <stp/>
        <stp>##V3_BDPV12</stp>
        <stp>US912828FF20 Corp</stp>
        <stp>PENULTIMATE_CPN_DT</stp>
        <stp>[portefeuille USD.xlsm]treasuries!R159C25_x0000__x0000_</stp>
        <tr r="Y159" s="13"/>
      </tp>
      <tp t="e">
        <v>#N/A</v>
        <stp/>
        <stp>##V3_BDPV12</stp>
        <stp>FR0010815332 Corp</stp>
        <stp>INT_ACC_DT</stp>
        <stp>[portefeuille USD.xlsm]SSA!R100C22_x0000__x0000_</stp>
        <tr r="V100" s="16"/>
      </tp>
      <tp t="e">
        <v>#N/A</v>
        <stp/>
        <stp>##V3_BDPV12</stp>
        <stp>US912828SB78 Govt</stp>
        <stp>INT_ACC</stp>
        <stp>[portefeuille USD.xlsm]MV Repo!R15C6_x0000__x0000_</stp>
        <tr r="F15" s="6"/>
      </tp>
      <tp t="e">
        <v>#N/A</v>
        <stp/>
        <stp>##V3_BDPV12</stp>
        <stp>US912828TB69 Govt</stp>
        <stp>INT_ACC</stp>
        <stp>[portefeuille USD.xlsm]MV Repo!R25C6_x0000__x0000_</stp>
        <tr r="F25" s="6"/>
      </tp>
      <tp t="e">
        <v>#N/A</v>
        <stp/>
        <stp>##V3_BDPV12</stp>
        <stp>EI839783 Corp Corp</stp>
        <stp>ISSUE_DT</stp>
        <stp>[portefeuille USD.xlsm]SSA!R22C21_x0000__x0000_</stp>
        <tr r="U22" s="16"/>
      </tp>
      <tp t="e">
        <v>#N/A</v>
        <stp/>
        <stp>##V3_BDPV12</stp>
        <stp>EI009749 Corp Corp</stp>
        <stp>ISSUE_DT</stp>
        <stp>[portefeuille USD.xlsm]SSA!R24C21_x0000__x0000_</stp>
        <tr r="U24" s="16"/>
      </tp>
      <tp t="e">
        <v>#N/A</v>
        <stp/>
        <stp>##V3_BDPV12</stp>
        <stp>EI939268 Corp Corp</stp>
        <stp>ISSUE_DT</stp>
        <stp>[portefeuille USD.xlsm]SSA!R21C21_x0000__x0000_</stp>
        <tr r="U21" s="16"/>
      </tp>
      <tp t="e">
        <v>#N/A</v>
        <stp/>
        <stp>##V3_BDPV12</stp>
        <stp>EI251950 Corp Corp</stp>
        <stp>CPN_FREQ</stp>
        <stp>[portefeuille USD.xlsm]SSA!R23C27_x0000__x0000_</stp>
        <tr r="AA23" s="16"/>
      </tp>
      <tp t="e">
        <v>#N/A</v>
        <stp/>
        <stp>##V3_BDPV12</stp>
        <stp>EI939268 Corp Corp</stp>
        <stp>MATURITY</stp>
        <stp>[portefeuille USD.xlsm]SSA!R21C25_x0000__x0000_</stp>
        <tr r="Y21" s="16"/>
      </tp>
      <tp t="e">
        <v>#N/A</v>
        <stp/>
        <stp>##V3_BDPV12</stp>
        <stp>EI009749 Corp Corp</stp>
        <stp>MATURITY</stp>
        <stp>[portefeuille USD.xlsm]SSA!R24C25_x0000__x0000_</stp>
        <tr r="Y24" s="16"/>
      </tp>
      <tp t="e">
        <v>#N/A</v>
        <stp/>
        <stp>##V3_BDPV12</stp>
        <stp>EI839783 Corp Corp</stp>
        <stp>MATURITY</stp>
        <stp>[portefeuille USD.xlsm]SSA!R22C25_x0000__x0000_</stp>
        <tr r="Y22" s="16"/>
      </tp>
      <tp t="e">
        <v>#N/A</v>
        <stp/>
        <stp>##V3_BDPV12</stp>
        <stp>XS0468848253 Corp</stp>
        <stp>DAY_CNT_DES</stp>
        <stp>[portefeuille USD.xlsm]SSA!R74C29_x0000_R</stp>
        <tr r="AC74" s="16"/>
      </tp>
      <tp t="e">
        <v>#N/A</v>
        <stp/>
        <stp>##V3_BDPV12</stp>
        <stp>XS0743901026 Corp</stp>
        <stp>DAY_CNT_DES</stp>
        <stp>[portefeuille USD.xlsm]SSA!R17C29_x0000__x0000_</stp>
        <tr r="AC17" s="16"/>
      </tp>
      <tp t="e">
        <v>#N/A</v>
        <stp/>
        <stp>##V3_BDPV12</stp>
        <stp>US298785EG74 Corp</stp>
        <stp>DAY_CNT_DES</stp>
        <stp>[portefeuille USD.xlsm]SSA!R78C29_x0000_R</stp>
        <tr r="AC78" s="16"/>
      </tp>
      <tp t="e">
        <v>#N/A</v>
        <stp/>
        <stp>##V3_BDPV12</stp>
        <stp>US298785FL50 Corp</stp>
        <stp>DAY_CNT_DES</stp>
        <stp>[portefeuille USD.xlsm]SSA!R51C29_x0000_R</stp>
        <tr r="AC51" s="16"/>
      </tp>
      <tp t="e">
        <v>#N/A</v>
        <stp/>
        <stp>##V3_BDPV12</stp>
        <stp>US298785FG65 Corp</stp>
        <stp>DAY_CNT_DES</stp>
        <stp>[portefeuille USD.xlsm]SSA!R65C29_x0000_R</stp>
        <tr r="AC65" s="16"/>
      </tp>
      <tp t="e">
        <v>#N/A</v>
        <stp/>
        <stp>##V3_BDPV12</stp>
        <stp>US298785DD52 Corp</stp>
        <stp>DAY_CNT_DES</stp>
        <stp>[portefeuille USD.xlsm]SSA!R56C29_x0000_R</stp>
        <tr r="AC56" s="16"/>
      </tp>
      <tp t="e">
        <v>#N/A</v>
        <stp/>
        <stp>##V3_BDPV12</stp>
        <stp>XS0322956490 Corp</stp>
        <stp>CPN</stp>
        <stp>[portefeuille USD.xlsm]SSA!R59C26_x0000_R</stp>
        <tr r="Z59" s="16"/>
      </tp>
      <tp t="e">
        <v>#N/A</v>
        <stp/>
        <stp>##V3_BDPV12</stp>
        <stp>XS0771920856 Corp</stp>
        <stp>CPN</stp>
        <stp>[portefeuille USD.xlsm]SSA!R92C26_x0000__x0000_</stp>
        <tr r="Z92" s="16"/>
      </tp>
      <tp t="e">
        <v>#N/A</v>
        <stp/>
        <stp>##V3_BDPV12</stp>
        <stp>US9127954B45 Corp</stp>
        <stp>MATURITY</stp>
        <stp>[portefeuille USD.xlsm]treasuries!R6C26_x0000__x0000_</stp>
        <tr r="Z6" s="13"/>
      </tp>
      <tp t="e">
        <v>#N/A</v>
        <stp/>
        <stp>##V3_BDPV12</stp>
        <stp>US912810QC53 Corp</stp>
        <stp>INT_ACC_DT</stp>
        <stp>[portefeuille USD.xlsm]treasuries!R275C23_x0000__x0000_</stp>
        <tr r="W275" s="13"/>
      </tp>
      <tp t="e">
        <v>#N/A</v>
        <stp/>
        <stp>##V3_BDPV12</stp>
        <stp>US912828QA14 Corp</stp>
        <stp>INT_ACC_DT</stp>
        <stp>[portefeuille USD.xlsm]treasuries!R155C23_x0000__x0000_</stp>
        <tr r="W155" s="13"/>
      </tp>
      <tp t="e">
        <v>#N/A</v>
        <stp/>
        <stp>##V3_BDPV12</stp>
        <stp>US912810QL52 Corp</stp>
        <stp>INT_ACC_DT</stp>
        <stp>[portefeuille USD.xlsm]treasuries!R280C23_x0000__x0000_</stp>
        <tr r="W280" s="13"/>
      </tp>
      <tp t="e">
        <v>#N/A</v>
        <stp/>
        <stp>##V3_BDPV12</stp>
        <stp>US912828RE27 Corp</stp>
        <stp>INT_ACC_DT</stp>
        <stp>[portefeuille USD.xlsm]treasuries!R214C23_x0000__x0000_</stp>
        <tr r="W214" s="13"/>
      </tp>
      <tp t="e">
        <v>#N/A</v>
        <stp/>
        <stp>##V3_BDPV12</stp>
        <stp>US912828JD36 Corp</stp>
        <stp>MATURITY</stp>
        <stp>[portefeuille USD.xlsm]treasuries!R70C26_x0000__x0000_</stp>
        <tr r="Z70" s="13"/>
      </tp>
      <tp t="e">
        <v>#N/A</v>
        <stp/>
        <stp>##V3_BDPV12</stp>
        <stp>US912828QW34 Corp</stp>
        <stp>MATURITY</stp>
        <stp>[portefeuille USD.xlsm]treasuries!R73C26_x0000__x0000_</stp>
        <tr r="Z73" s="13"/>
      </tp>
      <tp t="e">
        <v>#N/A</v>
        <stp/>
        <stp>##V3_BDPV12</stp>
        <stp>US912810FB99 Corp</stp>
        <stp>INT_ACC_DT</stp>
        <stp>[portefeuille USD.xlsm]treasuries!R261C23_x0000__x0000_</stp>
        <tr r="W261" s="13"/>
      </tp>
      <tp t="e">
        <v>#N/A</v>
        <stp/>
        <stp>##V3_BDPV12</stp>
        <stp>US912810EG95 Corp</stp>
        <stp>INT_ACC_DT</stp>
        <stp>[portefeuille USD.xlsm]treasuries!R236C23_x0000__x0000_</stp>
        <tr r="W236" s="13"/>
      </tp>
      <tp t="e">
        <v>#N/A</v>
        <stp/>
        <stp>##V3_BDPV12</stp>
        <stp>US29878TCC62 Corp</stp>
        <stp>CPN</stp>
        <stp>[portefeuille USD.xlsm]SSA!R83C26_x0000_R</stp>
        <tr r="Z83" s="16"/>
      </tp>
      <tp t="e">
        <v>#N/A</v>
        <stp/>
        <stp>##V3_BDPV12</stp>
        <stp>US912810QE10 Corp</stp>
        <stp>PENULTIMATE_CPN_DT</stp>
        <stp>[portefeuille USD.xlsm]treasuries!R277C25_x0000__x0000_</stp>
        <tr r="Y277" s="13"/>
      </tp>
      <tp t="e">
        <v>#N/A</v>
        <stp/>
        <stp>##V3_BDPV12</stp>
        <stp>US912828LD08 Corp</stp>
        <stp>PENULTIMATE_CPN_DT</stp>
        <stp>[portefeuille USD.xlsm]treasuries!R165C25_x0000__x0000_</stp>
        <tr r="Y165" s="13"/>
      </tp>
      <tp t="e">
        <v>#N/A</v>
        <stp/>
        <stp>##V3_BDPV12</stp>
        <stp>XS0284982922 Corp</stp>
        <stp>INT_ACC_DT</stp>
        <stp>[portefeuille USD.xlsm]SSA!R114C22_x0000__x0000_</stp>
        <tr r="V114" s="16"/>
      </tp>
      <tp t="e">
        <v>#N/A</v>
        <stp/>
        <stp>##V3_BDPV12</stp>
        <stp>US912828SJ05 Corp</stp>
        <stp>PENULTIMATE_CPN_DT</stp>
        <stp>[portefeuille USD.xlsm]treasuries!R183C25_x0000__x0000_</stp>
        <tr r="Y183" s="13"/>
      </tp>
      <tp t="e">
        <v>#N/A</v>
        <stp/>
        <stp>##V3_BDPV12</stp>
        <stp>FR0010775239 Corp</stp>
        <stp>CPN</stp>
        <stp>[portefeuille USD.xlsm]SSA!R103C26_x0000__x0000_</stp>
        <tr r="Z103" s="16"/>
      </tp>
      <tp t="e">
        <v>#N/A</v>
        <stp/>
        <stp>##V3_BDPV12</stp>
        <stp>US912828LC25 Corp</stp>
        <stp>PENULTIMATE_CPN_DT</stp>
        <stp>[portefeuille USD.xlsm]treasuries!R112C25_x0000__x0000_</stp>
        <tr r="Y112" s="13"/>
      </tp>
      <tp t="e">
        <v>#N/A</v>
        <stp/>
        <stp>##V3_BDPV12</stp>
        <stp>US912828NK23 Corp</stp>
        <stp>PENULTIMATE_CPN_DT</stp>
        <stp>[portefeuille USD.xlsm]treasuries!R192C25_x0000__x0000_</stp>
        <tr r="Y192" s="13"/>
      </tp>
      <tp t="e">
        <v>#N/A</v>
        <stp/>
        <stp>##V3_BDPV12</stp>
        <stp>US912828QB96 Corp</stp>
        <stp>PENULTIMATE_CPN_DT</stp>
        <stp>[portefeuille USD.xlsm]treasuries!R206C25_x0000__x0000_</stp>
        <tr r="Y206" s="13"/>
      </tp>
      <tp t="e">
        <v>#N/A</v>
        <stp/>
        <stp>##V3_BDPV12</stp>
        <stp>US912828SF82 Corp</stp>
        <stp>PENULTIMATE_CPN_DT</stp>
        <stp>[portefeuille USD.xlsm]treasuries!R247C25_x0000__x0000_</stp>
        <tr r="Y247" s="13"/>
      </tp>
      <tp t="e">
        <v>#N/A</v>
        <stp/>
        <stp>##V3_BDPV12</stp>
        <stp>XS0284982922 Corp</stp>
        <stp>FIRST_CPN_DT</stp>
        <stp>[portefeuille USD.xlsm]SSA!R114C23_x0000__x0000_</stp>
        <tr r="W114" s="16"/>
      </tp>
      <tp t="e">
        <v>#N/A</v>
        <stp/>
        <stp>##V3_BDPV12</stp>
        <stp>EH539714 Corp Corp</stp>
        <stp>ISSUE_DT</stp>
        <stp>[portefeuille USD.xlsm]SSA!R34C21_x0000__x0000_</stp>
        <tr r="U34" s="16"/>
      </tp>
      <tp t="e">
        <v>#N/A</v>
        <stp/>
        <stp>##V3_BDPV12</stp>
        <stp>EH790357 Corp Corp</stp>
        <stp>CPN_FREQ</stp>
        <stp>[portefeuille USD.xlsm]SSA!R28C27_x0000__x0000_</stp>
        <tr r="AA28" s="16"/>
      </tp>
      <tp t="e">
        <v>#N/A</v>
        <stp/>
        <stp>##V3_BDPV12</stp>
        <stp>EH539714 Corp Corp</stp>
        <stp>MATURITY</stp>
        <stp>[portefeuille USD.xlsm]SSA!R34C25_x0000__x0000_</stp>
        <tr r="Y34" s="16"/>
      </tp>
      <tp t="e">
        <v>#N/A</v>
        <stp/>
        <stp>##V3_BDPV12</stp>
        <stp>XS0561837013 Corp</stp>
        <stp>YLD_YTM_ASK</stp>
        <stp>[portefeuille USD.xlsm]SSA!R128C8_x0000_R</stp>
        <tr r="H128" s="16"/>
      </tp>
      <tp t="e">
        <v>#N/A</v>
        <stp/>
        <stp>##V3_BDPV12</stp>
        <stp>US298785FB78 Corp</stp>
        <stp>DAY_CNT_DES</stp>
        <stp>[portefeuille USD.xlsm]SSA!R61C29_x0000_R</stp>
        <tr r="AC61" s="16"/>
      </tp>
      <tp t="e">
        <v>#N/A</v>
        <stp/>
        <stp>##V3_BDPV12</stp>
        <stp>FR0011018332 Corp</stp>
        <stp>DAY_CNT_DES</stp>
        <stp>[portefeuille USD.xlsm]SSA!R87C29_x0000__x0000_</stp>
        <tr r="AC87" s="16"/>
      </tp>
      <tp t="e">
        <v>#N/A</v>
        <stp/>
        <stp>##V3_BDPV12</stp>
        <stp>US298785DU77 Corp</stp>
        <stp>DAY_CNT_DES</stp>
        <stp>[portefeuille USD.xlsm]SSA!R68C29_x0000_R</stp>
        <tr r="AC68" s="16"/>
      </tp>
      <tp t="e">
        <v>#N/A</v>
        <stp/>
        <stp>##V3_BDPV12</stp>
        <stp>US298785FK77 Corp</stp>
        <stp>DAY_CNT_DES</stp>
        <stp>[portefeuille USD.xlsm]SSA!R69C29_x0000_R</stp>
        <tr r="AC69" s="16"/>
      </tp>
      <tp t="e">
        <v>#N/A</v>
        <stp/>
        <stp>##V3_BDPV12</stp>
        <stp>US298785FC51 Corp</stp>
        <stp>DAY_CNT_DES</stp>
        <stp>[portefeuille USD.xlsm]SSA!R42C29_x0000_R</stp>
        <tr r="AC42" s="16"/>
      </tp>
      <tp t="e">
        <v>#N/A</v>
        <stp/>
        <stp>##V3_BDPV12</stp>
        <stp>FR0010998104 Corp</stp>
        <stp>YLD_YTM_ASK</stp>
        <stp>[portefeuille USD.xlsm]SSA!R105C8_x0000_R</stp>
        <tr r="H105" s="16"/>
      </tp>
      <tp t="e">
        <v>#N/A</v>
        <stp/>
        <stp>##V3_BDPV12</stp>
        <stp>US298785EV42 Corp</stp>
        <stp>DAY_CNT_DES</stp>
        <stp>[portefeuille USD.xlsm]SSA!R52C29_x0000_R</stp>
        <tr r="AC52" s="16"/>
      </tp>
      <tp t="e">
        <v>#N/A</v>
        <stp/>
        <stp>##V3_BDPV12</stp>
        <stp>XS0490844718 Corp</stp>
        <stp>YLD_YTM_ASK</stp>
        <stp>[portefeuille USD.xlsm]SSA!R127C8_x0000_R</stp>
        <tr r="H127" s="16"/>
      </tp>
      <tp t="e">
        <v>#N/A</v>
        <stp/>
        <stp>##V3_BDPV12</stp>
        <stp>XS0506368363 Corp</stp>
        <stp>CPN</stp>
        <stp>[portefeuille USD.xlsm]SSA!R18C26_x0000__x0000_</stp>
        <tr r="Z18" s="16"/>
      </tp>
      <tp t="e">
        <v>#N/A</v>
        <stp/>
        <stp>##V3_BDPV12</stp>
        <stp>XS0460002859 Corp</stp>
        <stp>CPN</stp>
        <stp>[portefeuille USD.xlsm]SSA!R16C26_x0000__x0000_</stp>
        <tr r="Z16" s="16"/>
      </tp>
      <tp t="e">
        <v>#N/A</v>
        <stp/>
        <stp>##V3_BDPV12</stp>
        <stp>US298785FT86 Corp</stp>
        <stp>CPN</stp>
        <stp>[portefeuille USD.xlsm]SSA!R60C26_x0000__x0000_</stp>
        <tr r="Z60" s="16"/>
      </tp>
      <tp t="e">
        <v>#N/A</v>
        <stp/>
        <stp>##V3_BDPV12</stp>
        <stp>XS0742416380 Corp</stp>
        <stp>CPN</stp>
        <stp>[portefeuille USD.xlsm]SSA!R82C26_x0000_R</stp>
        <tr r="Z82" s="16"/>
      </tp>
      <tp t="e">
        <v>#N/A</v>
        <stp/>
        <stp>##V3_BDPV12</stp>
        <stp>US298785DY99 Corp</stp>
        <stp>CPN</stp>
        <stp>[portefeuille USD.xlsm]SSA!R72C26_x0000_R</stp>
        <tr r="Z72" s="16"/>
      </tp>
      <tp t="e">
        <v>#N/A</v>
        <stp/>
        <stp>##V3_BDPV12</stp>
        <stp>XS0749451398 Corp</stp>
        <stp>CPN</stp>
        <stp>[portefeuille USD.xlsm]SSA!R99C26_x0000__x0000_</stp>
        <tr r="Z99" s="16"/>
      </tp>
      <tp t="e">
        <v>#N/A</v>
        <stp/>
        <stp>##V3_BDPV12</stp>
        <stp>US912828ME71 Corp</stp>
        <stp>INT_ACC_DT</stp>
        <stp>[portefeuille USD.xlsm]treasuries!R124C23_x0000__x0000_</stp>
        <tr r="W124" s="13"/>
      </tp>
      <tp t="e">
        <v>#N/A</v>
        <stp/>
        <stp>##V3_BDPV12</stp>
        <stp>US912810FA17 Corp</stp>
        <stp>INT_ACC_DT</stp>
        <stp>[portefeuille USD.xlsm]treasuries!R260C23_x0000__x0000_</stp>
        <tr r="W260" s="13"/>
      </tp>
      <tp t="e">
        <v>#N/A</v>
        <stp/>
        <stp>##V3_BDPV12</stp>
        <stp>US912810ED64 Corp</stp>
        <stp>INT_ACC_DT</stp>
        <stp>[portefeuille USD.xlsm]treasuries!R230C23_x0000__x0000_</stp>
        <tr r="W230" s="13"/>
      </tp>
      <tp t="e">
        <v>#N/A</v>
        <stp/>
        <stp>##V3_BDPV12</stp>
        <stp>US912828RC60 Corp</stp>
        <stp>INT_ACC_DT</stp>
        <stp>[portefeuille USD.xlsm]treasuries!R243C23_x0000__x0000_</stp>
        <tr r="W243" s="13"/>
      </tp>
      <tp t="e">
        <v>#N/A</v>
        <stp/>
        <stp>##V3_BDPV12</stp>
        <stp>US912828SE18 Corp</stp>
        <stp>INT_ACC_DT</stp>
        <stp>[portefeuille USD.xlsm]treasuries!R129C23_x0000__x0000_</stp>
        <tr r="W129" s="13"/>
      </tp>
      <tp t="e">
        <v>#N/A</v>
        <stp/>
        <stp>##V3_BDPV12</stp>
        <stp>US912828ND89 Corp</stp>
        <stp>INT_ACC_DT</stp>
        <stp>[portefeuille USD.xlsm]treasuries!R235C23_x0000__x0000_</stp>
        <tr r="W235" s="13"/>
      </tp>
      <tp t="e">
        <v>#N/A</v>
        <stp/>
        <stp>##V3_BDPV12</stp>
        <stp>US912828QG83 Corp</stp>
        <stp>INT_ACC_DT</stp>
        <stp>[portefeuille USD.xlsm]treasuries!R207C23_x0000__x0000_</stp>
        <tr r="W207" s="13"/>
      </tp>
      <tp t="e">
        <v>#N/A</v>
        <stp/>
        <stp>##V3_BDPV12</stp>
        <stp>US912828NU05 Corp</stp>
        <stp>MATURITY</stp>
        <stp>[portefeuille USD.xlsm]treasuries!R74C26_x0000__x0000_</stp>
        <tr r="Z74" s="13"/>
      </tp>
      <tp t="e">
        <v>#N/A</v>
        <stp/>
        <stp>##V3_BDPV12</stp>
        <stp>US912828MB33 Corp</stp>
        <stp>MATURITY</stp>
        <stp>[portefeuille USD.xlsm]treasuries!R42C26_x0000__x0000_</stp>
        <tr r="Z42" s="13"/>
      </tp>
      <tp t="e">
        <v>#N/A</v>
        <stp/>
        <stp>##V3_BDPV12</stp>
        <stp>US912828EE63 Corp</stp>
        <stp>PENULTIMATE_CPN_DT</stp>
        <stp>[portefeuille USD.xlsm]treasuries!R140C25_x0000__x0000_</stp>
        <tr r="Y140" s="13"/>
      </tp>
      <tp t="e">
        <v>#N/A</v>
        <stp/>
        <stp>##V3_BDPV12</stp>
        <stp>US912828DC17 Corp</stp>
        <stp>PENULTIMATE_CPN_DT</stp>
        <stp>[portefeuille USD.xlsm]treasuries!R120C25_x0000__x0000_</stp>
        <tr r="Y120" s="13"/>
      </tp>
      <tp t="e">
        <v>#N/A</v>
        <stp/>
        <stp>##V3_BDPV12</stp>
        <stp>US12802NAA28 Corp</stp>
        <stp>DAY_CNT_DES</stp>
        <stp>[portefeuille USD.xlsm]SSA!R95C29_x0000__x0000_</stp>
        <tr r="AC95" s="16"/>
      </tp>
      <tp t="e">
        <v>#N/A</v>
        <stp/>
        <stp>##V3_BDPV12</stp>
        <stp>FR0010998104 Corp</stp>
        <stp>INT_ACC_DT</stp>
        <stp>[portefeuille USD.xlsm]SSA!R105C22_x0000__x0000_</stp>
        <tr r="V105" s="16"/>
      </tp>
      <tp t="e">
        <v>#N/A</v>
        <stp/>
        <stp>##V3_BDPV12</stp>
        <stp>US912828PE45 Corp</stp>
        <stp>PENULTIMATE_CPN_DT</stp>
        <stp>[portefeuille USD.xlsm]treasuries!R144C25_x0000__x0000_</stp>
        <tr r="Y144" s="13"/>
      </tp>
      <tp t="e">
        <v>#N/A</v>
        <stp/>
        <stp>##V3_BDPV12</stp>
        <stp>US912810FG86 Corp</stp>
        <stp>PENULTIMATE_CPN_DT</stp>
        <stp>[portefeuille USD.xlsm]treasuries!R264C25_x0000__x0000_</stp>
        <tr r="Y264" s="13"/>
      </tp>
      <tp t="e">
        <v>#N/A</v>
        <stp/>
        <stp>##V3_BDPV12</stp>
        <stp>US912810EA26 Corp</stp>
        <stp>PENULTIMATE_CPN_DT</stp>
        <stp>[portefeuille USD.xlsm]treasuries!R208C25_x0000__x0000_</stp>
        <tr r="Y208" s="13"/>
      </tp>
      <tp t="e">
        <v>#N/A</v>
        <stp/>
        <stp>##V3_BDPV12</stp>
        <stp>US912810EC81 Corp</stp>
        <stp>PENULTIMATE_CPN_DT</stp>
        <stp>[portefeuille USD.xlsm]treasuries!R222C25_x0000__x0000_</stp>
        <tr r="Y222" s="13"/>
      </tp>
      <tp t="e">
        <v>#N/A</v>
        <stp/>
        <stp>##V3_BDPV12</stp>
        <stp>FR0010998104 Corp</stp>
        <stp>CPN</stp>
        <stp>[portefeuille USD.xlsm]SSA!R105C26_x0000__x0000_</stp>
        <tr r="Z105" s="16"/>
      </tp>
      <tp t="e">
        <v>#N/A</v>
        <stp/>
        <stp>##V3_BDPV12</stp>
        <stp>XS0300990529 Corp</stp>
        <stp>INT_ACC_DT</stp>
        <stp>[portefeuille USD.xlsm]SSA!R122C22_x0000__x0000_</stp>
        <tr r="V122" s="16"/>
      </tp>
      <tp t="e">
        <v>#N/A</v>
        <stp/>
        <stp>##V3_BDPV12</stp>
        <stp>US298785DR49 Corp</stp>
        <stp>DAY_CNT_DES</stp>
        <stp>[portefeuille USD.xlsm]SSA!R67C29_x0000_R</stp>
        <tr r="AC67" s="16"/>
      </tp>
      <tp t="e">
        <v>#N/A</v>
        <stp/>
        <stp>##V3_BDPV12</stp>
        <stp>US298785FU59 Corp</stp>
        <stp>DAY_CNT_DES</stp>
        <stp>[portefeuille USD.xlsm]SSA!R77C29_x0000_R</stp>
        <tr r="AC77" s="16"/>
      </tp>
      <tp t="e">
        <v>#N/A</v>
        <stp/>
        <stp>##V3_BDPV12</stp>
        <stp>XS0576210289 Corp</stp>
        <stp>YLD_YTM_ASK</stp>
        <stp>[portefeuille USD.xlsm]SSA!R116C8_x0000_R</stp>
        <tr r="H116" s="16"/>
      </tp>
      <tp t="e">
        <v>#N/A</v>
        <stp/>
        <stp>##V3_BDPV12</stp>
        <stp>XS0558939269 Corp</stp>
        <stp>CPN</stp>
        <stp>[portefeuille USD.xlsm]SSA!R80C26_x0000_R</stp>
        <tr r="Z80" s="16"/>
      </tp>
      <tp t="e">
        <v>#N/A</v>
        <stp/>
        <stp>##V3_BDPV12</stp>
        <stp>XS0637187773 Corp</stp>
        <stp>CPN</stp>
        <stp>[portefeuille USD.xlsm]SSA!R15C26_x0000__x0000_</stp>
        <tr r="Z15" s="16"/>
      </tp>
      <tp t="e">
        <v>#N/A</v>
        <stp/>
        <stp>##V3_BDPV12</stp>
        <stp>US298785EY80 Corp</stp>
        <stp>CPN</stp>
        <stp>[portefeuille USD.xlsm]SSA!R57C26_x0000_R</stp>
        <tr r="Z57" s="16"/>
      </tp>
      <tp t="e">
        <v>#N/A</v>
        <stp/>
        <stp>##V3_BDPV12</stp>
        <stp>US298785DV50 Corp</stp>
        <stp>CPN</stp>
        <stp>[portefeuille USD.xlsm]SSA!R86C26_x0000_R</stp>
        <tr r="Z86" s="16"/>
      </tp>
      <tp t="e">
        <v>#N/A</v>
        <stp/>
        <stp>##V3_BDPV12</stp>
        <stp>XS0347750365 Corp</stp>
        <stp>CPN</stp>
        <stp>[portefeuille USD.xlsm]SSA!R64C26_x0000_R</stp>
        <tr r="Z64" s="16"/>
      </tp>
      <tp t="e">
        <v>#N/A</v>
        <stp/>
        <stp>##V3_BDPV12</stp>
        <stp>US912828RG74 Corp</stp>
        <stp>INT_ACC_DT</stp>
        <stp>[portefeuille USD.xlsm]treasuries!R116C23_x0000__x0000_</stp>
        <tr r="W116" s="13"/>
      </tp>
      <tp t="e">
        <v>#N/A</v>
        <stp/>
        <stp>##V3_BDPV12</stp>
        <stp>US912828MA59 Corp</stp>
        <stp>INT_ACC_DT</stp>
        <stp>[portefeuille USD.xlsm]treasuries!R175C23_x0000__x0000_</stp>
        <tr r="W175" s="13"/>
      </tp>
      <tp t="e">
        <v>#N/A</v>
        <stp/>
        <stp>##V3_BDPV12</stp>
        <stp>US912810QN19 Corp</stp>
        <stp>INT_ACC_DT</stp>
        <stp>[portefeuille USD.xlsm]treasuries!R281C23_x0000__x0000_</stp>
        <tr r="W281" s="13"/>
      </tp>
      <tp t="e">
        <v>#N/A</v>
        <stp/>
        <stp>##V3_BDPV12</stp>
        <stp>US912828RA05 Corp</stp>
        <stp>MATURITY</stp>
        <stp>[portefeuille USD.xlsm]treasuries!R69C26_x0000__x0000_</stp>
        <tr r="Z69" s="13"/>
      </tp>
      <tp t="e">
        <v>#N/A</v>
        <stp/>
        <stp>##V3_BDPV12</stp>
        <stp>US912828KD17 Corp</stp>
        <stp>INT_ACC_DT</stp>
        <stp>[portefeuille USD.xlsm]treasuries!R223C23_x0000__x0000_</stp>
        <tr r="W223" s="13"/>
      </tp>
      <tp t="e">
        <v>#N/A</v>
        <stp/>
        <stp>##V3_BDPV12</stp>
        <stp>US912828SD35 Corp</stp>
        <stp>INT_ACC_DT</stp>
        <stp>[portefeuille USD.xlsm]treasuries!R221C23_x0000__x0000_</stp>
        <tr r="W221" s="13"/>
      </tp>
      <tp t="e">
        <v>#N/A</v>
        <stp/>
        <stp>##V3_BDPV12</stp>
        <stp>US912810EE48 Corp</stp>
        <stp>INT_ACC_DT</stp>
        <stp>[portefeuille USD.xlsm]treasuries!R232C23_x0000__x0000_</stp>
        <tr r="W232" s="13"/>
      </tp>
      <tp t="e">
        <v>#N/A</v>
        <stp/>
        <stp>##V3_BDPV12</stp>
        <stp>US912810QA97 Corp</stp>
        <stp>INT_ACC_DT</stp>
        <stp>[portefeuille USD.xlsm]treasuries!R273C23_x0000__x0000_</stp>
        <tr r="W273" s="13"/>
      </tp>
      <tp t="e">
        <v>#N/A</v>
        <stp/>
        <stp>##V3_BDPV12</stp>
        <stp>US912828MG20 Corp</stp>
        <stp>MATURITY</stp>
        <stp>[portefeuille USD.xlsm]treasuries!R46C26_x0000__x0000_</stp>
        <tr r="Z46" s="13"/>
      </tp>
      <tp t="e">
        <v>#N/A</v>
        <stp/>
        <stp>##V3_BDPV12</stp>
        <stp>US912828HC70 Corp</stp>
        <stp>MATURITY</stp>
        <stp>[portefeuille USD.xlsm]treasuries!R17C26_x0000__x0000_</stp>
        <tr r="Z17" s="13"/>
      </tp>
      <tp t="e">
        <v>#N/A</v>
        <stp/>
        <stp>##V3_BDPV12</stp>
        <stp>US912828NC07 Corp</stp>
        <stp>MATURITY</stp>
        <stp>[portefeuille USD.xlsm]treasuries!R63C26_x0000__x0000_</stp>
        <tr r="Z63" s="13"/>
      </tp>
      <tp t="e">
        <v>#N/A</v>
        <stp/>
        <stp>##V3_BDPV12</stp>
        <stp>US912828PH75 Corp</stp>
        <stp>MATURITY</stp>
        <stp>[portefeuille USD.xlsm]treasuries!R16C26_x0000__x0000_</stp>
        <tr r="Z16" s="13"/>
      </tp>
      <tp t="e">
        <v>#N/A</v>
        <stp/>
        <stp>##V3_BDPV12</stp>
        <stp>US912828AP56 Corp</stp>
        <stp>MATURITY</stp>
        <stp>[portefeuille USD.xlsm]treasuries!R35C26_x0000__x0000_</stp>
        <tr r="Z35" s="13"/>
      </tp>
      <tp t="e">
        <v>#N/A</v>
        <stp/>
        <stp>##V3_BDPV12</stp>
        <stp>XS0576210289 Corp</stp>
        <stp>CPN</stp>
        <stp>[portefeuille USD.xlsm]SSA!R116C26_x0000__x0000_</stp>
        <tr r="Z116" s="16"/>
      </tp>
      <tp t="e">
        <v>#N/A</v>
        <stp/>
        <stp>##V3_BDPV12</stp>
        <stp>US912828NX44 Corp</stp>
        <stp>MATURITY</stp>
        <stp>[portefeuille USD.xlsm]treasuries!R24C26_x0000__x0000_</stp>
        <tr r="Z24" s="13"/>
      </tp>
      <tp t="e">
        <v>#N/A</v>
        <stp/>
        <stp>##V3_BDPV12</stp>
        <stp>US9127955V99 Corp</stp>
        <stp>MATURITY</stp>
        <stp>[portefeuille USD.xlsm]treasuries!R45C26_x0000__x0000_</stp>
        <tr r="Z45" s="13"/>
      </tp>
      <tp t="e">
        <v>#N/A</v>
        <stp/>
        <stp>##V3_BDPV12</stp>
        <stp>US912828GH76 Corp</stp>
        <stp>PENULTIMATE_CPN_DT</stp>
        <stp>[portefeuille USD.xlsm]treasuries!R181C25_x0000__x0000_</stp>
        <tr r="Y181" s="13"/>
      </tp>
      <tp t="e">
        <v>#N/A</v>
        <stp/>
        <stp>##V3_BDPV12</stp>
        <stp>US912828RF91 Corp</stp>
        <stp>PENULTIMATE_CPN_DT</stp>
        <stp>[portefeuille USD.xlsm]treasuries!R168C25_x0000__x0000_</stp>
        <tr r="Y168" s="13"/>
      </tp>
      <tp t="e">
        <v>#N/A</v>
        <stp/>
        <stp>##V3_BDPV12</stp>
        <stp>US912810FF04 Corp</stp>
        <stp>PENULTIMATE_CPN_DT</stp>
        <stp>[portefeuille USD.xlsm]treasuries!R263C25_x0000__x0000_</stp>
        <tr r="Y263" s="13"/>
      </tp>
      <tp t="e">
        <v>#N/A</v>
        <stp/>
        <stp>##V3_BDPV12</stp>
        <stp>US912828PC88 Corp</stp>
        <stp>PENULTIMATE_CPN_DT</stp>
        <stp>[portefeuille USD.xlsm]treasuries!R238C25_x0000__x0000_</stp>
        <tr r="Y238" s="13"/>
      </tp>
      <tp t="e">
        <v>#N/A</v>
        <stp/>
        <stp>##V3_BDPV12</stp>
        <stp>US912828TA86 Corp</stp>
        <stp>PENULTIMATE_CPN_DT</stp>
        <stp>[portefeuille USD.xlsm]treasuries!R110C25_x0000__x0000_</stp>
        <tr r="Y110" s="13"/>
      </tp>
      <tp t="e">
        <v>#N/A</v>
        <stp/>
        <stp>##V3_BDPV12</stp>
        <stp>US912828TA86 Govt</stp>
        <stp>INT_ACC</stp>
        <stp>[portefeuille USD.xlsm]MV Repo!R18C6_x0000__x0000_</stp>
        <tr r="F18" s="6"/>
      </tp>
      <tp t="e">
        <v>#N/A</v>
        <stp/>
        <stp>##V3_BDPV12</stp>
        <stp>EI143648 Corp Corp</stp>
        <stp>CPN_FREQ</stp>
        <stp>[portefeuille USD.xlsm]SSA!R32C27_x0000__x0000_</stp>
        <tr r="AA32" s="16"/>
      </tp>
      <tp t="e">
        <v>#N/A</v>
        <stp/>
        <stp>##V3_BDPV12</stp>
        <stp>XS0252479497 Corp</stp>
        <stp>DAY_CNT_DES</stp>
        <stp>[portefeuille USD.xlsm]SSA!R45C29_x0000_R</stp>
        <tr r="AC45" s="16"/>
      </tp>
      <tp t="e">
        <v>#N/A</v>
        <stp/>
        <stp>##V3_BDPV12</stp>
        <stp>US298785FQ48 Corp</stp>
        <stp>DAY_CNT_DES</stp>
        <stp>[portefeuille USD.xlsm]SSA!R71C29_x0000_R</stp>
        <tr r="AC71" s="16"/>
      </tp>
      <tp t="e">
        <v>#N/A</v>
        <stp/>
        <stp>##V3_BDPV12</stp>
        <stp>FR0010815332 Corp</stp>
        <stp>YLD_YTM_ASK</stp>
        <stp>[portefeuille USD.xlsm]SSA!R100C8_x0000_R</stp>
        <tr r="H100" s="16"/>
      </tp>
      <tp t="e">
        <v>#N/A</v>
        <stp/>
        <stp>##V3_BDPV12</stp>
        <stp>XS0300990529 Corp</stp>
        <stp>YLD_YTM_ASK</stp>
        <stp>[portefeuille USD.xlsm]SSA!R122C8_x0000_R</stp>
        <tr r="H122" s="16"/>
      </tp>
      <tp t="e">
        <v>#N/A</v>
        <stp/>
        <stp>##V3_BDPV12</stp>
        <stp>FR0010862581 Corp</stp>
        <stp>DAY_CNT_DES</stp>
        <stp>[portefeuille USD.xlsm]SSA!R97C29_x0000__x0000_</stp>
        <tr r="AC97" s="16"/>
      </tp>
      <tp t="e">
        <v>#N/A</v>
        <stp/>
        <stp>##V3_BDPV12</stp>
        <stp>US298785FP64 Corp</stp>
        <stp>DAY_CNT_DES</stp>
        <stp>[portefeuille USD.xlsm]SSA!R55C29_x0000_R</stp>
        <tr r="AC55" s="16"/>
      </tp>
      <tp t="e">
        <v>#N/A</v>
        <stp/>
        <stp>##V3_BDPV12</stp>
        <stp>XS0284982922 Corp</stp>
        <stp>YLD_YTM_ASK</stp>
        <stp>[portefeuille USD.xlsm]SSA!R114C8_x0000_R</stp>
        <tr r="H114" s="16"/>
      </tp>
      <tp t="e">
        <v>#N/A</v>
        <stp/>
        <stp>##V3_BDPV12</stp>
        <stp>XS0546234450 Corp</stp>
        <stp>CPN</stp>
        <stp>[portefeuille USD.xlsm]SSA!R19C26_x0000__x0000_</stp>
        <tr r="Z19" s="16"/>
      </tp>
      <tp t="e">
        <v>#N/A</v>
        <stp/>
        <stp>##V3_BDPV12</stp>
        <stp>US298785EK86 Corp</stp>
        <stp>CPN</stp>
        <stp>[portefeuille USD.xlsm]SSA!R43C26_x0000_R</stp>
        <tr r="Z43" s="16"/>
      </tp>
      <tp t="e">
        <v>#N/A</v>
        <stp/>
        <stp>##V3_BDPV12</stp>
        <stp>FR0010945279 Corp</stp>
        <stp>CPN</stp>
        <stp>[portefeuille USD.xlsm]SSA!R89C26_x0000__x0000_</stp>
        <tr r="Z89" s="16"/>
      </tp>
      <tp t="e">
        <v>#N/A</v>
        <stp/>
        <stp>##V3_BDPV12</stp>
        <stp>US298785FF82 Corp</stp>
        <stp>CPN</stp>
        <stp>[portefeuille USD.xlsm]SSA!R49C26_x0000_R</stp>
        <tr r="Z49" s="16"/>
      </tp>
      <tp t="e">
        <v>#N/A</v>
        <stp/>
        <stp>##V3_BDPV12</stp>
        <stp>US298785FH49 Corp</stp>
        <stp>CPN</stp>
        <stp>[portefeuille USD.xlsm]SSA!R84C26_x0000_R</stp>
        <tr r="Z84" s="16"/>
      </tp>
      <tp t="e">
        <v>#N/A</v>
        <stp/>
        <stp>##V3_BDPV12</stp>
        <stp>FR0010956565 Corp</stp>
        <stp>CPN</stp>
        <stp>[portefeuille USD.xlsm]SSA!R90C26_x0000__x0000_</stp>
        <tr r="Z90" s="16"/>
      </tp>
      <tp t="e">
        <v>#N/A</v>
        <stp/>
        <stp>##V3_BDPV12</stp>
        <stp>US912828RH57 Corp</stp>
        <stp>INT_ACC_DT</stp>
        <stp>[portefeuille USD.xlsm]treasuries!R215C23_x0000__x0000_</stp>
        <tr r="W215" s="13"/>
      </tp>
      <tp t="e">
        <v>#N/A</v>
        <stp/>
        <stp>##V3_BDPV12</stp>
        <stp>US912828NA41 Corp</stp>
        <stp>INT_ACC_DT</stp>
        <stp>[portefeuille USD.xlsm]treasuries!R187C23_x0000__x0000_</stp>
        <tr r="W187" s="13"/>
      </tp>
      <tp t="e">
        <v>#N/A</v>
        <stp/>
        <stp>##V3_BDPV12</stp>
        <stp>US9127956P13 Corp</stp>
        <stp>MATURITY</stp>
        <stp>[portefeuille USD.xlsm]treasuries!R32C26_x0000__x0000_</stp>
        <tr r="Z32" s="13"/>
      </tp>
      <tp t="e">
        <v>#N/A</v>
        <stp/>
        <stp>##V3_BDPV12</stp>
        <stp>US912828JH40 Corp</stp>
        <stp>INT_ACC_DT</stp>
        <stp>[portefeuille USD.xlsm]treasuries!R213C23_x0000__x0000_</stp>
        <tr r="W213" s="13"/>
      </tp>
      <tp t="e">
        <v>#N/A</v>
        <stp/>
        <stp>##V3_BDPV12</stp>
        <stp>US912828RS13 Corp</stp>
        <stp>MATURITY</stp>
        <stp>[portefeuille USD.xlsm]treasuries!R86C26_x0000__x0000_</stp>
        <tr r="Z86" s="13"/>
      </tp>
      <tp t="e">
        <v>#N/A</v>
        <stp/>
        <stp>##V3_BDPV12</stp>
        <stp>XS0705646452 Corp</stp>
        <stp>CPN</stp>
        <stp>[portefeuille USD.xlsm]SSA!R121C26_x0000__x0000_</stp>
        <tr r="Z121" s="16"/>
      </tp>
      <tp t="e">
        <v>#N/A</v>
        <stp/>
        <stp>##V3_BDPV12</stp>
        <stp>US912810EM63 Corp</stp>
        <stp>INT_ACC_DT</stp>
        <stp>[portefeuille USD.xlsm]treasuries!R249C23_x0000__x0000_</stp>
        <tr r="W249" s="13"/>
      </tp>
      <tp t="e">
        <v>#N/A</v>
        <stp/>
        <stp>##V3_BDPV12</stp>
        <stp>US912828PM60 Corp</stp>
        <stp>INT_ACC_DT</stp>
        <stp>[portefeuille USD.xlsm]treasuries!R148C23_x0000__x0000_</stp>
        <tr r="W148" s="13"/>
      </tp>
      <tp t="e">
        <v>#N/A</v>
        <stp/>
        <stp>##V3_BDPV12</stp>
        <stp>US9127955L18 Corp</stp>
        <stp>MATURITY</stp>
        <stp>[portefeuille USD.xlsm]treasuries!R34C26_x0000__x0000_</stp>
        <tr r="Z34" s="13"/>
      </tp>
      <tp t="e">
        <v>#N/A</v>
        <stp/>
        <stp>##V3_BDPV12</stp>
        <stp>US912810EK08 Corp</stp>
        <stp>PENULTIMATE_CPN_DT</stp>
        <stp>[portefeuille USD.xlsm]treasuries!R244C25_x0000__x0000_</stp>
        <tr r="Y244" s="13"/>
      </tp>
      <tp t="e">
        <v>#N/A</v>
        <stp/>
        <stp>##V3_BDPV12</stp>
        <stp>XS0576210289 Corp</stp>
        <stp>FIRST_CPN_DT</stp>
        <stp>[portefeuille USD.xlsm]SSA!R116C23_x0000__x0000_</stp>
        <tr r="W116" s="16"/>
      </tp>
      <tp t="e">
        <v>#N/A</v>
        <stp/>
        <stp>##V3_BDPV12</stp>
        <stp>US912828QJ23 Corp</stp>
        <stp>PENULTIMATE_CPN_DT</stp>
        <stp>[portefeuille USD.xlsm]treasuries!R153C25_x0000__x0000_</stp>
        <tr r="Y153" s="13"/>
      </tp>
      <tp t="e">
        <v>#N/A</v>
        <stp/>
        <stp>##V3_BDPV12</stp>
        <stp>US912828DM98 Corp</stp>
        <stp>PENULTIMATE_CPN_DT</stp>
        <stp>[portefeuille USD.xlsm]treasuries!R128C25_x0000__x0000_</stp>
        <tr r="Y128" s="13"/>
      </tp>
      <tp t="e">
        <v>#N/A</v>
        <stp/>
        <stp>##V3_BDPV12</stp>
        <stp>XS0610555681 Corp</stp>
        <stp>FIRST_CPN_DT</stp>
        <stp>[portefeuille USD.xlsm]SSA!R123C23_x0000__x0000_</stp>
        <tr r="W123" s="16"/>
      </tp>
      <tp t="e">
        <v>#N/A</v>
        <stp/>
        <stp>##V3_BDPV12</stp>
        <stp>FR0010815332 Corp</stp>
        <stp>CPN</stp>
        <stp>[portefeuille USD.xlsm]SSA!R100C26_x0000__x0000_</stp>
        <tr r="Z100" s="16"/>
      </tp>
      <tp t="e">
        <v>#N/A</v>
        <stp/>
        <stp>##V3_BDPV12</stp>
        <stp>XS0270250136 Corp</stp>
        <stp>FIRST_CPN_DT</stp>
        <stp>[portefeuille USD.xlsm]SSA!R115C23_x0000__x0000_</stp>
        <tr r="W115" s="16"/>
      </tp>
      <tp t="e">
        <v>#N/A</v>
        <stp/>
        <stp>##V3_BDPV12</stp>
        <stp>FR0010306340 Corp</stp>
        <stp>INT_ACC_DT</stp>
        <stp>[portefeuille USD.xlsm]SSA!R109C22_x0000__x0000_</stp>
        <tr r="V109" s="16"/>
      </tp>
      <tp t="e">
        <v>#N/A</v>
        <stp/>
        <stp>##V3_BDPV12</stp>
        <stp>US912810QH41 Corp</stp>
        <stp>PENULTIMATE_CPN_DT</stp>
        <stp>[portefeuille USD.xlsm]treasuries!R278C25_x0000__x0000_</stp>
        <tr r="Y278" s="13"/>
      </tp>
      <tp t="e">
        <v>#N/A</v>
        <stp/>
        <stp>##V3_BDPV12</stp>
        <stp>XS0546548636 Corp</stp>
        <stp>INT_ACC_DT</stp>
        <stp>[portefeuille USD.xlsm]SSA!R117C22_x0000__x0000_</stp>
        <tr r="V117" s="16"/>
      </tp>
      <tp t="e">
        <v>#N/A</v>
        <stp/>
        <stp>##V3_BDPV12</stp>
        <stp>US912828NL06 Corp</stp>
        <stp>PENULTIMATE_CPN_DT</stp>
        <stp>[portefeuille USD.xlsm]treasuries!R138C25_x0000__x0000_</stp>
        <tr r="Y138" s="13"/>
      </tp>
      <tp t="e">
        <v>#N/A</v>
        <stp/>
        <stp>##V3_BDPV12</stp>
        <stp>US912828PF10 Corp</stp>
        <stp>PENULTIMATE_CPN_DT</stp>
        <stp>[portefeuille USD.xlsm]treasuries!R199C25_x0000__x0000_</stp>
        <tr r="Y199" s="13"/>
      </tp>
      <tp t="e">
        <v>#N/A</v>
        <stp/>
        <stp>##V3_BDPV12</stp>
        <stp>US912828RN26 Govt</stp>
        <stp>INT_ACC</stp>
        <stp>[portefeuille USD.xlsm]MV Repo!R13C6_x0000__x0000_</stp>
        <tr r="F13" s="6"/>
      </tp>
      <tp t="e">
        <v>#N/A</v>
        <stp/>
        <stp>##V3_BDPV12</stp>
        <stp>EF684257 Corp Corp</stp>
        <stp>ISSUE_DT</stp>
        <stp>[portefeuille USD.xlsm]SSA!R38C21_x0000__x0000_</stp>
        <tr r="U38" s="16"/>
      </tp>
      <tp t="e">
        <v>#N/A</v>
        <stp/>
        <stp>##V3_BDPV12</stp>
        <stp>EG914838 Corp Corp</stp>
        <stp>ISSUE_DT</stp>
        <stp>[portefeuille USD.xlsm]SSA!R37C21_x0000__x0000_</stp>
        <tr r="U37" s="16"/>
      </tp>
      <tp t="e">
        <v>#N/A</v>
        <stp/>
        <stp>##V3_BDPV12</stp>
        <stp>EG914838 Corp Corp</stp>
        <stp>MATURITY</stp>
        <stp>[portefeuille USD.xlsm]SSA!R37C25_x0000__x0000_</stp>
        <tr r="Y37" s="16"/>
      </tp>
      <tp t="e">
        <v>#N/A</v>
        <stp/>
        <stp>##V3_BDPV12</stp>
        <stp>EF684257 Corp Corp</stp>
        <stp>MATURITY</stp>
        <stp>[portefeuille USD.xlsm]SSA!R38C25_x0000__x0000_</stp>
        <tr r="Y38" s="16"/>
      </tp>
      <tp t="e">
        <v>#N/A</v>
        <stp/>
        <stp>##V3_BDPV12</stp>
        <stp>US298785FF82 Corp</stp>
        <stp>DAY_CNT_DES</stp>
        <stp>[portefeuille USD.xlsm]SSA!R49C29_x0000_R</stp>
        <tr r="AC49" s="16"/>
      </tp>
      <tp t="e">
        <v>#N/A</v>
        <stp/>
        <stp>##V3_BDPV12</stp>
        <stp>FR0010945279 Corp</stp>
        <stp>DAY_CNT_DES</stp>
        <stp>[portefeuille USD.xlsm]SSA!R89C29_x0000__x0000_</stp>
        <tr r="AC89" s="16"/>
      </tp>
      <tp t="e">
        <v>#N/A</v>
        <stp/>
        <stp>##V3_BDPV12</stp>
        <stp>US298785FH49 Corp</stp>
        <stp>DAY_CNT_DES</stp>
        <stp>[portefeuille USD.xlsm]SSA!R84C29_x0000_R</stp>
        <tr r="AC84" s="16"/>
      </tp>
      <tp t="e">
        <v>#N/A</v>
        <stp/>
        <stp>##V3_BDPV12</stp>
        <stp>FR0010956565 Corp</stp>
        <stp>DAY_CNT_DES</stp>
        <stp>[portefeuille USD.xlsm]SSA!R90C29_x0000__x0000_</stp>
        <tr r="AC90" s="16"/>
      </tp>
      <tp t="e">
        <v>#N/A</v>
        <stp/>
        <stp>##V3_BDPV12</stp>
        <stp>FR0010775239 Corp</stp>
        <stp>YLD_YTM_ASK</stp>
        <stp>[portefeuille USD.xlsm]SSA!R103C8_x0000_R</stp>
        <tr r="H103" s="16"/>
      </tp>
      <tp t="e">
        <v>#N/A</v>
        <stp/>
        <stp>##V3_BDPV12</stp>
        <stp>XS0546234450 Corp</stp>
        <stp>DAY_CNT_DES</stp>
        <stp>[portefeuille USD.xlsm]SSA!R19C29_x0000__x0000_</stp>
        <tr r="AC19" s="16"/>
      </tp>
      <tp t="e">
        <v>#N/A</v>
        <stp/>
        <stp>##V3_BDPV12</stp>
        <stp>US298785EK86 Corp</stp>
        <stp>DAY_CNT_DES</stp>
        <stp>[portefeuille USD.xlsm]SSA!R43C29_x0000_R</stp>
        <tr r="AC43" s="16"/>
      </tp>
      <tp t="e">
        <v>#N/A</v>
        <stp/>
        <stp>##V3_BDPV12</stp>
        <stp>US912828GH76 Govt</stp>
        <stp>PX_MID</stp>
        <stp>[portefeuille USD.xlsm]MV Repo!R21C5_x0000__x0000_</stp>
        <tr r="E21" s="6"/>
      </tp>
      <tp t="e">
        <v>#N/A</v>
        <stp/>
        <stp>##V3_BDPV12</stp>
        <stp>US298785FP64 Corp</stp>
        <stp>CPN</stp>
        <stp>[portefeuille USD.xlsm]SSA!R55C26_x0000_R</stp>
        <tr r="Z55" s="16"/>
      </tp>
      <tp t="e">
        <v>#N/A</v>
        <stp/>
        <stp>##V3_BDPV12</stp>
        <stp>US9127956K26 Corp</stp>
        <stp>PENULTIMATE_CPN_DT</stp>
        <stp>[portefeuille USD.xlsm]treasuries!R25C25_x0000__x0000_</stp>
        <tr r="Y25" s="13"/>
      </tp>
      <tp t="e">
        <v>#N/A</v>
        <stp/>
        <stp>##V3_BDPV12</stp>
        <stp>US9127956J52 Corp</stp>
        <stp>PENULTIMATE_CPN_DT</stp>
        <stp>[portefeuille USD.xlsm]treasuries!R22C25_x0000__x0000_</stp>
        <tr r="Y22" s="13"/>
      </tp>
      <tp t="e">
        <v>#N/A</v>
        <stp/>
        <stp>##V3_BDPV12</stp>
        <stp>US9127956M81 Corp</stp>
        <stp>PENULTIMATE_CPN_DT</stp>
        <stp>[portefeuille USD.xlsm]treasuries!R26C25_x0000__x0000_</stp>
        <tr r="Y26" s="13"/>
      </tp>
      <tp t="e">
        <v>#N/A</v>
        <stp/>
        <stp>##V3_BDPV12</stp>
        <stp>US298785FQ48 Corp</stp>
        <stp>CPN</stp>
        <stp>[portefeuille USD.xlsm]SSA!R71C26_x0000_R</stp>
        <tr r="Z71" s="16"/>
      </tp>
      <tp t="e">
        <v>#N/A</v>
        <stp/>
        <stp>##V3_BDPV12</stp>
        <stp>XS0252479497 Corp</stp>
        <stp>CPN</stp>
        <stp>[portefeuille USD.xlsm]SSA!R45C26_x0000_R</stp>
        <tr r="Z45" s="16"/>
      </tp>
      <tp t="e">
        <v>#N/A</v>
        <stp/>
        <stp>##V3_BDPV12</stp>
        <stp>US9127956N64 Corp</stp>
        <stp>PENULTIMATE_CPN_DT</stp>
        <stp>[portefeuille USD.xlsm]treasuries!R29C25_x0000__x0000_</stp>
        <tr r="Y29" s="13"/>
      </tp>
      <tp t="e">
        <v>#N/A</v>
        <stp/>
        <stp>##V3_BDPV12</stp>
        <stp>FR0010862581 Corp</stp>
        <stp>CPN</stp>
        <stp>[portefeuille USD.xlsm]SSA!R97C26_x0000__x0000_</stp>
        <tr r="Z97" s="16"/>
      </tp>
      <tp t="e">
        <v>#N/A</v>
        <stp/>
        <stp>##V3_BDPV12</stp>
        <stp>US9127956E65 Corp</stp>
        <stp>MATURITY</stp>
        <stp>[portefeuille USD.xlsm]treasuries!R54C26_x0000__x0000_</stp>
        <tr r="Z54" s="13"/>
      </tp>
      <tp t="e">
        <v>#N/A</v>
        <stp/>
        <stp>##V3_BDPV12</stp>
        <stp>US9127956U08 Corp</stp>
        <stp>MATURITY</stp>
        <stp>[portefeuille USD.xlsm]treasuries!R38C26_x0000__x0000_</stp>
        <tr r="Z38" s="13"/>
      </tp>
      <tp t="e">
        <v>#N/A</v>
        <stp/>
        <stp>##V3_BDPV12</stp>
        <stp>US912828HA15 Corp</stp>
        <stp>INT_ACC_DT</stp>
        <stp>[portefeuille USD.xlsm]treasuries!R196C23_x0000__x0000_</stp>
        <tr r="W196" s="13"/>
      </tp>
      <tp t="e">
        <v>#N/A</v>
        <stp/>
        <stp>##V3_BDPV12</stp>
        <stp>US912828HH67 Corp</stp>
        <stp>INT_ACC_DT</stp>
        <stp>[portefeuille USD.xlsm]treasuries!R200C23_x0000__x0000_</stp>
        <tr r="W200" s="13"/>
      </tp>
      <tp t="e">
        <v>#N/A</v>
        <stp/>
        <stp>##V3_BDPV12</stp>
        <stp>US912828SK77 Corp</stp>
        <stp>INT_ACC_DT</stp>
        <stp>[portefeuille USD.xlsm]treasuries!R131C23_x0000__x0000_</stp>
        <tr r="W131" s="13"/>
      </tp>
      <tp t="e">
        <v>#N/A</v>
        <stp/>
        <stp>##V3_BDPV12</stp>
        <stp>US9127956B27 Corp</stp>
        <stp>MATURITY</stp>
        <stp>[portefeuille USD.xlsm]treasuries!R13C26_x0000__x0000_</stp>
        <tr r="Z13" s="13"/>
      </tp>
      <tp t="e">
        <v>#N/A</v>
        <stp/>
        <stp>##V3_BDPV12</stp>
        <stp>US912828PB06 Corp</stp>
        <stp>MATURITY</stp>
        <stp>[portefeuille USD.xlsm]treasuries!R81C26_x0000__x0000_</stp>
        <tr r="Z81" s="13"/>
      </tp>
      <tp t="e">
        <v>#N/A</v>
        <stp/>
        <stp>##V3_BDPV12</stp>
        <stp>US912828AJ96 Corp</stp>
        <stp>MATURITY</stp>
        <stp>[portefeuille USD.xlsm]treasuries!R11C26_x0000__x0000_</stp>
        <tr r="Z11" s="13"/>
      </tp>
      <tp t="e">
        <v>#N/A</v>
        <stp/>
        <stp>##V3_BDPV12</stp>
        <stp>US912828JW17 Corp</stp>
        <stp>MATURITY</stp>
        <stp>[portefeuille USD.xlsm]treasuries!R90C26_x0000__x0000_</stp>
        <tr r="Z90" s="13"/>
      </tp>
      <tp t="e">
        <v>#N/A</v>
        <stp/>
        <stp>##V3_BDPV12</stp>
        <stp>US912828PA23 Corp</stp>
        <stp>INT_ACC_DT</stp>
        <stp>[portefeuille USD.xlsm]treasuries!R198C23_x0000__x0000_</stp>
        <tr r="W198" s="13"/>
      </tp>
      <tp t="e">
        <v>#N/A</v>
        <stp/>
        <stp>##V3_BDPV12</stp>
        <stp>US9127955C19 Corp</stp>
        <stp>MATURITY</stp>
        <stp>[portefeuille USD.xlsm]treasuries!R21C26_x0000__x0000_</stp>
        <tr r="Z21" s="13"/>
      </tp>
      <tp t="e">
        <v>#N/A</v>
        <stp/>
        <stp>##V3_BDPV12</stp>
        <stp>US12802NAA28 Corp</stp>
        <stp>CPN</stp>
        <stp>[portefeuille USD.xlsm]SSA!R95C26_x0000__x0000_</stp>
        <tr r="Z95" s="16"/>
      </tp>
      <tp t="e">
        <v>#N/A</v>
        <stp/>
        <stp>##V3_BDPV12</stp>
        <stp>US912810EL80 Corp</stp>
        <stp>INT_ACC_DT</stp>
        <stp>[portefeuille USD.xlsm]treasuries!R245C23_x0000__x0000_</stp>
        <tr r="W245" s="13"/>
      </tp>
      <tp t="e">
        <v>#N/A</v>
        <stp/>
        <stp>##V3_BDPV12</stp>
        <stp>US912828LJ77 Corp</stp>
        <stp>INT_ACC_DT</stp>
        <stp>[portefeuille USD.xlsm]treasuries!R229C23_x0000__x0000_</stp>
        <tr r="W229" s="13"/>
      </tp>
      <tp t="e">
        <v>#N/A</v>
        <stp/>
        <stp>##V3_BDPV12</stp>
        <stp>US912828BR04 Corp</stp>
        <stp>MATURITY</stp>
        <stp>[portefeuille USD.xlsm]treasuries!R85C26_x0000__x0000_</stp>
        <tr r="Z85" s="13"/>
      </tp>
      <tp t="e">
        <v>#N/A</v>
        <stp/>
        <stp>##V3_BDPV12</stp>
        <stp>US912828PN44 Corp</stp>
        <stp>PENULTIMATE_CPN_DT</stp>
        <stp>[portefeuille USD.xlsm]treasuries!R202C25_x0000__x0000_</stp>
        <tr r="Y202" s="13"/>
      </tp>
      <tp t="e">
        <v>#N/A</v>
        <stp/>
        <stp>##V3_BDPV12</stp>
        <stp>FR0010500843 Corp</stp>
        <stp>CPN</stp>
        <stp>[portefeuille USD.xlsm]SSA!R111C26_x0000__x0000_</stp>
        <tr r="Z111" s="16"/>
      </tp>
      <tp t="e">
        <v>#N/A</v>
        <stp/>
        <stp>##V3_BDPV12</stp>
        <stp>US912828PJ32 Corp</stp>
        <stp>PENULTIMATE_CPN_DT</stp>
        <stp>[portefeuille USD.xlsm]treasuries!R147C25_x0000__x0000_</stp>
        <tr r="Y147" s="13"/>
      </tp>
      <tp t="e">
        <v>#N/A</v>
        <stp/>
        <stp>##V3_BDPV12</stp>
        <stp>US912810EJ35 Corp</stp>
        <stp>PENULTIMATE_CPN_DT</stp>
        <stp>[portefeuille USD.xlsm]treasuries!R242C25_x0000__x0000_</stp>
        <tr r="Y242" s="13"/>
      </tp>
      <tp t="e">
        <v>#N/A</v>
        <stp/>
        <stp>##V3_BDPV12</stp>
        <stp>XS0635033128 Corp</stp>
        <stp>INT_ACC_DT</stp>
        <stp>[portefeuille USD.xlsm]SSA!R146C22_x0000__x0000_</stp>
        <tr r="V146" s="16"/>
      </tp>
      <tp t="e">
        <v>#N/A</v>
        <stp/>
        <stp>##V3_BDPV12</stp>
        <stp>US912828NG11 Corp</stp>
        <stp>PENULTIMATE_CPN_DT</stp>
        <stp>[portefeuille USD.xlsm]treasuries!R191C25_x0000__x0000_</stp>
        <tr r="Y191" s="13"/>
      </tp>
      <tp t="e">
        <v>#N/A</v>
        <stp/>
        <stp>##V3_BDPV12</stp>
        <stp>FR0010776674 Corp</stp>
        <stp>CPN</stp>
        <stp>[portefeuille USD.xlsm]SSA!R112C26_x0000__x0000_</stp>
        <tr r="Z112" s="16"/>
      </tp>
      <tp t="e">
        <v>#N/A</v>
        <stp/>
        <stp>##V3_BDPV12</stp>
        <stp>XS0521024132 Corp</stp>
        <stp>FIRST_CPN_DT</stp>
        <stp>[portefeuille USD.xlsm]SSA!R118C23_x0000__x0000_</stp>
        <tr r="W118" s="16"/>
      </tp>
      <tp t="e">
        <v>#N/A</v>
        <stp/>
        <stp>##V3_BDPV12</stp>
        <stp>US912828KN98 Corp</stp>
        <stp>PENULTIMATE_CPN_DT</stp>
        <stp>[portefeuille USD.xlsm]treasuries!R102C25_x0000__x0000_</stp>
        <tr r="Y102" s="13"/>
      </tp>
      <tp t="e">
        <v>#N/A</v>
        <stp/>
        <stp>##V3_BDPV12</stp>
        <stp>FR0010606442 Corp</stp>
        <stp>CPN</stp>
        <stp>[portefeuille USD.xlsm]SSA!R108C26_x0000__x0000_</stp>
        <tr r="Z108" s="16"/>
      </tp>
      <tp t="e">
        <v>#N/A</v>
        <stp/>
        <stp>##V3_BDPV12</stp>
        <stp>US912828NQ92 Corp</stp>
        <stp>AMT_OUTSTANDING</stp>
        <stp>[portefeuille USD.xlsm]treasuries!R7C28_x0000_3</stp>
        <tr r="AB7" s="13"/>
      </tp>
      <tp t="e">
        <v>#N/A</v>
        <stp/>
        <stp>##V3_BDPV12</stp>
        <stp>XS0347750365 Corp</stp>
        <stp>DAY_CNT_DES</stp>
        <stp>[portefeuille USD.xlsm]SSA!R64C29_x0000_R</stp>
        <tr r="AC64" s="16"/>
      </tp>
      <tp t="e">
        <v>#N/A</v>
        <stp/>
        <stp>##V3_BDPV12</stp>
        <stp>US9127956U08 Corp</stp>
        <stp>PENULTIMATE_CPN_DT</stp>
        <stp>[portefeuille USD.xlsm]treasuries!R38C25_x0000__x0000_</stp>
        <tr r="Y38" s="13"/>
      </tp>
      <tp t="e">
        <v>#N/A</v>
        <stp/>
        <stp>##V3_BDPV12</stp>
        <stp>XS0558939269 Corp</stp>
        <stp>DAY_CNT_DES</stp>
        <stp>[portefeuille USD.xlsm]SSA!R80C29_x0000_R</stp>
        <tr r="AC80" s="16"/>
      </tp>
      <tp t="e">
        <v>#N/A</v>
        <stp/>
        <stp>##V3_BDPV12</stp>
        <stp>US298785EY80 Corp</stp>
        <stp>DAY_CNT_DES</stp>
        <stp>[portefeuille USD.xlsm]SSA!R57C29_x0000_R</stp>
        <tr r="AC57" s="16"/>
      </tp>
      <tp t="e">
        <v>#N/A</v>
        <stp/>
        <stp>##V3_BDPV12</stp>
        <stp>US298785DV50 Corp</stp>
        <stp>DAY_CNT_DES</stp>
        <stp>[portefeuille USD.xlsm]SSA!R86C29_x0000_R</stp>
        <tr r="AC86" s="16"/>
      </tp>
      <tp t="e">
        <v>#N/A</v>
        <stp/>
        <stp>##V3_BDPV12</stp>
        <stp>US9127956S51 Corp</stp>
        <stp>PENULTIMATE_CPN_DT</stp>
        <stp>[portefeuille USD.xlsm]treasuries!R33C25_x0000__x0000_</stp>
        <tr r="Y33" s="13"/>
      </tp>
      <tp t="e">
        <v>#N/A</v>
        <stp/>
        <stp>##V3_BDPV12</stp>
        <stp>US9127956T35 Corp</stp>
        <stp>PENULTIMATE_CPN_DT</stp>
        <stp>[portefeuille USD.xlsm]treasuries!R37C25_x0000__x0000_</stp>
        <tr r="Y37" s="13"/>
      </tp>
      <tp t="e">
        <v>#N/A</v>
        <stp/>
        <stp>##V3_BDPV12</stp>
        <stp>XS0637187773 Corp</stp>
        <stp>DAY_CNT_DES</stp>
        <stp>[portefeuille USD.xlsm]SSA!R15C29_x0000__x0000_</stp>
        <tr r="AC15" s="16"/>
      </tp>
      <tp t="e">
        <v>#N/A</v>
        <stp/>
        <stp>##V3_BDPV12</stp>
        <stp>US9127956P13 Corp</stp>
        <stp>PENULTIMATE_CPN_DT</stp>
        <stp>[portefeuille USD.xlsm]treasuries!R32C25_x0000__x0000_</stp>
        <tr r="Y32" s="13"/>
      </tp>
      <tp t="e">
        <v>#N/A</v>
        <stp/>
        <stp>##V3_BDPV12</stp>
        <stp>US298785DR49 Corp</stp>
        <stp>CPN</stp>
        <stp>[portefeuille USD.xlsm]SSA!R67C26_x0000_R</stp>
        <tr r="Z67" s="16"/>
      </tp>
      <tp t="e">
        <v>#N/A</v>
        <stp/>
        <stp>##V3_BDPV12</stp>
        <stp>US298785FU59 Corp</stp>
        <stp>CPN</stp>
        <stp>[portefeuille USD.xlsm]SSA!R77C26_x0000_R</stp>
        <tr r="Z77" s="16"/>
      </tp>
      <tp t="e">
        <v>#N/A</v>
        <stp/>
        <stp>##V3_BDPV12</stp>
        <stp>US912828PK05 Corp</stp>
        <stp>INT_ACC_DT</stp>
        <stp>[portefeuille USD.xlsm]treasuries!R201C23_x0000__x0000_</stp>
        <tr r="W201" s="13"/>
      </tp>
      <tp t="e">
        <v>#N/A</v>
        <stp/>
        <stp>##V3_BDPV12</stp>
        <stp>US9127956K26 Corp</stp>
        <stp>MATURITY</stp>
        <stp>[portefeuille USD.xlsm]treasuries!R25C26_x0000__x0000_</stp>
        <tr r="Z25" s="13"/>
      </tp>
      <tp t="e">
        <v>#N/A</v>
        <stp/>
        <stp>##V3_BDPV12</stp>
        <stp>US912810FM54 Corp</stp>
        <stp>INT_ACC_DT</stp>
        <stp>[portefeuille USD.xlsm]treasuries!R266C23_x0000__x0000_</stp>
        <tr r="W266" s="13"/>
      </tp>
      <tp t="e">
        <v>#N/A</v>
        <stp/>
        <stp>##V3_BDPV12</stp>
        <stp>US9127956T35 Corp</stp>
        <stp>MATURITY</stp>
        <stp>[portefeuille USD.xlsm]treasuries!R37C26_x0000__x0000_</stp>
        <tr r="Z37" s="13"/>
      </tp>
      <tp t="e">
        <v>#N/A</v>
        <stp/>
        <stp>##V3_BDPV12</stp>
        <stp>US912828TB69 Corp</stp>
        <stp>INT_ACC_DT</stp>
        <stp>[portefeuille USD.xlsm]treasuries!R193C23_x0000__x0000_</stp>
        <tr r="W193" s="13"/>
      </tp>
      <tp t="e">
        <v>#N/A</v>
        <stp/>
        <stp>##V3_BDPV12</stp>
        <stp>US912828SC51 Corp</stp>
        <stp>INT_ACC_DT</stp>
        <stp>[portefeuille USD.xlsm]treasuries!R180C23_x0000__x0000_</stp>
        <tr r="W180" s="13"/>
      </tp>
      <tp t="e">
        <v>#N/A</v>
        <stp/>
        <stp>##V3_BDPV12</stp>
        <stp>US912810EN47 Corp</stp>
        <stp>INT_ACC_DT</stp>
        <stp>[portefeuille USD.xlsm]treasuries!R250C23_x0000__x0000_</stp>
        <tr r="W250" s="13"/>
      </tp>
      <tp t="e">
        <v>#N/A</v>
        <stp/>
        <stp>##V3_BDPV12</stp>
        <stp>US9127955G23 Corp</stp>
        <stp>MATURITY</stp>
        <stp>[portefeuille USD.xlsm]treasuries!R28C26_x0000__x0000_</stp>
        <tr r="Z28" s="13"/>
      </tp>
      <tp t="e">
        <v>#N/A</v>
        <stp/>
        <stp>##V3_BDPV12</stp>
        <stp>US912828HG84 Corp</stp>
        <stp>MATURITY</stp>
        <stp>[portefeuille USD.xlsm]treasuries!R30C26_x0000__x0000_</stp>
        <tr r="Z30" s="13"/>
      </tp>
      <tp t="e">
        <v>#N/A</v>
        <stp/>
        <stp>##V3_BDPV12</stp>
        <stp>US912828LR93 Corp</stp>
        <stp>MATURITY</stp>
        <stp>[portefeuille USD.xlsm]treasuries!R27C26_x0000__x0000_</stp>
        <tr r="Z27" s="13"/>
      </tp>
      <tp t="e">
        <v>#N/A</v>
        <stp/>
        <stp>##V3_BDPV12</stp>
        <stp>US29878TCC62 Corp</stp>
        <stp>DAY_CNT_DES</stp>
        <stp>[portefeuille USD.xlsm]SSA!R83C29_x0000_R</stp>
        <tr r="AC83" s="16"/>
      </tp>
      <tp t="e">
        <v>#N/A</v>
        <stp/>
        <stp>##V3_BDPV12</stp>
        <stp>US912828JM35 Corp</stp>
        <stp>MATURITY</stp>
        <stp>[portefeuille USD.xlsm]treasuries!R80C26_x0000__x0000_</stp>
        <tr r="Z80" s="13"/>
      </tp>
      <tp t="e">
        <v>#N/A</v>
        <stp/>
        <stp>##V3_BDPV12</stp>
        <stp>XS0300990529 Corp</stp>
        <stp>CPN</stp>
        <stp>[portefeuille USD.xlsm]SSA!R122C26_x0000__x0000_</stp>
        <tr r="Z122" s="16"/>
      </tp>
      <tp t="e">
        <v>#N/A</v>
        <stp/>
        <stp>##V3_BDPV12</stp>
        <stp>US9127956G14 Corp</stp>
        <stp>MATURITY</stp>
        <stp>[portefeuille USD.xlsm]treasuries!R18C26_x0000__x0000_</stp>
        <tr r="Z18" s="13"/>
      </tp>
      <tp t="e">
        <v>#N/A</v>
        <stp/>
        <stp>##V3_BDPV12</stp>
        <stp>XS0635033128 Corp</stp>
        <stp>FIRST_CPN_DT</stp>
        <stp>[portefeuille USD.xlsm]SSA!R146C23_x0000__x0000_</stp>
        <tr r="W146" s="16"/>
      </tp>
      <tp t="e">
        <v>#N/A</v>
        <stp/>
        <stp>##V3_BDPV12</stp>
        <stp>XS0705646452 Corp</stp>
        <stp>FIRST_CPN_DT</stp>
        <stp>[portefeuille USD.xlsm]SSA!R121C23_x0000__x0000_</stp>
        <tr r="W121" s="16"/>
      </tp>
      <tp t="e">
        <v>#N/A</v>
        <stp/>
        <stp>##V3_BDPV12</stp>
        <stp>XS0372089572 Corp</stp>
        <stp>INT_ACC_DT</stp>
        <stp>[portefeuille USD.xlsm]SSA!R124C22_x0000__x0000_</stp>
        <tr r="V124" s="16"/>
      </tp>
      <tp t="e">
        <v>#N/A</v>
        <stp/>
        <stp>##V3_BDPV12</stp>
        <stp>US912828RJ14 Corp</stp>
        <stp>PENULTIMATE_CPN_DT</stp>
        <stp>[portefeuille USD.xlsm]treasuries!R170C25_x0000__x0000_</stp>
        <tr r="Y170" s="13"/>
      </tp>
      <tp t="e">
        <v>#N/A</v>
        <stp/>
        <stp>##V3_BDPV12</stp>
        <stp>US912828QM51 Corp</stp>
        <stp>PENULTIMATE_CPN_DT</stp>
        <stp>[portefeuille USD.xlsm]treasuries!R104C25_x0000__x0000_</stp>
        <tr r="Y104" s="13"/>
      </tp>
      <tp t="e">
        <v>#N/A</v>
        <stp/>
        <stp>##V3_BDPV12</stp>
        <stp>US912828RL69 Corp</stp>
        <stp>PENULTIMATE_CPN_DT</stp>
        <stp>[portefeuille USD.xlsm]treasuries!R118C25_x0000__x0000_</stp>
        <tr r="Y118" s="13"/>
      </tp>
      <tp t="e">
        <v>#N/A</v>
        <stp/>
        <stp>##V3_BDPV12</stp>
        <stp>EI787877 Corp Corp</stp>
        <stp>ISSUE_DT</stp>
        <stp>[portefeuille USD.xlsm]SSA!R25C21_x0000__x0000_</stp>
        <tr r="U25" s="16"/>
      </tp>
      <tp t="e">
        <v>#N/A</v>
        <stp/>
        <stp>##V3_BDPV12</stp>
        <stp>EF086162 Corp Corp</stp>
        <stp>ISSUE_DT</stp>
        <stp>[portefeuille USD.xlsm]SSA!R33C21_x0000__x0000_</stp>
        <tr r="U33" s="16"/>
      </tp>
      <tp t="e">
        <v>#N/A</v>
        <stp/>
        <stp>##V3_BDPV12</stp>
        <stp>US912828SL50 Govt</stp>
        <stp>INT_ACC</stp>
        <stp>[portefeuille USD.xlsm]MV Repo!R16C6_x0000__x0000_</stp>
        <tr r="F16" s="6"/>
      </tp>
      <tp t="e">
        <v>#N/A</v>
        <stp/>
        <stp>##V3_BDPV12</stp>
        <stp>EI347021 Corp Corp</stp>
        <stp>ISSUE_DT</stp>
        <stp>[portefeuille USD.xlsm]SSA!R27C21_x0000__x0000_</stp>
        <tr r="U27" s="16"/>
      </tp>
      <tp t="e">
        <v>#N/A</v>
        <stp/>
        <stp>##V3_BDPV12</stp>
        <stp>EI297586 Corp Corp</stp>
        <stp>ISSUE_DT</stp>
        <stp>[portefeuille USD.xlsm]SSA!R26C21_x0000__x0000_</stp>
        <tr r="U26" s="16"/>
      </tp>
      <tp t="e">
        <v>#N/A</v>
        <stp/>
        <stp>##V3_BDPV12</stp>
        <stp>EH237816 Corp Corp</stp>
        <stp>ISSUE_DT</stp>
        <stp>[portefeuille USD.xlsm]SSA!R29C21_x0000__x0000_</stp>
        <tr r="U29" s="16"/>
      </tp>
      <tp t="e">
        <v>#N/A</v>
        <stp/>
        <stp>##V3_BDPV12</stp>
        <stp>EF086162 Corp Corp</stp>
        <stp>MATURITY</stp>
        <stp>[portefeuille USD.xlsm]SSA!R33C25_x0000__x0000_</stp>
        <tr r="Y33" s="16"/>
      </tp>
      <tp t="e">
        <v>#N/A</v>
        <stp/>
        <stp>##V3_BDPV12</stp>
        <stp>EI787877 Corp Corp</stp>
        <stp>MATURITY</stp>
        <stp>[portefeuille USD.xlsm]SSA!R25C25_x0000__x0000_</stp>
        <tr r="Y25" s="16"/>
      </tp>
      <tp t="e">
        <v>#N/A</v>
        <stp/>
        <stp>##V3_BDPV12</stp>
        <stp>EH237816 Corp Corp</stp>
        <stp>MATURITY</stp>
        <stp>[portefeuille USD.xlsm]SSA!R29C25_x0000__x0000_</stp>
        <tr r="Y29" s="16"/>
      </tp>
      <tp t="e">
        <v>#N/A</v>
        <stp/>
        <stp>##V3_BDPV12</stp>
        <stp>EI297586 Corp Corp</stp>
        <stp>MATURITY</stp>
        <stp>[portefeuille USD.xlsm]SSA!R26C25_x0000__x0000_</stp>
        <tr r="Y26" s="16"/>
      </tp>
      <tp t="e">
        <v>#N/A</v>
        <stp/>
        <stp>##V3_BDPV12</stp>
        <stp>EI347021 Corp Corp</stp>
        <stp>MATURITY</stp>
        <stp>[portefeuille USD.xlsm]SSA!R27C25_x0000__x0000_</stp>
        <tr r="Y27" s="16"/>
      </tp>
      <tp t="e">
        <v>#N/A</v>
        <stp/>
        <stp>##V3_BDPV12</stp>
        <stp>US298785DY99 Corp</stp>
        <stp>DAY_CNT_DES</stp>
        <stp>[portefeuille USD.xlsm]SSA!R72C29_x0000_R</stp>
        <tr r="AC72" s="16"/>
      </tp>
      <tp t="e">
        <v>#N/A</v>
        <stp/>
        <stp>##V3_BDPV12</stp>
        <stp>XS0546548636 Corp</stp>
        <stp>YLD_YTM_ASK</stp>
        <stp>[portefeuille USD.xlsm]SSA!R117C8_x0000_R</stp>
        <tr r="H117" s="16"/>
      </tp>
      <tp t="e">
        <v>#N/A</v>
        <stp/>
        <stp>##V3_BDPV12</stp>
        <stp>XS0742416380 Corp</stp>
        <stp>DAY_CNT_DES</stp>
        <stp>[portefeuille USD.xlsm]SSA!R82C29_x0000_R</stp>
        <tr r="AC82" s="16"/>
      </tp>
      <tp t="e">
        <v>#N/A</v>
        <stp/>
        <stp>##V3_BDPV12</stp>
        <stp>XS0749451398 Corp</stp>
        <stp>DAY_CNT_DES</stp>
        <stp>[portefeuille USD.xlsm]SSA!R99C29_x0000__x0000_</stp>
        <tr r="AC99" s="16"/>
      </tp>
      <tp t="e">
        <v>#N/A</v>
        <stp/>
        <stp>##V3_BDPV12</stp>
        <stp>XS0172157876 Corp</stp>
        <stp>YLD_YTM_ASK</stp>
        <stp>[portefeuille USD.xlsm]SSA!R125C8_x0000_R</stp>
        <tr r="H125" s="16"/>
      </tp>
      <tp t="e">
        <v>#N/A</v>
        <stp/>
        <stp>##V3_BDPV12</stp>
        <stp>XS0460002859 Corp</stp>
        <stp>DAY_CNT_DES</stp>
        <stp>[portefeuille USD.xlsm]SSA!R16C29_x0000__x0000_</stp>
        <tr r="AC16" s="16"/>
      </tp>
      <tp t="e">
        <v>#N/A</v>
        <stp/>
        <stp>##V3_BDPV12</stp>
        <stp>US298785FT86 Corp</stp>
        <stp>DAY_CNT_DES</stp>
        <stp>[portefeuille USD.xlsm]SSA!R60C29_x0000_R</stp>
        <tr r="AC60" s="16"/>
      </tp>
      <tp t="e">
        <v>#N/A</v>
        <stp/>
        <stp>##V3_BDPV12</stp>
        <stp>XS0506368363 Corp</stp>
        <stp>DAY_CNT_DES</stp>
        <stp>[portefeuille USD.xlsm]SSA!R18C29_x0000__x0000_</stp>
        <tr r="AC18" s="16"/>
      </tp>
      <tp t="e">
        <v>#N/A</v>
        <stp/>
        <stp>##V3_BDPV12</stp>
        <stp>US298785EV42 Corp</stp>
        <stp>CPN</stp>
        <stp>[portefeuille USD.xlsm]SSA!R52C26_x0000_R</stp>
        <tr r="Z52" s="16"/>
      </tp>
      <tp t="e">
        <v>#N/A</v>
        <stp/>
        <stp>##V3_BDPV12</stp>
        <stp>US298785FC51 Corp</stp>
        <stp>CPN</stp>
        <stp>[portefeuille USD.xlsm]SSA!R42C26_x0000_R</stp>
        <tr r="Z42" s="16"/>
      </tp>
      <tp t="e">
        <v>#N/A</v>
        <stp/>
        <stp>##V3_BDPV12</stp>
        <stp>US9127955L18 Corp</stp>
        <stp>PENULTIMATE_CPN_DT</stp>
        <stp>[portefeuille USD.xlsm]treasuries!R34C25_x0000__x0000_</stp>
        <tr r="Y34" s="13"/>
      </tp>
      <tp t="e">
        <v>#N/A</v>
        <stp/>
        <stp>##V3_BDPV12</stp>
        <stp>US298785FB78 Corp</stp>
        <stp>CPN</stp>
        <stp>[portefeuille USD.xlsm]SSA!R61C26_x0000_R</stp>
        <tr r="Z61" s="16"/>
      </tp>
      <tp t="e">
        <v>#N/A</v>
        <stp/>
        <stp>##V3_BDPV12</stp>
        <stp>FR0011018332 Corp</stp>
        <stp>CPN</stp>
        <stp>[portefeuille USD.xlsm]SSA!R87C26_x0000__x0000_</stp>
        <tr r="Z87" s="16"/>
      </tp>
      <tp t="e">
        <v>#N/A</v>
        <stp/>
        <stp>##V3_BDPV12</stp>
        <stp>US298785DU77 Corp</stp>
        <stp>CPN</stp>
        <stp>[portefeuille USD.xlsm]SSA!R68C26_x0000_R</stp>
        <tr r="Z68" s="16"/>
      </tp>
      <tp t="e">
        <v>#N/A</v>
        <stp/>
        <stp>##V3_BDPV12</stp>
        <stp>US298785FK77 Corp</stp>
        <stp>CPN</stp>
        <stp>[portefeuille USD.xlsm]SSA!R69C26_x0000_R</stp>
        <tr r="Z69" s="16"/>
      </tp>
      <tp t="e">
        <v>#N/A</v>
        <stp/>
        <stp>##V3_BDPV12</stp>
        <stp>US912828LK41 Corp</stp>
        <stp>INT_ACC_DT</stp>
        <stp>[portefeuille USD.xlsm]treasuries!R115C23_x0000__x0000_</stp>
        <tr r="W115" s="13"/>
      </tp>
      <tp t="e">
        <v>#N/A</v>
        <stp/>
        <stp>##V3_BDPV12</stp>
        <stp>US12802DAC02 Corp</stp>
        <stp>CPN</stp>
        <stp>[portefeuille USD.xlsm]SSA!R98C26_x0000__x0000_</stp>
        <tr r="Z98" s="16"/>
      </tp>
      <tp t="e">
        <v>#N/A</v>
        <stp/>
        <stp>##V3_BDPV12</stp>
        <stp>US912828SH49 Corp</stp>
        <stp>INT_ACC_DT</stp>
        <stp>[portefeuille USD.xlsm]treasuries!R224C23_x0000__x0000_</stp>
        <tr r="W224" s="13"/>
      </tp>
      <tp t="e">
        <v>#N/A</v>
        <stp/>
        <stp>##V3_BDPV12</stp>
        <stp>US912828EN62 Corp</stp>
        <stp>INT_ACC_DT</stp>
        <stp>[portefeuille USD.xlsm]treasuries!R146C23_x0000__x0000_</stp>
        <tr r="W146" s="13"/>
      </tp>
      <tp t="e">
        <v>#N/A</v>
        <stp/>
        <stp>##V3_BDPV12</stp>
        <stp>US912828HK96 Corp</stp>
        <stp>MATURITY</stp>
        <stp>[portefeuille USD.xlsm]treasuries!R39C26_x0000__x0000_</stp>
        <tr r="Z39" s="13"/>
      </tp>
      <tp t="e">
        <v>#N/A</v>
        <stp/>
        <stp>##V3_BDPV12</stp>
        <stp>US912828RW25 Corp</stp>
        <stp>MATURITY</stp>
        <stp>[portefeuille USD.xlsm]treasuries!R89C26_x0000__x0000_</stp>
        <tr r="Z89" s="13"/>
      </tp>
      <tp t="e">
        <v>#N/A</v>
        <stp/>
        <stp>##V3_BDPV12</stp>
        <stp>US912828CJ78 Corp</stp>
        <stp>INT_ACC_DT</stp>
        <stp>[portefeuille USD.xlsm]treasuries!R105C23_x0000__x0000_</stp>
        <tr r="W105" s="13"/>
      </tp>
      <tp t="e">
        <v>#N/A</v>
        <stp/>
        <stp>##V3_BDPV12</stp>
        <stp>US912828QN35 Corp</stp>
        <stp>INT_ACC_DT</stp>
        <stp>[portefeuille USD.xlsm]treasuries!R241C23_x0000__x0000_</stp>
        <tr r="W241" s="13"/>
      </tp>
      <tp t="e">
        <v>#N/A</v>
        <stp/>
        <stp>##V3_BDPV12</stp>
        <stp>US912828LL24 Corp</stp>
        <stp>INT_ACC_DT</stp>
        <stp>[portefeuille USD.xlsm]treasuries!R167C23_x0000__x0000_</stp>
        <tr r="W167" s="13"/>
      </tp>
      <tp t="e">
        <v>#N/A</v>
        <stp/>
        <stp>##V3_BDPV12</stp>
        <stp>US912828RM43 Corp</stp>
        <stp>INT_ACC_DT</stp>
        <stp>[portefeuille USD.xlsm]treasuries!R171C23_x0000__x0000_</stp>
        <tr r="W171" s="13"/>
      </tp>
      <tp t="e">
        <v>#N/A</v>
        <stp/>
        <stp>##V3_BDPV12</stp>
        <stp>US9127956C00 Corp</stp>
        <stp>MATURITY</stp>
        <stp>[portefeuille USD.xlsm]treasuries!R15C26_x0000__x0000_</stp>
        <tr r="Z15" s="13"/>
      </tp>
      <tp t="e">
        <v>#N/A</v>
        <stp/>
        <stp>##V3_BDPV12</stp>
        <stp>US912828MH03 Corp</stp>
        <stp>INT_ACC_DT</stp>
        <stp>[portefeuille USD.xlsm]treasuries!R126C23_x0000__x0000_</stp>
        <tr r="W126" s="13"/>
      </tp>
      <tp t="e">
        <v>#N/A</v>
        <stp/>
        <stp>##V3_BDPV12</stp>
        <stp>US912828KJ86 Corp</stp>
        <stp>INT_ACC_DT</stp>
        <stp>[portefeuille USD.xlsm]treasuries!R100C23_x0000__x0000_</stp>
        <tr r="W100" s="13"/>
      </tp>
      <tp t="e">
        <v>#N/A</v>
        <stp/>
        <stp>##V3_BDPV12</stp>
        <stp>XS0172157876 Corp</stp>
        <stp>CPN</stp>
        <stp>[portefeuille USD.xlsm]SSA!R125C26_x0000__x0000_</stp>
        <tr r="Z125" s="16"/>
      </tp>
      <tp t="e">
        <v>#N/A</v>
        <stp/>
        <stp>##V3_BDPV12</stp>
        <stp>US912828RN26 Corp</stp>
        <stp>MATURITY</stp>
        <stp>[portefeuille USD.xlsm]treasuries!R82C26_x0000__x0000_</stp>
        <tr r="Z82" s="13"/>
      </tp>
      <tp t="e">
        <v>#N/A</v>
        <stp/>
        <stp>##V3_BDPV12</stp>
        <stp>XS0610555681 Corp</stp>
        <stp>CPN</stp>
        <stp>[portefeuille USD.xlsm]SSA!R123C26_x0000__x0000_</stp>
        <tr r="Z123" s="16"/>
      </tp>
      <tp t="e">
        <v>#N/A</v>
        <stp/>
        <stp>##V3_BDPV12</stp>
        <stp>US9127956R78 Corp</stp>
        <stp>MATURITY</stp>
        <stp>[portefeuille USD.xlsm]treasuries!R65C26_x0000__x0000_</stp>
        <tr r="Z65" s="13"/>
      </tp>
      <tp t="e">
        <v>#N/A</v>
        <stp/>
        <stp>##V3_BDPV12</stp>
        <stp>XS0270250136 Corp</stp>
        <stp>CPN</stp>
        <stp>[portefeuille USD.xlsm]SSA!R115C26_x0000__x0000_</stp>
        <tr r="Z115" s="16"/>
      </tp>
      <tp t="e">
        <v>#N/A</v>
        <stp/>
        <stp>##V3_BDPV12</stp>
        <stp>US912828SN17 Corp</stp>
        <stp>PENULTIMATE_CPN_DT</stp>
        <stp>[portefeuille USD.xlsm]treasuries!R225C25_x0000__x0000_</stp>
        <tr r="Y225" s="13"/>
      </tp>
      <tp t="e">
        <v>#N/A</v>
        <stp/>
        <stp>##V3_BDPV12</stp>
        <stp>US912810EH78 Corp</stp>
        <stp>PENULTIMATE_CPN_DT</stp>
        <stp>[portefeuille USD.xlsm]treasuries!R240C25_x0000__x0000_</stp>
        <tr r="Y240" s="13"/>
      </tp>
      <tp t="e">
        <v>#N/A</v>
        <stp/>
        <stp>##V3_BDPV12</stp>
        <stp>US912810FJ26 Corp</stp>
        <stp>PENULTIMATE_CPN_DT</stp>
        <stp>[portefeuille USD.xlsm]treasuries!R265C25_x0000__x0000_</stp>
        <tr r="Y265" s="13"/>
      </tp>
      <tp t="e">
        <v>#N/A</v>
        <stp/>
        <stp>##V3_BDPV12</stp>
        <stp>FR0010775239 Corp</stp>
        <stp>INT_ACC_DT</stp>
        <stp>[portefeuille USD.xlsm]SSA!R103C22_x0000__x0000_</stp>
        <tr r="V103" s="16"/>
      </tp>
      <tp t="e">
        <v>#N/A</v>
        <stp/>
        <stp>##V3_BDPV12</stp>
        <stp>FR0011012731 Corp</stp>
        <stp>CPN</stp>
        <stp>[portefeuille USD.xlsm]SSA!R104C26_x0000__x0000_</stp>
        <tr r="Z104" s="16"/>
      </tp>
      <tp t="e">
        <v>#N/A</v>
        <stp/>
        <stp>##V3_BDPV12</stp>
        <stp>FR0010950675 Corp</stp>
        <stp>CPN</stp>
        <stp>[portefeuille USD.xlsm]SSA!R106C26_x0000__x0000_</stp>
        <tr r="Z106" s="16"/>
      </tp>
      <tp t="e">
        <v>#N/A</v>
        <stp/>
        <stp>##V3_BDPV12</stp>
        <stp>XS0172157876 Corp</stp>
        <stp>INT_ACC_DT</stp>
        <stp>[portefeuille USD.xlsm]SSA!R125C22_x0000__x0000_</stp>
        <tr r="V125" s="16"/>
      </tp>
      <tp t="e">
        <v>#N/A</v>
        <stp/>
        <stp>##V3_BDPV12</stp>
        <stp>US912810QK79 Corp</stp>
        <stp>PENULTIMATE_CPN_DT</stp>
        <stp>[portefeuille USD.xlsm]treasuries!R279C25_x0000__x0000_</stp>
        <tr r="Y279" s="13"/>
      </tp>
      <tp t="e">
        <v>#N/A</v>
        <stp/>
        <stp>##V3_BDPV12</stp>
        <stp>XS0562102615 Corp</stp>
        <stp>INT_ACC_DT</stp>
        <stp>[portefeuille USD.xlsm]SSA!R145C22_x0000__x0000_</stp>
        <tr r="V145" s="16"/>
      </tp>
      <tp t="e">
        <v>#N/A</v>
        <stp/>
        <stp>##V3_BDPV12</stp>
        <stp>US29878TBU79 Corp</stp>
        <stp>CPN</stp>
        <stp>[portefeuille USD.xlsm]SSA!R75C26_x0000_R</stp>
        <tr r="Z75" s="16"/>
      </tp>
      <tp t="e">
        <v>#N/A</v>
        <stp/>
        <stp>##V3_BDPV12</stp>
        <stp>FR0010306340 Corp</stp>
        <stp>CPN</stp>
        <stp>[portefeuille USD.xlsm]SSA!R109C26_x0000__x0000_</stp>
        <tr r="Z109" s="16"/>
      </tp>
      <tp t="e">
        <v>#N/A</v>
        <stp/>
        <stp>##V3_BDPV12</stp>
        <stp>US912828MK32 Corp</stp>
        <stp>PENULTIMATE_CPN_DT</stp>
        <stp>[portefeuille USD.xlsm]treasuries!R179C25_x0000__x0000_</stp>
        <tr r="Y179" s="13"/>
      </tp>
      <tp t="e">
        <v>#N/A</v>
        <stp/>
        <stp>##V3_BDPV12</stp>
        <stp>EC687043 Corp Corp</stp>
        <stp>ISSUE_DT</stp>
        <stp>[portefeuille USD.xlsm]SSA!R35C21_x0000__x0000_</stp>
        <tr r="U35" s="16"/>
      </tp>
      <tp t="e">
        <v>#N/A</v>
        <stp/>
        <stp>##V3_BDPV12</stp>
        <stp>US912828SM34 Govt</stp>
        <stp>INT_ACC</stp>
        <stp>[portefeuille USD.xlsm]MV Repo!R23C6_x0000__x0000_</stp>
        <tr r="F23" s="6"/>
      </tp>
      <tp t="e">
        <v>#N/A</v>
        <stp/>
        <stp>##V3_BDPV12</stp>
        <stp>ED607736 Corp Corp</stp>
        <stp>ISSUE_DT</stp>
        <stp>[portefeuille USD.xlsm]SSA!R36C21_x0000__x0000_</stp>
        <tr r="U36" s="16"/>
      </tp>
      <tp t="e">
        <v>#N/A</v>
        <stp/>
        <stp>##V3_BDPV12</stp>
        <stp>ED037578 Corp Corp</stp>
        <stp>ISSUE_DT</stp>
        <stp>[portefeuille USD.xlsm]SSA!R30C21_x0000__x0000_</stp>
        <tr r="U30" s="16"/>
      </tp>
      <tp t="e">
        <v>#N/A</v>
        <stp/>
        <stp>##V3_BDPV12</stp>
        <stp>US912828LB42 Corp</stp>
        <stp>AMT_OUTSTANDING</stp>
        <stp>[portefeuille USD.xlsm]treasuries!R4C28_x0000_5</stp>
        <tr r="AB4" s="13"/>
      </tp>
      <tp t="e">
        <v>#N/A</v>
        <stp/>
        <stp>##V3_BDPV12</stp>
        <stp>EH967487 Corp Corp</stp>
        <stp>ISSUE_DT</stp>
        <stp>[portefeuille USD.xlsm]SSA!R31C21_x0000__x0000_</stp>
        <tr r="U31" s="16"/>
      </tp>
      <tp t="e">
        <v>#N/A</v>
        <stp/>
        <stp>##V3_BDPV12</stp>
        <stp>ED037578 Corp Corp</stp>
        <stp>MATURITY</stp>
        <stp>[portefeuille USD.xlsm]SSA!R30C25_x0000__x0000_</stp>
        <tr r="Y30" s="16"/>
      </tp>
      <tp t="e">
        <v>#N/A</v>
        <stp/>
        <stp>##V3_BDPV12</stp>
        <stp>US912795Y967 Corp</stp>
        <stp>CPN</stp>
        <stp>[portefeuille USD.xlsm]treasuries!R14C27_x0000__x0000_</stp>
        <tr r="AA14" s="13"/>
      </tp>
      <tp t="e">
        <v>#N/A</v>
        <stp/>
        <stp>##V3_BDPV12</stp>
        <stp>ED607736 Corp Corp</stp>
        <stp>MATURITY</stp>
        <stp>[portefeuille USD.xlsm]SSA!R36C25_x0000__x0000_</stp>
        <tr r="Y36" s="16"/>
      </tp>
      <tp t="e">
        <v>#N/A</v>
        <stp/>
        <stp>##V3_BDPV12</stp>
        <stp>EC687043 Corp Corp</stp>
        <stp>MATURITY</stp>
        <stp>[portefeuille USD.xlsm]SSA!R35C25_x0000__x0000_</stp>
        <tr r="Y35" s="16"/>
      </tp>
      <tp t="e">
        <v>#N/A</v>
        <stp/>
        <stp>##V3_BDPV12</stp>
        <stp>EH967487 Corp Corp</stp>
        <stp>MATURITY</stp>
        <stp>[portefeuille USD.xlsm]SSA!R31C25_x0000__x0000_</stp>
        <tr r="Y31" s="16"/>
      </tp>
      <tp t="e">
        <v>#N/A</v>
        <stp/>
        <stp>##V3_BDPV12</stp>
        <stp>FR0010306340 Corp</stp>
        <stp>YLD_YTM_ASK</stp>
        <stp>[portefeuille USD.xlsm]SSA!R109C8_x0000_R</stp>
        <tr r="H109" s="16"/>
      </tp>
      <tp t="e">
        <v>#N/A</v>
        <stp/>
        <stp>##V3_BDPV12</stp>
        <stp>XS0771920856 Corp</stp>
        <stp>DAY_CNT_DES</stp>
        <stp>[portefeuille USD.xlsm]SSA!R92C29_x0000__x0000_</stp>
        <tr r="AC92" s="16"/>
      </tp>
      <tp t="e">
        <v>#N/A</v>
        <stp/>
        <stp>##V3_BDPV12</stp>
        <stp>XS0322956490 Corp</stp>
        <stp>DAY_CNT_DES</stp>
        <stp>[portefeuille USD.xlsm]SSA!R59C29_x0000_R</stp>
        <tr r="AC59" s="16"/>
      </tp>
      <tp t="e">
        <v>#N/A</v>
        <stp/>
        <stp>##V3_BDPV12</stp>
        <stp>XS0372089572 Corp</stp>
        <stp>YLD_YTM_ASK</stp>
        <stp>[portefeuille USD.xlsm]SSA!R124C8_x0000_R</stp>
        <tr r="H124" s="16"/>
      </tp>
      <tp t="e">
        <v>#N/A</v>
        <stp/>
        <stp>##V3_BDPV12</stp>
        <stp>US298785FL50 Corp</stp>
        <stp>CPN</stp>
        <stp>[portefeuille USD.xlsm]SSA!R51C26_x0000_R</stp>
        <tr r="Z51" s="16"/>
      </tp>
      <tp t="e">
        <v>#N/A</v>
        <stp/>
        <stp>##V3_BDPV12</stp>
        <stp>US298785FG65 Corp</stp>
        <stp>CPN</stp>
        <stp>[portefeuille USD.xlsm]SSA!R65C26_x0000_R</stp>
        <tr r="Z65" s="16"/>
      </tp>
      <tp t="e">
        <v>#N/A</v>
        <stp/>
        <stp>##V3_BDPV12</stp>
        <stp>US9127955G23 Corp</stp>
        <stp>PENULTIMATE_CPN_DT</stp>
        <stp>[portefeuille USD.xlsm]treasuries!R28C25_x0000__x0000_</stp>
        <tr r="Y28" s="13"/>
      </tp>
      <tp t="e">
        <v>#N/A</v>
        <stp/>
        <stp>##V3_BDPV12</stp>
        <stp>US9127956G14 Corp</stp>
        <stp>PENULTIMATE_CPN_DT</stp>
        <stp>[portefeuille USD.xlsm]treasuries!R18C25_x0000__x0000_</stp>
        <tr r="Y18" s="13"/>
      </tp>
      <tp t="e">
        <v>#N/A</v>
        <stp/>
        <stp>##V3_BDPV12</stp>
        <stp>US912828LB42 Corp</stp>
        <stp>MATURITY</stp>
        <stp>[portefeuille USD.xlsm]treasuries!R4C26_x0000_3</stp>
        <tr r="Z4" s="13"/>
      </tp>
      <tp t="e">
        <v>#N/A</v>
        <stp/>
        <stp>##V3_BDPV12</stp>
        <stp>US298785DD52 Corp</stp>
        <stp>CPN</stp>
        <stp>[portefeuille USD.xlsm]SSA!R56C26_x0000_R</stp>
        <tr r="Z56" s="16"/>
      </tp>
      <tp t="e">
        <v>#N/A</v>
        <stp/>
        <stp>##V3_BDPV12</stp>
        <stp>XS0468848253 Corp</stp>
        <stp>CPN</stp>
        <stp>[portefeuille USD.xlsm]SSA!R74C26_x0000_R</stp>
        <tr r="Z74" s="16"/>
      </tp>
      <tp t="e">
        <v>#N/A</v>
        <stp/>
        <stp>##V3_BDPV12</stp>
        <stp>US9127956C00 Corp</stp>
        <stp>PENULTIMATE_CPN_DT</stp>
        <stp>[portefeuille USD.xlsm]treasuries!R15C25_x0000__x0000_</stp>
        <tr r="Y15" s="13"/>
      </tp>
      <tp t="e">
        <v>#N/A</v>
        <stp/>
        <stp>##V3_BDPV12</stp>
        <stp>XS0743901026 Corp</stp>
        <stp>CPN</stp>
        <stp>[portefeuille USD.xlsm]SSA!R17C26_x0000__x0000_</stp>
        <tr r="Z17" s="16"/>
      </tp>
      <tp t="e">
        <v>#N/A</v>
        <stp/>
        <stp>##V3_BDPV12</stp>
        <stp>US9127956H96 Corp</stp>
        <stp>PENULTIMATE_CPN_DT</stp>
        <stp>[portefeuille USD.xlsm]treasuries!R19C25_x0000__x0000_</stp>
        <tr r="Y19" s="13"/>
      </tp>
      <tp t="e">
        <v>#N/A</v>
        <stp/>
        <stp>##V3_BDPV12</stp>
        <stp>US9127956A44 Corp</stp>
        <stp>PENULTIMATE_CPN_DT</stp>
        <stp>[portefeuille USD.xlsm]treasuries!R10C25_x0000__x0000_</stp>
        <tr r="Y10" s="13"/>
      </tp>
      <tp t="e">
        <v>#N/A</v>
        <stp/>
        <stp>##V3_BDPV12</stp>
        <stp>US9127956B27 Corp</stp>
        <stp>PENULTIMATE_CPN_DT</stp>
        <stp>[portefeuille USD.xlsm]treasuries!R13C25_x0000__x0000_</stp>
        <tr r="Y13" s="13"/>
      </tp>
      <tp t="e">
        <v>#N/A</v>
        <stp/>
        <stp>##V3_BDPV12</stp>
        <stp>US298785EG74 Corp</stp>
        <stp>CPN</stp>
        <stp>[portefeuille USD.xlsm]SSA!R78C26_x0000_R</stp>
        <tr r="Z78" s="16"/>
      </tp>
      <tp t="e">
        <v>#N/A</v>
        <stp/>
        <stp>##V3_BDPV12</stp>
        <stp>US9127955C19 Corp</stp>
        <stp>PENULTIMATE_CPN_DT</stp>
        <stp>[portefeuille USD.xlsm]treasuries!R21C25_x0000__x0000_</stp>
        <tr r="Y21" s="13"/>
      </tp>
      <tp t="e">
        <v>#N/A</v>
        <stp/>
        <stp>##V3_BDPV12</stp>
        <stp>US912828RJ14 Corp</stp>
        <stp>INT_ACC_DT</stp>
        <stp>[portefeuille USD.xlsm]treasuries!R170C23_x0000__x0000_</stp>
        <tr r="W170" s="13"/>
      </tp>
      <tp t="e">
        <v>#N/A</v>
        <stp/>
        <stp>##V3_BDPV12</stp>
        <stp>US912828QM51 Corp</stp>
        <stp>INT_ACC_DT</stp>
        <stp>[portefeuille USD.xlsm]treasuries!R104C23_x0000__x0000_</stp>
        <tr r="W104" s="13"/>
      </tp>
      <tp t="e">
        <v>#N/A</v>
        <stp/>
        <stp>##V3_BDPV12</stp>
        <stp>US9127956S51 Corp</stp>
        <stp>MATURITY</stp>
        <stp>[portefeuille USD.xlsm]treasuries!R33C26_x0000__x0000_</stp>
        <tr r="Z33" s="13"/>
      </tp>
      <tp t="e">
        <v>#N/A</v>
        <stp/>
        <stp>##V3_BDPV12</stp>
        <stp>US912828JZ48 Corp</stp>
        <stp>MATURITY</stp>
        <stp>[portefeuille USD.xlsm]treasuries!R92C26_x0000__x0000_</stp>
        <tr r="Z92" s="13"/>
      </tp>
      <tp t="e">
        <v>#N/A</v>
        <stp/>
        <stp>##V3_BDPV12</stp>
        <stp>XS0561837013 Corp</stp>
        <stp>CPN</stp>
        <stp>[portefeuille USD.xlsm]SSA!R128C26_x0000__x0000_</stp>
        <tr r="Z128" s="16"/>
      </tp>
      <tp t="e">
        <v>#N/A</v>
        <stp/>
        <stp>##V3_BDPV12</stp>
        <stp>US9127956L09 Corp</stp>
        <stp>MATURITY</stp>
        <stp>[portefeuille USD.xlsm]treasuries!R62C26_x0000__x0000_</stp>
        <tr r="Z62" s="13"/>
      </tp>
      <tp t="e">
        <v>#N/A</v>
        <stp/>
        <stp>##V3_BDPV12</stp>
        <stp>US9127956F31 Corp</stp>
        <stp>MATURITY</stp>
        <stp>[portefeuille USD.xlsm]treasuries!R58C26_x0000__x0000_</stp>
        <tr r="Z58" s="13"/>
      </tp>
      <tp t="e">
        <v>#N/A</v>
        <stp/>
        <stp>##V3_BDPV12</stp>
        <stp>US912828RL69 Corp</stp>
        <stp>INT_ACC_DT</stp>
        <stp>[portefeuille USD.xlsm]treasuries!R118C23_x0000__x0000_</stp>
        <tr r="W118" s="13"/>
      </tp>
      <tp t="e">
        <v>#N/A</v>
        <stp/>
        <stp>##V3_BDPV12</stp>
        <stp>US912810EN47 Corp</stp>
        <stp>PENULTIMATE_CPN_DT</stp>
        <stp>[portefeuille USD.xlsm]treasuries!R250C25_x0000__x0000_</stp>
        <tr r="Y250" s="13"/>
      </tp>
      <tp t="e">
        <v>#N/A</v>
        <stp/>
        <stp>##V3_BDPV12</stp>
        <stp>US912828SC51 Corp</stp>
        <stp>PENULTIMATE_CPN_DT</stp>
        <stp>[portefeuille USD.xlsm]treasuries!R180C25_x0000__x0000_</stp>
        <tr r="Y180" s="13"/>
      </tp>
      <tp t="e">
        <v>#N/A</v>
        <stp/>
        <stp>##V3_BDPV12</stp>
        <stp>US912828TB69 Corp</stp>
        <stp>PENULTIMATE_CPN_DT</stp>
        <stp>[portefeuille USD.xlsm]treasuries!R193C25_x0000__x0000_</stp>
        <tr r="Y193" s="13"/>
      </tp>
      <tp t="e">
        <v>#N/A</v>
        <stp/>
        <stp>##V3_BDPV12</stp>
        <stp>XS0353485492 Corp</stp>
        <stp>FIRST_CPN_DT</stp>
        <stp>[portefeuille USD.xlsm]SSA!R126C23_x0000__x0000_</stp>
        <tr r="W126" s="16"/>
      </tp>
      <tp t="e">
        <v>#N/A</v>
        <stp/>
        <stp>##V3_BDPV12</stp>
        <stp>US12802DAD84 Corp</stp>
        <stp>DAY_CNT_DES</stp>
        <stp>[portefeuille USD.xlsm]SSA!R91C29_x0000__x0000_</stp>
        <tr r="AC91" s="16"/>
      </tp>
      <tp t="e">
        <v>#N/A</v>
        <stp/>
        <stp>##V3_BDPV12</stp>
        <stp>XS0300990529 Corp</stp>
        <stp>FIRST_CPN_DT</stp>
        <stp>[portefeuille USD.xlsm]SSA!R122C23_x0000__x0000_</stp>
        <tr r="W122" s="16"/>
      </tp>
      <tp t="e">
        <v>#N/A</v>
        <stp/>
        <stp>##V3_BDPV12</stp>
        <stp>US912828PK05 Corp</stp>
        <stp>PENULTIMATE_CPN_DT</stp>
        <stp>[portefeuille USD.xlsm]treasuries!R201C25_x0000__x0000_</stp>
        <tr r="Y201" s="13"/>
      </tp>
      <tp t="e">
        <v>#N/A</v>
        <stp/>
        <stp>##V3_BDPV12</stp>
        <stp>US912810FM54 Corp</stp>
        <stp>PENULTIMATE_CPN_DT</stp>
        <stp>[portefeuille USD.xlsm]treasuries!R266C25_x0000__x0000_</stp>
        <tr r="Y266" s="13"/>
      </tp>
      <tp t="e">
        <v>#N/A</v>
        <stp/>
        <stp>##V3_BDPV12</stp>
        <stp>FR0011012731 Corp</stp>
        <stp>INT_ACC_DT</stp>
        <stp>[portefeuille USD.xlsm]SSA!R104C22_x0000__x0000_</stp>
        <tr r="V104" s="16"/>
      </tp>
      <tp t="e">
        <v>#N/A</v>
        <stp/>
        <stp>##V3_BDPV12</stp>
        <stp>XS0477137813 Corp</stp>
        <stp>FIRST_CPN_DT</stp>
        <stp>[portefeuille USD.xlsm]SSA!R120C23_x0000__x0000_</stp>
        <tr r="W120" s="16"/>
      </tp>
      <tp t="e">
        <v>#N/A</v>
        <stp/>
        <stp>##V3_BDPV12</stp>
        <stp>XS0172157876 Corp</stp>
        <stp>FIRST_CPN_DT</stp>
        <stp>[portefeuille USD.xlsm]SSA!R125C23_x0000__x0000_</stp>
        <tr r="W125" s="16"/>
      </tp>
      <tp t="e">
        <v>#N/A</v>
        <stp/>
        <stp>##V3_BDPV12</stp>
        <stp>US912828SJ05 Govt</stp>
        <stp>INT_ACC</stp>
        <stp>[portefeuille USD.xlsm]MV Repo!R22C6_x0000__x0000_</stp>
        <tr r="F22" s="6"/>
      </tp>
      <tp t="e">
        <v>#N/A</v>
        <stp/>
        <stp>##V3_BDPV12</stp>
        <stp>EI251950 Corp Corp</stp>
        <stp>ISSUE_DT</stp>
        <stp>[portefeuille USD.xlsm]SSA!R23C21_x0000__x0000_</stp>
        <tr r="U23" s="16"/>
      </tp>
      <tp t="e">
        <v>#N/A</v>
        <stp/>
        <stp>##V3_BDPV12</stp>
        <stp>EI939268 Corp Corp</stp>
        <stp>CPN_FREQ</stp>
        <stp>[portefeuille USD.xlsm]SSA!R21C27_x0000__x0000_</stp>
        <tr r="AA21" s="16"/>
      </tp>
      <tp t="e">
        <v>#N/A</v>
        <stp/>
        <stp>##V3_BDPV12</stp>
        <stp>EI009749 Corp Corp</stp>
        <stp>CPN_FREQ</stp>
        <stp>[portefeuille USD.xlsm]SSA!R24C27_x0000__x0000_</stp>
        <tr r="AA24" s="16"/>
      </tp>
      <tp t="e">
        <v>#N/A</v>
        <stp/>
        <stp>##V3_BDPV12</stp>
        <stp>EI251950 Corp Corp</stp>
        <stp>MATURITY</stp>
        <stp>[portefeuille USD.xlsm]SSA!R23C25_x0000__x0000_</stp>
        <tr r="Y23" s="16"/>
      </tp>
      <tp t="e">
        <v>#N/A</v>
        <stp/>
        <stp>##V3_BDPV12</stp>
        <stp>EI839783 Corp Corp</stp>
        <stp>CPN_FREQ</stp>
        <stp>[portefeuille USD.xlsm]SSA!R22C27_x0000__x0000_</stp>
        <tr r="AA22" s="16"/>
      </tp>
      <tp t="e">
        <v>#N/A</v>
        <stp/>
        <stp>##V3_BDPV12</stp>
        <stp>XS0477137813 Corp</stp>
        <stp>YLD_YTM_ASK</stp>
        <stp>[portefeuille USD.xlsm]SSA!R120C8_x0000_R</stp>
        <tr r="H120" s="16"/>
      </tp>
      <tp t="e">
        <v>#N/A</v>
        <stp/>
        <stp>##V3_BDPV12</stp>
        <stp>US12802NAB01 Corp</stp>
        <stp>INT_ACC_DT</stp>
        <stp>[portefeuille USD.xlsm]SSA!R101C22_x0000__x0000_</stp>
        <tr r="V101" s="16"/>
      </tp>
      <tp t="e">
        <v>#N/A</v>
        <stp/>
        <stp>##V3_BDPV12</stp>
        <stp>XS0562102615 Corp</stp>
        <stp>YLD_YTM_ASK</stp>
        <stp>[portefeuille USD.xlsm]SSA!R145C8_x0000_R</stp>
        <tr r="H145" s="16"/>
      </tp>
      <tp t="e">
        <v>#N/A</v>
        <stp/>
        <stp>##V3_BDPV12</stp>
        <stp>FR0010776674 Corp</stp>
        <stp>YLD_YTM_ASK</stp>
        <stp>[portefeuille USD.xlsm]SSA!R112C8_x0000_R</stp>
        <tr r="H112" s="16"/>
      </tp>
      <tp t="e">
        <v>#N/A</v>
        <stp/>
        <stp>##V3_BDPV12</stp>
        <stp>XS0592582653 Corp</stp>
        <stp>YLD_YTM_ASK</stp>
        <stp>[portefeuille USD.xlsm]SSA!R113C8_x0000_R</stp>
        <tr r="H113" s="16"/>
      </tp>
      <tp t="e">
        <v>#N/A</v>
        <stp/>
        <stp>##V3_BDPV12</stp>
        <stp>US9127956R78 Corp</stp>
        <stp>PENULTIMATE_CPN_DT</stp>
        <stp>[portefeuille USD.xlsm]treasuries!R65C25_x0000__x0000_</stp>
        <tr r="Y65" s="13"/>
      </tp>
      <tp t="e">
        <v>#N/A</v>
        <stp/>
        <stp>##V3_BDPV12</stp>
        <stp>XS0579811489 Corp</stp>
        <stp>DAY_CNT_DES</stp>
        <stp>[portefeuille USD.xlsm]SSA!R20C29_x0000__x0000_</stp>
        <tr r="AC20" s="16"/>
      </tp>
      <tp t="e">
        <v>#N/A</v>
        <stp/>
        <stp>##V3_BDPV12</stp>
        <stp>US298785EA05 Corp</stp>
        <stp>CPN</stp>
        <stp>[portefeuille USD.xlsm]SSA!R76C26_x0000_R</stp>
        <tr r="Z76" s="16"/>
      </tp>
      <tp t="e">
        <v>#N/A</v>
        <stp/>
        <stp>##V3_BDPV12</stp>
        <stp>US9127956L09 Corp</stp>
        <stp>PENULTIMATE_CPN_DT</stp>
        <stp>[portefeuille USD.xlsm]treasuries!R62C25_x0000__x0000_</stp>
        <tr r="Y62" s="13"/>
      </tp>
      <tp t="e">
        <v>#N/A</v>
        <stp/>
        <stp>##V3_BDPV12</stp>
        <stp>US298785FS04 Corp</stp>
        <stp>CPN</stp>
        <stp>[portefeuille USD.xlsm]SSA!R73C26_x0000_R</stp>
        <tr r="Z73" s="16"/>
      </tp>
      <tp t="e">
        <v>#N/A</v>
        <stp/>
        <stp>##V3_BDPV12</stp>
        <stp>US298785FR21 Corp</stp>
        <stp>CPN</stp>
        <stp>[portefeuille USD.xlsm]SSA!R58C26_x0000_R</stp>
        <tr r="Z58" s="16"/>
      </tp>
      <tp t="e">
        <v>#N/A</v>
        <stp/>
        <stp>##V3_BDPV12</stp>
        <stp>US298785ER30 Corp</stp>
        <stp>CPN</stp>
        <stp>[portefeuille USD.xlsm]SSA!R48C26_x0000_R</stp>
        <tr r="Z48" s="16"/>
      </tp>
      <tp t="e">
        <v>#N/A</v>
        <stp/>
        <stp>##V3_BDPV12</stp>
        <stp>XS0205179483 Corp</stp>
        <stp>CPN</stp>
        <stp>[portefeuille USD.xlsm]SSA!R41C26_x0000_R</stp>
        <tr r="Z41" s="16"/>
      </tp>
      <tp t="e">
        <v>#N/A</v>
        <stp/>
        <stp>##V3_BDPV12</stp>
        <stp>XS0477425283 Corp</stp>
        <stp>CPN</stp>
        <stp>[portefeuille USD.xlsm]SSA!R14C26_x0000__x0000_</stp>
        <tr r="Z14" s="16"/>
      </tp>
      <tp t="e">
        <v>#N/A</v>
        <stp/>
        <stp>##V3_BDPV12</stp>
        <stp>US912795Y967 Corp</stp>
        <stp>MATURITY</stp>
        <stp>[portefeuille USD.xlsm]treasuries!R14C26_x0000__x0000_</stp>
        <tr r="Z14" s="13"/>
      </tp>
      <tp t="e">
        <v>#N/A</v>
        <stp/>
        <stp>##V3_BDPV12</stp>
        <stp>US9127956J52 Corp</stp>
        <stp>MATURITY</stp>
        <stp>[portefeuille USD.xlsm]treasuries!R22C26_x0000__x0000_</stp>
        <tr r="Z22" s="13"/>
      </tp>
      <tp t="e">
        <v>#N/A</v>
        <stp/>
        <stp>##V3_BDPV12</stp>
        <stp>US912828JQ49 Corp</stp>
        <stp>MATURITY</stp>
        <stp>[portefeuille USD.xlsm]treasuries!R83C26_x0000__x0000_</stp>
        <tr r="Z83" s="13"/>
      </tp>
      <tp t="e">
        <v>#N/A</v>
        <stp/>
        <stp>##V3_BDPV12</stp>
        <stp>US912810FJ26 Corp</stp>
        <stp>INT_ACC_DT</stp>
        <stp>[portefeuille USD.xlsm]treasuries!R265C23_x0000__x0000_</stp>
        <tr r="W265" s="13"/>
      </tp>
      <tp t="e">
        <v>#N/A</v>
        <stp/>
        <stp>##V3_BDPV12</stp>
        <stp>US912828SN17 Corp</stp>
        <stp>INT_ACC_DT</stp>
        <stp>[portefeuille USD.xlsm]treasuries!R225C23_x0000__x0000_</stp>
        <tr r="W225" s="13"/>
      </tp>
      <tp t="e">
        <v>#N/A</v>
        <stp/>
        <stp>##V3_BDPV12</stp>
        <stp>US912810EH78 Corp</stp>
        <stp>INT_ACC_DT</stp>
        <stp>[portefeuille USD.xlsm]treasuries!R240C23_x0000__x0000_</stp>
        <tr r="W240" s="13"/>
      </tp>
      <tp t="e">
        <v>#N/A</v>
        <stp/>
        <stp>##V3_BDPV12</stp>
        <stp>US912828SL50 Corp</stp>
        <stp>MATURITY</stp>
        <stp>[portefeuille USD.xlsm]treasuries!R99C26_x0000__x0000_</stp>
        <tr r="Z99" s="13"/>
      </tp>
      <tp t="e">
        <v>#N/A</v>
        <stp/>
        <stp>##V3_BDPV12</stp>
        <stp>XS0546548636 Corp</stp>
        <stp>CPN</stp>
        <stp>[portefeuille USD.xlsm]SSA!R117C26_x0000__x0000_</stp>
        <tr r="Z117" s="16"/>
      </tp>
      <tp t="e">
        <v>#N/A</v>
        <stp/>
        <stp>##V3_BDPV12</stp>
        <stp>US912828QK95 Corp</stp>
        <stp>MATURITY</stp>
        <stp>[portefeuille USD.xlsm]treasuries!R52C26_x0000__x0000_</stp>
        <tr r="Z52" s="13"/>
      </tp>
      <tp t="e">
        <v>#N/A</v>
        <stp/>
        <stp>##V3_BDPV12</stp>
        <stp>US912828MK32 Corp</stp>
        <stp>INT_ACC_DT</stp>
        <stp>[portefeuille USD.xlsm]treasuries!R179C23_x0000__x0000_</stp>
        <tr r="W179" s="13"/>
      </tp>
      <tp t="e">
        <v>#N/A</v>
        <stp/>
        <stp>##V3_BDPV12</stp>
        <stp>US912810QK79 Corp</stp>
        <stp>INT_ACC_DT</stp>
        <stp>[portefeuille USD.xlsm]treasuries!R279C23_x0000__x0000_</stp>
        <tr r="W279" s="13"/>
      </tp>
      <tp t="e">
        <v>#N/A</v>
        <stp/>
        <stp>##V3_BDPV12</stp>
        <stp>XS0477137813 Corp</stp>
        <stp>CPN</stp>
        <stp>[portefeuille USD.xlsm]SSA!R120C26_x0000__x0000_</stp>
        <tr r="Z120" s="16"/>
      </tp>
      <tp t="e">
        <v>#N/A</v>
        <stp/>
        <stp>##V3_BDPV12</stp>
        <stp>US912828MH03 Corp</stp>
        <stp>PENULTIMATE_CPN_DT</stp>
        <stp>[portefeuille USD.xlsm]treasuries!R126C25_x0000__x0000_</stp>
        <tr r="Y126" s="13"/>
      </tp>
      <tp t="e">
        <v>#N/A</v>
        <stp/>
        <stp>##V3_BDPV12</stp>
        <stp>US912828LL24 Corp</stp>
        <stp>PENULTIMATE_CPN_DT</stp>
        <stp>[portefeuille USD.xlsm]treasuries!R167C25_x0000__x0000_</stp>
        <tr r="Y167" s="13"/>
      </tp>
      <tp t="e">
        <v>#N/A</v>
        <stp/>
        <stp>##V3_BDPV12</stp>
        <stp>US912828RM43 Corp</stp>
        <stp>PENULTIMATE_CPN_DT</stp>
        <stp>[portefeuille USD.xlsm]treasuries!R171C25_x0000__x0000_</stp>
        <tr r="Y171" s="13"/>
      </tp>
      <tp t="e">
        <v>#N/A</v>
        <stp/>
        <stp>##V3_BDPV12</stp>
        <stp>XS0760314103 Corp</stp>
        <stp>INT_ACC_DT</stp>
        <stp>[portefeuille USD.xlsm]SSA!R119C22_x0000__x0000_</stp>
        <tr r="V119" s="16"/>
      </tp>
      <tp t="e">
        <v>#N/A</v>
        <stp/>
        <stp>##V3_BDPV12</stp>
        <stp>XS0521024132 Corp</stp>
        <stp>INT_ACC_DT</stp>
        <stp>[portefeuille USD.xlsm]SSA!R118C22_x0000__x0000_</stp>
        <tr r="V118" s="16"/>
      </tp>
      <tp t="e">
        <v>#N/A</v>
        <stp/>
        <stp>##V3_BDPV12</stp>
        <stp>FR0010606442 Corp</stp>
        <stp>INT_ACC_DT</stp>
        <stp>[portefeuille USD.xlsm]SSA!R108C22_x0000__x0000_</stp>
        <tr r="V108" s="16"/>
      </tp>
      <tp t="e">
        <v>#N/A</v>
        <stp/>
        <stp>##V3_BDPV12</stp>
        <stp>US912828QN35 Corp</stp>
        <stp>PENULTIMATE_CPN_DT</stp>
        <stp>[portefeuille USD.xlsm]treasuries!R241C25_x0000__x0000_</stp>
        <tr r="Y241" s="13"/>
      </tp>
      <tp t="e">
        <v>#N/A</v>
        <stp/>
        <stp>##V3_BDPV12</stp>
        <stp>US912828CJ78 Corp</stp>
        <stp>PENULTIMATE_CPN_DT</stp>
        <stp>[portefeuille USD.xlsm]treasuries!R105C25_x0000__x0000_</stp>
        <tr r="Y105" s="13"/>
      </tp>
      <tp t="e">
        <v>#N/A</v>
        <stp/>
        <stp>##V3_BDPV12</stp>
        <stp>US912828LK41 Corp</stp>
        <stp>PENULTIMATE_CPN_DT</stp>
        <stp>[portefeuille USD.xlsm]treasuries!R115C25_x0000__x0000_</stp>
        <tr r="Y115" s="13"/>
      </tp>
      <tp t="e">
        <v>#N/A</v>
        <stp/>
        <stp>##V3_BDPV12</stp>
        <stp>US912828EN62 Corp</stp>
        <stp>PENULTIMATE_CPN_DT</stp>
        <stp>[portefeuille USD.xlsm]treasuries!R146C25_x0000__x0000_</stp>
        <tr r="Y146" s="13"/>
      </tp>
      <tp t="e">
        <v>#N/A</v>
        <stp/>
        <stp>##V3_BDPV12</stp>
        <stp>US912828SH49 Corp</stp>
        <stp>PENULTIMATE_CPN_DT</stp>
        <stp>[portefeuille USD.xlsm]treasuries!R224C25_x0000__x0000_</stp>
        <tr r="Y224" s="13"/>
      </tp>
      <tp t="e">
        <v>#N/A</v>
        <stp/>
        <stp>##V3_BDPV12</stp>
        <stp>US12802DAB29 Corp</stp>
        <stp>YLD_YTM_ASK</stp>
        <stp>[portefeuille USD.xlsm]SSA!R102C8_x0000_R</stp>
        <tr r="H102" s="16"/>
      </tp>
      <tp t="e">
        <v>#N/A</v>
        <stp/>
        <stp>##V3_BDPV12</stp>
        <stp>XS0561837013 Corp</stp>
        <stp>FIRST_CPN_DT</stp>
        <stp>[portefeuille USD.xlsm]SSA!R128C23_x0000__x0000_</stp>
        <tr r="W128" s="16"/>
      </tp>
      <tp t="e">
        <v>#N/A</v>
        <stp/>
        <stp>##V3_BDPV12</stp>
        <stp>XS0451654189 Corp</stp>
        <stp>FIRST_CPN_DT</stp>
        <stp>[portefeuille USD.xlsm]SSA!R129C23_x0000__x0000_</stp>
        <tr r="W129" s="16"/>
      </tp>
      <tp t="e">
        <v>#N/A</v>
        <stp/>
        <stp>##V3_BDPV12</stp>
        <stp>XS0477137813 Corp</stp>
        <stp>INT_ACC_DT</stp>
        <stp>[portefeuille USD.xlsm]SSA!R120C22_x0000__x0000_</stp>
        <tr r="V120" s="16"/>
      </tp>
      <tp t="e">
        <v>#N/A</v>
        <stp/>
        <stp>##V3_BDPV12</stp>
        <stp>XS0760314103 Corp</stp>
        <stp>FIRST_CPN_DT</stp>
        <stp>[portefeuille USD.xlsm]SSA!R119C23_x0000__x0000_</stp>
        <tr r="W119" s="16"/>
      </tp>
      <tp t="e">
        <v>#N/A</v>
        <stp/>
        <stp>##V3_BDPV12</stp>
        <stp>US912828KJ86 Corp</stp>
        <stp>PENULTIMATE_CPN_DT</stp>
        <stp>[portefeuille USD.xlsm]treasuries!R100C25_x0000__x0000_</stp>
        <tr r="Y100" s="13"/>
      </tp>
      <tp t="e">
        <v>#N/A</v>
        <stp/>
        <stp>##V3_BDPV12</stp>
        <stp>EH790357 Corp Corp</stp>
        <stp>ISSUE_DT</stp>
        <stp>[portefeuille USD.xlsm]SSA!R28C21_x0000__x0000_</stp>
        <tr r="U28" s="16"/>
      </tp>
      <tp t="e">
        <v>#N/A</v>
        <stp/>
        <stp>##V3_BDPV12</stp>
        <stp>US912828RK86 Govt</stp>
        <stp>INT_ACC</stp>
        <stp>[portefeuille USD.xlsm]MV Repo!R12C6_x0000__x0000_</stp>
        <tr r="F12" s="6"/>
      </tp>
      <tp t="e">
        <v>#N/A</v>
        <stp/>
        <stp>##V3_BDPV12</stp>
        <stp>EH539714 Corp Corp</stp>
        <stp>CPN_FREQ</stp>
        <stp>[portefeuille USD.xlsm]SSA!R34C27_x0000__x0000_</stp>
        <tr r="AA34" s="16"/>
      </tp>
      <tp t="e">
        <v>#N/A</v>
        <stp/>
        <stp>##V3_BDPV12</stp>
        <stp>EH790357 Corp Corp</stp>
        <stp>MATURITY</stp>
        <stp>[portefeuille USD.xlsm]SSA!R28C25_x0000__x0000_</stp>
        <tr r="Y28" s="16"/>
      </tp>
      <tp t="e">
        <v>#N/A</v>
        <stp/>
        <stp>##V3_BDPV12</stp>
        <stp>FR0010500843 Corp</stp>
        <stp>YLD_YTM_ASK</stp>
        <stp>[portefeuille USD.xlsm]SSA!R111C8_x0000_R</stp>
        <tr r="H111" s="16"/>
      </tp>
      <tp t="e">
        <v>#N/A</v>
        <stp/>
        <stp>##V3_BDPV12</stp>
        <stp>XS0270250136 Corp</stp>
        <stp>YLD_YTM_ASK</stp>
        <stp>[portefeuille USD.xlsm]SSA!R115C8_x0000_R</stp>
        <tr r="H115" s="16"/>
      </tp>
      <tp t="e">
        <v>#N/A</v>
        <stp/>
        <stp>##V3_BDPV12</stp>
        <stp>FR0010941732 Corp</stp>
        <stp>DAY_CNT_DES</stp>
        <stp>[portefeuille USD.xlsm]SSA!R96C29_x0000__x0000_</stp>
        <tr r="AC96" s="16"/>
      </tp>
      <tp t="e">
        <v>#N/A</v>
        <stp/>
        <stp>##V3_BDPV12</stp>
        <stp>XS0287792914 Corp</stp>
        <stp>DAY_CNT_DES</stp>
        <stp>[portefeuille USD.xlsm]SSA!R54C29_x0000_R</stp>
        <tr r="AC54" s="16"/>
      </tp>
      <tp t="e">
        <v>#N/A</v>
        <stp/>
        <stp>##V3_BDPV12</stp>
        <stp>US9127955Q05 Corp</stp>
        <stp>PENULTIMATE_CPN_DT</stp>
        <stp>[portefeuille USD.xlsm]treasuries!R41C25_x0000__x0000_</stp>
        <tr r="Y41" s="13"/>
      </tp>
      <tp t="e">
        <v>#N/A</v>
        <stp/>
        <stp>##V3_BDPV12</stp>
        <stp>US9127955V99 Corp</stp>
        <stp>PENULTIMATE_CPN_DT</stp>
        <stp>[portefeuille USD.xlsm]treasuries!R45C25_x0000__x0000_</stp>
        <tr r="Y45" s="13"/>
      </tp>
      <tp t="e">
        <v>#N/A</v>
        <stp/>
        <stp>##V3_BDPV12</stp>
        <stp>US9127955Z04 Corp</stp>
        <stp>PENULTIMATE_CPN_DT</stp>
        <stp>[portefeuille USD.xlsm]treasuries!R49C25_x0000__x0000_</stp>
        <tr r="Y49" s="13"/>
      </tp>
      <tp t="e">
        <v>#N/A</v>
        <stp/>
        <stp>##V3_BDPV12</stp>
        <stp>US9127954B45 Corp</stp>
        <stp>ISSUE_DT</stp>
        <stp>[portefeuille USD.xlsm]treasuries!R6C22_x0000__x0000_</stp>
        <tr r="V6" s="13"/>
      </tp>
      <tp t="e">
        <v>#N/A</v>
        <stp/>
        <stp>##V3_BDPV12</stp>
        <stp>US298785CX26 Corp</stp>
        <stp>CPN</stp>
        <stp>[portefeuille USD.xlsm]SSA!R46C26_x0000_R</stp>
        <tr r="Z46" s="16"/>
      </tp>
      <tp t="e">
        <v>#N/A</v>
        <stp/>
        <stp>##V3_BDPV12</stp>
        <stp>US298785FJ05 Corp</stp>
        <stp>CPN</stp>
        <stp>[portefeuille USD.xlsm]SSA!R66C26_x0000_R</stp>
        <tr r="Z66" s="16"/>
      </tp>
      <tp t="e">
        <v>#N/A</v>
        <stp/>
        <stp>##V3_BDPV12</stp>
        <stp>US298785EN26 Corp</stp>
        <stp>CPN</stp>
        <stp>[portefeuille USD.xlsm]SSA!R44C26_x0000_R</stp>
        <tr r="Z44" s="16"/>
      </tp>
      <tp t="e">
        <v>#N/A</v>
        <stp/>
        <stp>##V3_BDPV12</stp>
        <stp>US298785FN17 Corp</stp>
        <stp>CPN</stp>
        <stp>[portefeuille USD.xlsm]SSA!R70C26_x0000_R</stp>
        <tr r="Z70" s="16"/>
      </tp>
      <tp t="e">
        <v>#N/A</v>
        <stp/>
        <stp>##V3_BDPV12</stp>
        <stp>US298785EZ55 Corp</stp>
        <stp>CPN</stp>
        <stp>[portefeuille USD.xlsm]SSA!R39C26_x0000_R</stp>
        <tr r="Z39" s="16"/>
      </tp>
      <tp t="e">
        <v>#N/A</v>
        <stp/>
        <stp>##V3_BDPV12</stp>
        <stp>US298785FW16 Corp</stp>
        <stp>CPN</stp>
        <stp>[portefeuille USD.xlsm]SSA!R79C26_x0000_R</stp>
        <tr r="Z79" s="16"/>
      </tp>
      <tp t="e">
        <v>#N/A</v>
        <stp/>
        <stp>##V3_BDPV12</stp>
        <stp>US912828DM98 Corp</stp>
        <stp>INT_ACC_DT</stp>
        <stp>[portefeuille USD.xlsm]treasuries!R128C23_x0000__x0000_</stp>
        <tr r="W128" s="13"/>
      </tp>
      <tp t="e">
        <v>#N/A</v>
        <stp/>
        <stp>##V3_BDPV12</stp>
        <stp>US912828QJ23 Corp</stp>
        <stp>INT_ACC_DT</stp>
        <stp>[portefeuille USD.xlsm]treasuries!R153C23_x0000__x0000_</stp>
        <tr r="W153" s="13"/>
      </tp>
      <tp t="e">
        <v>#N/A</v>
        <stp/>
        <stp>##V3_BDPV12</stp>
        <stp>US912828RK86 Corp</stp>
        <stp>MATURITY</stp>
        <stp>[portefeuille USD.xlsm]treasuries!R79C26_x0000__x0000_</stp>
        <tr r="Z79" s="13"/>
      </tp>
      <tp t="e">
        <v>#N/A</v>
        <stp/>
        <stp>##V3_BDPV12</stp>
        <stp>US912828CA69 Corp</stp>
        <stp>MATURITY</stp>
        <stp>[portefeuille USD.xlsm]treasuries!R95C26_x0000__x0000_</stp>
        <tr r="Z95" s="13"/>
      </tp>
      <tp t="e">
        <v>#N/A</v>
        <stp/>
        <stp>##V3_BDPV12</stp>
        <stp>US912828NH93 Corp</stp>
        <stp>MATURITY</stp>
        <stp>[portefeuille USD.xlsm]treasuries!R68C26_x0000__x0000_</stp>
        <tr r="Z68" s="13"/>
      </tp>
      <tp t="e">
        <v>#N/A</v>
        <stp/>
        <stp>##V3_BDPV12</stp>
        <stp>US912810EK08 Corp</stp>
        <stp>INT_ACC_DT</stp>
        <stp>[portefeuille USD.xlsm]treasuries!R244C23_x0000__x0000_</stp>
        <tr r="W244" s="13"/>
      </tp>
      <tp t="e">
        <v>#N/A</v>
        <stp/>
        <stp>##V3_BDPV12</stp>
        <stp>US63983UAD46 Corp</stp>
        <stp>DAY_CNT_DES</stp>
        <stp>[portefeuille USD.xlsm]SSA!R10C29_x0000__x0000_</stp>
        <tr r="AC10" s="16"/>
      </tp>
      <tp t="e">
        <v>#N/A</v>
        <stp/>
        <stp>##V3_BDPV12</stp>
        <stp>US9127955Q05 Corp</stp>
        <stp>MATURITY</stp>
        <stp>[portefeuille USD.xlsm]treasuries!R41C26_x0000__x0000_</stp>
        <tr r="Z41" s="13"/>
      </tp>
      <tp t="e">
        <v>#N/A</v>
        <stp/>
        <stp>##V3_BDPV12</stp>
        <stp>US912828NL06 Corp</stp>
        <stp>INT_ACC_DT</stp>
        <stp>[portefeuille USD.xlsm]treasuries!R138C23_x0000__x0000_</stp>
        <tr r="W138" s="13"/>
      </tp>
      <tp t="e">
        <v>#N/A</v>
        <stp/>
        <stp>##V3_BDPV12</stp>
        <stp>US912828PF10 Corp</stp>
        <stp>INT_ACC_DT</stp>
        <stp>[portefeuille USD.xlsm]treasuries!R199C23_x0000__x0000_</stp>
        <tr r="W199" s="13"/>
      </tp>
      <tp t="e">
        <v>#N/A</v>
        <stp/>
        <stp>##V3_BDPV12</stp>
        <stp>US912828QH66 Corp</stp>
        <stp>MATURITY</stp>
        <stp>[portefeuille USD.xlsm]treasuries!R94C26_x0000__x0000_</stp>
        <tr r="Z94" s="13"/>
      </tp>
      <tp t="e">
        <v>#N/A</v>
        <stp/>
        <stp>##V3_BDPV12</stp>
        <stp>US912828SG65 Corp</stp>
        <stp>MATURITY</stp>
        <stp>[portefeuille USD.xlsm]treasuries!R96C26_x0000__x0000_</stp>
        <tr r="Z96" s="13"/>
      </tp>
      <tp t="e">
        <v>#N/A</v>
        <stp/>
        <stp>##V3_BDPV12</stp>
        <stp>US912828KF64 Corp</stp>
        <stp>MATURITY</stp>
        <stp>[portefeuille USD.xlsm]treasuries!R97C26_x0000__x0000_</stp>
        <tr r="Z97" s="13"/>
      </tp>
      <tp t="e">
        <v>#N/A</v>
        <stp/>
        <stp>##V3_BDPV12</stp>
        <stp>US912810QH41 Corp</stp>
        <stp>INT_ACC_DT</stp>
        <stp>[portefeuille USD.xlsm]treasuries!R278C23_x0000__x0000_</stp>
        <tr r="W278" s="13"/>
      </tp>
      <tp t="e">
        <v>#N/A</v>
        <stp/>
        <stp>##V3_BDPV12</stp>
        <stp>US9127956N64 Corp</stp>
        <stp>MATURITY</stp>
        <stp>[portefeuille USD.xlsm]treasuries!R29C26_x0000__x0000_</stp>
        <tr r="Z29" s="13"/>
      </tp>
      <tp t="e">
        <v>#N/A</v>
        <stp/>
        <stp>##V3_BDPV12</stp>
        <stp>US9127955Z04 Corp</stp>
        <stp>MATURITY</stp>
        <stp>[portefeuille USD.xlsm]treasuries!R49C26_x0000__x0000_</stp>
        <tr r="Z49" s="13"/>
      </tp>
      <tp t="e">
        <v>#N/A</v>
        <stp/>
        <stp>##V3_BDPV12</stp>
        <stp>US912828HY90 Corp</stp>
        <stp>MATURITY</stp>
        <stp>[portefeuille USD.xlsm]treasuries!R61C26_x0000__x0000_</stp>
        <tr r="Z61" s="13"/>
      </tp>
      <tp t="e">
        <v>#N/A</v>
        <stp/>
        <stp>##V3_BDPV12</stp>
        <stp>US912828JH40 Corp</stp>
        <stp>PENULTIMATE_CPN_DT</stp>
        <stp>[portefeuille USD.xlsm]treasuries!R213C25_x0000__x0000_</stp>
        <tr r="Y213" s="13"/>
      </tp>
      <tp t="e">
        <v>#N/A</v>
        <stp/>
        <stp>##V3_BDPV12</stp>
        <stp>XS0562102615 Corp</stp>
        <stp>FIRST_CPN_DT</stp>
        <stp>[portefeuille USD.xlsm]SSA!R145C23_x0000__x0000_</stp>
        <tr r="W145" s="16"/>
      </tp>
      <tp t="e">
        <v>#N/A</v>
        <stp/>
        <stp>##V3_BDPV12</stp>
        <stp>XS0592582653 Corp</stp>
        <stp>INT_ACC_DT</stp>
        <stp>[portefeuille USD.xlsm]SSA!R113C22_x0000__x0000_</stp>
        <tr r="V113" s="16"/>
      </tp>
      <tp t="e">
        <v>#N/A</v>
        <stp/>
        <stp>##V3_BDPV12</stp>
        <stp>US912828NA41 Corp</stp>
        <stp>PENULTIMATE_CPN_DT</stp>
        <stp>[portefeuille USD.xlsm]treasuries!R187C25_x0000__x0000_</stp>
        <tr r="Y187" s="13"/>
      </tp>
      <tp t="e">
        <v>#N/A</v>
        <stp/>
        <stp>##V3_BDPV12</stp>
        <stp>FR0010827246 Corp</stp>
        <stp>CPN</stp>
        <stp>[portefeuille USD.xlsm]SSA!R110C26_x0000__x0000_</stp>
        <tr r="Z110" s="16"/>
      </tp>
      <tp t="e">
        <v>#N/A</v>
        <stp/>
        <stp>##V3_BDPV12</stp>
        <stp>US912828RH57 Corp</stp>
        <stp>PENULTIMATE_CPN_DT</stp>
        <stp>[portefeuille USD.xlsm]treasuries!R215C25_x0000__x0000_</stp>
        <tr r="Y215" s="13"/>
      </tp>
      <tp t="e">
        <v>#N/A</v>
        <stp/>
        <stp>##V3_BDPV12</stp>
        <stp>US912828PM60 Corp</stp>
        <stp>PENULTIMATE_CPN_DT</stp>
        <stp>[portefeuille USD.xlsm]treasuries!R148C25_x0000__x0000_</stp>
        <tr r="Y148" s="13"/>
      </tp>
      <tp t="e">
        <v>#N/A</v>
        <stp/>
        <stp>##V3_BDPV12</stp>
        <stp>US912810EM63 Corp</stp>
        <stp>PENULTIMATE_CPN_DT</stp>
        <stp>[portefeuille USD.xlsm]treasuries!R249C25_x0000__x0000_</stp>
        <tr r="Y249" s="13"/>
      </tp>
      <tp t="e">
        <v>#N/A</v>
        <stp/>
        <stp>##V3_BDPV12</stp>
        <stp>XS0705646452 Corp</stp>
        <stp>INT_ACC_DT</stp>
        <stp>[portefeuille USD.xlsm]SSA!R121C22_x0000__x0000_</stp>
        <tr r="V121" s="16"/>
      </tp>
      <tp t="e">
        <v>#N/A</v>
        <stp/>
        <stp>##V3_BDPV12</stp>
        <stp>FR0010776674 Corp</stp>
        <stp>INT_ACC_DT</stp>
        <stp>[portefeuille USD.xlsm]SSA!R112C22_x0000__x0000_</stp>
        <tr r="V112" s="16"/>
      </tp>
      <tp t="e">
        <v>#N/A</v>
        <stp/>
        <stp>##V3_BDPV12</stp>
        <stp>US912828GH76 Govt</stp>
        <stp>INT_ACC</stp>
        <stp>[portefeuille USD.xlsm]MV Repo!R21C6_x0000__x0000_</stp>
        <tr r="F21" s="6"/>
      </tp>
      <tp t="e">
        <v>#N/A</v>
        <stp/>
        <stp>##V3_BDPV12</stp>
        <stp>XS0547845205 Corp</stp>
        <stp>DAY_CNT_DES</stp>
        <stp>[portefeuille USD.xlsm]SSA!R81C29_x0000_R</stp>
        <tr r="AC81" s="16"/>
      </tp>
      <tp t="e">
        <v>#N/A</v>
        <stp/>
        <stp>##V3_BDPV12</stp>
        <stp>US12802DAB29 Corp</stp>
        <stp>INT_ACC_DT</stp>
        <stp>[portefeuille USD.xlsm]SSA!R102C22_x0000__x0000_</stp>
        <tr r="V102" s="16"/>
      </tp>
      <tp t="e">
        <v>#N/A</v>
        <stp/>
        <stp>##V3_BDPV12</stp>
        <stp>FR0010606442 Corp</stp>
        <stp>YLD_YTM_ASK</stp>
        <stp>[portefeuille USD.xlsm]SSA!R108C8_x0000_R</stp>
        <tr r="H108" s="16"/>
      </tp>
      <tp t="e">
        <v>#N/A</v>
        <stp/>
        <stp>##V3_BDPV12</stp>
        <stp>FR0010875302 Corp</stp>
        <stp>DAY_CNT_DES</stp>
        <stp>[portefeuille USD.xlsm]SSA!R88C29_x0000__x0000_</stp>
        <tr r="AC88" s="16"/>
      </tp>
      <tp t="e">
        <v>#N/A</v>
        <stp/>
        <stp>##V3_BDPV12</stp>
        <stp>XS0635033128 Corp</stp>
        <stp>YLD_YTM_ASK</stp>
        <stp>[portefeuille USD.xlsm]SSA!R146C8_x0000_R</stp>
        <tr r="H146" s="16"/>
      </tp>
      <tp t="e">
        <v>#N/A</v>
        <stp/>
        <stp>##V3_BDPV12</stp>
        <stp>US298785FV33 Corp</stp>
        <stp>CPN</stp>
        <stp>[portefeuille USD.xlsm]SSA!R63C26_x0000_R</stp>
        <tr r="Z63" s="16"/>
      </tp>
      <tp t="e">
        <v>#N/A</v>
        <stp/>
        <stp>##V3_BDPV12</stp>
        <stp>FR0010394452 Corp</stp>
        <stp>CPN</stp>
        <stp>[portefeuille USD.xlsm]SSA!R93C26_x0000__x0000_</stp>
        <tr r="Z93" s="16"/>
      </tp>
      <tp t="e">
        <v>#N/A</v>
        <stp/>
        <stp>##V3_BDPV12</stp>
        <stp>US298785FD35 Corp</stp>
        <stp>CPN</stp>
        <stp>[portefeuille USD.xlsm]SSA!R62C26_x0000_R</stp>
        <tr r="Z62" s="16"/>
      </tp>
      <tp t="e">
        <v>#N/A</v>
        <stp/>
        <stp>##V3_BDPV12</stp>
        <stp>US298785EX08 Corp</stp>
        <stp>CPN</stp>
        <stp>[portefeuille USD.xlsm]SSA!R53C26_x0000_R</stp>
        <tr r="Z53" s="16"/>
      </tp>
      <tp t="e">
        <v>#N/A</v>
        <stp/>
        <stp>##V3_BDPV12</stp>
        <stp>US298785FE18 Corp</stp>
        <stp>CPN</stp>
        <stp>[portefeuille USD.xlsm]SSA!R47C26_x0000_R</stp>
        <tr r="Z47" s="16"/>
      </tp>
      <tp t="e">
        <v>#N/A</v>
        <stp/>
        <stp>##V3_BDPV12</stp>
        <stp>US912828NG11 Corp</stp>
        <stp>INT_ACC_DT</stp>
        <stp>[portefeuille USD.xlsm]treasuries!R191C23_x0000__x0000_</stp>
        <tr r="W191" s="13"/>
      </tp>
      <tp t="e">
        <v>#N/A</v>
        <stp/>
        <stp>##V3_BDPV12</stp>
        <stp>XS0521024132 Corp</stp>
        <stp>CPN</stp>
        <stp>[portefeuille USD.xlsm]SSA!R118C26_x0000__x0000_</stp>
        <tr r="Z118" s="16"/>
      </tp>
      <tp t="e">
        <v>#N/A</v>
        <stp/>
        <stp>##V3_BDPV12</stp>
        <stp>US912810EJ35 Corp</stp>
        <stp>INT_ACC_DT</stp>
        <stp>[portefeuille USD.xlsm]treasuries!R242C23_x0000__x0000_</stp>
        <tr r="W242" s="13"/>
      </tp>
      <tp t="e">
        <v>#N/A</v>
        <stp/>
        <stp>##V3_BDPV12</stp>
        <stp>US63983TAE55 Corp</stp>
        <stp>DAY_CNT_DES</stp>
        <stp>[portefeuille USD.xlsm]SSA!R11C29_x0000__x0000_</stp>
        <tr r="AC11" s="16"/>
      </tp>
      <tp t="e">
        <v>#N/A</v>
        <stp/>
        <stp>##V3_BDPV12</stp>
        <stp>US912828PJ32 Corp</stp>
        <stp>INT_ACC_DT</stp>
        <stp>[portefeuille USD.xlsm]treasuries!R147C23_x0000__x0000_</stp>
        <tr r="W147" s="13"/>
      </tp>
      <tp t="e">
        <v>#N/A</v>
        <stp/>
        <stp>##V3_BDPV12</stp>
        <stp>US912828SB78 Corp</stp>
        <stp>MATURITY</stp>
        <stp>[portefeuille USD.xlsm]treasuries!R93C26_x0000__x0000_</stp>
        <tr r="Z93" s="13"/>
      </tp>
      <tp t="e">
        <v>#N/A</v>
        <stp/>
        <stp>##V3_BDPV12</stp>
        <stp>US912828PZ73 Corp</stp>
        <stp>MATURITY</stp>
        <stp>[portefeuille USD.xlsm]treasuries!R98C26_x0000__x0000_</stp>
        <tr r="Z98" s="13"/>
      </tp>
      <tp t="e">
        <v>#N/A</v>
        <stp/>
        <stp>##V3_BDPV12</stp>
        <stp>US912828PN44 Corp</stp>
        <stp>INT_ACC_DT</stp>
        <stp>[portefeuille USD.xlsm]treasuries!R202C23_x0000__x0000_</stp>
        <tr r="W202" s="13"/>
      </tp>
      <tp t="e">
        <v>#N/A</v>
        <stp/>
        <stp>##V3_BDPV12</stp>
        <stp>US9127956A44 Corp</stp>
        <stp>MATURITY</stp>
        <stp>[portefeuille USD.xlsm]treasuries!R10C26_x0000__x0000_</stp>
        <tr r="Z10" s="13"/>
      </tp>
      <tp t="e">
        <v>#N/A</v>
        <stp/>
        <stp>##V3_BDPV12</stp>
        <stp>XS0760314103 Corp</stp>
        <stp>CPN</stp>
        <stp>[portefeuille USD.xlsm]SSA!R119C26_x0000__x0000_</stp>
        <tr r="Z119" s="16"/>
      </tp>
      <tp t="e">
        <v>#N/A</v>
        <stp/>
        <stp>##V3_BDPV12</stp>
        <stp>US12802DAA46 Corp</stp>
        <stp>CPN</stp>
        <stp>[portefeuille USD.xlsm]SSA!R94C26_x0000__x0000_</stp>
        <tr r="Z94" s="16"/>
      </tp>
      <tp t="e">
        <v>#N/A</v>
        <stp/>
        <stp>##V3_BDPV12</stp>
        <stp>US912828KN98 Corp</stp>
        <stp>INT_ACC_DT</stp>
        <stp>[portefeuille USD.xlsm]treasuries!R102C23_x0000__x0000_</stp>
        <tr r="W102" s="13"/>
      </tp>
      <tp t="e">
        <v>#N/A</v>
        <stp/>
        <stp>##V3_BDPV12</stp>
        <stp>US912828PQ74 Corp</stp>
        <stp>MATURITY</stp>
        <stp>[portefeuille USD.xlsm]treasuries!R91C26_x0000__x0000_</stp>
        <tr r="Z91" s="13"/>
      </tp>
      <tp t="e">
        <v>#N/A</v>
        <stp/>
        <stp>##V3_BDPV12</stp>
        <stp>XS0562102615 Corp</stp>
        <stp>CPN</stp>
        <stp>[portefeuille USD.xlsm]SSA!R145C26_x0000__x0000_</stp>
        <tr r="Z145" s="16"/>
      </tp>
      <tp t="e">
        <v>#N/A</v>
        <stp/>
        <stp>##V3_BDPV12</stp>
        <stp>US912828HA15 Corp</stp>
        <stp>PENULTIMATE_CPN_DT</stp>
        <stp>[portefeuille USD.xlsm]treasuries!R196C25_x0000__x0000_</stp>
        <tr r="Y196" s="13"/>
      </tp>
      <tp t="e">
        <v>#N/A</v>
        <stp/>
        <stp>##V3_BDPV12</stp>
        <stp>US912828SK77 Corp</stp>
        <stp>PENULTIMATE_CPN_DT</stp>
        <stp>[portefeuille USD.xlsm]treasuries!R131C25_x0000__x0000_</stp>
        <tr r="Y131" s="13"/>
      </tp>
      <tp t="e">
        <v>#N/A</v>
        <stp/>
        <stp>##V3_BDPV12</stp>
        <stp>US912828HH67 Corp</stp>
        <stp>PENULTIMATE_CPN_DT</stp>
        <stp>[portefeuille USD.xlsm]treasuries!R200C25_x0000__x0000_</stp>
        <tr r="Y200" s="13"/>
      </tp>
      <tp t="e">
        <v>#N/A</v>
        <stp/>
        <stp>##V3_BDPV12</stp>
        <stp>FR0010925446 Corp</stp>
        <stp>CPN</stp>
        <stp>[portefeuille USD.xlsm]SSA!R107C26_x0000__x0000_</stp>
        <tr r="Z107" s="16"/>
      </tp>
      <tp t="e">
        <v>#N/A</v>
        <stp/>
        <stp>##V3_BDPV12</stp>
        <stp>US912828LJ77 Corp</stp>
        <stp>PENULTIMATE_CPN_DT</stp>
        <stp>[portefeuille USD.xlsm]treasuries!R229C25_x0000__x0000_</stp>
        <tr r="Y229" s="13"/>
      </tp>
      <tp t="e">
        <v>#N/A</v>
        <stp/>
        <stp>##V3_BDPV12</stp>
        <stp>US912810EL80 Corp</stp>
        <stp>PENULTIMATE_CPN_DT</stp>
        <stp>[portefeuille USD.xlsm]treasuries!R245C25_x0000__x0000_</stp>
        <tr r="Y245" s="13"/>
      </tp>
      <tp t="e">
        <v>#N/A</v>
        <stp/>
        <stp>##V3_BDPV12</stp>
        <stp>XS0270250136 Corp</stp>
        <stp>INT_ACC_DT</stp>
        <stp>[portefeuille USD.xlsm]SSA!R115C22_x0000__x0000_</stp>
        <tr r="V115" s="16"/>
      </tp>
      <tp t="e">
        <v>#N/A</v>
        <stp/>
        <stp>##V3_BDPV12</stp>
        <stp>US12802NAB01 Corp</stp>
        <stp>YLD_YTM_ASK</stp>
        <stp>[portefeuille USD.xlsm]SSA!R101C8_x0000_R</stp>
        <tr r="H101" s="16"/>
      </tp>
      <tp t="e">
        <v>#N/A</v>
        <stp/>
        <stp>##V3_BDPV12</stp>
        <stp>FR0010500843 Corp</stp>
        <stp>INT_ACC_DT</stp>
        <stp>[portefeuille USD.xlsm]SSA!R111C22_x0000__x0000_</stp>
        <tr r="V111" s="16"/>
      </tp>
      <tp t="e">
        <v>#N/A</v>
        <stp/>
        <stp>##V3_BDPV12</stp>
        <stp>US912828PA23 Corp</stp>
        <stp>PENULTIMATE_CPN_DT</stp>
        <stp>[portefeuille USD.xlsm]treasuries!R198C25_x0000__x0000_</stp>
        <tr r="Y198" s="13"/>
      </tp>
      <tp t="e">
        <v>#N/A</v>
        <stp/>
        <stp>##V3_BDPV12</stp>
        <stp>EI143648 Corp Corp</stp>
        <stp>ISSUE_DT</stp>
        <stp>[portefeuille USD.xlsm]SSA!R32C21_x0000__x0000_</stp>
        <tr r="U32" s="16"/>
      </tp>
      <tp t="e">
        <v>#N/A</v>
        <stp/>
        <stp>##V3_BDPV12</stp>
        <stp>EI143648 Corp Corp</stp>
        <stp>MATURITY</stp>
        <stp>[portefeuille USD.xlsm]SSA!R32C25_x0000__x0000_</stp>
        <tr r="Y32" s="16"/>
      </tp>
      <tp t="e">
        <v>#N/A</v>
        <stp/>
        <stp>##V3_BDPV12</stp>
        <stp>XS0271449000 Corp</stp>
        <stp>DAY_CNT_DES</stp>
        <stp>[portefeuille USD.xlsm]SSA!R50C29_x0000_R</stp>
        <tr r="AC50" s="16"/>
      </tp>
      <tp t="e">
        <v>#N/A</v>
        <stp/>
        <stp>##V3_BDPV12</stp>
        <stp>XS0311512957 Corp</stp>
        <stp>DAY_CNT_DES</stp>
        <stp>[portefeuille USD.xlsm]SSA!R13C29_x0000__x0000_</stp>
        <tr r="AC13" s="16"/>
      </tp>
      <tp t="e">
        <v>#N/A</v>
        <stp/>
        <stp>##V3_BDPV12</stp>
        <stp>XS0760314103 Corp</stp>
        <stp>YLD_YTM_ASK</stp>
        <stp>[portefeuille USD.xlsm]SSA!R119C8_x0000_R</stp>
        <tr r="H119" s="16"/>
      </tp>
      <tp t="e">
        <v>#N/A</v>
        <stp/>
        <stp>##V3_BDPV12</stp>
        <stp>XS0521024132 Corp</stp>
        <stp>YLD_YTM_ASK</stp>
        <stp>[portefeuille USD.xlsm]SSA!R118C8_x0000_R</stp>
        <tr r="H118" s="16"/>
      </tp>
      <tp t="e">
        <v>#N/A</v>
        <stp/>
        <stp>##V3_BDPV12</stp>
        <stp>XS0705646452 Corp</stp>
        <stp>YLD_YTM_ASK</stp>
        <stp>[portefeuille USD.xlsm]SSA!R121C8_x0000_R</stp>
        <tr r="H121" s="16"/>
      </tp>
      <tp t="e">
        <v>#N/A</v>
        <stp/>
        <stp>##V3_BDPV12</stp>
        <stp>FR0011012731 Corp</stp>
        <stp>YLD_YTM_ASK</stp>
        <stp>[portefeuille USD.xlsm]SSA!R104C8_x0000_R</stp>
        <tr r="H104" s="16"/>
      </tp>
      <tp t="e">
        <v>#N/A</v>
        <stp/>
        <stp>##V3_BDPV12</stp>
        <stp>XS0225513703 Corp</stp>
        <stp>DAY_CNT_DES</stp>
        <stp>[portefeuille USD.xlsm]SSA!R40C29_x0000_R</stp>
        <tr r="AC40" s="16"/>
      </tp>
      <tp t="e">
        <v>#N/A</v>
        <stp/>
        <stp>##V3_BDPV12</stp>
        <stp>US298785FM34 Corp</stp>
        <stp>DAY_CNT_DES</stp>
        <stp>[portefeuille USD.xlsm]SSA!R85C29_x0000_R</stp>
        <tr r="AC85" s="16"/>
      </tp>
      <tp t="e">
        <v>#N/A</v>
        <stp/>
        <stp>##V3_BDPV12</stp>
        <stp>US9127956F31 Corp</stp>
        <stp>PENULTIMATE_CPN_DT</stp>
        <stp>[portefeuille USD.xlsm]treasuries!R58C25_x0000__x0000_</stp>
        <tr r="Y58" s="13"/>
      </tp>
      <tp t="e">
        <v>#N/A</v>
        <stp/>
        <stp>##V3_BDPV12</stp>
        <stp>US9127956E65 Corp</stp>
        <stp>PENULTIMATE_CPN_DT</stp>
        <stp>[portefeuille USD.xlsm]treasuries!R54C25_x0000__x0000_</stp>
        <tr r="Y54" s="13"/>
      </tp>
      <tp t="e">
        <v>#N/A</v>
        <stp/>
        <stp>##V3_BDPV12</stp>
        <stp>US912828RP73 Corp</stp>
        <stp>INT_ACC_DT</stp>
        <stp>[portefeuille USD.xlsm]treasuries!R216C23_x0000__x0000_</stp>
        <tr r="W216" s="13"/>
      </tp>
      <tp t="e">
        <v>#N/A</v>
        <stp/>
        <stp>##V3_BDPV12</stp>
        <stp>US912828KT68 Corp</stp>
        <stp>INT_ACC_DT</stp>
        <stp>[portefeuille USD.xlsm]treasuries!R154C23_x0000__x0000_</stp>
        <tr r="W154" s="13"/>
      </tp>
      <tp t="e">
        <v>#N/A</v>
        <stp/>
        <stp>##V3_BDPV12</stp>
        <stp>FR0010775239 Corp</stp>
        <stp>DAY_CNT_DES</stp>
        <stp>[portefeuille USD.xlsm]SSA!R103C29_x0000__x0000_</stp>
        <tr r="AC103" s="16"/>
      </tp>
      <tp t="e">
        <v>#N/A</v>
        <stp/>
        <stp>##V3_BDPV12</stp>
        <stp>US912828RA05 Corp</stp>
        <stp>ISSUE_DT</stp>
        <stp>[portefeuille USD.xlsm]treasuries!R69C22_x0000__x0000_</stp>
        <tr r="V69" s="13"/>
      </tp>
      <tp t="e">
        <v>#N/A</v>
        <stp/>
        <stp>##V3_BDPV12</stp>
        <stp>US912810ET17 Corp</stp>
        <stp>INT_ACC_DT</stp>
        <stp>[portefeuille USD.xlsm]treasuries!R254C23_x0000__x0000_</stp>
        <tr r="W254" s="13"/>
      </tp>
      <tp t="e">
        <v>#N/A</v>
        <stp/>
        <stp>##V3_BDPV12</stp>
        <stp>XS0610555681 Corp</stp>
        <stp>PENULTIMATE_CPN_DT</stp>
        <stp>[portefeuille USD.xlsm]SSA!R123C24_x0000__x0000_</stp>
        <tr r="X123" s="16"/>
      </tp>
      <tp t="e">
        <v>#N/A</v>
        <stp/>
        <stp>##V3_BDPV12</stp>
        <stp>US912828KW97 Corp</stp>
        <stp>INT_ACC_DT</stp>
        <stp>[portefeuille USD.xlsm]treasuries!R161C23_x0000__x0000_</stp>
        <tr r="W161" s="13"/>
      </tp>
      <tp t="e">
        <v>#N/A</v>
        <stp/>
        <stp>##V3_BDPV12</stp>
        <stp>US912828MR84 Corp</stp>
        <stp>INT_ACC_DT</stp>
        <stp>[portefeuille USD.xlsm]treasuries!R130C23_x0000__x0000_</stp>
        <tr r="W130" s="13"/>
      </tp>
      <tp t="e">
        <v>#N/A</v>
        <stp/>
        <stp>##V3_BDPV12</stp>
        <stp>US912828AP56 Corp</stp>
        <stp>ISSUE_DT</stp>
        <stp>[portefeuille USD.xlsm]treasuries!R35C22_x0000__x0000_</stp>
        <tr r="V35" s="13"/>
      </tp>
      <tp t="e">
        <v>#N/A</v>
        <stp/>
        <stp>##V3_BDPV12</stp>
        <stp>US298785FU59 Corp</stp>
        <stp>FIRST_CPN_DT</stp>
        <stp>[portefeuille USD.xlsm]SSA!R77C23_x0000_R</stp>
        <tr r="W77" s="16"/>
      </tp>
      <tp t="e">
        <v>#N/A</v>
        <stp/>
        <stp>##V3_BDPV12</stp>
        <stp>US912828PH75 Corp</stp>
        <stp>ISSUE_DT</stp>
        <stp>[portefeuille USD.xlsm]treasuries!R16C22_x0000__x0000_</stp>
        <tr r="V16" s="13"/>
      </tp>
      <tp t="e">
        <v>#N/A</v>
        <stp/>
        <stp>##V3_BDPV12</stp>
        <stp>XS0353485492 Corp</stp>
        <stp>PENULTIMATE_CPN_DT</stp>
        <stp>[portefeuille USD.xlsm]SSA!R126C24_x0000__x0000_</stp>
        <tr r="X126" s="16"/>
      </tp>
      <tp t="e">
        <v>#N/A</v>
        <stp/>
        <stp>##V3_BDPV12</stp>
        <stp>US912810DY11 Corp</stp>
        <stp>INT_ACC_DT</stp>
        <stp>[portefeuille USD.xlsm]treasuries!R189C23_x0000__x0000_</stp>
        <tr r="W189" s="13"/>
      </tp>
      <tp t="e">
        <v>#N/A</v>
        <stp/>
        <stp>##V3_BDPV12</stp>
        <stp>US912828NX44 Corp</stp>
        <stp>ISSUE_DT</stp>
        <stp>[portefeuille USD.xlsm]treasuries!R24C22_x0000__x0000_</stp>
        <tr r="V24" s="13"/>
      </tp>
      <tp t="e">
        <v>#N/A</v>
        <stp/>
        <stp>##V3_BDPV12</stp>
        <stp>US9127955V99 Corp</stp>
        <stp>ISSUE_DT</stp>
        <stp>[portefeuille USD.xlsm]treasuries!R45C22_x0000__x0000_</stp>
        <tr r="V45" s="13"/>
      </tp>
      <tp t="e">
        <v>#N/A</v>
        <stp/>
        <stp>##V3_BDPV12</stp>
        <stp>US912828MG20 Corp</stp>
        <stp>ISSUE_DT</stp>
        <stp>[portefeuille USD.xlsm]treasuries!R46C22_x0000__x0000_</stp>
        <tr r="V46" s="13"/>
      </tp>
      <tp t="e">
        <v>#N/A</v>
        <stp/>
        <stp>##V3_BDPV12</stp>
        <stp>US912828HC70 Corp</stp>
        <stp>ISSUE_DT</stp>
        <stp>[portefeuille USD.xlsm]treasuries!R17C22_x0000__x0000_</stp>
        <tr r="V17" s="13"/>
      </tp>
      <tp t="e">
        <v>#N/A</v>
        <stp/>
        <stp>##V3_BDPV12</stp>
        <stp>US912828NC07 Corp</stp>
        <stp>ISSUE_DT</stp>
        <stp>[portefeuille USD.xlsm]treasuries!R63C22_x0000__x0000_</stp>
        <tr r="V63" s="13"/>
      </tp>
      <tp t="e">
        <v>#N/A</v>
        <stp/>
        <stp>##V3_BDPV12</stp>
        <stp>US298785DY99 Corp</stp>
        <stp>FIRST_CPN_DT</stp>
        <stp>[portefeuille USD.xlsm]SSA!R72C23_x0000_R</stp>
        <tr r="W72" s="16"/>
      </tp>
      <tp t="e">
        <v>#N/A</v>
        <stp/>
        <stp>##V3_BDPV12</stp>
        <stp>US298785FB78 Corp</stp>
        <stp>FIRST_CPN_DT</stp>
        <stp>[portefeuille USD.xlsm]SSA!R61C23_x0000_R</stp>
        <tr r="W61" s="16"/>
      </tp>
      <tp t="e">
        <v>#N/A</v>
        <stp/>
        <stp>##V3_BDPV12</stp>
        <stp>US912828KR03 Corp</stp>
        <stp>PENULTIMATE_CPN_DT</stp>
        <stp>[portefeuille USD.xlsm]treasuries!R157C25_x0000__x0000_</stp>
        <tr r="Y157" s="13"/>
      </tp>
      <tp t="e">
        <v>#N/A</v>
        <stp/>
        <stp>##V3_BDPV12</stp>
        <stp>US912828SW16 Corp</stp>
        <stp>PENULTIMATE_CPN_DT</stp>
        <stp>[portefeuille USD.xlsm]treasuries!R107C25_x0000__x0000_</stp>
        <tr r="Y107" s="13"/>
      </tp>
      <tp t="e">
        <v>#N/A</v>
        <stp/>
        <stp>##V3_BDPV12</stp>
        <stp>US912810DS43 Corp</stp>
        <stp>PENULTIMATE_CPN_DT</stp>
        <stp>[portefeuille USD.xlsm]treasuries!R141C25_x0000__x0000_</stp>
        <tr r="Y141" s="13"/>
      </tp>
      <tp t="e">
        <v>#N/A</v>
        <stp/>
        <stp>##V3_BDPV12</stp>
        <stp>US912828NT32 Corp</stp>
        <stp>PENULTIMATE_CPN_DT</stp>
        <stp>[portefeuille USD.xlsm]treasuries!R237C25_x0000__x0000_</stp>
        <tr r="Y237" s="13"/>
      </tp>
      <tp t="e">
        <v>#N/A</v>
        <stp/>
        <stp>##V3_BDPV12</stp>
        <stp>US912828FQ84 Corp</stp>
        <stp>PENULTIMATE_CPN_DT</stp>
        <stp>[portefeuille USD.xlsm]treasuries!R166C25_x0000__x0000_</stp>
        <tr r="Y166" s="13"/>
      </tp>
      <tp t="e">
        <v>#N/A</v>
        <stp/>
        <stp>##V3_BDPV12</stp>
        <stp>FR0010500843 Corp</stp>
        <stp>FIRST_CPN_DT</stp>
        <stp>[portefeuille USD.xlsm]SSA!R111C23_x0000__x0000_</stp>
        <tr r="W111" s="16"/>
      </tp>
      <tp t="e">
        <v>#N/A</v>
        <stp/>
        <stp>##V3_BDPV12</stp>
        <stp>US912828PS31 Corp</stp>
        <stp>PENULTIMATE_CPN_DT</stp>
        <stp>[portefeuille USD.xlsm]treasuries!R149C25_x0000__x0000_</stp>
        <tr r="Y149" s="13"/>
      </tp>
      <tp t="e">
        <v>#N/A</v>
        <stp/>
        <stp>##V3_BDPV12</stp>
        <stp>US912828SV33 Govt</stp>
        <stp>INT_ACC</stp>
        <stp>[portefeuille USD.xlsm]MV Repo!R28C6_x0000__x0000_</stp>
        <tr r="F28" s="6"/>
      </tp>
      <tp t="e">
        <v>#N/A</v>
        <stp/>
        <stp>##V3_BDPV12</stp>
        <stp>EI143648 Corp Corp</stp>
        <stp>AMT_OUTSTANDING</stp>
        <stp>[portefeuille USD.xlsm]SSA!R32C28_x0000__x0000_</stp>
        <tr r="AB32" s="16"/>
      </tp>
      <tp t="e">
        <v>#N/A</v>
        <stp/>
        <stp>##V3_BDPV12</stp>
        <stp>XS0458548921 Corp</stp>
        <stp>FIRST_CPN_DT</stp>
        <stp>[portefeuille USD.xlsm]SSA!R2C23_x0000__x0000_</stp>
        <tr r="W2" s="16"/>
      </tp>
      <tp t="e">
        <v>#N/A</v>
        <stp/>
        <stp>##V3_BDPV12</stp>
        <stp>FR0010394452 Corp</stp>
        <stp>FIRST_CPN_DT</stp>
        <stp>[portefeuille USD.xlsm]SSA!R93C23_x0000__x0000_</stp>
        <tr r="W93" s="16"/>
      </tp>
      <tp t="e">
        <v>#N/A</v>
        <stp/>
        <stp>##V3_BDPV12</stp>
        <stp>XS0271449000 Govt</stp>
        <stp>SECURITY_DES</stp>
        <stp>[portefeuille USD.xlsm]SSA!R50C2_x0000__x0000_</stp>
        <tr r="B50" s="16"/>
      </tp>
      <tp t="e">
        <v>#N/A</v>
        <stp/>
        <stp>##V3_BDPV12</stp>
        <stp>US9127955Q05 Corp</stp>
        <stp>INT_ACC_DT</stp>
        <stp>[portefeuille USD.xlsm]treasuries!R41C23_x0000__x0000_</stp>
        <tr r="W41" s="13"/>
      </tp>
      <tp t="e">
        <v>#N/A</v>
        <stp/>
        <stp>##V3_BDPV12</stp>
        <stp>US9127955V99 Corp</stp>
        <stp>INT_ACC_DT</stp>
        <stp>[portefeuille USD.xlsm]treasuries!R45C23_x0000__x0000_</stp>
        <tr r="W45" s="13"/>
      </tp>
      <tp t="e">
        <v>#N/A</v>
        <stp/>
        <stp>##V3_BDPV12</stp>
        <stp>US9127955Z04 Corp</stp>
        <stp>INT_ACC_DT</stp>
        <stp>[portefeuille USD.xlsm]treasuries!R49C23_x0000__x0000_</stp>
        <tr r="W49" s="13"/>
      </tp>
      <tp t="e">
        <v>#N/A</v>
        <stp/>
        <stp>##V3_BDPV12</stp>
        <stp>XS0546548636 Govt</stp>
        <stp>SECURITY_DES</stp>
        <stp>[portefeuille USD.xlsm]SSA!R117C2_x0000__x0000_</stp>
        <tr r="B117" s="16"/>
      </tp>
      <tp t="e">
        <v>#N/A</v>
        <stp/>
        <stp>##V3_BDPV12</stp>
        <stp>XS0205179483 Corp</stp>
        <stp>FIRST_CPN_DT</stp>
        <stp>[portefeuille USD.xlsm]SSA!R41C23_x0000_R</stp>
        <tr r="W41" s="16"/>
      </tp>
      <tp t="e">
        <v>#N/A</v>
        <stp/>
        <stp>##V3_BDPV12</stp>
        <stp>FR0010950675 Corp</stp>
        <stp>PENULTIMATE_CPN_DT</stp>
        <stp>[portefeuille USD.xlsm]SSA!R106C24_x0000__x0000_</stp>
        <tr r="X106" s="16"/>
      </tp>
      <tp t="e">
        <v>#N/A</v>
        <stp/>
        <stp>##V3_BDPV12</stp>
        <stp>US912810PW27 Corp</stp>
        <stp>INT_ACC_DT</stp>
        <stp>[portefeuille USD.xlsm]treasuries!R271C23_x0000__x0000_</stp>
        <tr r="W271" s="13"/>
      </tp>
      <tp t="e">
        <v>#N/A</v>
        <stp/>
        <stp>##V3_BDPV12</stp>
        <stp>US63983TAA34 Corp</stp>
        <stp>FIRST_CPN_DT</stp>
        <stp>[portefeuille USD.xlsm]SSA!R3C23_x0000__x0000_</stp>
        <tr r="W3" s="16"/>
      </tp>
      <tp t="e">
        <v>#N/A</v>
        <stp/>
        <stp>##V3_BDPV12</stp>
        <stp>US912810DT26 Corp</stp>
        <stp>INT_ACC_DT</stp>
        <stp>[portefeuille USD.xlsm]treasuries!R145C23_x0000__x0000_</stp>
        <tr r="W145" s="13"/>
      </tp>
      <tp t="e">
        <v>#N/A</v>
        <stp/>
        <stp>##V3_BDPV12</stp>
        <stp>US912828SY71 Corp</stp>
        <stp>INT_ACC_DT</stp>
        <stp>[portefeuille USD.xlsm]treasuries!R190C23_x0000__x0000_</stp>
        <tr r="W190" s="13"/>
      </tp>
      <tp t="e">
        <v>#N/A</v>
        <stp/>
        <stp>##V3_BDPV12</stp>
        <stp>US912828QQ65 Corp</stp>
        <stp>INT_ACC_DT</stp>
        <stp>[portefeuille USD.xlsm]treasuries!R210C23_x0000__x0000_</stp>
        <tr r="W210" s="13"/>
      </tp>
      <tp t="e">
        <v>#N/A</v>
        <stp/>
        <stp>##V3_BDPV12</stp>
        <stp>US912828LQ11 Corp</stp>
        <stp>INT_ACC_DT</stp>
        <stp>[portefeuille USD.xlsm]treasuries!R117C23_x0000__x0000_</stp>
        <tr r="W117" s="13"/>
      </tp>
      <tp t="e">
        <v>#N/A</v>
        <stp/>
        <stp>##V3_BDPV12</stp>
        <stp>US912828MB33 Corp</stp>
        <stp>ISSUE_DT</stp>
        <stp>[portefeuille USD.xlsm]treasuries!R42C22_x0000__x0000_</stp>
        <tr r="V42" s="13"/>
      </tp>
      <tp t="e">
        <v>#N/A</v>
        <stp/>
        <stp>##V3_BDPV12</stp>
        <stp>US912828NU05 Corp</stp>
        <stp>ISSUE_DT</stp>
        <stp>[portefeuille USD.xlsm]treasuries!R74C22_x0000__x0000_</stp>
        <tr r="V74" s="13"/>
      </tp>
      <tp t="e">
        <v>#N/A</v>
        <stp/>
        <stp>##V3_BDPV12</stp>
        <stp>US298785DR49 Corp</stp>
        <stp>FIRST_CPN_DT</stp>
        <stp>[portefeuille USD.xlsm]SSA!R67C23_x0000_R</stp>
        <tr r="W67" s="16"/>
      </tp>
      <tp t="e">
        <v>#N/A</v>
        <stp/>
        <stp>##V3_BDPV12</stp>
        <stp>US298785FQ48 Corp</stp>
        <stp>FIRST_CPN_DT</stp>
        <stp>[portefeuille USD.xlsm]SSA!R71C23_x0000_R</stp>
        <tr r="W71" s="16"/>
      </tp>
      <tp t="e">
        <v>#N/A</v>
        <stp/>
        <stp>##V3_BDPV12</stp>
        <stp>US912828KV15 Corp</stp>
        <stp>PENULTIMATE_CPN_DT</stp>
        <stp>[portefeuille USD.xlsm]treasuries!R106C25_x0000__x0000_</stp>
        <tr r="Y106" s="13"/>
      </tp>
      <tp t="e">
        <v>#N/A</v>
        <stp/>
        <stp>##V3_BDPV12</stp>
        <stp>US912828RR30 Corp</stp>
        <stp>PENULTIMATE_CPN_DT</stp>
        <stp>[portefeuille USD.xlsm]treasuries!R246C25_x0000__x0000_</stp>
        <tr r="Y246" s="13"/>
      </tp>
      <tp t="e">
        <v>#N/A</v>
        <stp/>
        <stp>##V3_BDPV12</stp>
        <stp>FR0010950675 Corp</stp>
        <stp>FIRST_CPN_DT</stp>
        <stp>[portefeuille USD.xlsm]SSA!R106C23_x0000__x0000_</stp>
        <tr r="W106" s="16"/>
      </tp>
      <tp t="e">
        <v>#N/A</v>
        <stp/>
        <stp>##V3_BDPV12</stp>
        <stp>US912810ES34 Corp</stp>
        <stp>PENULTIMATE_CPN_DT</stp>
        <stp>[portefeuille USD.xlsm]treasuries!R253C25_x0000__x0000_</stp>
        <tr r="Y253" s="13"/>
      </tp>
      <tp t="e">
        <v>#N/A</v>
        <stp/>
        <stp>##V3_BDPV12</stp>
        <stp>XS0592582653 Corp</stp>
        <stp>DAY_CNT_DES</stp>
        <stp>[portefeuille USD.xlsm]SSA!R113C29_x0000__x0000_</stp>
        <tr r="AC113" s="16"/>
      </tp>
      <tp t="e">
        <v>#N/A</v>
        <stp/>
        <stp>##V3_BDPV12</stp>
        <stp>US912828SU59 Corp</stp>
        <stp>PENULTIMATE_CPN_DT</stp>
        <stp>[portefeuille USD.xlsm]treasuries!R135C25_x0000__x0000_</stp>
        <tr r="Y135" s="13"/>
      </tp>
      <tp t="e">
        <v>#N/A</v>
        <stp/>
        <stp>##V3_BDPV12</stp>
        <stp>US912828ST86 Corp</stp>
        <stp>PENULTIMATE_CPN_DT</stp>
        <stp>[portefeuille USD.xlsm]treasuries!R226C25_x0000__x0000_</stp>
        <tr r="Y226" s="13"/>
      </tp>
      <tp t="e">
        <v>#N/A</v>
        <stp/>
        <stp>##V3_BDPV12</stp>
        <stp>US912810FP85 Corp</stp>
        <stp>PENULTIMATE_CPN_DT</stp>
        <stp>[portefeuille USD.xlsm]treasuries!R267C25_x0000__x0000_</stp>
        <tr r="Y267" s="13"/>
      </tp>
      <tp t="e">
        <v>#N/A</v>
        <stp/>
        <stp>##V3_BDPV12</stp>
        <stp>US912828KS85 Corp</stp>
        <stp>PENULTIMATE_CPN_DT</stp>
        <stp>[portefeuille USD.xlsm]treasuries!R152C25_x0000__x0000_</stp>
        <tr r="Y152" s="13"/>
      </tp>
      <tp t="e">
        <v>#N/A</v>
        <stp/>
        <stp>##V3_BDPV12</stp>
        <stp>US912828LP38 Corp</stp>
        <stp>PENULTIMATE_CPN_DT</stp>
        <stp>[portefeuille USD.xlsm]treasuries!R169C25_x0000__x0000_</stp>
        <tr r="Y169" s="13"/>
      </tp>
      <tp t="e">
        <v>#N/A</v>
        <stp/>
        <stp>##V3_BDPV12</stp>
        <stp>US912828QP82 Corp</stp>
        <stp>PENULTIMATE_CPN_DT</stp>
        <stp>[portefeuille USD.xlsm]treasuries!R160C25_x0000__x0000_</stp>
        <tr r="Y160" s="13"/>
      </tp>
      <tp t="e">
        <v>#N/A</v>
        <stp/>
        <stp>##V3_BDPV12</stp>
        <stp>US912828QW34 Govt</stp>
        <stp>INT_ACC</stp>
        <stp>[portefeuille USD.xlsm]MV Repo!R11C6_x0000__x0000_</stp>
        <tr r="F11" s="6"/>
      </tp>
      <tp t="e">
        <v>#N/A</v>
        <stp/>
        <stp>##V3_BDPV12</stp>
        <stp>US912828MW79 Govt</stp>
        <stp>INT_ACC</stp>
        <stp>[portefeuille USD.xlsm]MV Repo!R19C6_x0000__x0000_</stp>
        <tr r="F19" s="6"/>
      </tp>
      <tp t="e">
        <v>#N/A</v>
        <stp/>
        <stp>##V3_BDPV12</stp>
        <stp>XS0225513703 Govt</stp>
        <stp>SECURITY_DES</stp>
        <stp>[portefeuille USD.xlsm]SSA!R40C2_x0000__x0000_</stp>
        <tr r="B40" s="16"/>
      </tp>
      <tp t="e">
        <v>#N/A</v>
        <stp/>
        <stp>##V3_BDPV12</stp>
        <stp>XS0506368363 Govt</stp>
        <stp>SECURITY_DES</stp>
        <stp>[portefeuille USD.xlsm]SSA!R18C2_x0000__x0000_</stp>
        <tr r="B18" s="16"/>
      </tp>
      <tp t="e">
        <v>#N/A</v>
        <stp/>
        <stp>##V3_BDPV12</stp>
        <stp>XS0460002859 Govt</stp>
        <stp>SECURITY_DES</stp>
        <stp>[portefeuille USD.xlsm]SSA!R16C2_x0000__x0000_</stp>
        <tr r="B16" s="16"/>
      </tp>
      <tp t="e">
        <v>#N/A</v>
        <stp/>
        <stp>##V3_BDPV12</stp>
        <stp>US912828NQ92 Corp</stp>
        <stp>ISSUE_DT</stp>
        <stp>[portefeuille USD.xlsm]treasuries!R7C22_x0000_3</stp>
        <tr r="V7" s="13"/>
      </tp>
      <tp t="e">
        <v>#N/A</v>
        <stp/>
        <stp>##V3_BDPV12</stp>
        <stp>US9127956R78 Corp</stp>
        <stp>INT_ACC_DT</stp>
        <stp>[portefeuille USD.xlsm]treasuries!R65C23_x0000__x0000_</stp>
        <tr r="W65" s="13"/>
      </tp>
      <tp t="e">
        <v>#N/A</v>
        <stp/>
        <stp>##V3_BDPV12</stp>
        <stp>XS0322956490 Corp</stp>
        <stp>FIRST_CPN_DT</stp>
        <stp>[portefeuille USD.xlsm]SSA!R59C23_x0000_R</stp>
        <tr r="W59" s="16"/>
      </tp>
      <tp t="e">
        <v>#N/A</v>
        <stp/>
        <stp>##V3_BDPV12</stp>
        <stp>XS0749451398 Corp</stp>
        <stp>FIRST_CPN_DT</stp>
        <stp>[portefeuille USD.xlsm]SSA!R99C23_x0000__x0000_</stp>
        <tr r="W99" s="16"/>
      </tp>
      <tp t="e">
        <v>#N/A</v>
        <stp/>
        <stp>##V3_BDPV12</stp>
        <stp>XS0271449000 Corp</stp>
        <stp>FIRST_CPN_DT</stp>
        <stp>[portefeuille USD.xlsm]SSA!R50C23_x0000_R</stp>
        <tr r="W50" s="16"/>
      </tp>
      <tp t="e">
        <v>#N/A</v>
        <stp/>
        <stp>##V3_BDPV12</stp>
        <stp>US9127956L09 Corp</stp>
        <stp>INT_ACC_DT</stp>
        <stp>[portefeuille USD.xlsm]treasuries!R62C23_x0000__x0000_</stp>
        <tr r="W62" s="13"/>
      </tp>
      <tp t="e">
        <v>#N/A</v>
        <stp/>
        <stp>##V3_BDPV12</stp>
        <stp>US9127955W72 Corp</stp>
        <stp>MATURITY</stp>
        <stp>[portefeuille USD.xlsm]treasuries!R3C26_x0000_7</stp>
        <tr r="Z3" s="13"/>
      </tp>
      <tp t="e">
        <v>#N/A</v>
        <stp/>
        <stp>##V3_BDPV12</stp>
        <stp>US912828MP29 Corp</stp>
        <stp>INT_ACC_DT</stp>
        <stp>[portefeuille USD.xlsm]treasuries!R233C23_x0000__x0000_</stp>
        <tr r="W233" s="13"/>
      </tp>
      <tp t="e">
        <v>#N/A</v>
        <stp/>
        <stp>##V3_BDPV12</stp>
        <stp>US912810EV62 Corp</stp>
        <stp>INT_ACC_DT</stp>
        <stp>[portefeuille USD.xlsm]treasuries!R255C23_x0000__x0000_</stp>
        <tr r="W255" s="13"/>
      </tp>
      <tp t="e">
        <v>#N/A</v>
        <stp/>
        <stp>##V3_BDPV12</stp>
        <stp>FR0010827246 Corp</stp>
        <stp>PENULTIMATE_CPN_DT</stp>
        <stp>[portefeuille USD.xlsm]SSA!R110C24_x0000__x0000_</stp>
        <tr r="X110" s="16"/>
      </tp>
      <tp t="e">
        <v>#N/A</v>
        <stp/>
        <stp>##V3_BDPV12</stp>
        <stp>US912828SP64 Corp</stp>
        <stp>INT_ACC_DT</stp>
        <stp>[portefeuille USD.xlsm]treasuries!R133C23_x0000__x0000_</stp>
        <tr r="W133" s="13"/>
      </tp>
      <tp t="e">
        <v>#N/A</v>
        <stp/>
        <stp>##V3_BDPV12</stp>
        <stp>US912828JR22 Corp</stp>
        <stp>INT_ACC_DT</stp>
        <stp>[portefeuille USD.xlsm]treasuries!R217C23_x0000__x0000_</stp>
        <tr r="W217" s="13"/>
      </tp>
      <tp t="e">
        <v>#N/A</v>
        <stp/>
        <stp>##V3_BDPV12</stp>
        <stp>US912828KQ20 Corp</stp>
        <stp>INT_ACC_DT</stp>
        <stp>[portefeuille USD.xlsm]treasuries!R227C23_x0000__x0000_</stp>
        <tr r="W227" s="13"/>
      </tp>
      <tp t="e">
        <v>#N/A</v>
        <stp/>
        <stp>##V3_BDPV12</stp>
        <stp>US63983UAA07 Corp</stp>
        <stp>FIRST_CPN_DT</stp>
        <stp>[portefeuille USD.xlsm]SSA!R4C23_x0000_6</stp>
        <tr r="W4" s="16"/>
      </tp>
      <tp t="e">
        <v>#N/A</v>
        <stp/>
        <stp>##V3_BDPV12</stp>
        <stp>US912810DV71 Corp</stp>
        <stp>INT_ACC_DT</stp>
        <stp>[portefeuille USD.xlsm]treasuries!R150C23_x0000__x0000_</stp>
        <tr r="W150" s="13"/>
      </tp>
      <tp t="e">
        <v>#N/A</v>
        <stp/>
        <stp>##V3_BDPV12</stp>
        <stp>US912828RQ56 Corp</stp>
        <stp>INT_ACC_DT</stp>
        <stp>[portefeuille USD.xlsm]treasuries!R121C23_x0000__x0000_</stp>
        <tr r="W121" s="13"/>
      </tp>
      <tp t="e">
        <v>#N/A</v>
        <stp/>
        <stp>##V3_BDPV12</stp>
        <stp>FR0010925446 Corp</stp>
        <stp>PENULTIMATE_CPN_DT</stp>
        <stp>[portefeuille USD.xlsm]SSA!R107C24_x0000__x0000_</stp>
        <tr r="X107" s="16"/>
      </tp>
      <tp t="e">
        <v>#N/A</v>
        <stp/>
        <stp>##V3_BDPV12</stp>
        <stp>US912828NP10 Corp</stp>
        <stp>INT_ACC_DT</stp>
        <stp>[portefeuille USD.xlsm]treasuries!R139C23_x0000__x0000_</stp>
        <tr r="W139" s="13"/>
      </tp>
      <tp t="e">
        <v>#N/A</v>
        <stp/>
        <stp>##V3_BDPV12</stp>
        <stp>US298785FE18 Corp</stp>
        <stp>FIRST_CPN_DT</stp>
        <stp>[portefeuille USD.xlsm]SSA!R47C23_x0000_R</stp>
        <tr r="W47" s="16"/>
      </tp>
      <tp t="e">
        <v>#N/A</v>
        <stp/>
        <stp>##V3_BDPV12</stp>
        <stp>US912828QS22 Corp</stp>
        <stp>INT_ACC_DT</stp>
        <stp>[portefeuille USD.xlsm]treasuries!R108C23_x0000__x0000_</stp>
        <tr r="W108" s="13"/>
      </tp>
      <tp t="e">
        <v>#N/A</v>
        <stp/>
        <stp>##V3_BDPV12</stp>
        <stp>US298785FM34 Corp</stp>
        <stp>FIRST_CPN_DT</stp>
        <stp>[portefeuille USD.xlsm]SSA!R85C23_x0000_R</stp>
        <tr r="W85" s="16"/>
      </tp>
      <tp t="e">
        <v>#N/A</v>
        <stp/>
        <stp>##V3_BDPV12</stp>
        <stp>US912828JD36 Corp</stp>
        <stp>ISSUE_DT</stp>
        <stp>[portefeuille USD.xlsm]treasuries!R70C22_x0000__x0000_</stp>
        <tr r="V70" s="13"/>
      </tp>
      <tp t="e">
        <v>#N/A</v>
        <stp/>
        <stp>##V3_BDPV12</stp>
        <stp>US912828QW34 Corp</stp>
        <stp>ISSUE_DT</stp>
        <stp>[portefeuille USD.xlsm]treasuries!R73C22_x0000__x0000_</stp>
        <tr r="V73" s="13"/>
      </tp>
      <tp t="e">
        <v>#N/A</v>
        <stp/>
        <stp>##V3_BDPV12</stp>
        <stp>US912810DZ85 Corp</stp>
        <stp>INT_ACC_DT</stp>
        <stp>[portefeuille USD.xlsm]treasuries!R195C23_x0000__x0000_</stp>
        <tr r="W195" s="13"/>
      </tp>
      <tp t="e">
        <v>#N/A</v>
        <stp/>
        <stp>##V3_BDPV12</stp>
        <stp>US912828CT50 Corp</stp>
        <stp>PENULTIMATE_CPN_DT</stp>
        <stp>[portefeuille USD.xlsm]treasuries!R113C25_x0000__x0000_</stp>
        <tr r="Y113" s="13"/>
      </tp>
      <tp t="e">
        <v>#N/A</v>
        <stp/>
        <stp>##V3_BDPV12</stp>
        <stp>US912828QT05 Corp</stp>
        <stp>PENULTIMATE_CPN_DT</stp>
        <stp>[portefeuille USD.xlsm]treasuries!R211C25_x0000__x0000_</stp>
        <tr r="Y211" s="13"/>
      </tp>
      <tp t="e">
        <v>#N/A</v>
        <stp/>
        <stp>##V3_BDPV12</stp>
        <stp>US912828RT95 Corp</stp>
        <stp>PENULTIMATE_CPN_DT</stp>
        <stp>[portefeuille USD.xlsm]treasuries!R219C25_x0000__x0000_</stp>
        <tr r="Y219" s="13"/>
      </tp>
      <tp t="e">
        <v>#N/A</v>
        <stp/>
        <stp>##V3_BDPV12</stp>
        <stp>US912828DV97 Corp</stp>
        <stp>PENULTIMATE_CPN_DT</stp>
        <stp>[portefeuille USD.xlsm]treasuries!R136C25_x0000__x0000_</stp>
        <tr r="Y136" s="13"/>
      </tp>
      <tp t="e">
        <v>#N/A</v>
        <stp/>
        <stp>##V3_BDPV12</stp>
        <stp>US912810EP94 Corp</stp>
        <stp>PENULTIMATE_CPN_DT</stp>
        <stp>[portefeuille USD.xlsm]treasuries!R251C25_x0000__x0000_</stp>
        <tr r="Y251" s="13"/>
      </tp>
      <tp t="e">
        <v>#N/A</v>
        <stp/>
        <stp>##V3_BDPV12</stp>
        <stp>XS0576210289 Corp</stp>
        <stp>DAY_CNT_DES</stp>
        <stp>[portefeuille USD.xlsm]SSA!R116C29_x0000__x0000_</stp>
        <tr r="AC116" s="16"/>
      </tp>
      <tp t="e">
        <v>#N/A</v>
        <stp/>
        <stp>##V3_BDPV12</stp>
        <stp>EI297586 Corp Corp</stp>
        <stp>AMT_OUTSTANDING</stp>
        <stp>[portefeuille USD.xlsm]SSA!R26C28_x0000__x0000_</stp>
        <tr r="AB26" s="16"/>
      </tp>
      <tp t="e">
        <v>#N/A</v>
        <stp/>
        <stp>##V3_BDPV12</stp>
        <stp>EI787877 Corp Corp</stp>
        <stp>AMT_OUTSTANDING</stp>
        <stp>[portefeuille USD.xlsm]SSA!R25C28_x0000__x0000_</stp>
        <tr r="AB25" s="16"/>
      </tp>
      <tp t="e">
        <v>#N/A</v>
        <stp/>
        <stp>##V3_BDPV12</stp>
        <stp>FR0010394452 Govt</stp>
        <stp>SECURITY_DES</stp>
        <stp>[portefeuille USD.xlsm]SSA!R93C2_x0000__x0000_</stp>
        <tr r="B93" s="16"/>
      </tp>
      <tp t="e">
        <v>#N/A</v>
        <stp/>
        <stp>##V3_BDPV12</stp>
        <stp>XS0637187773 Govt</stp>
        <stp>SECURITY_DES</stp>
        <stp>[portefeuille USD.xlsm]SSA!R15C2_x0000__x0000_</stp>
        <tr r="B15" s="16"/>
      </tp>
      <tp t="e">
        <v>#N/A</v>
        <stp/>
        <stp>##V3_BDPV12</stp>
        <stp>XS0287792914 Govt</stp>
        <stp>SECURITY_DES</stp>
        <stp>[portefeuille USD.xlsm]SSA!R54C2_x0000__x0000_</stp>
        <tr r="B54" s="16"/>
      </tp>
      <tp t="e">
        <v>#N/A</v>
        <stp/>
        <stp>##V3_BDPV12</stp>
        <stp>US9127956F31 Corp</stp>
        <stp>INT_ACC_DT</stp>
        <stp>[portefeuille USD.xlsm]treasuries!R58C23_x0000__x0000_</stp>
        <tr r="W58" s="13"/>
      </tp>
      <tp t="e">
        <v>#N/A</v>
        <stp/>
        <stp>##V3_BDPV12</stp>
        <stp>XS0521024132 Govt</stp>
        <stp>SECURITY_DES</stp>
        <stp>[portefeuille USD.xlsm]SSA!R118C2_x0000__x0000_</stp>
        <tr r="B118" s="16"/>
      </tp>
      <tp t="e">
        <v>#N/A</v>
        <stp/>
        <stp>##V3_BDPV12</stp>
        <stp>US9127956E65 Corp</stp>
        <stp>INT_ACC_DT</stp>
        <stp>[portefeuille USD.xlsm]treasuries!R54C23_x0000__x0000_</stp>
        <tr r="W54" s="13"/>
      </tp>
      <tp t="e">
        <v>#N/A</v>
        <stp/>
        <stp>##V3_BDPV12</stp>
        <stp>XS0561837013 Govt</stp>
        <stp>SECURITY_DES</stp>
        <stp>[portefeuille USD.xlsm]SSA!R128C2_x0000__x0000_</stp>
        <tr r="B128" s="16"/>
      </tp>
      <tp t="e">
        <v>#N/A</v>
        <stp/>
        <stp>##V3_BDPV12</stp>
        <stp>XS0760314103 Govt</stp>
        <stp>SECURITY_DES</stp>
        <stp>[portefeuille USD.xlsm]SSA!R119C2_x0000__x0000_</stp>
        <tr r="B119" s="16"/>
      </tp>
      <tp t="e">
        <v>#N/A</v>
        <stp/>
        <stp>##V3_BDPV12</stp>
        <stp>XS0743901026 Corp</stp>
        <stp>FIRST_CPN_DT</stp>
        <stp>[portefeuille USD.xlsm]SSA!R17C23_x0000__x0000_</stp>
        <tr r="W17" s="16"/>
      </tp>
      <tp t="e">
        <v>#N/A</v>
        <stp/>
        <stp>##V3_BDPV12</stp>
        <stp>US912810EW46 Corp</stp>
        <stp>INT_ACC_DT</stp>
        <stp>[portefeuille USD.xlsm]treasuries!R256C23_x0000__x0000_</stp>
        <tr r="W256" s="13"/>
      </tp>
      <tp t="e">
        <v>#N/A</v>
        <stp/>
        <stp>##V3_BDPV12</stp>
        <stp>US912828SR21 Corp</stp>
        <stp>INT_ACC_DT</stp>
        <stp>[portefeuille USD.xlsm]treasuries!R103C23_x0000__x0000_</stp>
        <tr r="W103" s="13"/>
      </tp>
      <tp t="e">
        <v>#N/A</v>
        <stp/>
        <stp>##V3_BDPV12</stp>
        <stp>US912828RU68 Corp</stp>
        <stp>INT_ACC_DT</stp>
        <stp>[portefeuille USD.xlsm]treasuries!R176C23_x0000__x0000_</stp>
        <tr r="W176" s="13"/>
      </tp>
      <tp t="e">
        <v>#N/A</v>
        <stp/>
        <stp>##V3_BDPV12</stp>
        <stp>US912828LU23 Corp</stp>
        <stp>INT_ACC_DT</stp>
        <stp>[portefeuille USD.xlsm]treasuries!R172C23_x0000__x0000_</stp>
        <tr r="W172" s="13"/>
      </tp>
      <tp t="e">
        <v>#N/A</v>
        <stp/>
        <stp>##V3_BDPV12</stp>
        <stp>US912828HR40 Corp</stp>
        <stp>INT_ACC_DT</stp>
        <stp>[portefeuille USD.xlsm]treasuries!R204C23_x0000__x0000_</stp>
        <tr r="W204" s="13"/>
      </tp>
      <tp t="e">
        <v>#N/A</v>
        <stp/>
        <stp>##V3_BDPV12</stp>
        <stp>US912810PT97 Corp</stp>
        <stp>INT_ACC_DT</stp>
        <stp>[portefeuille USD.xlsm]treasuries!R269C23_x0000__x0000_</stp>
        <tr r="W269" s="13"/>
      </tp>
      <tp t="e">
        <v>#N/A</v>
        <stp/>
        <stp>##V3_BDPV12</stp>
        <stp>US912810PU60 Corp</stp>
        <stp>INT_ACC_DT</stp>
        <stp>[portefeuille USD.xlsm]treasuries!R270C23_x0000__x0000_</stp>
        <tr r="W270" s="13"/>
      </tp>
      <tp t="e">
        <v>#N/A</v>
        <stp/>
        <stp>##V3_BDPV12</stp>
        <stp>US912810DP04 Corp</stp>
        <stp>INT_ACC_DT</stp>
        <stp>[portefeuille USD.xlsm]treasuries!R127C23_x0000__x0000_</stp>
        <tr r="W127" s="13"/>
      </tp>
      <tp t="e">
        <v>#N/A</v>
        <stp/>
        <stp>##V3_BDPV12</stp>
        <stp>US912828NY27 Corp</stp>
        <stp>ISSUE_DT</stp>
        <stp>[portefeuille USD.xlsm]treasuries!R78C22_x0000__x0000_</stp>
        <tr r="V78" s="13"/>
      </tp>
      <tp t="e">
        <v>#N/A</v>
        <stp/>
        <stp>##V3_BDPV12</stp>
        <stp>US912828EW61 Corp</stp>
        <stp>INT_ACC_DT</stp>
        <stp>[portefeuille USD.xlsm]treasuries!R151C23_x0000__x0000_</stp>
        <tr r="W151" s="13"/>
      </tp>
      <tp t="e">
        <v>#N/A</v>
        <stp/>
        <stp>##V3_BDPV12</stp>
        <stp>XS0451654189 Corp</stp>
        <stp>PENULTIMATE_CPN_DT</stp>
        <stp>[portefeuille USD.xlsm]SSA!R129C24_x0000__x0000_</stp>
        <tr r="X129" s="16"/>
      </tp>
      <tp t="e">
        <v>#N/A</v>
        <stp/>
        <stp>##V3_BDPV12</stp>
        <stp>US912828SV33 Corp</stp>
        <stp>INT_ACC_DT</stp>
        <stp>[portefeuille USD.xlsm]treasuries!R248C23_x0000__x0000_</stp>
        <tr r="W248" s="13"/>
      </tp>
      <tp t="e">
        <v>#N/A</v>
        <stp/>
        <stp>##V3_BDPV12</stp>
        <stp>US912810FT08 Corp</stp>
        <stp>INT_ACC_DT</stp>
        <stp>[portefeuille USD.xlsm]treasuries!R268C23_x0000__x0000_</stp>
        <tr r="W268" s="13"/>
      </tp>
      <tp t="e">
        <v>#N/A</v>
        <stp/>
        <stp>##V3_BDPV12</stp>
        <stp>US912828PD61 Corp</stp>
        <stp>ISSUE_DT</stp>
        <stp>[portefeuille USD.xlsm]treasuries!R31C22_x0000__x0000_</stp>
        <tr r="V31" s="13"/>
      </tp>
      <tp t="e">
        <v>#N/A</v>
        <stp/>
        <stp>##V3_BDPV12</stp>
        <stp>US912828NV87 Corp</stp>
        <stp>INT_ACC_DT</stp>
        <stp>[portefeuille USD.xlsm]treasuries!R142C23_x0000__x0000_</stp>
        <tr r="W142" s="13"/>
      </tp>
      <tp t="e">
        <v>#N/A</v>
        <stp/>
        <stp>##V3_BDPV12</stp>
        <stp>US912828QE36 Corp</stp>
        <stp>ISSUE_DT</stp>
        <stp>[portefeuille USD.xlsm]treasuries!R60C22_x0000__x0000_</stp>
        <tr r="V60" s="13"/>
      </tp>
      <tp t="e">
        <v>#N/A</v>
        <stp/>
        <stp>##V3_BDPV12</stp>
        <stp>US912828BH22 Corp</stp>
        <stp>ISSUE_DT</stp>
        <stp>[portefeuille USD.xlsm]treasuries!R75C22_x0000__x0000_</stp>
        <tr r="V75" s="13"/>
      </tp>
      <tp t="e">
        <v>#N/A</v>
        <stp/>
        <stp>##V3_BDPV12</stp>
        <stp>US912828LX61 Corp</stp>
        <stp>ISSUE_DT</stp>
        <stp>[portefeuille USD.xlsm]treasuries!R36C22_x0000__x0000_</stp>
        <tr r="V36" s="13"/>
      </tp>
      <tp t="e">
        <v>#N/A</v>
        <stp/>
        <stp>##V3_BDPV12</stp>
        <stp>US298785EX08 Corp</stp>
        <stp>FIRST_CPN_DT</stp>
        <stp>[portefeuille USD.xlsm]SSA!R53C23_x0000_R</stp>
        <tr r="W53" s="16"/>
      </tp>
      <tp t="e">
        <v>#N/A</v>
        <stp/>
        <stp>##V3_BDPV12</stp>
        <stp>FR0010998104 Corp</stp>
        <stp>DAY_CNT_DES</stp>
        <stp>[portefeuille USD.xlsm]SSA!R105C29_x0000__x0000_</stp>
        <tr r="AC105" s="16"/>
      </tp>
      <tp t="e">
        <v>#N/A</v>
        <stp/>
        <stp>##V3_BDPV12</stp>
        <stp>US912810DW54 Corp</stp>
        <stp>INT_ACC_DT</stp>
        <stp>[portefeuille USD.xlsm]treasuries!R158C23_x0000__x0000_</stp>
        <tr r="W158" s="13"/>
      </tp>
      <tp t="e">
        <v>#N/A</v>
        <stp/>
        <stp>##V3_BDPV12</stp>
        <stp>US912828LS76 Corp</stp>
        <stp>INT_ACC_DT</stp>
        <stp>[portefeuille USD.xlsm]treasuries!R119C23_x0000__x0000_</stp>
        <tr r="W119" s="13"/>
      </tp>
      <tp t="e">
        <v>#N/A</v>
        <stp/>
        <stp>##V3_BDPV12</stp>
        <stp>US912828HT06 Corp</stp>
        <stp>ISSUE_DT</stp>
        <stp>[portefeuille USD.xlsm]treasuries!R53C22_x0000__x0000_</stp>
        <tr r="V53" s="13"/>
      </tp>
      <tp t="e">
        <v>#N/A</v>
        <stp/>
        <stp>##V3_BDPV12</stp>
        <stp>US912828RV42 Corp</stp>
        <stp>PENULTIMATE_CPN_DT</stp>
        <stp>[portefeuille USD.xlsm]treasuries!R123C25_x0000__x0000_</stp>
        <tr r="Y123" s="13"/>
      </tp>
      <tp t="e">
        <v>#N/A</v>
        <stp/>
        <stp>##V3_BDPV12</stp>
        <stp>US912828QR49 Corp</stp>
        <stp>PENULTIMATE_CPN_DT</stp>
        <stp>[portefeuille USD.xlsm]treasuries!R163C25_x0000__x0000_</stp>
        <tr r="Y163" s="13"/>
      </tp>
      <tp t="e">
        <v>#N/A</v>
        <stp/>
        <stp>##V3_BDPV12</stp>
        <stp>FR0011012731 Corp</stp>
        <stp>FIRST_CPN_DT</stp>
        <stp>[portefeuille USD.xlsm]SSA!R104C23_x0000__x0000_</stp>
        <tr r="W104" s="16"/>
      </tp>
      <tp t="e">
        <v>#N/A</v>
        <stp/>
        <stp>##V3_BDPV12</stp>
        <stp>US912828QU77 Corp</stp>
        <stp>PENULTIMATE_CPN_DT</stp>
        <stp>[portefeuille USD.xlsm]treasuries!R111C25_x0000__x0000_</stp>
        <tr r="Y111" s="13"/>
      </tp>
      <tp t="e">
        <v>#N/A</v>
        <stp/>
        <stp>##V3_BDPV12</stp>
        <stp>US912810EQ77 Corp</stp>
        <stp>PENULTIMATE_CPN_DT</stp>
        <stp>[portefeuille USD.xlsm]treasuries!R252C25_x0000__x0000_</stp>
        <tr r="Y252" s="13"/>
      </tp>
      <tp t="e">
        <v>#N/A</v>
        <stp/>
        <stp>##V3_BDPV12</stp>
        <stp>US912828MW79 Corp</stp>
        <stp>PENULTIMATE_CPN_DT</stp>
        <stp>[portefeuille USD.xlsm]treasuries!R132C25_x0000__x0000_</stp>
        <tr r="Y132" s="13"/>
      </tp>
      <tp t="e">
        <v>#N/A</v>
        <stp/>
        <stp>##V3_BDPV12</stp>
        <stp>US912828PT14 Corp</stp>
        <stp>PENULTIMATE_CPN_DT</stp>
        <stp>[portefeuille USD.xlsm]treasuries!R203C25_x0000__x0000_</stp>
        <tr r="Y203" s="13"/>
      </tp>
      <tp t="e">
        <v>#N/A</v>
        <stp/>
        <stp>##V3_BDPV12</stp>
        <stp>US12802DAA46 Govt</stp>
        <stp>SECURITY_DES</stp>
        <stp>[portefeuille USD.xlsm]SSA!R94C2_x0000__x0000_</stp>
        <tr r="B94" s="16"/>
      </tp>
      <tp t="e">
        <v>#N/A</v>
        <stp/>
        <stp>##V3_BDPV12</stp>
        <stp>XS0546234450 Govt</stp>
        <stp>SECURITY_DES</stp>
        <stp>[portefeuille USD.xlsm]SSA!R19C2_x0000__x0000_</stp>
        <tr r="B19" s="16"/>
      </tp>
      <tp t="e">
        <v>#N/A</v>
        <stp/>
        <stp>##V3_BDPV12</stp>
        <stp>FR0010925446 Govt</stp>
        <stp>SECURITY_DES</stp>
        <stp>[portefeuille USD.xlsm]SSA!R107C2_x0000__x0000_</stp>
        <tr r="B107" s="16"/>
      </tp>
      <tp t="e">
        <v>#N/A</v>
        <stp/>
        <stp>##V3_BDPV12</stp>
        <stp>FR0010827246 Govt</stp>
        <stp>SECURITY_DES</stp>
        <stp>[portefeuille USD.xlsm]SSA!R110C2_x0000__x0000_</stp>
        <tr r="B110" s="16"/>
      </tp>
      <tp t="e">
        <v>#N/A</v>
        <stp/>
        <stp>##V3_BDPV12</stp>
        <stp>EH790357 Corp Corp</stp>
        <stp>AMT_OUTSTANDING</stp>
        <stp>[portefeuille USD.xlsm]SSA!R28C28_x0000__x0000_</stp>
        <tr r="AB28" s="16"/>
      </tp>
      <tp t="e">
        <v>#N/A</v>
        <stp/>
        <stp>##V3_BDPV12</stp>
        <stp>EF684257 Corp Corp</stp>
        <stp>AMT_OUTSTANDING</stp>
        <stp>[portefeuille USD.xlsm]SSA!R38C28_x0000__x0000_</stp>
        <tr r="AB38" s="16"/>
      </tp>
      <tp t="e">
        <v>#N/A</v>
        <stp/>
        <stp>##V3_BDPV12</stp>
        <stp>US912828GZ74 Corp</stp>
        <stp>MATURITY</stp>
        <stp>[portefeuille USD.xlsm]treasuries!R8C26_x0000_4</stp>
        <tr r="Z8" s="13"/>
      </tp>
      <tp t="e">
        <v>#N/A</v>
        <stp/>
        <stp>##V3_BDPV12</stp>
        <stp>XS0477137813 Govt</stp>
        <stp>SECURITY_DES</stp>
        <stp>[portefeuille USD.xlsm]SSA!R120C2_x0000__x0000_</stp>
        <tr r="B120" s="16"/>
      </tp>
      <tp t="e">
        <v>#N/A</v>
        <stp/>
        <stp>##V3_BDPV12</stp>
        <stp>US9127955U17 Corp</stp>
        <stp>MATURITY</stp>
        <stp>[portefeuille USD.xlsm]treasuries!R2C26_x0000_6</stp>
        <tr r="Z2" s="13"/>
      </tp>
      <tp t="e">
        <v>#N/A</v>
        <stp/>
        <stp>##V3_BDPV12</stp>
        <stp>XS0506368363 Corp</stp>
        <stp>FIRST_CPN_DT</stp>
        <stp>[portefeuille USD.xlsm]SSA!R18C23_x0000__x0000_</stp>
        <tr r="W18" s="16"/>
      </tp>
      <tp t="e">
        <v>#N/A</v>
        <stp/>
        <stp>##V3_BDPV12</stp>
        <stp>US912828QT05 Corp</stp>
        <stp>INT_ACC_DT</stp>
        <stp>[portefeuille USD.xlsm]treasuries!R211C23_x0000__x0000_</stp>
        <tr r="W211" s="13"/>
      </tp>
      <tp t="e">
        <v>#N/A</v>
        <stp/>
        <stp>##V3_BDPV12</stp>
        <stp>US912828RT95 Corp</stp>
        <stp>INT_ACC_DT</stp>
        <stp>[portefeuille USD.xlsm]treasuries!R219C23_x0000__x0000_</stp>
        <tr r="W219" s="13"/>
      </tp>
      <tp t="e">
        <v>#N/A</v>
        <stp/>
        <stp>##V3_BDPV12</stp>
        <stp>US912828PV69 Corp</stp>
        <stp>ISSUE_DT</stp>
        <stp>[portefeuille USD.xlsm]treasuries!R40C22_x0000__x0000_</stp>
        <tr r="V40" s="13"/>
      </tp>
      <tp t="e">
        <v>#N/A</v>
        <stp/>
        <stp>##V3_BDPV12</stp>
        <stp>US912828HQ66 Corp</stp>
        <stp>ISSUE_DT</stp>
        <stp>[portefeuille USD.xlsm]treasuries!R48C22_x0000__x0000_</stp>
        <tr r="V48" s="13"/>
      </tp>
      <tp t="e">
        <v>#N/A</v>
        <stp/>
        <stp>##V3_BDPV12</stp>
        <stp>US912828QL78 Corp</stp>
        <stp>ISSUE_DT</stp>
        <stp>[portefeuille USD.xlsm]treasuries!R57C22_x0000__x0000_</stp>
        <tr r="V57" s="13"/>
      </tp>
      <tp t="e">
        <v>#N/A</v>
        <stp/>
        <stp>##V3_BDPV12</stp>
        <stp>FR0010815332 Corp</stp>
        <stp>PENULTIMATE_CPN_DT</stp>
        <stp>[portefeuille USD.xlsm]SSA!R100C24_x0000__x0000_</stp>
        <tr r="X100" s="16"/>
      </tp>
      <tp t="e">
        <v>#N/A</v>
        <stp/>
        <stp>##V3_BDPV12</stp>
        <stp>US912828CT50 Corp</stp>
        <stp>INT_ACC_DT</stp>
        <stp>[portefeuille USD.xlsm]treasuries!R113C23_x0000__x0000_</stp>
        <tr r="W113" s="13"/>
      </tp>
      <tp t="e">
        <v>#N/A</v>
        <stp/>
        <stp>##V3_BDPV12</stp>
        <stp>US63983TAE55 Govt</stp>
        <stp>SECURITY_DES</stp>
        <stp>[portefeuille USD.xlsm]SSA!R11C2_x0000_2</stp>
        <tr r="B11" s="16"/>
      </tp>
      <tp t="e">
        <v>#N/A</v>
        <stp/>
        <stp>##V3_BDPV12</stp>
        <stp>XS0490844718 Corp</stp>
        <stp>PENULTIMATE_CPN_DT</stp>
        <stp>[portefeuille USD.xlsm]SSA!R127C24_x0000__x0000_</stp>
        <tr r="X127" s="16"/>
      </tp>
      <tp t="e">
        <v>#N/A</v>
        <stp/>
        <stp>##V3_BDPV12</stp>
        <stp>US912810EP94 Corp</stp>
        <stp>INT_ACC_DT</stp>
        <stp>[portefeuille USD.xlsm]treasuries!R251C23_x0000__x0000_</stp>
        <tr r="W251" s="13"/>
      </tp>
      <tp t="e">
        <v>#N/A</v>
        <stp/>
        <stp>##V3_BDPV12</stp>
        <stp>US912828MN70 Corp</stp>
        <stp>ISSUE_DT</stp>
        <stp>[portefeuille USD.xlsm]treasuries!R51C22_x0000__x0000_</stp>
        <tr r="V51" s="13"/>
      </tp>
      <tp t="e">
        <v>#N/A</v>
        <stp/>
        <stp>##V3_BDPV12</stp>
        <stp>XS0561837013 Corp</stp>
        <stp>PENULTIMATE_CPN_DT</stp>
        <stp>[portefeuille USD.xlsm]SSA!R128C24_x0000__x0000_</stp>
        <tr r="X128" s="16"/>
      </tp>
      <tp t="e">
        <v>#N/A</v>
        <stp/>
        <stp>##V3_BDPV12</stp>
        <stp>US912828LM07 Corp</stp>
        <stp>ISSUE_DT</stp>
        <stp>[portefeuille USD.xlsm]treasuries!R20C22_x0000__x0000_</stp>
        <tr r="V20" s="13"/>
      </tp>
      <tp t="e">
        <v>#N/A</v>
        <stp/>
        <stp>##V3_BDPV12</stp>
        <stp>XS0576210289 Corp</stp>
        <stp>PENULTIMATE_CPN_DT</stp>
        <stp>[portefeuille USD.xlsm]SSA!R116C24_x0000__x0000_</stp>
        <tr r="X116" s="16"/>
      </tp>
      <tp t="e">
        <v>#N/A</v>
        <stp/>
        <stp>##V3_BDPV12</stp>
        <stp>US912828DV97 Corp</stp>
        <stp>INT_ACC_DT</stp>
        <stp>[portefeuille USD.xlsm]treasuries!R136C23_x0000__x0000_</stp>
        <tr r="W136" s="13"/>
      </tp>
      <tp t="e">
        <v>#N/A</v>
        <stp/>
        <stp>##V3_BDPV12</stp>
        <stp>FR0010815332 Corp</stp>
        <stp>FIRST_CPN_DT</stp>
        <stp>[portefeuille USD.xlsm]SSA!R100C23_x0000__x0000_</stp>
        <tr r="W100" s="16"/>
      </tp>
      <tp t="e">
        <v>#N/A</v>
        <stp/>
        <stp>##V3_BDPV12</stp>
        <stp>FR0010925446 Corp</stp>
        <stp>FIRST_CPN_DT</stp>
        <stp>[portefeuille USD.xlsm]SSA!R107C23_x0000__x0000_</stp>
        <tr r="W107" s="16"/>
      </tp>
      <tp t="e">
        <v>#N/A</v>
        <stp/>
        <stp>##V3_BDPV12</stp>
        <stp>US912828SP64 Corp</stp>
        <stp>PENULTIMATE_CPN_DT</stp>
        <stp>[portefeuille USD.xlsm]treasuries!R133C25_x0000__x0000_</stp>
        <tr r="Y133" s="13"/>
      </tp>
      <tp t="e">
        <v>#N/A</v>
        <stp/>
        <stp>##V3_BDPV12</stp>
        <stp>US912828JR22 Corp</stp>
        <stp>PENULTIMATE_CPN_DT</stp>
        <stp>[portefeuille USD.xlsm]treasuries!R217C25_x0000__x0000_</stp>
        <tr r="Y217" s="13"/>
      </tp>
      <tp t="e">
        <v>#N/A</v>
        <stp/>
        <stp>##V3_BDPV12</stp>
        <stp>US912828KQ20 Corp</stp>
        <stp>PENULTIMATE_CPN_DT</stp>
        <stp>[portefeuille USD.xlsm]treasuries!R227C25_x0000__x0000_</stp>
        <tr r="Y227" s="13"/>
      </tp>
      <tp t="e">
        <v>#N/A</v>
        <stp/>
        <stp>##V3_BDPV12</stp>
        <stp>US912828RQ56 Corp</stp>
        <stp>PENULTIMATE_CPN_DT</stp>
        <stp>[portefeuille USD.xlsm]treasuries!R121C25_x0000__x0000_</stp>
        <tr r="Y121" s="13"/>
      </tp>
      <tp t="e">
        <v>#N/A</v>
        <stp/>
        <stp>##V3_BDPV12</stp>
        <stp>US912810DV71 Corp</stp>
        <stp>PENULTIMATE_CPN_DT</stp>
        <stp>[portefeuille USD.xlsm]treasuries!R150C25_x0000__x0000_</stp>
        <tr r="Y150" s="13"/>
      </tp>
      <tp t="e">
        <v>#N/A</v>
        <stp/>
        <stp>##V3_BDPV12</stp>
        <stp>FR0010775239 Corp</stp>
        <stp>FIRST_CPN_DT</stp>
        <stp>[portefeuille USD.xlsm]SSA!R103C23_x0000__x0000_</stp>
        <tr r="W103" s="16"/>
      </tp>
      <tp t="e">
        <v>#N/A</v>
        <stp/>
        <stp>##V3_BDPV12</stp>
        <stp>XS0451654189 Corp</stp>
        <stp>DAY_CNT_DES</stp>
        <stp>[portefeuille USD.xlsm]SSA!R129C29_x0000__x0000_</stp>
        <tr r="AC129" s="16"/>
      </tp>
      <tp t="e">
        <v>#N/A</v>
        <stp/>
        <stp>##V3_BDPV12</stp>
        <stp>US912828MP29 Corp</stp>
        <stp>PENULTIMATE_CPN_DT</stp>
        <stp>[portefeuille USD.xlsm]treasuries!R233C25_x0000__x0000_</stp>
        <tr r="Y233" s="13"/>
      </tp>
      <tp t="e">
        <v>#N/A</v>
        <stp/>
        <stp>##V3_BDPV12</stp>
        <stp>XS0490844718 Corp</stp>
        <stp>DAY_CNT_DES</stp>
        <stp>[portefeuille USD.xlsm]SSA!R127C29_x0000__x0000_</stp>
        <tr r="AC127" s="16"/>
      </tp>
      <tp t="e">
        <v>#N/A</v>
        <stp/>
        <stp>##V3_BDPV12</stp>
        <stp>US912810EV62 Corp</stp>
        <stp>PENULTIMATE_CPN_DT</stp>
        <stp>[portefeuille USD.xlsm]treasuries!R255C25_x0000__x0000_</stp>
        <tr r="Y255" s="13"/>
      </tp>
      <tp t="e">
        <v>#N/A</v>
        <stp/>
        <stp>##V3_BDPV12</stp>
        <stp>US912810DZ85 Corp</stp>
        <stp>PENULTIMATE_CPN_DT</stp>
        <stp>[portefeuille USD.xlsm]treasuries!R195C25_x0000__x0000_</stp>
        <tr r="Y195" s="13"/>
      </tp>
      <tp t="e">
        <v>#N/A</v>
        <stp/>
        <stp>##V3_BDPV12</stp>
        <stp>US912828QS22 Corp</stp>
        <stp>PENULTIMATE_CPN_DT</stp>
        <stp>[portefeuille USD.xlsm]treasuries!R108C25_x0000__x0000_</stp>
        <tr r="Y108" s="13"/>
      </tp>
      <tp t="e">
        <v>#N/A</v>
        <stp/>
        <stp>##V3_BDPV12</stp>
        <stp>US912828NP10 Corp</stp>
        <stp>PENULTIMATE_CPN_DT</stp>
        <stp>[portefeuille USD.xlsm]treasuries!R139C25_x0000__x0000_</stp>
        <tr r="Y139" s="13"/>
      </tp>
      <tp t="e">
        <v>#N/A</v>
        <stp/>
        <stp>##V3_BDPV12</stp>
        <stp>EH828973 Corp Corp</stp>
        <stp>AMT_OUTSTANDING</stp>
        <stp>[portefeuille USD.xlsm]SSA!R142C28_x0000_2</stp>
        <tr r="AB142" s="16"/>
      </tp>
      <tp t="e">
        <v>#N/A</v>
        <stp/>
        <stp>##V3_BDPV12</stp>
        <stp>US912828SR21 Govt</stp>
        <stp>INT_ACC</stp>
        <stp>[portefeuille USD.xlsm]MV Repo!R17C6_x0000__x0000_</stp>
        <tr r="F17" s="6"/>
      </tp>
      <tp t="e">
        <v>#N/A</v>
        <stp/>
        <stp>##V3_BDPV12</stp>
        <stp>US912828RR30 Govt</stp>
        <stp>INT_ACC</stp>
        <stp>[portefeuille USD.xlsm]MV Repo!R26C6_x0000__x0000_</stp>
        <tr r="F26" s="6"/>
      </tp>
      <tp t="e">
        <v>#N/A</v>
        <stp/>
        <stp>##V3_BDPV12</stp>
        <stp>FR0010500843 Govt</stp>
        <stp>SECURITY_DES</stp>
        <stp>[portefeuille USD.xlsm]SSA!R111C2_x0000__x0000_</stp>
        <tr r="B111" s="16"/>
      </tp>
      <tp t="e">
        <v>#N/A</v>
        <stp/>
        <stp>##V3_BDPV12</stp>
        <stp>US9127956U08 Corp</stp>
        <stp>INT_ACC_DT</stp>
        <stp>[portefeuille USD.xlsm]treasuries!R38C23_x0000__x0000_</stp>
        <tr r="W38" s="13"/>
      </tp>
      <tp t="e">
        <v>#N/A</v>
        <stp/>
        <stp>##V3_BDPV12</stp>
        <stp>XS0311512957 Govt</stp>
        <stp>SECURITY_DES</stp>
        <stp>[portefeuille USD.xlsm]SSA!R13C2_x0000__x0000_</stp>
        <tr r="B13" s="16"/>
      </tp>
      <tp t="e">
        <v>#N/A</v>
        <stp/>
        <stp>##V3_BDPV12</stp>
        <stp>FR0010815332 Govt</stp>
        <stp>SECURITY_DES</stp>
        <stp>[portefeuille USD.xlsm]SSA!R100C2_x0000__x0000_</stp>
        <tr r="B100" s="16"/>
      </tp>
      <tp t="e">
        <v>#N/A</v>
        <stp/>
        <stp>##V3_BDPV12</stp>
        <stp>US639832AD61 Corp</stp>
        <stp>FIRST_CPN_DT</stp>
        <stp>[portefeuille USD.xlsm]SSA!R5C23_x0000__x0000_</stp>
        <tr r="W5" s="16"/>
      </tp>
      <tp t="e">
        <v>#N/A</v>
        <stp/>
        <stp>##V3_BDPV12</stp>
        <stp>FR0010776674 Govt</stp>
        <stp>SECURITY_DES</stp>
        <stp>[portefeuille USD.xlsm]SSA!R112C2_x0000__x0000_</stp>
        <tr r="B112" s="16"/>
      </tp>
      <tp t="e">
        <v>#N/A</v>
        <stp/>
        <stp>##V3_BDPV12</stp>
        <stp>XS0322956490 Govt</stp>
        <stp>SECURITY_DES</stp>
        <stp>[portefeuille USD.xlsm]SSA!R59C2_x0000__x0000_</stp>
        <tr r="B59" s="16"/>
      </tp>
      <tp t="e">
        <v>#N/A</v>
        <stp/>
        <stp>##V3_BDPV12</stp>
        <stp>FR0010862581 Govt</stp>
        <stp>SECURITY_DES</stp>
        <stp>[portefeuille USD.xlsm]SSA!R97C2_x0000__x0000_</stp>
        <tr r="B97" s="16"/>
      </tp>
      <tp t="e">
        <v>#N/A</v>
        <stp/>
        <stp>##V3_BDPV12</stp>
        <stp>XS0579811489 Govt</stp>
        <stp>SECURITY_DES</stp>
        <stp>[portefeuille USD.xlsm]SSA!R20C2_x0000__x0000_</stp>
        <tr r="B20" s="16"/>
      </tp>
      <tp t="e">
        <v>#N/A</v>
        <stp/>
        <stp>##V3_BDPV12</stp>
        <stp>EI009749 Corp Corp</stp>
        <stp>AMT_OUTSTANDING</stp>
        <stp>[portefeuille USD.xlsm]SSA!R24C28_x0000__x0000_</stp>
        <tr r="AB24" s="16"/>
      </tp>
      <tp t="e">
        <v>#N/A</v>
        <stp/>
        <stp>##V3_BDPV12</stp>
        <stp>US9127956S51 Corp</stp>
        <stp>INT_ACC_DT</stp>
        <stp>[portefeuille USD.xlsm]treasuries!R33C23_x0000__x0000_</stp>
        <tr r="W33" s="13"/>
      </tp>
      <tp t="e">
        <v>#N/A</v>
        <stp/>
        <stp>##V3_BDPV12</stp>
        <stp>US9127956T35 Corp</stp>
        <stp>INT_ACC_DT</stp>
        <stp>[portefeuille USD.xlsm]treasuries!R37C23_x0000__x0000_</stp>
        <tr r="W37" s="13"/>
      </tp>
      <tp t="e">
        <v>#N/A</v>
        <stp/>
        <stp>##V3_BDPV12</stp>
        <stp>US9127956P13 Corp</stp>
        <stp>INT_ACC_DT</stp>
        <stp>[portefeuille USD.xlsm]treasuries!R32C23_x0000__x0000_</stp>
        <tr r="W32" s="13"/>
      </tp>
      <tp t="e">
        <v>#N/A</v>
        <stp/>
        <stp>##V3_BDPV12</stp>
        <stp>XS0252479497 Corp</stp>
        <stp>FIRST_CPN_DT</stp>
        <stp>[portefeuille USD.xlsm]SSA!R45C23_x0000_R</stp>
        <tr r="W45" s="16"/>
      </tp>
      <tp t="e">
        <v>#N/A</v>
        <stp/>
        <stp>##V3_BDPV12</stp>
        <stp>XS0300990529 Govt</stp>
        <stp>SECURITY_DES</stp>
        <stp>[portefeuille USD.xlsm]SSA!R122C2_x0000__x0000_</stp>
        <tr r="B122" s="16"/>
      </tp>
      <tp t="e">
        <v>#N/A</v>
        <stp/>
        <stp>##V3_BDPV12</stp>
        <stp>US912828PT14 Corp</stp>
        <stp>INT_ACC_DT</stp>
        <stp>[portefeuille USD.xlsm]treasuries!R203C23_x0000__x0000_</stp>
        <tr r="W203" s="13"/>
      </tp>
      <tp t="e">
        <v>#N/A</v>
        <stp/>
        <stp>##V3_BDPV12</stp>
        <stp>US912828MW79 Corp</stp>
        <stp>INT_ACC_DT</stp>
        <stp>[portefeuille USD.xlsm]treasuries!R132C23_x0000__x0000_</stp>
        <tr r="W132" s="13"/>
      </tp>
      <tp t="e">
        <v>#N/A</v>
        <stp/>
        <stp>##V3_BDPV12</stp>
        <stp>US63983UAD46 Govt</stp>
        <stp>SECURITY_DES</stp>
        <stp>[portefeuille USD.xlsm]SSA!R10C2_x0000__x0000_</stp>
        <tr r="B10" s="16"/>
      </tp>
      <tp t="e">
        <v>#N/A</v>
        <stp/>
        <stp>##V3_BDPV12</stp>
        <stp>US912828QR49 Corp</stp>
        <stp>INT_ACC_DT</stp>
        <stp>[portefeuille USD.xlsm]treasuries!R163C23_x0000__x0000_</stp>
        <tr r="W163" s="13"/>
      </tp>
      <tp t="e">
        <v>#N/A</v>
        <stp/>
        <stp>##V3_BDPV12</stp>
        <stp>US912828RV42 Corp</stp>
        <stp>INT_ACC_DT</stp>
        <stp>[portefeuille USD.xlsm]treasuries!R123C23_x0000__x0000_</stp>
        <tr r="W123" s="13"/>
      </tp>
      <tp t="e">
        <v>#N/A</v>
        <stp/>
        <stp>##V3_BDPV12</stp>
        <stp>US912810EQ77 Corp</stp>
        <stp>INT_ACC_DT</stp>
        <stp>[portefeuille USD.xlsm]treasuries!R252C23_x0000__x0000_</stp>
        <tr r="W252" s="13"/>
      </tp>
      <tp t="e">
        <v>#N/A</v>
        <stp/>
        <stp>##V3_BDPV12</stp>
        <stp>US912828QU77 Corp</stp>
        <stp>INT_ACC_DT</stp>
        <stp>[portefeuille USD.xlsm]treasuries!R111C23_x0000__x0000_</stp>
        <tr r="W111" s="13"/>
      </tp>
      <tp t="e">
        <v>#N/A</v>
        <stp/>
        <stp>##V3_BDPV12</stp>
        <stp>US9127956H96 Corp</stp>
        <stp>ISSUE_DT</stp>
        <stp>[portefeuille USD.xlsm]treasuries!R19C22_x0000__x0000_</stp>
        <tr r="V19" s="13"/>
      </tp>
      <tp t="e">
        <v>#N/A</v>
        <stp/>
        <stp>##V3_BDPV12</stp>
        <stp>US912828RD44 Corp</stp>
        <stp>ISSUE_DT</stp>
        <stp>[portefeuille USD.xlsm]treasuries!R77C22_x0000__x0000_</stp>
        <tr r="V77" s="13"/>
      </tp>
      <tp t="e">
        <v>#N/A</v>
        <stp/>
        <stp>##V3_BDPV12</stp>
        <stp>XS0284982922 Corp</stp>
        <stp>PENULTIMATE_CPN_DT</stp>
        <stp>[portefeuille USD.xlsm]SSA!R114C24_x0000__x0000_</stp>
        <tr r="X114" s="16"/>
      </tp>
      <tp t="e">
        <v>#N/A</v>
        <stp/>
        <stp>##V3_BDPV12</stp>
        <stp>US912828EW61 Corp</stp>
        <stp>PENULTIMATE_CPN_DT</stp>
        <stp>[portefeuille USD.xlsm]treasuries!R151C25_x0000__x0000_</stp>
        <tr r="Y151" s="13"/>
      </tp>
      <tp t="e">
        <v>#N/A</v>
        <stp/>
        <stp>##V3_BDPV12</stp>
        <stp>US912810PU60 Corp</stp>
        <stp>PENULTIMATE_CPN_DT</stp>
        <stp>[portefeuille USD.xlsm]treasuries!R270C25_x0000__x0000_</stp>
        <tr r="Y270" s="13"/>
      </tp>
      <tp t="e">
        <v>#N/A</v>
        <stp/>
        <stp>##V3_BDPV12</stp>
        <stp>US912810DP04 Corp</stp>
        <stp>PENULTIMATE_CPN_DT</stp>
        <stp>[portefeuille USD.xlsm]treasuries!R127C25_x0000__x0000_</stp>
        <tr r="Y127" s="13"/>
      </tp>
      <tp t="e">
        <v>#N/A</v>
        <stp/>
        <stp>##V3_BDPV12</stp>
        <stp>US912810PT97 Corp</stp>
        <stp>PENULTIMATE_CPN_DT</stp>
        <stp>[portefeuille USD.xlsm]treasuries!R269C25_x0000__x0000_</stp>
        <tr r="Y269" s="13"/>
      </tp>
      <tp t="e">
        <v>#N/A</v>
        <stp/>
        <stp>##V3_BDPV12</stp>
        <stp>US912828SR21 Corp</stp>
        <stp>PENULTIMATE_CPN_DT</stp>
        <stp>[portefeuille USD.xlsm]treasuries!R103C25_x0000__x0000_</stp>
        <tr r="Y103" s="13"/>
      </tp>
      <tp t="e">
        <v>#N/A</v>
        <stp/>
        <stp>##V3_BDPV12</stp>
        <stp>US912810EW46 Corp</stp>
        <stp>PENULTIMATE_CPN_DT</stp>
        <stp>[portefeuille USD.xlsm]treasuries!R256C25_x0000__x0000_</stp>
        <tr r="Y256" s="13"/>
      </tp>
      <tp t="e">
        <v>#N/A</v>
        <stp/>
        <stp>##V3_BDPV12</stp>
        <stp>XS0372089572 Corp</stp>
        <stp>DAY_CNT_DES</stp>
        <stp>[portefeuille USD.xlsm]SSA!R124C29_x0000__x0000_</stp>
        <tr r="AC124" s="16"/>
      </tp>
      <tp t="e">
        <v>#N/A</v>
        <stp/>
        <stp>##V3_BDPV12</stp>
        <stp>US912828LU23 Corp</stp>
        <stp>PENULTIMATE_CPN_DT</stp>
        <stp>[portefeuille USD.xlsm]treasuries!R172C25_x0000__x0000_</stp>
        <tr r="Y172" s="13"/>
      </tp>
      <tp t="e">
        <v>#N/A</v>
        <stp/>
        <stp>##V3_BDPV12</stp>
        <stp>US912828HR40 Corp</stp>
        <stp>PENULTIMATE_CPN_DT</stp>
        <stp>[portefeuille USD.xlsm]treasuries!R204C25_x0000__x0000_</stp>
        <tr r="Y204" s="13"/>
      </tp>
      <tp t="e">
        <v>#N/A</v>
        <stp/>
        <stp>##V3_BDPV12</stp>
        <stp>US912828RU68 Corp</stp>
        <stp>PENULTIMATE_CPN_DT</stp>
        <stp>[portefeuille USD.xlsm]treasuries!R176C25_x0000__x0000_</stp>
        <tr r="Y176" s="13"/>
      </tp>
      <tp t="e">
        <v>#N/A</v>
        <stp/>
        <stp>##V3_BDPV12</stp>
        <stp>US912828LS76 Corp</stp>
        <stp>PENULTIMATE_CPN_DT</stp>
        <stp>[portefeuille USD.xlsm]treasuries!R119C25_x0000__x0000_</stp>
        <tr r="Y119" s="13"/>
      </tp>
      <tp t="e">
        <v>#N/A</v>
        <stp/>
        <stp>##V3_BDPV12</stp>
        <stp>US912810DW54 Corp</stp>
        <stp>PENULTIMATE_CPN_DT</stp>
        <stp>[portefeuille USD.xlsm]treasuries!R158C25_x0000__x0000_</stp>
        <tr r="Y158" s="13"/>
      </tp>
      <tp t="e">
        <v>#N/A</v>
        <stp/>
        <stp>##V3_BDPV12</stp>
        <stp>US12802NAA28 Govt</stp>
        <stp>SECURITY_DES</stp>
        <stp>[portefeuille USD.xlsm]SSA!R95C2_x0000__x0000_</stp>
        <tr r="B95" s="16"/>
      </tp>
      <tp t="e">
        <v>#N/A</v>
        <stp/>
        <stp>##V3_BDPV12</stp>
        <stp>XS0353485492 Corp</stp>
        <stp>DAY_CNT_DES</stp>
        <stp>[portefeuille USD.xlsm]SSA!R126C29_x0000__x0000_</stp>
        <tr r="AC126" s="16"/>
      </tp>
      <tp t="e">
        <v>#N/A</v>
        <stp/>
        <stp>##V3_BDPV12</stp>
        <stp>US912828SV33 Corp</stp>
        <stp>PENULTIMATE_CPN_DT</stp>
        <stp>[portefeuille USD.xlsm]treasuries!R248C25_x0000__x0000_</stp>
        <tr r="Y248" s="13"/>
      </tp>
      <tp t="e">
        <v>#N/A</v>
        <stp/>
        <stp>##V3_BDPV12</stp>
        <stp>US912810FT08 Corp</stp>
        <stp>PENULTIMATE_CPN_DT</stp>
        <stp>[portefeuille USD.xlsm]treasuries!R268C25_x0000__x0000_</stp>
        <tr r="Y268" s="13"/>
      </tp>
      <tp t="e">
        <v>#N/A</v>
        <stp/>
        <stp>##V3_BDPV12</stp>
        <stp>US912828NV87 Corp</stp>
        <stp>PENULTIMATE_CPN_DT</stp>
        <stp>[portefeuille USD.xlsm]treasuries!R142C25_x0000__x0000_</stp>
        <tr r="Y142" s="13"/>
      </tp>
      <tp t="e">
        <v>#N/A</v>
        <stp/>
        <stp>##V3_BDPV12</stp>
        <stp>XS0458548921 Corp</stp>
        <stp>AMT_OUTSTANDING</stp>
        <stp>[portefeuille USD.xlsm]SSA!R2C28_x0000_1</stp>
        <tr r="AB2" s="16"/>
      </tp>
      <tp t="e">
        <v>#N/A</v>
        <stp/>
        <stp>##V3_BDPV12</stp>
        <stp>US912828RS13 Govt</stp>
        <stp>INT_ACC</stp>
        <stp>[portefeuille USD.xlsm]MV Repo!R14C6_x0000__x0000_</stp>
        <tr r="F14" s="6"/>
      </tp>
      <tp t="e">
        <v>#N/A</v>
        <stp/>
        <stp>##V3_BDPV12</stp>
        <stp>XS0347750365 Govt</stp>
        <stp>SECURITY_DES</stp>
        <stp>[portefeuille USD.xlsm]SSA!R64C2_x0000__x0000_</stp>
        <tr r="B64" s="16"/>
      </tp>
      <tp t="e">
        <v>#N/A</v>
        <stp/>
        <stp>##V3_BDPV12</stp>
        <stp>EG914838 Corp Corp</stp>
        <stp>AMT_OUTSTANDING</stp>
        <stp>[portefeuille USD.xlsm]SSA!R37C28_x0000__x0000_</stp>
        <tr r="AB37" s="16"/>
      </tp>
      <tp t="e">
        <v>#N/A</v>
        <stp/>
        <stp>##V3_BDPV12</stp>
        <stp>FR0010606442 Govt</stp>
        <stp>SECURITY_DES</stp>
        <stp>[portefeuille USD.xlsm]SSA!R108C2_x0000__x0000_</stp>
        <tr r="B108" s="16"/>
      </tp>
      <tp t="e">
        <v>#N/A</v>
        <stp/>
        <stp>##V3_BDPV12</stp>
        <stp>XS0495091620 Corp</stp>
        <stp>FIRST_CPN_DT</stp>
        <stp>[portefeuille USD.xlsm]SSA!R7C23_x0000_3</stp>
        <tr r="W7" s="16"/>
      </tp>
      <tp t="e">
        <v>#N/A</v>
        <stp/>
        <stp>##V3_BDPV12</stp>
        <stp>XS0558939269 Corp</stp>
        <stp>FIRST_CPN_DT</stp>
        <stp>[portefeuille USD.xlsm]SSA!R80C23_x0000_R</stp>
        <tr r="W80" s="16"/>
      </tp>
      <tp t="e">
        <v>#N/A</v>
        <stp/>
        <stp>##V3_BDPV12</stp>
        <stp>US9127956K26 Corp</stp>
        <stp>INT_ACC_DT</stp>
        <stp>[portefeuille USD.xlsm]treasuries!R25C23_x0000__x0000_</stp>
        <tr r="W25" s="13"/>
      </tp>
      <tp t="e">
        <v>#N/A</v>
        <stp/>
        <stp>##V3_BDPV12</stp>
        <stp>XS0546234450 Corp</stp>
        <stp>FIRST_CPN_DT</stp>
        <stp>[portefeuille USD.xlsm]SSA!R19C23_x0000__x0000_</stp>
        <tr r="W19" s="16"/>
      </tp>
      <tp t="e">
        <v>#N/A</v>
        <stp/>
        <stp>##V3_BDPV12</stp>
        <stp>US9127956J52 Corp</stp>
        <stp>INT_ACC_DT</stp>
        <stp>[portefeuille USD.xlsm]treasuries!R22C23_x0000__x0000_</stp>
        <tr r="W22" s="13"/>
      </tp>
      <tp t="e">
        <v>#N/A</v>
        <stp/>
        <stp>##V3_BDPV12</stp>
        <stp>US9127956M81 Corp</stp>
        <stp>INT_ACC_DT</stp>
        <stp>[portefeuille USD.xlsm]treasuries!R26C23_x0000__x0000_</stp>
        <tr r="W26" s="13"/>
      </tp>
      <tp t="e">
        <v>#N/A</v>
        <stp/>
        <stp>##V3_BDPV12</stp>
        <stp>XS0610555681 Govt</stp>
        <stp>SECURITY_DES</stp>
        <stp>[portefeuille USD.xlsm]SSA!R123C2_x0000__x0000_</stp>
        <tr r="B123" s="16"/>
      </tp>
      <tp t="e">
        <v>#N/A</v>
        <stp/>
        <stp>##V3_BDPV12</stp>
        <stp>US9127956N64 Corp</stp>
        <stp>INT_ACC_DT</stp>
        <stp>[portefeuille USD.xlsm]treasuries!R29C23_x0000__x0000_</stp>
        <tr r="W29" s="13"/>
      </tp>
      <tp t="e">
        <v>#N/A</v>
        <stp/>
        <stp>##V3_BDPV12</stp>
        <stp>XS0172157876 Govt</stp>
        <stp>SECURITY_DES</stp>
        <stp>[portefeuille USD.xlsm]SSA!R125C2_x0000__x0000_</stp>
        <tr r="B125" s="16"/>
      </tp>
      <tp t="e">
        <v>#N/A</v>
        <stp/>
        <stp>##V3_BDPV12</stp>
        <stp>US912828MX52 Corp</stp>
        <stp>ISSUE_DT</stp>
        <stp>[portefeuille USD.xlsm]treasuries!R59C22_x0000__x0000_</stp>
        <tr r="V59" s="13"/>
      </tp>
      <tp t="e">
        <v>#N/A</v>
        <stp/>
        <stp>##V3_BDPV12</stp>
        <stp>US912828JK78 Corp</stp>
        <stp>ISSUE_DT</stp>
        <stp>[portefeuille USD.xlsm]treasuries!R76C22_x0000__x0000_</stp>
        <tr r="V76" s="13"/>
      </tp>
      <tp t="e">
        <v>#N/A</v>
        <stp/>
        <stp>##V3_BDPV12</stp>
        <stp>US912828NT32 Corp</stp>
        <stp>INT_ACC_DT</stp>
        <stp>[portefeuille USD.xlsm]treasuries!R237C23_x0000__x0000_</stp>
        <tr r="W237" s="13"/>
      </tp>
      <tp t="e">
        <v>#N/A</v>
        <stp/>
        <stp>##V3_BDPV12</stp>
        <stp>US912828PL87 Corp</stp>
        <stp>ISSUE_DT</stp>
        <stp>[portefeuille USD.xlsm]treasuries!R88C22_x0000__x0000_</stp>
        <tr r="V88" s="13"/>
      </tp>
      <tp t="e">
        <v>#N/A</v>
        <stp/>
        <stp>##V3_BDPV12</stp>
        <stp>US912828KR03 Corp</stp>
        <stp>INT_ACC_DT</stp>
        <stp>[portefeuille USD.xlsm]treasuries!R157C23_x0000__x0000_</stp>
        <tr r="W157" s="13"/>
      </tp>
      <tp t="e">
        <v>#N/A</v>
        <stp/>
        <stp>##V3_BDPV12</stp>
        <stp>US912810DS43 Corp</stp>
        <stp>INT_ACC_DT</stp>
        <stp>[portefeuille USD.xlsm]treasuries!R141C23_x0000__x0000_</stp>
        <tr r="W141" s="13"/>
      </tp>
      <tp t="e">
        <v>#N/A</v>
        <stp/>
        <stp>##V3_BDPV12</stp>
        <stp>US912828SW16 Corp</stp>
        <stp>INT_ACC_DT</stp>
        <stp>[portefeuille USD.xlsm]treasuries!R107C23_x0000__x0000_</stp>
        <tr r="W107" s="13"/>
      </tp>
      <tp t="e">
        <v>#N/A</v>
        <stp/>
        <stp>##V3_BDPV12</stp>
        <stp>XS0300990529 Corp</stp>
        <stp>PENULTIMATE_CPN_DT</stp>
        <stp>[portefeuille USD.xlsm]SSA!R122C24_x0000__x0000_</stp>
        <tr r="X122" s="16"/>
      </tp>
      <tp t="e">
        <v>#N/A</v>
        <stp/>
        <stp>##V3_BDPV12</stp>
        <stp>US912828PU86 Corp</stp>
        <stp>ISSUE_DT</stp>
        <stp>[portefeuille USD.xlsm]treasuries!R84C22_x0000__x0000_</stp>
        <tr r="V84" s="13"/>
      </tp>
      <tp t="e">
        <v>#N/A</v>
        <stp/>
        <stp>##V3_BDPV12</stp>
        <stp>US912828QZ64 Corp</stp>
        <stp>ISSUE_DT</stp>
        <stp>[portefeuille USD.xlsm]treasuries!R66C22_x0000__x0000_</stp>
        <tr r="V66" s="13"/>
      </tp>
      <tp t="e">
        <v>#N/A</v>
        <stp/>
        <stp>##V3_BDPV12</stp>
        <stp>US912828LH12 Corp</stp>
        <stp>ISSUE_DT</stp>
        <stp>[portefeuille USD.xlsm]treasuries!R12C22_x0000__x0000_</stp>
        <tr r="V12" s="13"/>
      </tp>
      <tp t="e">
        <v>#N/A</v>
        <stp/>
        <stp>##V3_BDPV12</stp>
        <stp>US912828JT87 Corp</stp>
        <stp>ISSUE_DT</stp>
        <stp>[portefeuille USD.xlsm]treasuries!R87C22_x0000__x0000_</stp>
        <tr r="V87" s="13"/>
      </tp>
      <tp t="e">
        <v>#N/A</v>
        <stp/>
        <stp>##V3_BDPV12</stp>
        <stp>US298785DV50 Corp</stp>
        <stp>FIRST_CPN_DT</stp>
        <stp>[portefeuille USD.xlsm]SSA!R86C23_x0000_R</stp>
        <tr r="W86" s="16"/>
      </tp>
      <tp t="e">
        <v>#N/A</v>
        <stp/>
        <stp>##V3_BDPV12</stp>
        <stp>US912828PS31 Corp</stp>
        <stp>INT_ACC_DT</stp>
        <stp>[portefeuille USD.xlsm]treasuries!R149C23_x0000__x0000_</stp>
        <tr r="W149" s="13"/>
      </tp>
      <tp t="e">
        <v>#N/A</v>
        <stp/>
        <stp>##V3_BDPV12</stp>
        <stp>US912828HV51 Corp</stp>
        <stp>ISSUE_DT</stp>
        <stp>[portefeuille USD.xlsm]treasuries!R56C22_x0000__x0000_</stp>
        <tr r="V56" s="13"/>
      </tp>
      <tp t="e">
        <v>#N/A</v>
        <stp/>
        <stp>##V3_BDPV12</stp>
        <stp>US912828PW43 Corp</stp>
        <stp>ISSUE_DT</stp>
        <stp>[portefeuille USD.xlsm]treasuries!R44C22_x0000__x0000_</stp>
        <tr r="V44" s="13"/>
      </tp>
      <tp t="e">
        <v>#N/A</v>
        <stp/>
        <stp>##V3_BDPV12</stp>
        <stp>FR0010998104 Corp</stp>
        <stp>PENULTIMATE_CPN_DT</stp>
        <stp>[portefeuille USD.xlsm]SSA!R105C24_x0000__x0000_</stp>
        <tr r="X105" s="16"/>
      </tp>
      <tp t="e">
        <v>#N/A</v>
        <stp/>
        <stp>##V3_BDPV12</stp>
        <stp>US912828FQ84 Corp</stp>
        <stp>INT_ACC_DT</stp>
        <stp>[portefeuille USD.xlsm]treasuries!R166C23_x0000__x0000_</stp>
        <tr r="W166" s="13"/>
      </tp>
      <tp t="e">
        <v>#N/A</v>
        <stp/>
        <stp>##V3_BDPV12</stp>
        <stp>US912810ET17 Corp</stp>
        <stp>PENULTIMATE_CPN_DT</stp>
        <stp>[portefeuille USD.xlsm]treasuries!R254C25_x0000__x0000_</stp>
        <tr r="Y254" s="13"/>
      </tp>
      <tp t="e">
        <v>#N/A</v>
        <stp/>
        <stp>##V3_BDPV12</stp>
        <stp>US912828KT68 Corp</stp>
        <stp>PENULTIMATE_CPN_DT</stp>
        <stp>[portefeuille USD.xlsm]treasuries!R154C25_x0000__x0000_</stp>
        <tr r="Y154" s="13"/>
      </tp>
      <tp t="e">
        <v>#N/A</v>
        <stp/>
        <stp>##V3_BDPV12</stp>
        <stp>US912828RP73 Corp</stp>
        <stp>PENULTIMATE_CPN_DT</stp>
        <stp>[portefeuille USD.xlsm]treasuries!R216C25_x0000__x0000_</stp>
        <tr r="Y216" s="13"/>
      </tp>
      <tp t="e">
        <v>#N/A</v>
        <stp/>
        <stp>##V3_BDPV12</stp>
        <stp>FR0010776674 Corp</stp>
        <stp>FIRST_CPN_DT</stp>
        <stp>[portefeuille USD.xlsm]SSA!R112C23_x0000__x0000_</stp>
        <tr r="W112" s="16"/>
      </tp>
      <tp t="e">
        <v>#N/A</v>
        <stp/>
        <stp>##V3_BDPV12</stp>
        <stp>US912810DY11 Corp</stp>
        <stp>PENULTIMATE_CPN_DT</stp>
        <stp>[portefeuille USD.xlsm]treasuries!R189C25_x0000__x0000_</stp>
        <tr r="Y189" s="13"/>
      </tp>
      <tp t="e">
        <v>#N/A</v>
        <stp/>
        <stp>##V3_BDPV12</stp>
        <stp>US912828KW97 Corp</stp>
        <stp>PENULTIMATE_CPN_DT</stp>
        <stp>[portefeuille USD.xlsm]treasuries!R161C25_x0000__x0000_</stp>
        <tr r="Y161" s="13"/>
      </tp>
      <tp t="e">
        <v>#N/A</v>
        <stp/>
        <stp>##V3_BDPV12</stp>
        <stp>US912828MR84 Corp</stp>
        <stp>PENULTIMATE_CPN_DT</stp>
        <stp>[portefeuille USD.xlsm]treasuries!R130C25_x0000__x0000_</stp>
        <tr r="Y130" s="13"/>
      </tp>
      <tp t="e">
        <v>#N/A</v>
        <stp/>
        <stp>##V3_BDPV12</stp>
        <stp>EF086162 Corp Corp</stp>
        <stp>AMT_OUTSTANDING</stp>
        <stp>[portefeuille USD.xlsm]SSA!R33C28_x0000__x0000_</stp>
        <tr r="AB33" s="16"/>
      </tp>
      <tp t="e">
        <v>#N/A</v>
        <stp/>
        <stp>##V3_BDPV12</stp>
        <stp>US9127955Y39 Corp</stp>
        <stp>ISSUE_DT</stp>
        <stp>[portefeuille USD.xlsm]treasuries!R9C22_x0000__x0000_</stp>
        <tr r="V9" s="13"/>
      </tp>
      <tp t="e">
        <v>#N/A</v>
        <stp/>
        <stp>##V3_BDPV12</stp>
        <stp>US298785FT86 Govt</stp>
        <stp>SECURITY_DES</stp>
        <stp>[portefeuille USD.xlsm]SSA!R60C2_x0000_!</stp>
        <tr r="B60" s="16"/>
      </tp>
      <tp t="e">
        <v>#N/A</v>
        <stp/>
        <stp>##V3_BDPV12</stp>
        <stp>EI939268 Corp Corp</stp>
        <stp>AMT_OUTSTANDING</stp>
        <stp>[portefeuille USD.xlsm]SSA!R21C28_x0000__x0000_</stp>
        <tr r="AB21" s="16"/>
      </tp>
      <tp t="e">
        <v>#N/A</v>
        <stp/>
        <stp>##V3_BDPV12</stp>
        <stp>US298785EK86 Govt</stp>
        <stp>SECURITY_DES</stp>
        <stp>[portefeuille USD.xlsm]SSA!R43C2_x0000__x0000_</stp>
        <tr r="B43" s="16"/>
      </tp>
      <tp t="e">
        <v>#N/A</v>
        <stp/>
        <stp>##V3_BDPV12</stp>
        <stp>US298785EY80 Govt</stp>
        <stp>SECURITY_DES</stp>
        <stp>[portefeuille USD.xlsm]SSA!R57C2_x0000__x0000_</stp>
        <tr r="B57" s="16"/>
      </tp>
      <tp t="e">
        <v>#N/A</v>
        <stp/>
        <stp>##V3_BDPV12</stp>
        <stp>US298785FF82 Govt</stp>
        <stp>SECURITY_DES</stp>
        <stp>[portefeuille USD.xlsm]SSA!R49C2_x0000__x0000_</stp>
        <tr r="B49" s="16"/>
      </tp>
      <tp t="e">
        <v>#N/A</v>
        <stp/>
        <stp>##V3_BDPV12</stp>
        <stp>US9127956G14 Corp</stp>
        <stp>INT_ACC_DT</stp>
        <stp>[portefeuille USD.xlsm]treasuries!R18C23_x0000__x0000_</stp>
        <tr r="W18" s="13"/>
      </tp>
      <tp t="e">
        <v>#N/A</v>
        <stp/>
        <stp>##V3_BDPV12</stp>
        <stp>US9127955G23 Corp</stp>
        <stp>INT_ACC_DT</stp>
        <stp>[portefeuille USD.xlsm]treasuries!R28C23_x0000__x0000_</stp>
        <tr r="W28" s="13"/>
      </tp>
      <tp t="e">
        <v>#N/A</v>
        <stp/>
        <stp>##V3_BDPV12</stp>
        <stp>XS0468848253 Corp</stp>
        <stp>FIRST_CPN_DT</stp>
        <stp>[portefeuille USD.xlsm]SSA!R74C23_x0000_R</stp>
        <tr r="W74" s="16"/>
      </tp>
      <tp t="e">
        <v>#N/A</v>
        <stp/>
        <stp>##V3_BDPV12</stp>
        <stp>XS0270250136 Govt</stp>
        <stp>SECURITY_DES</stp>
        <stp>[portefeuille USD.xlsm]SSA!R115C2_x0000__x0000_</stp>
        <tr r="B115" s="16"/>
      </tp>
      <tp t="e">
        <v>#N/A</v>
        <stp/>
        <stp>##V3_BDPV12</stp>
        <stp>XS0705646452 Govt</stp>
        <stp>SECURITY_DES</stp>
        <stp>[portefeuille USD.xlsm]SSA!R121C2_x0000__x0000_</stp>
        <tr r="B121" s="16"/>
      </tp>
      <tp t="e">
        <v>#N/A</v>
        <stp/>
        <stp>##V3_BDPV12</stp>
        <stp>XS0477425283 Corp</stp>
        <stp>FIRST_CPN_DT</stp>
        <stp>[portefeuille USD.xlsm]SSA!R14C23_x0000__x0000_</stp>
        <tr r="W14" s="16"/>
      </tp>
      <tp t="e">
        <v>#N/A</v>
        <stp/>
        <stp>##V3_BDPV12</stp>
        <stp>US9127956C00 Corp</stp>
        <stp>INT_ACC_DT</stp>
        <stp>[portefeuille USD.xlsm]treasuries!R15C23_x0000__x0000_</stp>
        <tr r="W15" s="13"/>
      </tp>
      <tp t="e">
        <v>#N/A</v>
        <stp/>
        <stp>##V3_BDPV12</stp>
        <stp>XS0225513703 Corp</stp>
        <stp>FIRST_CPN_DT</stp>
        <stp>[portefeuille USD.xlsm]SSA!R40C23_x0000_R</stp>
        <tr r="W40" s="16"/>
      </tp>
      <tp t="e">
        <v>#N/A</v>
        <stp/>
        <stp>##V3_BDPV12</stp>
        <stp>US9127956H96 Corp</stp>
        <stp>INT_ACC_DT</stp>
        <stp>[portefeuille USD.xlsm]treasuries!R19C23_x0000__x0000_</stp>
        <tr r="W19" s="13"/>
      </tp>
      <tp t="e">
        <v>#N/A</v>
        <stp/>
        <stp>##V3_BDPV12</stp>
        <stp>US9127956B27 Corp</stp>
        <stp>INT_ACC_DT</stp>
        <stp>[portefeuille USD.xlsm]treasuries!R13C23_x0000__x0000_</stp>
        <tr r="W13" s="13"/>
      </tp>
      <tp t="e">
        <v>#N/A</v>
        <stp/>
        <stp>##V3_BDPV12</stp>
        <stp>US9127956A44 Corp</stp>
        <stp>INT_ACC_DT</stp>
        <stp>[portefeuille USD.xlsm]treasuries!R10C23_x0000__x0000_</stp>
        <tr r="W10" s="13"/>
      </tp>
      <tp t="e">
        <v>#N/A</v>
        <stp/>
        <stp>##V3_BDPV12</stp>
        <stp>XS0311512957 Corp</stp>
        <stp>FIRST_CPN_DT</stp>
        <stp>[portefeuille USD.xlsm]SSA!R13C23_x0000__x0000_</stp>
        <tr r="W13" s="16"/>
      </tp>
      <tp t="e">
        <v>#N/A</v>
        <stp/>
        <stp>##V3_BDPV12</stp>
        <stp>US9127955C19 Corp</stp>
        <stp>INT_ACC_DT</stp>
        <stp>[portefeuille USD.xlsm]treasuries!R21C23_x0000__x0000_</stp>
        <tr r="W21" s="13"/>
      </tp>
      <tp t="e">
        <v>#N/A</v>
        <stp/>
        <stp>##V3_BDPV12</stp>
        <stp>US9127956M81 Corp</stp>
        <stp>ISSUE_DT</stp>
        <stp>[portefeuille USD.xlsm]treasuries!R26C22_x0000__x0000_</stp>
        <tr r="V26" s="13"/>
      </tp>
      <tp t="e">
        <v>#N/A</v>
        <stp/>
        <stp>##V3_BDPV12</stp>
        <stp>US912828SU59 Corp</stp>
        <stp>INT_ACC_DT</stp>
        <stp>[portefeuille USD.xlsm]treasuries!R135C23_x0000__x0000_</stp>
        <tr r="W135" s="13"/>
      </tp>
      <tp t="e">
        <v>#N/A</v>
        <stp/>
        <stp>##V3_BDPV12</stp>
        <stp>US912810ES34 Corp</stp>
        <stp>INT_ACC_DT</stp>
        <stp>[portefeuille USD.xlsm]treasuries!R253C23_x0000__x0000_</stp>
        <tr r="W253" s="13"/>
      </tp>
      <tp t="e">
        <v>#N/A</v>
        <stp/>
        <stp>##V3_BDPV12</stp>
        <stp>US912828RR30 Corp</stp>
        <stp>INT_ACC_DT</stp>
        <stp>[portefeuille USD.xlsm]treasuries!R246C23_x0000__x0000_</stp>
        <tr r="W246" s="13"/>
      </tp>
      <tp t="e">
        <v>#N/A</v>
        <stp/>
        <stp>##V3_BDPV12</stp>
        <stp>US912828JB79 Corp</stp>
        <stp>ISSUE_DT</stp>
        <stp>[portefeuille USD.xlsm]treasuries!R67C22_x0000__x0000_</stp>
        <tr r="V67" s="13"/>
      </tp>
      <tp t="e">
        <v>#N/A</v>
        <stp/>
        <stp>##V3_BDPV12</stp>
        <stp>US912828KV15 Corp</stp>
        <stp>INT_ACC_DT</stp>
        <stp>[portefeuille USD.xlsm]treasuries!R106C23_x0000__x0000_</stp>
        <tr r="W106" s="13"/>
      </tp>
      <tp t="e">
        <v>#N/A</v>
        <stp/>
        <stp>##V3_BDPV12</stp>
        <stp>US912828BA78 Corp</stp>
        <stp>ISSUE_DT</stp>
        <stp>[portefeuille USD.xlsm]treasuries!R64C22_x0000__x0000_</stp>
        <tr r="V64" s="13"/>
      </tp>
      <tp t="e">
        <v>#N/A</v>
        <stp/>
        <stp>##V3_BDPV12</stp>
        <stp>US912828AU42 Corp</stp>
        <stp>ISSUE_DT</stp>
        <stp>[portefeuille USD.xlsm]treasuries!R50C22_x0000__x0000_</stp>
        <tr r="V50" s="13"/>
      </tp>
      <tp t="e">
        <v>#N/A</v>
        <stp/>
        <stp>##V3_BDPV12</stp>
        <stp>US912828QP82 Corp</stp>
        <stp>INT_ACC_DT</stp>
        <stp>[portefeuille USD.xlsm]treasuries!R160C23_x0000__x0000_</stp>
        <tr r="W160" s="13"/>
      </tp>
      <tp t="e">
        <v>#N/A</v>
        <stp/>
        <stp>##V3_BDPV12</stp>
        <stp>US912828NN61 Corp</stp>
        <stp>ISSUE_DT</stp>
        <stp>[portefeuille USD.xlsm]treasuries!R71C22_x0000__x0000_</stp>
        <tr r="V71" s="13"/>
      </tp>
      <tp t="e">
        <v>#N/A</v>
        <stp/>
        <stp>##V3_BDPV12</stp>
        <stp>US912828PR57 Corp</stp>
        <stp>ISSUE_DT</stp>
        <stp>[portefeuille USD.xlsm]treasuries!R47C22_x0000__x0000_</stp>
        <tr r="V47" s="13"/>
      </tp>
      <tp t="e">
        <v>#N/A</v>
        <stp/>
        <stp>##V3_BDPV12</stp>
        <stp>US912828LP38 Corp</stp>
        <stp>INT_ACC_DT</stp>
        <stp>[portefeuille USD.xlsm]treasuries!R169C23_x0000__x0000_</stp>
        <tr r="W169" s="13"/>
      </tp>
      <tp t="e">
        <v>#N/A</v>
        <stp/>
        <stp>##V3_BDPV12</stp>
        <stp>US912828KS85 Corp</stp>
        <stp>INT_ACC_DT</stp>
        <stp>[portefeuille USD.xlsm]treasuries!R152C23_x0000__x0000_</stp>
        <tr r="W152" s="13"/>
      </tp>
      <tp t="e">
        <v>#N/A</v>
        <stp/>
        <stp>##V3_BDPV12</stp>
        <stp>US912828HM52 Corp</stp>
        <stp>ISSUE_DT</stp>
        <stp>[portefeuille USD.xlsm]treasuries!R43C22_x0000__x0000_</stp>
        <tr r="V43" s="13"/>
      </tp>
      <tp t="e">
        <v>#N/A</v>
        <stp/>
        <stp>##V3_BDPV12</stp>
        <stp>US912810FP85 Corp</stp>
        <stp>INT_ACC_DT</stp>
        <stp>[portefeuille USD.xlsm]treasuries!R267C23_x0000__x0000_</stp>
        <tr r="W267" s="13"/>
      </tp>
      <tp t="e">
        <v>#N/A</v>
        <stp/>
        <stp>##V3_BDPV12</stp>
        <stp>US912828MT41 Corp</stp>
        <stp>ISSUE_DT</stp>
        <stp>[portefeuille USD.xlsm]treasuries!R55C22_x0000__x0000_</stp>
        <tr r="V55" s="13"/>
      </tp>
      <tp t="e">
        <v>#N/A</v>
        <stp/>
        <stp>##V3_BDPV12</stp>
        <stp>US912828HE37 Corp</stp>
        <stp>ISSUE_DT</stp>
        <stp>[portefeuille USD.xlsm]treasuries!R23C22_x0000__x0000_</stp>
        <tr r="V23" s="13"/>
      </tp>
      <tp t="e">
        <v>#N/A</v>
        <stp/>
        <stp>##V3_BDPV12</stp>
        <stp>US912828JG66 Corp</stp>
        <stp>ISSUE_DT</stp>
        <stp>[portefeuille USD.xlsm]treasuries!R72C22_x0000__x0000_</stp>
        <tr r="V72" s="13"/>
      </tp>
      <tp t="e">
        <v>#N/A</v>
        <stp/>
        <stp>##V3_BDPV12</stp>
        <stp>US912828ST86 Corp</stp>
        <stp>INT_ACC_DT</stp>
        <stp>[portefeuille USD.xlsm]treasuries!R226C23_x0000__x0000_</stp>
        <tr r="W226" s="13"/>
      </tp>
      <tp t="e">
        <v>#N/A</v>
        <stp/>
        <stp>##V3_BDPV12</stp>
        <stp>US912828SY71 Corp</stp>
        <stp>PENULTIMATE_CPN_DT</stp>
        <stp>[portefeuille USD.xlsm]treasuries!R190C25_x0000__x0000_</stp>
        <tr r="Y190" s="13"/>
      </tp>
      <tp t="e">
        <v>#N/A</v>
        <stp/>
        <stp>##V3_BDPV12</stp>
        <stp>FR0010827246 Corp</stp>
        <stp>FIRST_CPN_DT</stp>
        <stp>[portefeuille USD.xlsm]SSA!R110C23_x0000__x0000_</stp>
        <tr r="W110" s="16"/>
      </tp>
      <tp t="e">
        <v>#N/A</v>
        <stp/>
        <stp>##V3_BDPV12</stp>
        <stp>US912828QQ65 Corp</stp>
        <stp>PENULTIMATE_CPN_DT</stp>
        <stp>[portefeuille USD.xlsm]treasuries!R210C25_x0000__x0000_</stp>
        <tr r="Y210" s="13"/>
      </tp>
      <tp t="e">
        <v>#N/A</v>
        <stp/>
        <stp>##V3_BDPV12</stp>
        <stp>US912828LQ11 Corp</stp>
        <stp>PENULTIMATE_CPN_DT</stp>
        <stp>[portefeuille USD.xlsm]treasuries!R117C25_x0000__x0000_</stp>
        <tr r="Y117" s="13"/>
      </tp>
      <tp t="e">
        <v>#N/A</v>
        <stp/>
        <stp>##V3_BDPV12</stp>
        <stp>XS0284982922 Corp</stp>
        <stp>DAY_CNT_DES</stp>
        <stp>[portefeuille USD.xlsm]SSA!R114C29_x0000__x0000_</stp>
        <tr r="AC114" s="16"/>
      </tp>
      <tp t="e">
        <v>#N/A</v>
        <stp/>
        <stp>##V3_BDPV12</stp>
        <stp>US912810DT26 Corp</stp>
        <stp>PENULTIMATE_CPN_DT</stp>
        <stp>[portefeuille USD.xlsm]treasuries!R145C25_x0000__x0000_</stp>
        <tr r="Y145" s="13"/>
      </tp>
      <tp t="e">
        <v>#N/A</v>
        <stp/>
        <stp>##V3_BDPV12</stp>
        <stp>US912810PW27 Corp</stp>
        <stp>PENULTIMATE_CPN_DT</stp>
        <stp>[portefeuille USD.xlsm]treasuries!R271C25_x0000__x0000_</stp>
        <tr r="Y271" s="13"/>
      </tp>
      <tp t="e">
        <v>#N/A</v>
        <stp/>
        <stp>##V3_BDPV12</stp>
        <stp>FR0010306340 Corp</stp>
        <stp>FIRST_CPN_DT</stp>
        <stp>[portefeuille USD.xlsm]SSA!R109C23_x0000__x0000_</stp>
        <tr r="W109" s="16"/>
      </tp>
      <tp t="e">
        <v>#N/A</v>
        <stp/>
        <stp>##V3_BDPV12</stp>
        <stp>US12802DAC02 Govt</stp>
        <stp>SECURITY_DES</stp>
        <stp>[portefeuille USD.xlsm]SSA!R98C2_x0000__x0000_</stp>
        <tr r="B98" s="16"/>
      </tp>
      <tp t="e">
        <v>#N/A</v>
        <stp/>
        <stp>##V3_BDPV12</stp>
        <stp>XS0635033128 Corp</stp>
        <stp>DAY_CNT_DES</stp>
        <stp>[portefeuille USD.xlsm]SSA!R146C29_x0000__x0000_</stp>
        <tr r="AC146" s="16"/>
      </tp>
      <tp t="e">
        <v>#N/A</v>
        <stp/>
        <stp>##V3_BDPV12</stp>
        <stp>FR0010606442 Corp</stp>
        <stp>FIRST_CPN_DT</stp>
        <stp>[portefeuille USD.xlsm]SSA!R108C23_x0000__x0000_</stp>
        <tr r="W108" s="16"/>
      </tp>
      <tp t="e">
        <v>#N/A</v>
        <stp/>
        <stp>##V3_BDPV12</stp>
        <stp>XS0495091620 Corp</stp>
        <stp>AMT_OUTSTANDING</stp>
        <stp>[portefeuille USD.xlsm]SSA!R7C28_x0000__x0000_</stp>
        <tr r="AB7" s="16"/>
      </tp>
      <tp t="e">
        <v>#N/A</v>
        <stp/>
        <stp>##V3_BDPV12</stp>
        <stp>FR0010950675 Govt</stp>
        <stp>SECURITY_DES</stp>
        <stp>[portefeuille USD.xlsm]SSA!R106C2_x0000_8</stp>
        <tr r="B106" s="16"/>
      </tp>
      <tp t="e">
        <v>#N/A</v>
        <stp/>
        <stp>##V3_BDPV12</stp>
        <stp>EC687043 Corp Corp</stp>
        <stp>AMT_OUTSTANDING</stp>
        <stp>[portefeuille USD.xlsm]SSA!R35C28_x0000__x0000_</stp>
        <tr r="AB35" s="16"/>
      </tp>
      <tp t="e">
        <v>#N/A</v>
        <stp/>
        <stp>##V3_BDPV12</stp>
        <stp>FR0011012731 Govt</stp>
        <stp>SECURITY_DES</stp>
        <stp>[portefeuille USD.xlsm]SSA!R104C2_x0000__x0000_</stp>
        <tr r="B104" s="16"/>
      </tp>
      <tp t="e">
        <v>#N/A</v>
        <stp/>
        <stp>##V3_BDPV12</stp>
        <stp>US298785DY99 Govt</stp>
        <stp>SECURITY_DES</stp>
        <stp>[portefeuille USD.xlsm]SSA!R72C2_x0000__x0000_</stp>
        <tr r="B72" s="16"/>
      </tp>
      <tp t="e">
        <v>#N/A</v>
        <stp/>
        <stp>##V3_BDPV12</stp>
        <stp>FR0010306340 Govt</stp>
        <stp>SECURITY_DES</stp>
        <stp>[portefeuille USD.xlsm]SSA!R109C2_x0000__x0000_</stp>
        <tr r="B109" s="16"/>
      </tp>
      <tp t="e">
        <v>#N/A</v>
        <stp/>
        <stp>##V3_BDPV12</stp>
        <stp>ED037578 Corp Corp</stp>
        <stp>AMT_OUTSTANDING</stp>
        <stp>[portefeuille USD.xlsm]SSA!R30C28_x0000__x0000_</stp>
        <tr r="AB30" s="16"/>
      </tp>
      <tp t="e">
        <v>#N/A</v>
        <stp/>
        <stp>##V3_BDPV12</stp>
        <stp>XS0540029807 Corp</stp>
        <stp>FIRST_CPN_DT</stp>
        <stp>[portefeuille USD.xlsm]SSA!R8C23_x0000_2</stp>
        <tr r="W8" s="16"/>
      </tp>
      <tp t="e">
        <v>#N/A</v>
        <stp/>
        <stp>##V3_BDPV12</stp>
        <stp>US9127955X55 Corp</stp>
        <stp>ISSUE_DT</stp>
        <stp>[portefeuille USD.xlsm]treasuries!R5C22_x0000_8</stp>
        <tr r="V5" s="13"/>
      </tp>
      <tp t="e">
        <v>#N/A</v>
        <stp/>
        <stp>##V3_BDPV12</stp>
        <stp>FR0010945279 Corp</stp>
        <stp>FIRST_CPN_DT</stp>
        <stp>[portefeuille USD.xlsm]SSA!R89C23_x0000__x0000_</stp>
        <tr r="W89" s="16"/>
      </tp>
      <tp t="e">
        <v>#N/A</v>
        <stp/>
        <stp>##V3_BDPV12</stp>
        <stp>FR0011018332 Govt</stp>
        <stp>SECURITY_DES</stp>
        <stp>[portefeuille USD.xlsm]SSA!R87C2_x0000__x0000_</stp>
        <tr r="B87" s="16"/>
      </tp>
      <tp t="e">
        <v>#N/A</v>
        <stp/>
        <stp>##V3_BDPV12</stp>
        <stp>US9127955L18 Corp</stp>
        <stp>INT_ACC_DT</stp>
        <stp>[portefeuille USD.xlsm]treasuries!R34C23_x0000__x0000_</stp>
        <tr r="W34" s="13"/>
      </tp>
      <tp t="e">
        <v>#N/A</v>
        <stp/>
        <stp>##V3_BDPV12</stp>
        <stp>XS0347750365 Corp</stp>
        <stp>FIRST_CPN_DT</stp>
        <stp>[portefeuille USD.xlsm]SSA!R64C23_x0000_R</stp>
        <tr r="W64" s="16"/>
      </tp>
      <tp t="e">
        <v>#N/A</v>
        <stp/>
        <stp>##V3_BDPV12</stp>
        <stp>XS0562102615 Govt</stp>
        <stp>SECURITY_DES</stp>
        <stp>[portefeuille USD.xlsm]SSA!R145C2_x0000__x0000_</stp>
        <tr r="B145" s="16"/>
      </tp>
      <tp t="e">
        <v>#N/A</v>
        <stp/>
        <stp>##V3_BDPV12</stp>
        <stp>US912828PZ73 Corp</stp>
        <stp>ISSUE_DT</stp>
        <stp>[portefeuille USD.xlsm]treasuries!R98C22_x0000__x0000_</stp>
        <tr r="V98" s="13"/>
      </tp>
      <tp t="e">
        <v>#N/A</v>
        <stp/>
        <stp>##V3_BDPV12</stp>
        <stp>US912828SB78 Corp</stp>
        <stp>ISSUE_DT</stp>
        <stp>[portefeuille USD.xlsm]treasuries!R93C22_x0000__x0000_</stp>
        <tr r="V93" s="13"/>
      </tp>
      <tp t="e">
        <v>#N/A</v>
        <stp/>
        <stp>##V3_BDPV12</stp>
        <stp>US29878TCC62 Govt</stp>
        <stp>SECURITY_DES</stp>
        <stp>[portefeuille USD.xlsm]SSA!R83C2_x0000__x0000_</stp>
        <tr r="B83" s="16"/>
      </tp>
      <tp t="e">
        <v>#N/A</v>
        <stp/>
        <stp>##V3_BDPV12</stp>
        <stp>US9127956A44 Corp</stp>
        <stp>ISSUE_DT</stp>
        <stp>[portefeuille USD.xlsm]treasuries!R10C22_x0000__x0000_</stp>
        <tr r="V10" s="13"/>
      </tp>
      <tp t="e">
        <v>#N/A</v>
        <stp/>
        <stp>##V3_BDPV12</stp>
        <stp>US912828PY09 Corp</stp>
        <stp>INT_ACC_DT</stp>
        <stp>[portefeuille USD.xlsm]treasuries!R205C23_x0000__x0000_</stp>
        <tr r="W205" s="13"/>
      </tp>
      <tp t="e">
        <v>#N/A</v>
        <stp/>
        <stp>##V3_BDPV12</stp>
        <stp>US912810QQ40 Corp</stp>
        <stp>INT_ACC_DT</stp>
        <stp>[portefeuille USD.xlsm]treasuries!R282C23_x0000__x0000_</stp>
        <tr r="W282" s="13"/>
      </tp>
      <tp t="e">
        <v>#N/A</v>
        <stp/>
        <stp>##V3_BDPV12</stp>
        <stp>US298785EZ55 Corp</stp>
        <stp>FIRST_CPN_DT</stp>
        <stp>[portefeuille USD.xlsm]SSA!R39C23_x0000_R</stp>
        <tr r="W39" s="16"/>
      </tp>
      <tp t="e">
        <v>#N/A</v>
        <stp/>
        <stp>##V3_BDPV12</stp>
        <stp>US912828MZ01 Corp</stp>
        <stp>INT_ACC_DT</stp>
        <stp>[portefeuille USD.xlsm]treasuries!R134C23_x0000__x0000_</stp>
        <tr r="W134" s="13"/>
      </tp>
      <tp t="e">
        <v>#N/A</v>
        <stp/>
        <stp>##V3_BDPV12</stp>
        <stp>XS0546548636 Corp</stp>
        <stp>PENULTIMATE_CPN_DT</stp>
        <stp>[portefeuille USD.xlsm]SSA!R117C24_x0000__x0000_</stp>
        <tr r="X117" s="16"/>
      </tp>
      <tp t="e">
        <v>#N/A</v>
        <stp/>
        <stp>##V3_BDPV12</stp>
        <stp>US298785FF82 Corp</stp>
        <stp>FIRST_CPN_DT</stp>
        <stp>[portefeuille USD.xlsm]SSA!R49C23_x0000_R</stp>
        <tr r="W49" s="16"/>
      </tp>
      <tp t="e">
        <v>#N/A</v>
        <stp/>
        <stp>##V3_BDPV12</stp>
        <stp>US912828KY53 Corp</stp>
        <stp>INT_ACC_DT</stp>
        <stp>[portefeuille USD.xlsm]treasuries!R109C23_x0000__x0000_</stp>
        <tr r="W109" s="13"/>
      </tp>
      <tp t="e">
        <v>#N/A</v>
        <stp/>
        <stp>##V3_BDPV12</stp>
        <stp>US912828PQ74 Corp</stp>
        <stp>ISSUE_DT</stp>
        <stp>[portefeuille USD.xlsm]treasuries!R91C22_x0000__x0000_</stp>
        <tr r="V91" s="13"/>
      </tp>
      <tp t="e">
        <v>#N/A</v>
        <stp/>
        <stp>##V3_BDPV12</stp>
        <stp>FR0010306340 Corp</stp>
        <stp>PENULTIMATE_CPN_DT</stp>
        <stp>[portefeuille USD.xlsm]SSA!R109C24_x0000__x0000_</stp>
        <tr r="X109" s="16"/>
      </tp>
      <tp t="e">
        <v>#N/A</v>
        <stp/>
        <stp>##V3_BDPV12</stp>
        <stp>US912828RX08 Corp</stp>
        <stp>PENULTIMATE_CPN_DT</stp>
        <stp>[portefeuille USD.xlsm]treasuries!R177C25_x0000__x0000_</stp>
        <tr r="Y177" s="13"/>
      </tp>
      <tp t="e">
        <v>#N/A</v>
        <stp/>
        <stp>##V3_BDPV12</stp>
        <stp>US912810QW18 Corp</stp>
        <stp>PENULTIMATE_CPN_DT</stp>
        <stp>[portefeuille USD.xlsm]treasuries!R286C25_x0000__x0000_</stp>
        <tr r="Y286" s="13"/>
      </tp>
      <tp t="e">
        <v>#N/A</v>
        <stp/>
        <stp>##V3_BDPV12</stp>
        <stp>US912810DX38 Corp</stp>
        <stp>PENULTIMATE_CPN_DT</stp>
        <stp>[portefeuille USD.xlsm]treasuries!R174C25_x0000__x0000_</stp>
        <tr r="Y174" s="13"/>
      </tp>
      <tp t="e">
        <v>#N/A</v>
        <stp/>
        <stp>##V3_BDPV12</stp>
        <stp>US912810PX00 Corp</stp>
        <stp>PENULTIMATE_CPN_DT</stp>
        <stp>[portefeuille USD.xlsm]treasuries!R272C25_x0000__x0000_</stp>
        <tr r="Y272" s="13"/>
      </tp>
      <tp t="e">
        <v>#N/A</v>
        <stp/>
        <stp>##V3_BDPV12</stp>
        <stp>XS0546548636 Corp</stp>
        <stp>DAY_CNT_DES</stp>
        <stp>[portefeuille USD.xlsm]SSA!R117C29_x0000__x0000_</stp>
        <tr r="AC117" s="16"/>
      </tp>
      <tp t="e">
        <v>#N/A</v>
        <stp/>
        <stp>##V3_BDPV12</stp>
        <stp>US912810EZ76 Corp</stp>
        <stp>PENULTIMATE_CPN_DT</stp>
        <stp>[portefeuille USD.xlsm]treasuries!R259C25_x0000__x0000_</stp>
        <tr r="Y259" s="13"/>
      </tp>
      <tp t="e">
        <v>#N/A</v>
        <stp/>
        <stp>##V3_BDPV12</stp>
        <stp>XS0477137813 Corp</stp>
        <stp>DAY_CNT_DES</stp>
        <stp>[portefeuille USD.xlsm]SSA!R120C29_x0000__x0000_</stp>
        <tr r="AC120" s="16"/>
      </tp>
      <tp t="e">
        <v>#N/A</v>
        <stp/>
        <stp>##V3_BDPV12</stp>
        <stp>EI133522 Corp Corp</stp>
        <stp>AMT_OUTSTANDING</stp>
        <stp>[portefeuille USD.xlsm]SSA!R138C28_x0000_2</stp>
        <tr r="AB138" s="16"/>
      </tp>
      <tp t="e">
        <v>#N/A</v>
        <stp/>
        <stp>##V3_BDPV12</stp>
        <stp>EI347021 Corp Corp</stp>
        <stp>AMT_OUTSTANDING</stp>
        <stp>[portefeuille USD.xlsm]SSA!R27C28_x0000__x0000_</stp>
        <tr r="AB27" s="16"/>
      </tp>
      <tp t="e">
        <v>#N/A</v>
        <stp/>
        <stp>##V3_BDPV12</stp>
        <stp>XS0477425283 Govt</stp>
        <stp>SECURITY_DES</stp>
        <stp>[portefeuille USD.xlsm]SSA!R14C2_x0000__x0000_</stp>
        <tr r="B14" s="16"/>
      </tp>
      <tp t="e">
        <v>#N/A</v>
        <stp/>
        <stp>##V3_BDPV12</stp>
        <stp>EI251950 Corp Corp</stp>
        <stp>AMT_OUTSTANDING</stp>
        <stp>[portefeuille USD.xlsm]SSA!R23C28_x0000__x0000_</stp>
        <tr r="AB23" s="16"/>
      </tp>
      <tp t="e">
        <v>#N/A</v>
        <stp/>
        <stp>##V3_BDPV12</stp>
        <stp>US9127955W72 Corp</stp>
        <stp>ISSUE_DT</stp>
        <stp>[portefeuille USD.xlsm]treasuries!R3C22_x0000_6</stp>
        <tr r="V3" s="13"/>
      </tp>
      <tp t="e">
        <v>#N/A</v>
        <stp/>
        <stp>##V3_BDPV12</stp>
        <stp>US298785FP64 Govt</stp>
        <stp>SECURITY_DES</stp>
        <stp>[portefeuille USD.xlsm]SSA!R55C2_x0000__x0000_</stp>
        <tr r="B55" s="16"/>
      </tp>
      <tp t="e">
        <v>#N/A</v>
        <stp/>
        <stp>##V3_BDPV12</stp>
        <stp>XS0742416380 Govt</stp>
        <stp>SECURITY_DES</stp>
        <stp>[portefeuille USD.xlsm]SSA!R82C2_x0000__x0000_</stp>
        <tr r="B82" s="16"/>
      </tp>
      <tp t="e">
        <v>#N/A</v>
        <stp/>
        <stp>##V3_BDPV12</stp>
        <stp>US298785FG65 Govt</stp>
        <stp>SECURITY_DES</stp>
        <stp>[portefeuille USD.xlsm]SSA!R65C2_x0000__x0000_</stp>
        <tr r="B65" s="16"/>
      </tp>
      <tp t="e">
        <v>#N/A</v>
        <stp/>
        <stp>##V3_BDPV12</stp>
        <stp>EH237816 Corp Corp</stp>
        <stp>AMT_OUTSTANDING</stp>
        <stp>[portefeuille USD.xlsm]SSA!R29C28_x0000__x0000_</stp>
        <tr r="AB29" s="16"/>
      </tp>
      <tp t="e">
        <v>#N/A</v>
        <stp/>
        <stp>##V3_BDPV12</stp>
        <stp>XS0771920856 Govt</stp>
        <stp>SECURITY_DES</stp>
        <stp>[portefeuille USD.xlsm]SSA!R92C2_x0000__x0000_</stp>
        <tr r="B92" s="16"/>
      </tp>
      <tp t="e">
        <v>#N/A</v>
        <stp/>
        <stp>##V3_BDPV12</stp>
        <stp>XS0287792914 Corp</stp>
        <stp>FIRST_CPN_DT</stp>
        <stp>[portefeuille USD.xlsm]SSA!R54C23_x0000_R</stp>
        <tr r="W54" s="16"/>
      </tp>
      <tp t="e">
        <v>#N/A</v>
        <stp/>
        <stp>##V3_BDPV12</stp>
        <stp>XS0771920856 Corp</stp>
        <stp>FIRST_CPN_DT</stp>
        <stp>[portefeuille USD.xlsm]SSA!R92C23_x0000__x0000_</stp>
        <tr r="W92" s="16"/>
      </tp>
      <tp t="e">
        <v>#N/A</v>
        <stp/>
        <stp>##V3_BDPV12</stp>
        <stp>US912828NQ92 Corp</stp>
        <stp>MATURITY</stp>
        <stp>[portefeuille USD.xlsm]treasuries!R7C26_x0000_3</stp>
        <tr r="Z7" s="13"/>
      </tp>
      <tp t="e">
        <v>#N/A</v>
        <stp/>
        <stp>##V3_BDPV12</stp>
        <stp>US912828RZ55 Corp</stp>
        <stp>INT_ACC_DT</stp>
        <stp>[portefeuille USD.xlsm]treasuries!R125C23_x0000__x0000_</stp>
        <tr r="W125" s="13"/>
      </tp>
      <tp t="e">
        <v>#N/A</v>
        <stp/>
        <stp>##V3_BDPV12</stp>
        <stp>US912828NH93 Corp</stp>
        <stp>ISSUE_DT</stp>
        <stp>[portefeuille USD.xlsm]treasuries!R68C22_x0000__x0000_</stp>
        <tr r="V68" s="13"/>
      </tp>
      <tp t="e">
        <v>#N/A</v>
        <stp/>
        <stp>##V3_BDPV12</stp>
        <stp>US912828LZ10 Corp</stp>
        <stp>INT_ACC_DT</stp>
        <stp>[portefeuille USD.xlsm]treasuries!R122C23_x0000__x0000_</stp>
        <tr r="W122" s="13"/>
      </tp>
      <tp t="e">
        <v>#N/A</v>
        <stp/>
        <stp>##V3_BDPV12</stp>
        <stp>US9127955Q05 Corp</stp>
        <stp>ISSUE_DT</stp>
        <stp>[portefeuille USD.xlsm]treasuries!R41C22_x0000__x0000_</stp>
        <tr r="V41" s="13"/>
      </tp>
      <tp t="e">
        <v>#N/A</v>
        <stp/>
        <stp>##V3_BDPV12</stp>
        <stp>US912828RK86 Corp</stp>
        <stp>ISSUE_DT</stp>
        <stp>[portefeuille USD.xlsm]treasuries!R79C22_x0000__x0000_</stp>
        <tr r="V79" s="13"/>
      </tp>
      <tp t="e">
        <v>#N/A</v>
        <stp/>
        <stp>##V3_BDPV12</stp>
        <stp>US912828CA69 Corp</stp>
        <stp>ISSUE_DT</stp>
        <stp>[portefeuille USD.xlsm]treasuries!R95C22_x0000__x0000_</stp>
        <tr r="V95" s="13"/>
      </tp>
      <tp t="e">
        <v>#N/A</v>
        <stp/>
        <stp>##V3_BDPV12</stp>
        <stp>US29878TBU79 Govt</stp>
        <stp>SECURITY_DES</stp>
        <stp>[portefeuille USD.xlsm]SSA!R75C2_x0000__x0000_</stp>
        <tr r="B75" s="16"/>
      </tp>
      <tp t="e">
        <v>#N/A</v>
        <stp/>
        <stp>##V3_BDPV12</stp>
        <stp>US912828QH66 Corp</stp>
        <stp>ISSUE_DT</stp>
        <stp>[portefeuille USD.xlsm]treasuries!R94C22_x0000__x0000_</stp>
        <tr r="V94" s="13"/>
      </tp>
      <tp t="e">
        <v>#N/A</v>
        <stp/>
        <stp>##V3_BDPV12</stp>
        <stp>US912828KF64 Corp</stp>
        <stp>ISSUE_DT</stp>
        <stp>[portefeuille USD.xlsm]treasuries!R97C22_x0000__x0000_</stp>
        <tr r="V97" s="13"/>
      </tp>
      <tp t="e">
        <v>#N/A</v>
        <stp/>
        <stp>##V3_BDPV12</stp>
        <stp>US912828SG65 Corp</stp>
        <stp>ISSUE_DT</stp>
        <stp>[portefeuille USD.xlsm]treasuries!R96C22_x0000__x0000_</stp>
        <tr r="V96" s="13"/>
      </tp>
      <tp t="e">
        <v>#N/A</v>
        <stp/>
        <stp>##V3_BDPV12</stp>
        <stp>US912828QY99 Corp</stp>
        <stp>INT_ACC_DT</stp>
        <stp>[portefeuille USD.xlsm]treasuries!R212C23_x0000__x0000_</stp>
        <tr r="W212" s="13"/>
      </tp>
      <tp t="e">
        <v>#N/A</v>
        <stp/>
        <stp>##V3_BDPV12</stp>
        <stp>US9127955Z04 Corp</stp>
        <stp>ISSUE_DT</stp>
        <stp>[portefeuille USD.xlsm]treasuries!R49C22_x0000__x0000_</stp>
        <tr r="V49" s="13"/>
      </tp>
      <tp t="e">
        <v>#N/A</v>
        <stp/>
        <stp>##V3_BDPV12</stp>
        <stp>US9127956N64 Corp</stp>
        <stp>ISSUE_DT</stp>
        <stp>[portefeuille USD.xlsm]treasuries!R29C22_x0000__x0000_</stp>
        <tr r="V29" s="13"/>
      </tp>
      <tp t="e">
        <v>#N/A</v>
        <stp/>
        <stp>##V3_BDPV12</stp>
        <stp>US298785DD52 Corp</stp>
        <stp>FIRST_CPN_DT</stp>
        <stp>[portefeuille USD.xlsm]SSA!R56C23_x0000_R</stp>
        <tr r="W56" s="16"/>
      </tp>
      <tp t="e">
        <v>#N/A</v>
        <stp/>
        <stp>##V3_BDPV12</stp>
        <stp>US912828HY90 Corp</stp>
        <stp>ISSUE_DT</stp>
        <stp>[portefeuille USD.xlsm]treasuries!R61C22_x0000__x0000_</stp>
        <tr r="V61" s="13"/>
      </tp>
      <tp t="e">
        <v>#N/A</v>
        <stp/>
        <stp>##V3_BDPV12</stp>
        <stp>XS0635033128 Corp</stp>
        <stp>PENULTIMATE_CPN_DT</stp>
        <stp>[portefeuille USD.xlsm]SSA!R146C24_x0000__x0000_</stp>
        <tr r="X146" s="16"/>
      </tp>
      <tp t="e">
        <v>#N/A</v>
        <stp/>
        <stp>##V3_BDPV12</stp>
        <stp>US298785EV42 Corp</stp>
        <stp>FIRST_CPN_DT</stp>
        <stp>[portefeuille USD.xlsm]SSA!R52C23_x0000_R</stp>
        <tr r="W52" s="16"/>
      </tp>
      <tp t="e">
        <v>#N/A</v>
        <stp/>
        <stp>##V3_BDPV12</stp>
        <stp>US912828QX17 Corp</stp>
        <stp>PENULTIMATE_CPN_DT</stp>
        <stp>[portefeuille USD.xlsm]treasuries!R164C25_x0000__x0000_</stp>
        <tr r="Y164" s="13"/>
      </tp>
      <tp t="e">
        <v>#N/A</v>
        <stp/>
        <stp>##V3_BDPV12</stp>
        <stp>US912828FY19 Corp</stp>
        <stp>PENULTIMATE_CPN_DT</stp>
        <stp>[portefeuille USD.xlsm]treasuries!R173C25_x0000__x0000_</stp>
        <tr r="Y173" s="13"/>
      </tp>
      <tp t="e">
        <v>#N/A</v>
        <stp/>
        <stp>##V3_BDPV12</stp>
        <stp>XS0561837013 Corp</stp>
        <stp>DAY_CNT_DES</stp>
        <stp>[portefeuille USD.xlsm]SSA!R128C29_x0000__x0000_</stp>
        <tr r="AC128" s="16"/>
      </tp>
      <tp t="e">
        <v>#N/A</v>
        <stp/>
        <stp>##V3_BDPV12</stp>
        <stp>US912828NW60 Corp</stp>
        <stp>PENULTIMATE_CPN_DT</stp>
        <stp>[portefeuille USD.xlsm]treasuries!R197C25_x0000__x0000_</stp>
        <tr r="Y197" s="13"/>
      </tp>
      <tp t="e">
        <v>#N/A</v>
        <stp/>
        <stp>##V3_BDPV12</stp>
        <stp>FR0010998104 Corp</stp>
        <stp>FIRST_CPN_DT</stp>
        <stp>[portefeuille USD.xlsm]SSA!R105C23_x0000__x0000_</stp>
        <tr r="W105" s="16"/>
      </tp>
      <tp t="e">
        <v>#N/A</v>
        <stp/>
        <stp>##V3_BDPV12</stp>
        <stp>US912828MV96 Corp</stp>
        <stp>PENULTIMATE_CPN_DT</stp>
        <stp>[portefeuille USD.xlsm]treasuries!R184C25_x0000__x0000_</stp>
        <tr r="Y184" s="13"/>
      </tp>
      <tp t="e">
        <v>#N/A</v>
        <stp/>
        <stp>##V3_BDPV12</stp>
        <stp>US912828NZ91 Corp</stp>
        <stp>PENULTIMATE_CPN_DT</stp>
        <stp>[portefeuille USD.xlsm]treasuries!R143C25_x0000__x0000_</stp>
        <tr r="Y143" s="13"/>
      </tp>
      <tp t="e">
        <v>#N/A</v>
        <stp/>
        <stp>##V3_BDPV12</stp>
        <stp>EI472618 Corp Corp</stp>
        <stp>AMT_OUTSTANDING</stp>
        <stp>[portefeuille USD.xlsm]SSA!R139C28_x0000_2</stp>
        <tr r="AB139" s="16"/>
      </tp>
      <tp t="e">
        <v>#N/A</v>
        <stp/>
        <stp>##V3_BDPV12</stp>
        <stp>EI265078 Corp Corp</stp>
        <stp>AMT_OUTSTANDING</stp>
        <stp>[portefeuille USD.xlsm]SSA!R144C28_x0000_2</stp>
        <tr r="AB144" s="16"/>
      </tp>
      <tp t="e">
        <v>#N/A</v>
        <stp/>
        <stp>##V3_BDPV12</stp>
        <stp>XS0468848253 Govt</stp>
        <stp>SECURITY_DES</stp>
        <stp>[portefeuille USD.xlsm]SSA!R74C2_x0000__x0000_</stp>
        <tr r="B74" s="16"/>
      </tp>
      <tp t="e">
        <v>#N/A</v>
        <stp/>
        <stp>##V3_BDPV12</stp>
        <stp>XS0252479497 Govt</stp>
        <stp>SECURITY_DES</stp>
        <stp>[portefeuille USD.xlsm]SSA!R45C2_x0000__x0000_</stp>
        <tr r="B45" s="16"/>
      </tp>
      <tp t="e">
        <v>#N/A</v>
        <stp/>
        <stp>##V3_BDPV12</stp>
        <stp>FR0010775239 Govt</stp>
        <stp>SECURITY_DES</stp>
        <stp>[portefeuille USD.xlsm]SSA!R103C2_x0000__x0000_</stp>
        <tr r="B103" s="16"/>
      </tp>
      <tp t="e">
        <v>#N/A</v>
        <stp/>
        <stp>##V3_BDPV12</stp>
        <stp>US298785FB78 Govt</stp>
        <stp>SECURITY_DES</stp>
        <stp>[portefeuille USD.xlsm]SSA!R61C2_x0000__x0000_</stp>
        <tr r="B61" s="16"/>
      </tp>
      <tp t="e">
        <v>#N/A</v>
        <stp/>
        <stp>##V3_BDPV12</stp>
        <stp>XS0749451398 Govt</stp>
        <stp>SECURITY_DES</stp>
        <stp>[portefeuille USD.xlsm]SSA!R99C2_x0000__x0000_</stp>
        <tr r="B99" s="16"/>
      </tp>
      <tp t="e">
        <v>#N/A</v>
        <stp/>
        <stp>##V3_BDPV12</stp>
        <stp>US298785FK77 Govt</stp>
        <stp>SECURITY_DES</stp>
        <stp>[portefeuille USD.xlsm]SSA!R69C2_x0000__x0000_</stp>
        <tr r="B69" s="16"/>
      </tp>
      <tp t="e">
        <v>#N/A</v>
        <stp/>
        <stp>##V3_BDPV12</stp>
        <stp>US298785DU77 Govt</stp>
        <stp>SECURITY_DES</stp>
        <stp>[portefeuille USD.xlsm]SSA!R68C2_x0000__x0000_</stp>
        <tr r="B68" s="16"/>
      </tp>
      <tp t="e">
        <v>#N/A</v>
        <stp/>
        <stp>##V3_BDPV12</stp>
        <stp>US298785EG74 Govt</stp>
        <stp>SECURITY_DES</stp>
        <stp>[portefeuille USD.xlsm]SSA!R78C2_x0000__x0000_</stp>
        <tr r="B78" s="16"/>
      </tp>
      <tp t="e">
        <v>#N/A</v>
        <stp/>
        <stp>##V3_BDPV12</stp>
        <stp>FR0011018332 Corp</stp>
        <stp>FIRST_CPN_DT</stp>
        <stp>[portefeuille USD.xlsm]SSA!R87C23_x0000__x0000_</stp>
        <tr r="W87" s="16"/>
      </tp>
      <tp t="e">
        <v>#N/A</v>
        <stp/>
        <stp>##V3_BDPV12</stp>
        <stp>XS0592582653 Govt</stp>
        <stp>SECURITY_DES</stp>
        <stp>[portefeuille USD.xlsm]SSA!R113C2_x0000__x0000_</stp>
        <tr r="B113" s="16"/>
      </tp>
      <tp t="e">
        <v>#N/A</v>
        <stp/>
        <stp>##V3_BDPV12</stp>
        <stp>US912828JQ49 Corp</stp>
        <stp>ISSUE_DT</stp>
        <stp>[portefeuille USD.xlsm]treasuries!R83C22_x0000__x0000_</stp>
        <tr r="V83" s="13"/>
      </tp>
      <tp t="e">
        <v>#N/A</v>
        <stp/>
        <stp>##V3_BDPV12</stp>
        <stp>US912810QS06 Corp</stp>
        <stp>INT_ACC_DT</stp>
        <stp>[portefeuille USD.xlsm]treasuries!R283C23_x0000__x0000_</stp>
        <tr r="W283" s="13"/>
      </tp>
      <tp t="e">
        <v>#N/A</v>
        <stp/>
        <stp>##V3_BDPV12</stp>
        <stp>FR0010925446 Corp</stp>
        <stp>DAY_CNT_DES</stp>
        <stp>[portefeuille USD.xlsm]SSA!R107C29_x0000__x0000_</stp>
        <tr r="AC107" s="16"/>
      </tp>
      <tp t="e">
        <v>#N/A</v>
        <stp/>
        <stp>##V3_BDPV12</stp>
        <stp>US912828NR75 Corp</stp>
        <stp>INT_ACC_DT</stp>
        <stp>[portefeuille USD.xlsm]treasuries!R194C23_x0000__x0000_</stp>
        <tr r="W194" s="13"/>
      </tp>
      <tp t="e">
        <v>#N/A</v>
        <stp/>
        <stp>##V3_BDPV12</stp>
        <stp>US912828SL50 Corp</stp>
        <stp>ISSUE_DT</stp>
        <stp>[portefeuille USD.xlsm]treasuries!R99C22_x0000__x0000_</stp>
        <tr r="V99" s="13"/>
      </tp>
      <tp t="e">
        <v>#N/A</v>
        <stp/>
        <stp>##V3_BDPV12</stp>
        <stp>US912795Y967 Corp</stp>
        <stp>ISSUE_DT</stp>
        <stp>[portefeuille USD.xlsm]treasuries!R14C22_x0000__x0000_</stp>
        <tr r="V14" s="13"/>
      </tp>
      <tp t="e">
        <v>#N/A</v>
        <stp/>
        <stp>##V3_BDPV12</stp>
        <stp>US912828MS67 Corp</stp>
        <stp>INT_ACC_DT</stp>
        <stp>[portefeuille USD.xlsm]treasuries!R182C23_x0000__x0000_</stp>
        <tr r="W182" s="13"/>
      </tp>
      <tp t="e">
        <v>#N/A</v>
        <stp/>
        <stp>##V3_BDPV12</stp>
        <stp>US298785ER30 Corp</stp>
        <stp>FIRST_CPN_DT</stp>
        <stp>[portefeuille USD.xlsm]SSA!R48C23_x0000_R</stp>
        <tr r="W48" s="16"/>
      </tp>
      <tp t="e">
        <v>#N/A</v>
        <stp/>
        <stp>##V3_BDPV12</stp>
        <stp>US298785FR21 Corp</stp>
        <stp>FIRST_CPN_DT</stp>
        <stp>[portefeuille USD.xlsm]SSA!R58C23_x0000_R</stp>
        <tr r="W58" s="16"/>
      </tp>
      <tp t="e">
        <v>#N/A</v>
        <stp/>
        <stp>##V3_BDPV12</stp>
        <stp>US912828SS04 Corp</stp>
        <stp>INT_ACC_DT</stp>
        <stp>[portefeuille USD.xlsm]treasuries!R186C23_x0000__x0000_</stp>
        <tr r="W186" s="13"/>
      </tp>
      <tp t="e">
        <v>#N/A</v>
        <stp/>
        <stp>##V3_BDPV12</stp>
        <stp>US9127956J52 Corp</stp>
        <stp>ISSUE_DT</stp>
        <stp>[portefeuille USD.xlsm]treasuries!R22C22_x0000__x0000_</stp>
        <tr r="V22" s="13"/>
      </tp>
      <tp t="e">
        <v>#N/A</v>
        <stp/>
        <stp>##V3_BDPV12</stp>
        <stp>US63983UAB89 Corp</stp>
        <stp>FIRST_CPN_DT</stp>
        <stp>[portefeuille USD.xlsm]SSA!R6C23_x0000_5</stp>
        <tr r="W6" s="16"/>
      </tp>
      <tp t="e">
        <v>#N/A</v>
        <stp/>
        <stp>##V3_BDPV12</stp>
        <stp>US912828RY80 Corp</stp>
        <stp>INT_ACC_DT</stp>
        <stp>[portefeuille USD.xlsm]treasuries!R220C23_x0000__x0000_</stp>
        <tr r="W220" s="13"/>
      </tp>
      <tp t="e">
        <v>#N/A</v>
        <stp/>
        <stp>##V3_BDPV12</stp>
        <stp>US912828PX26 Corp</stp>
        <stp>INT_ACC_DT</stp>
        <stp>[portefeuille USD.xlsm]treasuries!R239C23_x0000__x0000_</stp>
        <tr r="W239" s="13"/>
      </tp>
      <tp t="e">
        <v>#N/A</v>
        <stp/>
        <stp>##V3_BDPV12</stp>
        <stp>US912828GS32 Corp</stp>
        <stp>INT_ACC_DT</stp>
        <stp>[portefeuille USD.xlsm]treasuries!R188C23_x0000__x0000_</stp>
        <tr r="W188" s="13"/>
      </tp>
      <tp t="e">
        <v>#N/A</v>
        <stp/>
        <stp>##V3_BDPV12</stp>
        <stp>XS0372089572 Corp</stp>
        <stp>PENULTIMATE_CPN_DT</stp>
        <stp>[portefeuille USD.xlsm]SSA!R124C24_x0000__x0000_</stp>
        <tr r="X124" s="16"/>
      </tp>
      <tp t="e">
        <v>#N/A</v>
        <stp/>
        <stp>##V3_BDPV12</stp>
        <stp>US912828QK95 Corp</stp>
        <stp>ISSUE_DT</stp>
        <stp>[portefeuille USD.xlsm]treasuries!R52C22_x0000__x0000_</stp>
        <tr r="V52" s="13"/>
      </tp>
      <tp t="e">
        <v>#N/A</v>
        <stp/>
        <stp>##V3_BDPV12</stp>
        <stp>US912810EX29 Corp</stp>
        <stp>PENULTIMATE_CPN_DT</stp>
        <stp>[portefeuille USD.xlsm]treasuries!R257C25_x0000__x0000_</stp>
        <tr r="Y257" s="13"/>
      </tp>
      <tp t="e">
        <v>#N/A</v>
        <stp/>
        <stp>##V3_BDPV12</stp>
        <stp>XS0521024132 Corp</stp>
        <stp>DAY_CNT_DES</stp>
        <stp>[portefeuille USD.xlsm]SSA!R118C29_x0000__x0000_</stp>
        <tr r="AC118" s="16"/>
      </tp>
      <tp t="e">
        <v>#N/A</v>
        <stp/>
        <stp>##V3_BDPV12</stp>
        <stp>US912810QU51 Corp</stp>
        <stp>PENULTIMATE_CPN_DT</stp>
        <stp>[portefeuille USD.xlsm]treasuries!R285C25_x0000__x0000_</stp>
        <tr r="Y285" s="13"/>
      </tp>
      <tp t="e">
        <v>#N/A</v>
        <stp/>
        <stp>##V3_BDPV12</stp>
        <stp>XS0760314103 Corp</stp>
        <stp>DAY_CNT_DES</stp>
        <stp>[portefeuille USD.xlsm]SSA!R119C29_x0000__x0000_</stp>
        <tr r="AC119" s="16"/>
      </tp>
      <tp t="e">
        <v>#N/A</v>
        <stp/>
        <stp>##V3_BDPV12</stp>
        <stp>XS0562102615 Corp</stp>
        <stp>DAY_CNT_DES</stp>
        <stp>[portefeuille USD.xlsm]SSA!R145C29_x0000__x0000_</stp>
        <tr r="AC145" s="16"/>
      </tp>
      <tp t="e">
        <v>#N/A</v>
        <stp/>
        <stp>##V3_BDPV12</stp>
        <stp>EI791877 Corp Corp</stp>
        <stp>AMT_OUTSTANDING</stp>
        <stp>[portefeuille USD.xlsm]SSA!R137C28_x0000_2</stp>
        <tr r="AB137" s="16"/>
      </tp>
      <tp t="e">
        <v>#N/A</v>
        <stp/>
        <stp>##V3_BDPV12</stp>
        <stp>EF501708 Corp Corp</stp>
        <stp>AMT_OUTSTANDING</stp>
        <stp>[portefeuille USD.xlsm]SSA!R135C28_x0000_2</stp>
        <tr r="AB135" s="16"/>
      </tp>
      <tp t="e">
        <v>#N/A</v>
        <stp/>
        <stp>##V3_BDPV12</stp>
        <stp>EI791385 Corp Corp</stp>
        <stp>AMT_OUTSTANDING</stp>
        <stp>[portefeuille USD.xlsm]SSA!R131C28_x0000_2</stp>
        <tr r="AB131" s="16"/>
      </tp>
      <tp t="e">
        <v>#N/A</v>
        <stp/>
        <stp>##V3_BDPV12</stp>
        <stp>ED607736 Corp Corp</stp>
        <stp>AMT_OUTSTANDING</stp>
        <stp>[portefeuille USD.xlsm]SSA!R36C28_x0000__x0000_</stp>
        <tr r="AB36" s="16"/>
      </tp>
      <tp t="e">
        <v>#N/A</v>
        <stp/>
        <stp>##V3_BDPV12</stp>
        <stp>FR0010945279 Govt</stp>
        <stp>SECURITY_DES</stp>
        <stp>[portefeuille USD.xlsm]SSA!R89C2_x0000__x0000_</stp>
        <tr r="B89" s="16"/>
      </tp>
      <tp t="e">
        <v>#N/A</v>
        <stp/>
        <stp>##V3_BDPV12</stp>
        <stp>US298785DR49 Govt</stp>
        <stp>SECURITY_DES</stp>
        <stp>[portefeuille USD.xlsm]SSA!R67C2_x0000__x0000_</stp>
        <tr r="B67" s="16"/>
      </tp>
      <tp t="e">
        <v>#N/A</v>
        <stp/>
        <stp>##V3_BDPV12</stp>
        <stp>US298785FQ48 Govt</stp>
        <stp>SECURITY_DES</stp>
        <stp>[portefeuille USD.xlsm]SSA!R71C2_x0000__x0000_</stp>
        <tr r="B71" s="16"/>
      </tp>
      <tp t="e">
        <v>#N/A</v>
        <stp/>
        <stp>##V3_BDPV12</stp>
        <stp>US912828GZ74 Corp</stp>
        <stp>ISSUE_DT</stp>
        <stp>[portefeuille USD.xlsm]treasuries!R8C22_x0000_5</stp>
        <tr r="V8" s="13"/>
      </tp>
      <tp t="e">
        <v>#N/A</v>
        <stp/>
        <stp>##V3_BDPV12</stp>
        <stp>US298785FH49 Govt</stp>
        <stp>SECURITY_DES</stp>
        <stp>[portefeuille USD.xlsm]SSA!R84C2_x0000__x0000_</stp>
        <tr r="B84" s="16"/>
      </tp>
      <tp t="e">
        <v>#N/A</v>
        <stp/>
        <stp>##V3_BDPV12</stp>
        <stp>FR0010998104 Govt</stp>
        <stp>SECURITY_DES</stp>
        <stp>[portefeuille USD.xlsm]SSA!R105C2_x0000__x0000_</stp>
        <tr r="B105" s="16"/>
      </tp>
      <tp t="e">
        <v>#N/A</v>
        <stp/>
        <stp>##V3_BDPV12</stp>
        <stp>US298785EV42 Govt</stp>
        <stp>SECURITY_DES</stp>
        <stp>[portefeuille USD.xlsm]SSA!R52C2_x0000__x0000_</stp>
        <tr r="B52" s="16"/>
      </tp>
      <tp t="e">
        <v>#N/A</v>
        <stp/>
        <stp>##V3_BDPV12</stp>
        <stp>US9127955U17 Corp</stp>
        <stp>ISSUE_DT</stp>
        <stp>[portefeuille USD.xlsm]treasuries!R2C22_x0000_5</stp>
        <tr r="V2" s="13"/>
      </tp>
      <tp t="e">
        <v>#N/A</v>
        <stp/>
        <stp>##V3_BDPV12</stp>
        <stp>XS0576210289 Govt</stp>
        <stp>SECURITY_DES</stp>
        <stp>[portefeuille USD.xlsm]SSA!R116C2_x0000__x0000_</stp>
        <tr r="B116" s="16"/>
      </tp>
      <tp t="e">
        <v>#N/A</v>
        <stp/>
        <stp>##V3_BDPV12</stp>
        <stp>XS0635033128 Govt</stp>
        <stp>SECURITY_DES</stp>
        <stp>[portefeuille USD.xlsm]SSA!R146C2_x0000__x0000_</stp>
        <tr r="B146" s="16"/>
      </tp>
      <tp t="e">
        <v>#N/A</v>
        <stp/>
        <stp>##V3_BDPV12</stp>
        <stp>US912828SX98 Corp</stp>
        <stp>INT_ACC_DT</stp>
        <stp>[portefeuille USD.xlsm]treasuries!R228C23_x0000__x0000_</stp>
        <tr r="W228" s="13"/>
      </tp>
      <tp t="e">
        <v>#N/A</v>
        <stp/>
        <stp>##V3_BDPV12</stp>
        <stp>US912828JZ48 Corp</stp>
        <stp>ISSUE_DT</stp>
        <stp>[portefeuille USD.xlsm]treasuries!R92C22_x0000__x0000_</stp>
        <tr r="V92" s="13"/>
      </tp>
      <tp t="e">
        <v>#N/A</v>
        <stp/>
        <stp>##V3_BDPV12</stp>
        <stp>XS0172157876 Corp</stp>
        <stp>PENULTIMATE_CPN_DT</stp>
        <stp>[portefeuille USD.xlsm]SSA!R125C24_x0000__x0000_</stp>
        <tr r="X125" s="16"/>
      </tp>
      <tp t="e">
        <v>#N/A</v>
        <stp/>
        <stp>##V3_BDPV12</stp>
        <stp>XS0562102615 Corp</stp>
        <stp>PENULTIMATE_CPN_DT</stp>
        <stp>[portefeuille USD.xlsm]SSA!R145C24_x0000__x0000_</stp>
        <tr r="X145" s="16"/>
      </tp>
      <tp t="e">
        <v>#N/A</v>
        <stp/>
        <stp>##V3_BDPV12</stp>
        <stp>US912828LY45 Corp</stp>
        <stp>INT_ACC_DT</stp>
        <stp>[portefeuille USD.xlsm]treasuries!R231C23_x0000__x0000_</stp>
        <tr r="W231" s="13"/>
      </tp>
      <tp t="e">
        <v>#N/A</v>
        <stp/>
        <stp>##V3_BDPV12</stp>
        <stp>FR0010827246 Corp</stp>
        <stp>DAY_CNT_DES</stp>
        <stp>[portefeuille USD.xlsm]SSA!R110C29_x0000__x0000_</stp>
        <tr r="AC110" s="16"/>
      </tp>
      <tp t="e">
        <v>#N/A</v>
        <stp/>
        <stp>##V3_BDPV12</stp>
        <stp>US9127956S51 Corp</stp>
        <stp>ISSUE_DT</stp>
        <stp>[portefeuille USD.xlsm]treasuries!R33C22_x0000__x0000_</stp>
        <tr r="V33" s="13"/>
      </tp>
      <tp t="e">
        <v>#N/A</v>
        <stp/>
        <stp>##V3_BDPV12</stp>
        <stp>US63983TAC99 Corp</stp>
        <stp>FIRST_CPN_DT</stp>
        <stp>[portefeuille USD.xlsm]SSA!R9C23_x0000__x0000_</stp>
        <tr r="W9" s="16"/>
      </tp>
      <tp t="e">
        <v>#N/A</v>
        <stp/>
        <stp>##V3_BDPV12</stp>
        <stp>US298785EY80 Corp</stp>
        <stp>FIRST_CPN_DT</stp>
        <stp>[portefeuille USD.xlsm]SSA!R57C23_x0000_R</stp>
        <tr r="W57" s="16"/>
      </tp>
      <tp t="e">
        <v>#N/A</v>
        <stp/>
        <stp>##V3_BDPV12</stp>
        <stp>FR0010775239 Corp</stp>
        <stp>PENULTIMATE_CPN_DT</stp>
        <stp>[portefeuille USD.xlsm]SSA!R103C24_x0000__x0000_</stp>
        <tr r="X103" s="16"/>
      </tp>
      <tp t="e">
        <v>#N/A</v>
        <stp/>
        <stp>##V3_BDPV12</stp>
        <stp>US9127956L09 Corp</stp>
        <stp>ISSUE_DT</stp>
        <stp>[portefeuille USD.xlsm]treasuries!R62C22_x0000__x0000_</stp>
        <tr r="V62" s="13"/>
      </tp>
      <tp t="e">
        <v>#N/A</v>
        <stp/>
        <stp>##V3_BDPV12</stp>
        <stp>US298785FC51 Corp</stp>
        <stp>FIRST_CPN_DT</stp>
        <stp>[portefeuille USD.xlsm]SSA!R42C23_x0000_R</stp>
        <tr r="W42" s="16"/>
      </tp>
      <tp t="e">
        <v>#N/A</v>
        <stp/>
        <stp>##V3_BDPV12</stp>
        <stp>US298785FV33 Corp</stp>
        <stp>FIRST_CPN_DT</stp>
        <stp>[portefeuille USD.xlsm]SSA!R63C23_x0000_R</stp>
        <tr r="W63" s="16"/>
      </tp>
      <tp t="e">
        <v>#N/A</v>
        <stp/>
        <stp>##V3_BDPV12</stp>
        <stp>US912828HZ65 Corp</stp>
        <stp>INT_ACC_DT</stp>
        <stp>[portefeuille USD.xlsm]treasuries!R209C23_x0000__x0000_</stp>
        <tr r="W209" s="13"/>
      </tp>
      <tp t="e">
        <v>#N/A</v>
        <stp/>
        <stp>##V3_BDPV12</stp>
        <stp>US9127956F31 Corp</stp>
        <stp>ISSUE_DT</stp>
        <stp>[portefeuille USD.xlsm]treasuries!R58C22_x0000__x0000_</stp>
        <tr r="V58" s="13"/>
      </tp>
      <tp t="e">
        <v>#N/A</v>
        <stp/>
        <stp>##V3_BDPV12</stp>
        <stp>US298785FL50 Corp</stp>
        <stp>FIRST_CPN_DT</stp>
        <stp>[portefeuille USD.xlsm]SSA!R51C23_x0000_R</stp>
        <tr r="W51" s="16"/>
      </tp>
      <tp t="e">
        <v>#N/A</v>
        <stp/>
        <stp>##V3_BDPV12</stp>
        <stp>US912828KZ29 Corp</stp>
        <stp>PENULTIMATE_CPN_DT</stp>
        <stp>[portefeuille USD.xlsm]treasuries!R162C25_x0000__x0000_</stp>
        <tr r="Y162" s="13"/>
      </tp>
      <tp t="e">
        <v>#N/A</v>
        <stp/>
        <stp>##V3_BDPV12</stp>
        <stp>US912810QT88 Corp</stp>
        <stp>PENULTIMATE_CPN_DT</stp>
        <stp>[portefeuille USD.xlsm]treasuries!R284C25_x0000__x0000_</stp>
        <tr r="Y284" s="13"/>
      </tp>
      <tp t="e">
        <v>#N/A</v>
        <stp/>
        <stp>##V3_BDPV12</stp>
        <stp>US912810EY02 Corp</stp>
        <stp>PENULTIMATE_CPN_DT</stp>
        <stp>[portefeuille USD.xlsm]treasuries!R258C25_x0000__x0000_</stp>
        <tr r="Y258" s="13"/>
      </tp>
      <tp t="e">
        <v>#N/A</v>
        <stp/>
        <stp>##V3_BDPV12</stp>
        <stp>EI697819 Corp Corp</stp>
        <stp>AMT_OUTSTANDING</stp>
        <stp>[portefeuille USD.xlsm]SSA!R141C28_x0000_2</stp>
        <tr r="AB141" s="16"/>
      </tp>
      <tp t="e">
        <v>#N/A</v>
        <stp/>
        <stp>##V3_BDPV12</stp>
        <stp>US298785DV50 Govt</stp>
        <stp>SECURITY_DES</stp>
        <stp>[portefeuille USD.xlsm]SSA!R86C2_x0000__x0000_</stp>
        <tr r="B86" s="16"/>
      </tp>
      <tp t="e">
        <v>#N/A</v>
        <stp/>
        <stp>##V3_BDPV12</stp>
        <stp>XS0558939269 Govt</stp>
        <stp>SECURITY_DES</stp>
        <stp>[portefeuille USD.xlsm]SSA!R80C2_x0000__x0000_</stp>
        <tr r="B80" s="16"/>
      </tp>
      <tp t="e">
        <v>#N/A</v>
        <stp/>
        <stp>##V3_BDPV12</stp>
        <stp>FR0010956565 Corp</stp>
        <stp>FIRST_CPN_DT</stp>
        <stp>[portefeuille USD.xlsm]SSA!R90C23_x0000__x0000_</stp>
        <tr r="W90" s="16"/>
      </tp>
      <tp t="e">
        <v>#N/A</v>
        <stp/>
        <stp>##V3_BDPV12</stp>
        <stp>US912828TA86 Govt</stp>
        <stp>PX_MID</stp>
        <stp>[portefeuille USD.xlsm]MV Repo!R18C5_x0000__x0000_</stp>
        <tr r="E18" s="6"/>
      </tp>
      <tp t="e">
        <v>#N/A</v>
        <stp/>
        <stp>##V3_BDPV12</stp>
        <stp>US912828TB69 Govt</stp>
        <stp>PX_MID</stp>
        <stp>[portefeuille USD.xlsm]MV Repo!R25C5_x0000__x0000_</stp>
        <tr r="E25" s="6"/>
      </tp>
      <tp t="e">
        <v>#N/A</v>
        <stp/>
        <stp>##V3_BDPV12</stp>
        <stp>US298785FU59 Govt</stp>
        <stp>SECURITY_DES</stp>
        <stp>[portefeuille USD.xlsm]SSA!R77C2_x0000__x0000_</stp>
        <tr r="B77" s="16"/>
      </tp>
      <tp t="e">
        <v>#N/A</v>
        <stp/>
        <stp>##V3_BDPV12</stp>
        <stp>US298785FL50 Govt</stp>
        <stp>SECURITY_DES</stp>
        <stp>[portefeuille USD.xlsm]SSA!R51C2_x0000__x0000_</stp>
        <tr r="B51" s="16"/>
      </tp>
      <tp t="e">
        <v>#N/A</v>
        <stp/>
        <stp>##V3_BDPV12</stp>
        <stp>US298785FC51 Govt</stp>
        <stp>SECURITY_DES</stp>
        <stp>[portefeuille USD.xlsm]SSA!R42C2_x0000__x0000_</stp>
        <tr r="B42" s="16"/>
      </tp>
      <tp t="e">
        <v>#N/A</v>
        <stp/>
        <stp>##V3_BDPV12</stp>
        <stp>EH539714 Corp Corp</stp>
        <stp>AMT_OUTSTANDING</stp>
        <stp>[portefeuille USD.xlsm]SSA!R34C28_x0000__x0000_</stp>
        <tr r="AB34" s="16"/>
      </tp>
      <tp t="e">
        <v>#N/A</v>
        <stp/>
        <stp>##V3_BDPV12</stp>
        <stp>FR0010956565 Govt</stp>
        <stp>SECURITY_DES</stp>
        <stp>[portefeuille USD.xlsm]SSA!R90C2_x0000__x0000_</stp>
        <tr r="B90" s="16"/>
      </tp>
      <tp t="e">
        <v>#N/A</v>
        <stp/>
        <stp>##V3_BDPV12</stp>
        <stp>US298785EZ55 Govt</stp>
        <stp>SECURITY_DES</stp>
        <stp>[portefeuille USD.xlsm]SSA!R39C2_x0000__x0000_</stp>
        <tr r="B39" s="16"/>
      </tp>
      <tp t="e">
        <v>#N/A</v>
        <stp/>
        <stp>##V3_BDPV12</stp>
        <stp>US298785DD52 Govt</stp>
        <stp>SECURITY_DES</stp>
        <stp>[portefeuille USD.xlsm]SSA!R56C2_x0000__x0000_</stp>
        <tr r="B56" s="16"/>
      </tp>
      <tp t="e">
        <v>#N/A</v>
        <stp/>
        <stp>##V3_BDPV12</stp>
        <stp>US912810QU51 Corp</stp>
        <stp>INT_ACC_DT</stp>
        <stp>[portefeuille USD.xlsm]treasuries!R285C23_x0000__x0000_</stp>
        <tr r="W285" s="13"/>
      </tp>
      <tp t="e">
        <v>#N/A</v>
        <stp/>
        <stp>##V3_BDPV12</stp>
        <stp>US9127956C00 Corp</stp>
        <stp>ISSUE_DT</stp>
        <stp>[portefeuille USD.xlsm]treasuries!R15C22_x0000__x0000_</stp>
        <tr r="V15" s="13"/>
      </tp>
      <tp t="e">
        <v>#N/A</v>
        <stp/>
        <stp>##V3_BDPV12</stp>
        <stp>FR0010500843 Corp</stp>
        <stp>DAY_CNT_DES</stp>
        <stp>[portefeuille USD.xlsm]SSA!R111C29_x0000__x0000_</stp>
        <tr r="AC111" s="16"/>
      </tp>
      <tp t="e">
        <v>#N/A</v>
        <stp/>
        <stp>##V3_BDPV12</stp>
        <stp>FR0011012731 Corp</stp>
        <stp>PENULTIMATE_CPN_DT</stp>
        <stp>[portefeuille USD.xlsm]SSA!R104C24_x0000__x0000_</stp>
        <tr r="X104" s="16"/>
      </tp>
      <tp t="e">
        <v>#N/A</v>
        <stp/>
        <stp>##V3_BDPV12</stp>
        <stp>US912828HK96 Corp</stp>
        <stp>ISSUE_DT</stp>
        <stp>[portefeuille USD.xlsm]treasuries!R39C22_x0000__x0000_</stp>
        <tr r="V39" s="13"/>
      </tp>
      <tp t="e">
        <v>#N/A</v>
        <stp/>
        <stp>##V3_BDPV12</stp>
        <stp>US912828RW25 Corp</stp>
        <stp>ISSUE_DT</stp>
        <stp>[portefeuille USD.xlsm]treasuries!R89C22_x0000__x0000_</stp>
        <tr r="V89" s="13"/>
      </tp>
      <tp t="e">
        <v>#N/A</v>
        <stp/>
        <stp>##V3_BDPV12</stp>
        <stp>US912810EX29 Corp</stp>
        <stp>INT_ACC_DT</stp>
        <stp>[portefeuille USD.xlsm]treasuries!R257C23_x0000__x0000_</stp>
        <tr r="W257" s="13"/>
      </tp>
      <tp t="e">
        <v>#N/A</v>
        <stp/>
        <stp>##V3_BDPV12</stp>
        <stp>FR0010776674 Corp</stp>
        <stp>DAY_CNT_DES</stp>
        <stp>[portefeuille USD.xlsm]SSA!R112C29_x0000__x0000_</stp>
        <tr r="AC112" s="16"/>
      </tp>
      <tp t="e">
        <v>#N/A</v>
        <stp/>
        <stp>##V3_BDPV12</stp>
        <stp>US298785EN26 Corp</stp>
        <stp>FIRST_CPN_DT</stp>
        <stp>[portefeuille USD.xlsm]SSA!R44C23_x0000_R</stp>
        <tr r="W44" s="16"/>
      </tp>
      <tp t="e">
        <v>#N/A</v>
        <stp/>
        <stp>##V3_BDPV12</stp>
        <stp>US9127956R78 Corp</stp>
        <stp>ISSUE_DT</stp>
        <stp>[portefeuille USD.xlsm]treasuries!R65C22_x0000__x0000_</stp>
        <tr r="V65" s="13"/>
      </tp>
      <tp t="e">
        <v>#N/A</v>
        <stp/>
        <stp>##V3_BDPV12</stp>
        <stp>US298785EA05 Corp</stp>
        <stp>FIRST_CPN_DT</stp>
        <stp>[portefeuille USD.xlsm]SSA!R76C23_x0000_R</stp>
        <tr r="W76" s="16"/>
      </tp>
      <tp t="e">
        <v>#N/A</v>
        <stp/>
        <stp>##V3_BDPV12</stp>
        <stp>US298785CX26 Corp</stp>
        <stp>FIRST_CPN_DT</stp>
        <stp>[portefeuille USD.xlsm]SSA!R46C23_x0000_R</stp>
        <tr r="W46" s="16"/>
      </tp>
      <tp t="e">
        <v>#N/A</v>
        <stp/>
        <stp>##V3_BDPV12</stp>
        <stp>FR0010606442 Corp</stp>
        <stp>DAY_CNT_DES</stp>
        <stp>[portefeuille USD.xlsm]SSA!R108C29_x0000__x0000_</stp>
        <tr r="AC108" s="16"/>
      </tp>
      <tp t="e">
        <v>#N/A</v>
        <stp/>
        <stp>##V3_BDPV12</stp>
        <stp>US298785EK86 Corp</stp>
        <stp>FIRST_CPN_DT</stp>
        <stp>[portefeuille USD.xlsm]SSA!R43C23_x0000_R</stp>
        <tr r="W43" s="16"/>
      </tp>
      <tp t="e">
        <v>#N/A</v>
        <stp/>
        <stp>##V3_BDPV12</stp>
        <stp>US912828RN26 Corp</stp>
        <stp>ISSUE_DT</stp>
        <stp>[portefeuille USD.xlsm]treasuries!R82C22_x0000__x0000_</stp>
        <tr r="V82" s="13"/>
      </tp>
      <tp t="e">
        <v>#N/A</v>
        <stp/>
        <stp>##V3_BDPV12</stp>
        <stp>US912828SS04 Corp</stp>
        <stp>PENULTIMATE_CPN_DT</stp>
        <stp>[portefeuille USD.xlsm]treasuries!R186C25_x0000__x0000_</stp>
        <tr r="Y186" s="13"/>
      </tp>
      <tp t="e">
        <v>#N/A</v>
        <stp/>
        <stp>##V3_BDPV12</stp>
        <stp>US912828MS67 Corp</stp>
        <stp>PENULTIMATE_CPN_DT</stp>
        <stp>[portefeuille USD.xlsm]treasuries!R182C25_x0000__x0000_</stp>
        <tr r="Y182" s="13"/>
      </tp>
      <tp t="e">
        <v>#N/A</v>
        <stp/>
        <stp>##V3_BDPV12</stp>
        <stp>US912828NR75 Corp</stp>
        <stp>PENULTIMATE_CPN_DT</stp>
        <stp>[portefeuille USD.xlsm]treasuries!R194C25_x0000__x0000_</stp>
        <tr r="Y194" s="13"/>
      </tp>
      <tp t="e">
        <v>#N/A</v>
        <stp/>
        <stp>##V3_BDPV12</stp>
        <stp>US912810QS06 Corp</stp>
        <stp>PENULTIMATE_CPN_DT</stp>
        <stp>[portefeuille USD.xlsm]treasuries!R283C25_x0000__x0000_</stp>
        <tr r="Y283" s="13"/>
      </tp>
      <tp t="e">
        <v>#N/A</v>
        <stp/>
        <stp>##V3_BDPV12</stp>
        <stp>US912828PX26 Corp</stp>
        <stp>PENULTIMATE_CPN_DT</stp>
        <stp>[portefeuille USD.xlsm]treasuries!R239C25_x0000__x0000_</stp>
        <tr r="Y239" s="13"/>
      </tp>
      <tp t="e">
        <v>#N/A</v>
        <stp/>
        <stp>##V3_BDPV12</stp>
        <stp>US912828GS32 Corp</stp>
        <stp>PENULTIMATE_CPN_DT</stp>
        <stp>[portefeuille USD.xlsm]treasuries!R188C25_x0000__x0000_</stp>
        <tr r="Y188" s="13"/>
      </tp>
      <tp t="e">
        <v>#N/A</v>
        <stp/>
        <stp>##V3_BDPV12</stp>
        <stp>US912828RY80 Corp</stp>
        <stp>PENULTIMATE_CPN_DT</stp>
        <stp>[portefeuille USD.xlsm]treasuries!R220C25_x0000__x0000_</stp>
        <tr r="Y220" s="13"/>
      </tp>
      <tp t="e">
        <v>#N/A</v>
        <stp/>
        <stp>##V3_BDPV12</stp>
        <stp>XS0540029807 Corp</stp>
        <stp>AMT_OUTSTANDING</stp>
        <stp>[portefeuille USD.xlsm]SSA!R8C28_x0000_6</stp>
        <tr r="AB8" s="16"/>
      </tp>
      <tp t="e">
        <v>#N/A</v>
        <stp/>
        <stp>##V3_BDPV12</stp>
        <stp>ED650463 Corp Corp</stp>
        <stp>AMT_OUTSTANDING</stp>
        <stp>[portefeuille USD.xlsm]SSA!R140C28_x0000_2</stp>
        <tr r="AB140" s="16"/>
      </tp>
      <tp t="e">
        <v>#N/A</v>
        <stp/>
        <stp>##V3_BDPV12</stp>
        <stp>US912828MZ01 Govt</stp>
        <stp>INT_ACC</stp>
        <stp>[portefeuille USD.xlsm]MV Repo!R20C6_x0000__x0000_</stp>
        <tr r="F20" s="6"/>
      </tp>
      <tp t="e">
        <v>#N/A</v>
        <stp/>
        <stp>##V3_BDPV12</stp>
        <stp>US912828SF82 Govt</stp>
        <stp>PX_MID</stp>
        <stp>[portefeuille USD.xlsm]MV Repo!R27C5_x0000__x0000_</stp>
        <tr r="E27" s="6"/>
      </tp>
      <tp t="e">
        <v>#N/A</v>
        <stp/>
        <stp>##V3_BDPV12</stp>
        <stp>US912828SB78 Govt</stp>
        <stp>PX_MID</stp>
        <stp>[portefeuille USD.xlsm]MV Repo!R15C5_x0000__x0000_</stp>
        <tr r="E15" s="6"/>
      </tp>
      <tp t="e">
        <v>#N/A</v>
        <stp/>
        <stp>##V3_BDPV12</stp>
        <stp>FR0010862581 Corp</stp>
        <stp>FIRST_CPN_DT</stp>
        <stp>[portefeuille USD.xlsm]SSA!R97C23_x0000__x0000_</stp>
        <tr r="W97" s="16"/>
      </tp>
      <tp t="e">
        <v>#N/A</v>
        <stp/>
        <stp>##V3_BDPV12</stp>
        <stp>US912828SL50 Govt</stp>
        <stp>PX_MID</stp>
        <stp>[portefeuille USD.xlsm]MV Repo!R16C5_x0000__x0000_</stp>
        <tr r="E16" s="6"/>
      </tp>
      <tp t="e">
        <v>#N/A</v>
        <stp/>
        <stp>##V3_BDPV12</stp>
        <stp>XS0547845205 Govt</stp>
        <stp>SECURITY_DES</stp>
        <stp>[portefeuille USD.xlsm]SSA!R81C2_x0000__x0000_</stp>
        <tr r="B81" s="16"/>
      </tp>
      <tp t="e">
        <v>#N/A</v>
        <stp/>
        <stp>##V3_BDPV12</stp>
        <stp>FR0010875302 Govt</stp>
        <stp>SECURITY_DES</stp>
        <stp>[portefeuille USD.xlsm]SSA!R88C2_x0000__x0000_</stp>
        <tr r="B88" s="16"/>
      </tp>
      <tp t="e">
        <v>#N/A</v>
        <stp/>
        <stp>##V3_BDPV12</stp>
        <stp>US298785EN26 Govt</stp>
        <stp>SECURITY_DES</stp>
        <stp>[portefeuille USD.xlsm]SSA!R44C2_x0000__x0000_</stp>
        <tr r="B44" s="16"/>
      </tp>
      <tp t="e">
        <v>#N/A</v>
        <stp/>
        <stp>##V3_BDPV12</stp>
        <stp>US298785CX26 Govt</stp>
        <stp>SECURITY_DES</stp>
        <stp>[portefeuille USD.xlsm]SSA!R46C2_x0000__x0000_</stp>
        <tr r="B46" s="16"/>
      </tp>
      <tp t="e">
        <v>#N/A</v>
        <stp/>
        <stp>##V3_BDPV12</stp>
        <stp>US912828SM34 Govt</stp>
        <stp>PX_MID</stp>
        <stp>[portefeuille USD.xlsm]MV Repo!R23C5_x0000__x0000_</stp>
        <tr r="E23" s="6"/>
      </tp>
      <tp t="e">
        <v>#N/A</v>
        <stp/>
        <stp>##V3_BDPV12</stp>
        <stp>US298785FR21 Govt</stp>
        <stp>SECURITY_DES</stp>
        <stp>[portefeuille USD.xlsm]SSA!R58C2_x0000__x0000_</stp>
        <tr r="B58" s="16"/>
      </tp>
      <tp t="e">
        <v>#N/A</v>
        <stp/>
        <stp>##V3_BDPV12</stp>
        <stp>US912828SJ05 Govt</stp>
        <stp>PX_MID</stp>
        <stp>[portefeuille USD.xlsm]MV Repo!R22C5_x0000__x0000_</stp>
        <tr r="E22" s="6"/>
      </tp>
      <tp t="e">
        <v>#N/A</v>
        <stp/>
        <stp>##V3_BDPV12</stp>
        <stp>US912828SV33 Govt</stp>
        <stp>PX_MID</stp>
        <stp>[portefeuille USD.xlsm]MV Repo!R28C5_x0000__x0000_</stp>
        <tr r="E28" s="6"/>
      </tp>
      <tp t="e">
        <v>#N/A</v>
        <stp/>
        <stp>##V3_BDPV12</stp>
        <stp>US912828SR21 Govt</stp>
        <stp>PX_MID</stp>
        <stp>[portefeuille USD.xlsm]MV Repo!R17C5_x0000__x0000_</stp>
        <tr r="E17" s="6"/>
      </tp>
      <tp t="e">
        <v>#N/A</v>
        <stp/>
        <stp>##V3_BDPV12</stp>
        <stp>US12802NAB01 Corp</stp>
        <stp>PENULTIMATE_CPN_DT</stp>
        <stp>[portefeuille USD.xlsm]SSA!R101C24_x0000__x0000_</stp>
        <tr r="X101" s="16"/>
      </tp>
      <tp t="e">
        <v>#N/A</v>
        <stp/>
        <stp>##V3_BDPV12</stp>
        <stp>XS0742416380 Corp</stp>
        <stp>FIRST_CPN_DT</stp>
        <stp>[portefeuille USD.xlsm]SSA!R82C23_x0000_R</stp>
        <tr r="W82" s="16"/>
      </tp>
      <tp t="e">
        <v>#N/A</v>
        <stp/>
        <stp>##V3_BDPV12</stp>
        <stp>US912828SY71 Govt</stp>
        <stp>PX_MID</stp>
        <stp>[portefeuille USD.xlsm]MV Repo!R24C5_x0000__x0000_</stp>
        <tr r="E24" s="6"/>
      </tp>
      <tp t="e">
        <v>#N/A</v>
        <stp/>
        <stp>##V3_BDPV12</stp>
        <stp>US912828KZ29 Corp</stp>
        <stp>INT_ACC_DT</stp>
        <stp>[portefeuille USD.xlsm]treasuries!R162C23_x0000__x0000_</stp>
        <tr r="W162" s="13"/>
      </tp>
      <tp t="e">
        <v>#N/A</v>
        <stp/>
        <stp>##V3_BDPV12</stp>
        <stp>XS0477137813 Corp</stp>
        <stp>PENULTIMATE_CPN_DT</stp>
        <stp>[portefeuille USD.xlsm]SSA!R120C24_x0000__x0000_</stp>
        <tr r="X120" s="16"/>
      </tp>
      <tp t="e">
        <v>#N/A</v>
        <stp/>
        <stp>##V3_BDPV12</stp>
        <stp>US9127956K26 Corp</stp>
        <stp>ISSUE_DT</stp>
        <stp>[portefeuille USD.xlsm]treasuries!R25C22_x0000__x0000_</stp>
        <tr r="V25" s="13"/>
      </tp>
      <tp t="e">
        <v>#N/A</v>
        <stp/>
        <stp>##V3_BDPV12</stp>
        <stp>US9127956T35 Corp</stp>
        <stp>ISSUE_DT</stp>
        <stp>[portefeuille USD.xlsm]treasuries!R37C22_x0000__x0000_</stp>
        <tr r="V37" s="13"/>
      </tp>
      <tp t="e">
        <v>#N/A</v>
        <stp/>
        <stp>##V3_BDPV12</stp>
        <stp>US298785EG74 Corp</stp>
        <stp>FIRST_CPN_DT</stp>
        <stp>[portefeuille USD.xlsm]SSA!R78C23_x0000_R</stp>
        <tr r="W78" s="16"/>
      </tp>
      <tp t="e">
        <v>#N/A</v>
        <stp/>
        <stp>##V3_BDPV12</stp>
        <stp>FR0010815332 Corp</stp>
        <stp>DAY_CNT_DES</stp>
        <stp>[portefeuille USD.xlsm]SSA!R100C29_x0000__x0000_</stp>
        <tr r="AC100" s="16"/>
      </tp>
      <tp t="e">
        <v>#N/A</v>
        <stp/>
        <stp>##V3_BDPV12</stp>
        <stp>US298785FJ05 Corp</stp>
        <stp>FIRST_CPN_DT</stp>
        <stp>[portefeuille USD.xlsm]SSA!R66C23_x0000_R</stp>
        <tr r="W66" s="16"/>
      </tp>
      <tp t="e">
        <v>#N/A</v>
        <stp/>
        <stp>##V3_BDPV12</stp>
        <stp>US912810EY02 Corp</stp>
        <stp>INT_ACC_DT</stp>
        <stp>[portefeuille USD.xlsm]treasuries!R258C23_x0000__x0000_</stp>
        <tr r="W258" s="13"/>
      </tp>
      <tp t="e">
        <v>#N/A</v>
        <stp/>
        <stp>##V3_BDPV12</stp>
        <stp>XS0760314103 Corp</stp>
        <stp>PENULTIMATE_CPN_DT</stp>
        <stp>[portefeuille USD.xlsm]SSA!R119C24_x0000__x0000_</stp>
        <tr r="X119" s="16"/>
      </tp>
      <tp t="e">
        <v>#N/A</v>
        <stp/>
        <stp>##V3_BDPV12</stp>
        <stp>US9127956G14 Corp</stp>
        <stp>ISSUE_DT</stp>
        <stp>[portefeuille USD.xlsm]treasuries!R18C22_x0000__x0000_</stp>
        <tr r="V18" s="13"/>
      </tp>
      <tp t="e">
        <v>#N/A</v>
        <stp/>
        <stp>##V3_BDPV12</stp>
        <stp>US298785FG65 Corp</stp>
        <stp>FIRST_CPN_DT</stp>
        <stp>[portefeuille USD.xlsm]SSA!R65C23_x0000_R</stp>
        <tr r="W65" s="16"/>
      </tp>
      <tp t="e">
        <v>#N/A</v>
        <stp/>
        <stp>##V3_BDPV12</stp>
        <stp>XS0521024132 Corp</stp>
        <stp>PENULTIMATE_CPN_DT</stp>
        <stp>[portefeuille USD.xlsm]SSA!R118C24_x0000__x0000_</stp>
        <tr r="X118" s="16"/>
      </tp>
      <tp t="e">
        <v>#N/A</v>
        <stp/>
        <stp>##V3_BDPV12</stp>
        <stp>US9127955G23 Corp</stp>
        <stp>ISSUE_DT</stp>
        <stp>[portefeuille USD.xlsm]treasuries!R28C22_x0000__x0000_</stp>
        <tr r="V28" s="13"/>
      </tp>
      <tp t="e">
        <v>#N/A</v>
        <stp/>
        <stp>##V3_BDPV12</stp>
        <stp>US298785FD35 Corp</stp>
        <stp>FIRST_CPN_DT</stp>
        <stp>[portefeuille USD.xlsm]SSA!R62C23_x0000_R</stp>
        <tr r="W62" s="16"/>
      </tp>
      <tp t="e">
        <v>#N/A</v>
        <stp/>
        <stp>##V3_BDPV12</stp>
        <stp>FR0010606442 Corp</stp>
        <stp>PENULTIMATE_CPN_DT</stp>
        <stp>[portefeuille USD.xlsm]SSA!R108C24_x0000__x0000_</stp>
        <tr r="X108" s="16"/>
      </tp>
      <tp t="e">
        <v>#N/A</v>
        <stp/>
        <stp>##V3_BDPV12</stp>
        <stp>US298785FS04 Corp</stp>
        <stp>FIRST_CPN_DT</stp>
        <stp>[portefeuille USD.xlsm]SSA!R73C23_x0000_R</stp>
        <tr r="W73" s="16"/>
      </tp>
      <tp t="e">
        <v>#N/A</v>
        <stp/>
        <stp>##V3_BDPV12</stp>
        <stp>US912810QT88 Corp</stp>
        <stp>INT_ACC_DT</stp>
        <stp>[portefeuille USD.xlsm]treasuries!R284C23_x0000__x0000_</stp>
        <tr r="W284" s="13"/>
      </tp>
      <tp t="e">
        <v>#N/A</v>
        <stp/>
        <stp>##V3_BDPV12</stp>
        <stp>US912828LR93 Corp</stp>
        <stp>ISSUE_DT</stp>
        <stp>[portefeuille USD.xlsm]treasuries!R27C22_x0000__x0000_</stp>
        <tr r="V27" s="13"/>
      </tp>
      <tp t="e">
        <v>#N/A</v>
        <stp/>
        <stp>##V3_BDPV12</stp>
        <stp>US912828HG84 Corp</stp>
        <stp>ISSUE_DT</stp>
        <stp>[portefeuille USD.xlsm]treasuries!R30C22_x0000__x0000_</stp>
        <tr r="V30" s="13"/>
      </tp>
      <tp t="e">
        <v>#N/A</v>
        <stp/>
        <stp>##V3_BDPV12</stp>
        <stp>US912828JM35 Corp</stp>
        <stp>ISSUE_DT</stp>
        <stp>[portefeuille USD.xlsm]treasuries!R80C22_x0000__x0000_</stp>
        <tr r="V80" s="13"/>
      </tp>
      <tp t="e">
        <v>#N/A</v>
        <stp/>
        <stp>##V3_BDPV12</stp>
        <stp>US912828LY45 Corp</stp>
        <stp>PENULTIMATE_CPN_DT</stp>
        <stp>[portefeuille USD.xlsm]treasuries!R231C25_x0000__x0000_</stp>
        <tr r="Y231" s="13"/>
      </tp>
      <tp t="e">
        <v>#N/A</v>
        <stp/>
        <stp>##V3_BDPV12</stp>
        <stp>US912828SX98 Corp</stp>
        <stp>PENULTIMATE_CPN_DT</stp>
        <stp>[portefeuille USD.xlsm]treasuries!R228C25_x0000__x0000_</stp>
        <tr r="Y228" s="13"/>
      </tp>
      <tp t="e">
        <v>#N/A</v>
        <stp/>
        <stp>##V3_BDPV12</stp>
        <stp>US912828HZ65 Corp</stp>
        <stp>PENULTIMATE_CPN_DT</stp>
        <stp>[portefeuille USD.xlsm]treasuries!R209C25_x0000__x0000_</stp>
        <tr r="Y209" s="13"/>
      </tp>
      <tp t="e">
        <v>#N/A</v>
        <stp/>
        <stp>##V3_BDPV12</stp>
        <stp>XS0705646452 Corp</stp>
        <stp>DAY_CNT_DES</stp>
        <stp>[portefeuille USD.xlsm]SSA!R121C29_x0000__x0000_</stp>
        <tr r="AC121" s="16"/>
      </tp>
      <tp t="e">
        <v>#N/A</v>
        <stp/>
        <stp>##V3_BDPV12</stp>
        <stp>EH531108 Corp Corp</stp>
        <stp>AMT_OUTSTANDING</stp>
        <stp>[portefeuille USD.xlsm]SSA!R143C28_x0000_2</stp>
        <tr r="AB143" s="16"/>
      </tp>
      <tp t="e">
        <v>#N/A</v>
        <stp/>
        <stp>##V3_BDPV12</stp>
        <stp>US298785FM34 Govt</stp>
        <stp>SECURITY_DES</stp>
        <stp>[portefeuille USD.xlsm]SSA!R85C2_x0000__x0000_</stp>
        <tr r="B85" s="16"/>
      </tp>
      <tp t="e">
        <v>#N/A</v>
        <stp/>
        <stp>##V3_BDPV12</stp>
        <stp>FR0010941732 Corp</stp>
        <stp>FIRST_CPN_DT</stp>
        <stp>[portefeuille USD.xlsm]SSA!R96C23_x0000__x0000_</stp>
        <tr r="W96" s="16"/>
      </tp>
      <tp t="e">
        <v>#N/A</v>
        <stp/>
        <stp>##V3_BDPV12</stp>
        <stp>EH967487 Corp Corp</stp>
        <stp>AMT_OUTSTANDING</stp>
        <stp>[portefeuille USD.xlsm]SSA!R31C28_x0000__x0000_</stp>
        <tr r="AB31" s="16"/>
      </tp>
      <tp t="e">
        <v>#N/A</v>
        <stp/>
        <stp>##V3_BDPV12</stp>
        <stp>XS0205179483 Govt</stp>
        <stp>SECURITY_DES</stp>
        <stp>[portefeuille USD.xlsm]SSA!R41C2_x0000__x0000_</stp>
        <tr r="B41" s="16"/>
      </tp>
      <tp t="e">
        <v>#N/A</v>
        <stp/>
        <stp>##V3_BDPV12</stp>
        <stp>US912828RN26 Govt</stp>
        <stp>PX_MID</stp>
        <stp>[portefeuille USD.xlsm]MV Repo!R13C5_x0000__x0000_</stp>
        <tr r="E13" s="6"/>
      </tp>
      <tp t="e">
        <v>#N/A</v>
        <stp/>
        <stp>##V3_BDPV12</stp>
        <stp>US298785FD35 Govt</stp>
        <stp>SECURITY_DES</stp>
        <stp>[portefeuille USD.xlsm]SSA!R62C2_x0000__x0000_</stp>
        <tr r="B62" s="16"/>
      </tp>
      <tp t="e">
        <v>#N/A</v>
        <stp/>
        <stp>##V3_BDPV12</stp>
        <stp>EI839783 Corp Corp</stp>
        <stp>AMT_OUTSTANDING</stp>
        <stp>[portefeuille USD.xlsm]SSA!R22C28_x0000__x0000_</stp>
        <tr r="AB22" s="16"/>
      </tp>
      <tp t="e">
        <v>#N/A</v>
        <stp/>
        <stp>##V3_BDPV12</stp>
        <stp>US298785ER30 Govt</stp>
        <stp>SECURITY_DES</stp>
        <stp>[portefeuille USD.xlsm]SSA!R48C2_x0000__x0000_</stp>
        <tr r="B48" s="16"/>
      </tp>
      <tp t="e">
        <v>#N/A</v>
        <stp/>
        <stp>##V3_BDPV12</stp>
        <stp>US298785FV33 Govt</stp>
        <stp>SECURITY_DES</stp>
        <stp>[portefeuille USD.xlsm]SSA!R63C2_x0000__x0000_</stp>
        <tr r="B63" s="16"/>
      </tp>
      <tp t="e">
        <v>#N/A</v>
        <stp/>
        <stp>##V3_BDPV12</stp>
        <stp>US912828RK86 Govt</stp>
        <stp>PX_MID</stp>
        <stp>[portefeuille USD.xlsm]MV Repo!R12C5_x0000__x0000_</stp>
        <tr r="E12" s="6"/>
      </tp>
      <tp t="e">
        <v>#N/A</v>
        <stp/>
        <stp>##V3_BDPV12</stp>
        <stp>US912828RR30 Govt</stp>
        <stp>PX_MID</stp>
        <stp>[portefeuille USD.xlsm]MV Repo!R26C5_x0000__x0000_</stp>
        <tr r="E26" s="6"/>
      </tp>
      <tp t="e">
        <v>#N/A</v>
        <stp/>
        <stp>##V3_BDPV12</stp>
        <stp>US912828RS13 Govt</stp>
        <stp>PX_MID</stp>
        <stp>[portefeuille USD.xlsm]MV Repo!R14C5_x0000__x0000_</stp>
        <tr r="E14" s="6"/>
      </tp>
      <tp t="e">
        <v>#N/A</v>
        <stp/>
        <stp>##V3_BDPV12</stp>
        <stp>XS0579811489 Corp</stp>
        <stp>FIRST_CPN_DT</stp>
        <stp>[portefeuille USD.xlsm]SSA!R20C23_x0000__x0000_</stp>
        <tr r="W20" s="16"/>
      </tp>
      <tp t="e">
        <v>#N/A</v>
        <stp/>
        <stp>##V3_BDPV12</stp>
        <stp>US912810PX00 Corp</stp>
        <stp>INT_ACC_DT</stp>
        <stp>[portefeuille USD.xlsm]treasuries!R272C23_x0000__x0000_</stp>
        <tr r="W272" s="13"/>
      </tp>
      <tp t="e">
        <v>#N/A</v>
        <stp/>
        <stp>##V3_BDPV12</stp>
        <stp>US9127956B27 Corp</stp>
        <stp>ISSUE_DT</stp>
        <stp>[portefeuille USD.xlsm]treasuries!R13C22_x0000__x0000_</stp>
        <tr r="V13" s="13"/>
      </tp>
      <tp t="e">
        <v>#N/A</v>
        <stp/>
        <stp>##V3_BDPV12</stp>
        <stp>US912810DX38 Corp</stp>
        <stp>INT_ACC_DT</stp>
        <stp>[portefeuille USD.xlsm]treasuries!R174C23_x0000__x0000_</stp>
        <tr r="W174" s="13"/>
      </tp>
      <tp t="e">
        <v>#N/A</v>
        <stp/>
        <stp>##V3_BDPV12</stp>
        <stp>US912810QW18 Corp</stp>
        <stp>INT_ACC_DT</stp>
        <stp>[portefeuille USD.xlsm]treasuries!R286C23_x0000__x0000_</stp>
        <tr r="W286" s="13"/>
      </tp>
      <tp t="e">
        <v>#N/A</v>
        <stp/>
        <stp>##V3_BDPV12</stp>
        <stp>FR0011012731 Corp</stp>
        <stp>DAY_CNT_DES</stp>
        <stp>[portefeuille USD.xlsm]SSA!R104C29_x0000__x0000_</stp>
        <tr r="AC104" s="16"/>
      </tp>
      <tp t="e">
        <v>#N/A</v>
        <stp/>
        <stp>##V3_BDPV12</stp>
        <stp>FR0010950675 Corp</stp>
        <stp>DAY_CNT_DES</stp>
        <stp>[portefeuille USD.xlsm]SSA!R106C29_x0000__x0000_</stp>
        <tr r="AC106" s="16"/>
      </tp>
      <tp t="e">
        <v>#N/A</v>
        <stp/>
        <stp>##V3_BDPV12</stp>
        <stp>US912828RX08 Corp</stp>
        <stp>INT_ACC_DT</stp>
        <stp>[portefeuille USD.xlsm]treasuries!R177C23_x0000__x0000_</stp>
        <tr r="W177" s="13"/>
      </tp>
      <tp t="e">
        <v>#N/A</v>
        <stp/>
        <stp>##V3_BDPV12</stp>
        <stp>US9127956E65 Corp</stp>
        <stp>ISSUE_DT</stp>
        <stp>[portefeuille USD.xlsm]treasuries!R54C22_x0000__x0000_</stp>
        <tr r="V54" s="13"/>
      </tp>
      <tp t="e">
        <v>#N/A</v>
        <stp/>
        <stp>##V3_BDPV12</stp>
        <stp>XS0705646452 Corp</stp>
        <stp>PENULTIMATE_CPN_DT</stp>
        <stp>[portefeuille USD.xlsm]SSA!R121C24_x0000__x0000_</stp>
        <tr r="X121" s="16"/>
      </tp>
      <tp t="e">
        <v>#N/A</v>
        <stp/>
        <stp>##V3_BDPV12</stp>
        <stp>US9127956U08 Corp</stp>
        <stp>ISSUE_DT</stp>
        <stp>[portefeuille USD.xlsm]treasuries!R38C22_x0000__x0000_</stp>
        <tr r="V38" s="13"/>
      </tp>
      <tp t="e">
        <v>#N/A</v>
        <stp/>
        <stp>##V3_BDPV12</stp>
        <stp>FR0010776674 Corp</stp>
        <stp>PENULTIMATE_CPN_DT</stp>
        <stp>[portefeuille USD.xlsm]SSA!R112C24_x0000__x0000_</stp>
        <tr r="X112" s="16"/>
      </tp>
      <tp t="e">
        <v>#N/A</v>
        <stp/>
        <stp>##V3_BDPV12</stp>
        <stp>US912828BR04 Corp</stp>
        <stp>ISSUE_DT</stp>
        <stp>[portefeuille USD.xlsm]treasuries!R85C22_x0000__x0000_</stp>
        <tr r="V85" s="13"/>
      </tp>
      <tp t="e">
        <v>#N/A</v>
        <stp/>
        <stp>##V3_BDPV12</stp>
        <stp>XS0592582653 Corp</stp>
        <stp>PENULTIMATE_CPN_DT</stp>
        <stp>[portefeuille USD.xlsm]SSA!R113C24_x0000__x0000_</stp>
        <tr r="X113" s="16"/>
      </tp>
      <tp t="e">
        <v>#N/A</v>
        <stp/>
        <stp>##V3_BDPV12</stp>
        <stp>US912810EZ76 Corp</stp>
        <stp>INT_ACC_DT</stp>
        <stp>[portefeuille USD.xlsm]treasuries!R259C23_x0000__x0000_</stp>
        <tr r="W259" s="13"/>
      </tp>
      <tp t="e">
        <v>#N/A</v>
        <stp/>
        <stp>##V3_BDPV12</stp>
        <stp>FR0010306340 Corp</stp>
        <stp>DAY_CNT_DES</stp>
        <stp>[portefeuille USD.xlsm]SSA!R109C29_x0000__x0000_</stp>
        <tr r="AC109" s="16"/>
      </tp>
      <tp t="e">
        <v>#N/A</v>
        <stp/>
        <stp>##V3_BDPV12</stp>
        <stp>US912828AJ96 Corp</stp>
        <stp>ISSUE_DT</stp>
        <stp>[portefeuille USD.xlsm]treasuries!R11C22_x0000__x0000_</stp>
        <tr r="V11" s="13"/>
      </tp>
      <tp t="e">
        <v>#N/A</v>
        <stp/>
        <stp>##V3_BDPV12</stp>
        <stp>US912828JW17 Corp</stp>
        <stp>ISSUE_DT</stp>
        <stp>[portefeuille USD.xlsm]treasuries!R90C22_x0000__x0000_</stp>
        <tr r="V90" s="13"/>
      </tp>
      <tp t="e">
        <v>#N/A</v>
        <stp/>
        <stp>##V3_BDPV12</stp>
        <stp>US912828PB06 Corp</stp>
        <stp>ISSUE_DT</stp>
        <stp>[portefeuille USD.xlsm]treasuries!R81C22_x0000__x0000_</stp>
        <tr r="V81" s="13"/>
      </tp>
      <tp t="e">
        <v>#N/A</v>
        <stp/>
        <stp>##V3_BDPV12</stp>
        <stp>US298785FT86 Corp</stp>
        <stp>FIRST_CPN_DT</stp>
        <stp>[portefeuille USD.xlsm]SSA!R60C23_x0000__x0000_</stp>
        <tr r="W60" s="16"/>
      </tp>
      <tp t="e">
        <v>#N/A</v>
        <stp/>
        <stp>##V3_BDPV12</stp>
        <stp>US298785FN17 Corp</stp>
        <stp>FIRST_CPN_DT</stp>
        <stp>[portefeuille USD.xlsm]SSA!R70C23_x0000_R</stp>
        <tr r="W70" s="16"/>
      </tp>
      <tp t="e">
        <v>#N/A</v>
        <stp/>
        <stp>##V3_BDPV12</stp>
        <stp>US9127955C19 Corp</stp>
        <stp>ISSUE_DT</stp>
        <stp>[portefeuille USD.xlsm]treasuries!R21C22_x0000__x0000_</stp>
        <tr r="V21" s="13"/>
      </tp>
      <tp t="e">
        <v>#N/A</v>
        <stp/>
        <stp>##V3_BDPV12</stp>
        <stp>US912828PY09 Corp</stp>
        <stp>PENULTIMATE_CPN_DT</stp>
        <stp>[portefeuille USD.xlsm]treasuries!R205C25_x0000__x0000_</stp>
        <tr r="Y205" s="13"/>
      </tp>
      <tp t="e">
        <v>#N/A</v>
        <stp/>
        <stp>##V3_BDPV12</stp>
        <stp>US912810QQ40 Corp</stp>
        <stp>PENULTIMATE_CPN_DT</stp>
        <stp>[portefeuille USD.xlsm]treasuries!R282C25_x0000__x0000_</stp>
        <tr r="Y282" s="13"/>
      </tp>
      <tp t="e">
        <v>#N/A</v>
        <stp/>
        <stp>##V3_BDPV12</stp>
        <stp>US912828MZ01 Corp</stp>
        <stp>PENULTIMATE_CPN_DT</stp>
        <stp>[portefeuille USD.xlsm]treasuries!R134C25_x0000__x0000_</stp>
        <tr r="Y134" s="13"/>
      </tp>
      <tp t="e">
        <v>#N/A</v>
        <stp/>
        <stp>##V3_BDPV12</stp>
        <stp>XS0172157876 Corp</stp>
        <stp>DAY_CNT_DES</stp>
        <stp>[portefeuille USD.xlsm]SSA!R125C29_x0000__x0000_</stp>
        <tr r="AC125" s="16"/>
      </tp>
      <tp t="e">
        <v>#N/A</v>
        <stp/>
        <stp>##V3_BDPV12</stp>
        <stp>US912828KY53 Corp</stp>
        <stp>PENULTIMATE_CPN_DT</stp>
        <stp>[portefeuille USD.xlsm]treasuries!R109C25_x0000__x0000_</stp>
        <tr r="Y109" s="13"/>
      </tp>
      <tp t="e">
        <v>#N/A</v>
        <stp/>
        <stp>##V3_BDPV12</stp>
        <stp>XS0610555681 Corp</stp>
        <stp>DAY_CNT_DES</stp>
        <stp>[portefeuille USD.xlsm]SSA!R123C29_x0000__x0000_</stp>
        <tr r="AC123" s="16"/>
      </tp>
      <tp t="e">
        <v>#N/A</v>
        <stp/>
        <stp>##V3_BDPV12</stp>
        <stp>XS0270250136 Corp</stp>
        <stp>DAY_CNT_DES</stp>
        <stp>[portefeuille USD.xlsm]SSA!R115C29_x0000__x0000_</stp>
        <tr r="AC115" s="16"/>
      </tp>
      <tp t="e">
        <v>#N/A</v>
        <stp/>
        <stp>##V3_BDPV12</stp>
        <stp>EJ095994 Corp Corp</stp>
        <stp>AMT_OUTSTANDING</stp>
        <stp>[portefeuille USD.xlsm]SSA!R130C28_x0000_2</stp>
        <tr r="AB130" s="16"/>
      </tp>
      <tp t="e">
        <v>#N/A</v>
        <stp/>
        <stp>##V3_BDPV12</stp>
        <stp>EI355035 Corp Corp</stp>
        <stp>AMT_OUTSTANDING</stp>
        <stp>[portefeuille USD.xlsm]SSA!R132C28_x0000_2</stp>
        <tr r="AB132" s="16"/>
      </tp>
      <tp t="e">
        <v>#N/A</v>
        <stp/>
        <stp>##V3_BDPV12</stp>
        <stp>EI575402 Corp Corp</stp>
        <stp>AMT_OUTSTANDING</stp>
        <stp>[portefeuille USD.xlsm]SSA!R136C28_x0000_2</stp>
        <tr r="AB136" s="16"/>
      </tp>
      <tp t="e">
        <v>#N/A</v>
        <stp/>
        <stp>##V3_BDPV12</stp>
        <stp>US9127956W63 Govt</stp>
        <stp>INT_ACC</stp>
        <stp>[portefeuille USD.xlsm]MV Repo!R10C6_x0000__x0000_</stp>
        <tr r="F10" s="6"/>
      </tp>
      <tp t="e">
        <v>#N/A</v>
        <stp/>
        <stp>##V3_BDPV12</stp>
        <stp>US298785EX08 Govt</stp>
        <stp>SECURITY_DES</stp>
        <stp>[portefeuille USD.xlsm]SSA!R53C2_x0000__x0000_</stp>
        <tr r="B53" s="16"/>
      </tp>
      <tp t="e">
        <v>#N/A</v>
        <stp/>
        <stp>##V3_BDPV12</stp>
        <stp>US298785EA05 Govt</stp>
        <stp>SECURITY_DES</stp>
        <stp>[portefeuille USD.xlsm]SSA!R76C2_x0000__x0000_</stp>
        <tr r="B76" s="16"/>
      </tp>
      <tp t="e">
        <v>#N/A</v>
        <stp/>
        <stp>##V3_BDPV12</stp>
        <stp>US298785FJ05 Govt</stp>
        <stp>SECURITY_DES</stp>
        <stp>[portefeuille USD.xlsm]SSA!R66C2_x0000__x0000_</stp>
        <tr r="B66" s="16"/>
      </tp>
      <tp t="e">
        <v>#N/A</v>
        <stp/>
        <stp>##V3_BDPV12</stp>
        <stp>US298785FS04 Govt</stp>
        <stp>SECURITY_DES</stp>
        <stp>[portefeuille USD.xlsm]SSA!R73C2_x0000__x0000_</stp>
        <tr r="B73" s="16"/>
      </tp>
      <tp t="e">
        <v>#N/A</v>
        <stp/>
        <stp>##V3_BDPV12</stp>
        <stp>FR0010941732 Govt</stp>
        <stp>SECURITY_DES</stp>
        <stp>[portefeuille USD.xlsm]SSA!R96C2_x0000__x0000_</stp>
        <tr r="B96" s="16"/>
      </tp>
      <tp t="e">
        <v>#N/A</v>
        <stp/>
        <stp>##V3_BDPV12</stp>
        <stp>XS0372089572 Govt</stp>
        <stp>SECURITY_DES</stp>
        <stp>[portefeuille USD.xlsm]SSA!R124C2_x0000__x0000_</stp>
        <tr r="B124" s="16"/>
      </tp>
      <tp t="e">
        <v>#N/A</v>
        <stp/>
        <stp>##V3_BDPV12</stp>
        <stp>US912828QW34 Govt</stp>
        <stp>PX_MID</stp>
        <stp>[portefeuille USD.xlsm]MV Repo!R11C5_x0000__x0000_</stp>
        <tr r="E11" s="6"/>
      </tp>
      <tp t="e">
        <v>#N/A</v>
        <stp/>
        <stp>##V3_BDPV12</stp>
        <stp>US12802DAB29 Corp</stp>
        <stp>PENULTIMATE_CPN_DT</stp>
        <stp>[portefeuille USD.xlsm]SSA!R102C24_x0000__x0000_</stp>
        <tr r="X102" s="16"/>
      </tp>
      <tp t="e">
        <v>#N/A</v>
        <stp/>
        <stp>##V3_BDPV12</stp>
        <stp>XS0353485492 Govt</stp>
        <stp>SECURITY_DES</stp>
        <stp>[portefeuille USD.xlsm]SSA!R126C2_x0000__x0000_</stp>
        <tr r="B126" s="16"/>
      </tp>
      <tp t="e">
        <v>#N/A</v>
        <stp/>
        <stp>##V3_BDPV12</stp>
        <stp>XS0637187773 Corp</stp>
        <stp>FIRST_CPN_DT</stp>
        <stp>[portefeuille USD.xlsm]SSA!R15C23_x0000__x0000_</stp>
        <tr r="W15" s="16"/>
      </tp>
      <tp t="e">
        <v>#N/A</v>
        <stp/>
        <stp>##V3_BDPV12</stp>
        <stp>XS0547845205 Corp</stp>
        <stp>FIRST_CPN_DT</stp>
        <stp>[portefeuille USD.xlsm]SSA!R81C23_x0000_R</stp>
        <tr r="W81" s="16"/>
      </tp>
      <tp t="e">
        <v>#N/A</v>
        <stp/>
        <stp>##V3_BDPV12</stp>
        <stp>XS0460002859 Corp</stp>
        <stp>FIRST_CPN_DT</stp>
        <stp>[portefeuille USD.xlsm]SSA!R16C23_x0000__x0000_</stp>
        <tr r="W16" s="16"/>
      </tp>
      <tp t="e">
        <v>#N/A</v>
        <stp/>
        <stp>##V3_BDPV12</stp>
        <stp>US9127955X55 Corp</stp>
        <stp>MATURITY</stp>
        <stp>[portefeuille USD.xlsm]treasuries!R5C26_x0000__x0000_</stp>
        <tr r="Z5" s="13"/>
      </tp>
      <tp t="e">
        <v>#N/A</v>
        <stp/>
        <stp>##V3_BDPV12</stp>
        <stp>US912828NW60 Corp</stp>
        <stp>INT_ACC_DT</stp>
        <stp>[portefeuille USD.xlsm]treasuries!R197C23_x0000__x0000_</stp>
        <tr r="W197" s="13"/>
      </tp>
      <tp t="e">
        <v>#N/A</v>
        <stp/>
        <stp>##V3_BDPV12</stp>
        <stp>XS0270250136 Corp</stp>
        <stp>PENULTIMATE_CPN_DT</stp>
        <stp>[portefeuille USD.xlsm]SSA!R115C24_x0000__x0000_</stp>
        <tr r="X115" s="16"/>
      </tp>
      <tp t="e">
        <v>#N/A</v>
        <stp/>
        <stp>##V3_BDPV12</stp>
        <stp>US912828FY19 Corp</stp>
        <stp>INT_ACC_DT</stp>
        <stp>[portefeuille USD.xlsm]treasuries!R173C23_x0000__x0000_</stp>
        <tr r="W173" s="13"/>
      </tp>
      <tp t="e">
        <v>#N/A</v>
        <stp/>
        <stp>##V3_BDPV12</stp>
        <stp>US912828QX17 Corp</stp>
        <stp>INT_ACC_DT</stp>
        <stp>[portefeuille USD.xlsm]treasuries!R164C23_x0000__x0000_</stp>
        <tr r="W164" s="13"/>
      </tp>
      <tp t="e">
        <v>#N/A</v>
        <stp/>
        <stp>##V3_BDPV12</stp>
        <stp>US298785DU77 Corp</stp>
        <stp>FIRST_CPN_DT</stp>
        <stp>[portefeuille USD.xlsm]SSA!R68C23_x0000_R</stp>
        <tr r="W68" s="16"/>
      </tp>
      <tp t="e">
        <v>#N/A</v>
        <stp/>
        <stp>##V3_BDPV12</stp>
        <stp>FR0010500843 Corp</stp>
        <stp>PENULTIMATE_CPN_DT</stp>
        <stp>[portefeuille USD.xlsm]SSA!R111C24_x0000__x0000_</stp>
        <tr r="X111" s="16"/>
      </tp>
      <tp t="e">
        <v>#N/A</v>
        <stp/>
        <stp>##V3_BDPV12</stp>
        <stp>US9127956P13 Corp</stp>
        <stp>ISSUE_DT</stp>
        <stp>[portefeuille USD.xlsm]treasuries!R32C22_x0000__x0000_</stp>
        <tr r="V32" s="13"/>
      </tp>
      <tp t="e">
        <v>#N/A</v>
        <stp/>
        <stp>##V3_BDPV12</stp>
        <stp>US298785FK77 Corp</stp>
        <stp>FIRST_CPN_DT</stp>
        <stp>[portefeuille USD.xlsm]SSA!R69C23_x0000_R</stp>
        <tr r="W69" s="16"/>
      </tp>
      <tp t="e">
        <v>#N/A</v>
        <stp/>
        <stp>##V3_BDPV12</stp>
        <stp>US298785FW16 Corp</stp>
        <stp>FIRST_CPN_DT</stp>
        <stp>[portefeuille USD.xlsm]SSA!R79C23_x0000_R</stp>
        <tr r="W79" s="16"/>
      </tp>
      <tp t="e">
        <v>#N/A</v>
        <stp/>
        <stp>##V3_BDPV12</stp>
        <stp>US298785FH49 Corp</stp>
        <stp>FIRST_CPN_DT</stp>
        <stp>[portefeuille USD.xlsm]SSA!R84C23_x0000_R</stp>
        <tr r="W84" s="16"/>
      </tp>
      <tp t="e">
        <v>#N/A</v>
        <stp/>
        <stp>##V3_BDPV12</stp>
        <stp>US912828NZ91 Corp</stp>
        <stp>INT_ACC_DT</stp>
        <stp>[portefeuille USD.xlsm]treasuries!R143C23_x0000__x0000_</stp>
        <tr r="W143" s="13"/>
      </tp>
      <tp t="e">
        <v>#N/A</v>
        <stp/>
        <stp>##V3_BDPV12</stp>
        <stp>US9127955L18 Corp</stp>
        <stp>ISSUE_DT</stp>
        <stp>[portefeuille USD.xlsm]treasuries!R34C22_x0000__x0000_</stp>
        <tr r="V34" s="13"/>
      </tp>
      <tp t="e">
        <v>#N/A</v>
        <stp/>
        <stp>##V3_BDPV12</stp>
        <stp>US298785FP64 Corp</stp>
        <stp>FIRST_CPN_DT</stp>
        <stp>[portefeuille USD.xlsm]SSA!R55C23_x0000_R</stp>
        <tr r="W55" s="16"/>
      </tp>
      <tp t="e">
        <v>#N/A</v>
        <stp/>
        <stp>##V3_BDPV12</stp>
        <stp>US912828MV96 Corp</stp>
        <stp>INT_ACC_DT</stp>
        <stp>[portefeuille USD.xlsm]treasuries!R184C23_x0000__x0000_</stp>
        <tr r="W184" s="13"/>
      </tp>
      <tp t="e">
        <v>#N/A</v>
        <stp/>
        <stp>##V3_BDPV12</stp>
        <stp>US912828RS13 Corp</stp>
        <stp>ISSUE_DT</stp>
        <stp>[portefeuille USD.xlsm]treasuries!R86C22_x0000__x0000_</stp>
        <tr r="V86" s="13"/>
      </tp>
      <tp t="e">
        <v>#N/A</v>
        <stp/>
        <stp>##V3_BDPV12</stp>
        <stp>US912828LZ10 Corp</stp>
        <stp>PENULTIMATE_CPN_DT</stp>
        <stp>[portefeuille USD.xlsm]treasuries!R122C25_x0000__x0000_</stp>
        <tr r="Y122" s="13"/>
      </tp>
      <tp t="e">
        <v>#N/A</v>
        <stp/>
        <stp>##V3_BDPV12</stp>
        <stp>US912828RZ55 Corp</stp>
        <stp>PENULTIMATE_CPN_DT</stp>
        <stp>[portefeuille USD.xlsm]treasuries!R125C25_x0000__x0000_</stp>
        <tr r="Y125" s="13"/>
      </tp>
      <tp t="e">
        <v>#N/A</v>
        <stp/>
        <stp>##V3_BDPV12</stp>
        <stp>US912828QY99 Corp</stp>
        <stp>PENULTIMATE_CPN_DT</stp>
        <stp>[portefeuille USD.xlsm]treasuries!R212C25_x0000__x0000_</stp>
        <tr r="Y212" s="13"/>
      </tp>
      <tp t="e">
        <v>#N/A</v>
        <stp/>
        <stp>##V3_BDPV12</stp>
        <stp>XS0300990529 Corp</stp>
        <stp>DAY_CNT_DES</stp>
        <stp>[portefeuille USD.xlsm]SSA!R122C29_x0000__x0000_</stp>
        <tr r="AC122" s="16"/>
      </tp>
      <tp t="e">
        <v>#N/A</v>
        <stp/>
        <stp>##V3_BDPV12</stp>
        <stp>US12802DAD84 Govt</stp>
        <stp>SECURITY_DES</stp>
        <stp>[portefeuille USD.xlsm]SSA!R91C2_x0000__x0000_</stp>
        <tr r="B91" s="16"/>
      </tp>
      <tp t="e">
        <v>#N/A</v>
        <stp/>
        <stp>##V3_BDPV12</stp>
        <stp>EI954150 Corp Corp</stp>
        <stp>AMT_OUTSTANDING</stp>
        <stp>[portefeuille USD.xlsm]SSA!R134C28_x0000_2</stp>
        <tr r="AB134" s="16"/>
      </tp>
      <tp t="e">
        <v>#N/A</v>
        <stp/>
        <stp>##V3_BDPV12</stp>
        <stp>EG524914 Corp Corp</stp>
        <stp>AMT_OUTSTANDING</stp>
        <stp>[portefeuille USD.xlsm]SSA!R133C28_x0000_2</stp>
        <tr r="AB133" s="16"/>
      </tp>
      <tp t="e">
        <v>#N/A</v>
        <stp/>
        <stp>##V3_BDPV12</stp>
        <stp>US912828SY71 Govt</stp>
        <stp>INT_ACC</stp>
        <stp>[portefeuille USD.xlsm]MV Repo!R24C6_x0000__x0000_</stp>
        <tr r="F24" s="6"/>
      </tp>
      <tp t="e">
        <v>#N/A</v>
        <stp/>
        <stp>##V3_BDPV12</stp>
        <stp>US298785FE18 Govt</stp>
        <stp>SECURITY_DES</stp>
        <stp>[portefeuille USD.xlsm]SSA!R47C2_x0000__x0000_</stp>
        <tr r="B47" s="16"/>
      </tp>
      <tp t="e">
        <v>#N/A</v>
        <stp/>
        <stp>##V3_BDPV12</stp>
        <stp>XS0743901026 Govt</stp>
        <stp>SECURITY_DES</stp>
        <stp>[portefeuille USD.xlsm]SSA!R17C2_x0000__x0000_</stp>
        <tr r="B17" s="16"/>
      </tp>
      <tp t="e">
        <v>#N/A</v>
        <stp/>
        <stp>##V3_BDPV12</stp>
        <stp>US298785FN17 Govt</stp>
        <stp>SECURITY_DES</stp>
        <stp>[portefeuille USD.xlsm]SSA!R70C2_x0000__x0000_</stp>
        <tr r="B70" s="16"/>
      </tp>
      <tp t="e">
        <v>#N/A</v>
        <stp/>
        <stp>##V3_BDPV12</stp>
        <stp>US298785FW16 Govt</stp>
        <stp>SECURITY_DES</stp>
        <stp>[portefeuille USD.xlsm]SSA!R79C2_x0000__x0000_</stp>
        <tr r="B79" s="16"/>
      </tp>
      <tp t="e">
        <v>#N/A</v>
        <stp/>
        <stp>##V3_BDPV12</stp>
        <stp>FR0010875302 Corp</stp>
        <stp>FIRST_CPN_DT</stp>
        <stp>[portefeuille USD.xlsm]SSA!R88C23_x0000__x0000_</stp>
        <tr r="W88" s="16"/>
      </tp>
      <tp t="e">
        <v>#N/A</v>
        <stp/>
        <stp>##V3_BDPV12</stp>
        <stp>XS0490844718 Govt</stp>
        <stp>SECURITY_DES</stp>
        <stp>[portefeuille USD.xlsm]SSA!R127C2_x0000__x0000_</stp>
        <tr r="B127" s="16"/>
      </tp>
      <tp t="e">
        <v>#N/A</v>
        <stp/>
        <stp>##V3_BDPV12</stp>
        <stp>XS0284982922 Govt</stp>
        <stp>SECURITY_DES</stp>
        <stp>[portefeuille USD.xlsm]SSA!R114C2_x0000__x0000_</stp>
        <tr r="B114" s="16"/>
      </tp>
      <tp t="e">
        <v>#N/A</v>
        <stp/>
        <stp>##V3_BDPV12</stp>
        <stp>US9127955Y39 Corp</stp>
        <stp>MATURITY</stp>
        <stp>[portefeuille USD.xlsm]treasuries!R9C26_x0000__x0000_</stp>
        <tr r="Z9" s="13"/>
      </tp>
      <tp t="e">
        <v>#N/A</v>
        <stp/>
        <stp>##V3_BDPV12</stp>
        <stp>XS0451654189 Govt</stp>
        <stp>SECURITY_DES</stp>
        <stp>[portefeuille USD.xlsm]SSA!R129C2_x0000__x0000_</stp>
        <tr r="B129" s="16"/>
      </tp>
      <tp t="e">
        <v>#N/A</v>
        <stp/>
        <stp>##V3_BDPV12</stp>
        <stp>US912810FB99 Corp</stp>
        <stp>CPN</stp>
        <stp>[portefeuille USD.xlsm]treasuries!R261C27_x0000__x0000_</stp>
        <tr r="AA261" s="13"/>
      </tp>
      <tp t="e">
        <v>#N/A</v>
        <stp/>
        <stp>##V3_BDPV12</stp>
        <stp>US912810PT97 Corp</stp>
        <stp>CPN</stp>
        <stp>[portefeuille USD.xlsm]treasuries!R269C27_x0000__x0000_</stp>
        <tr r="AA269" s="13"/>
      </tp>
      <tp t="e">
        <v>#N/A</v>
        <stp/>
        <stp>##V3_BDPV12</stp>
        <stp>US912828NA41 Corp</stp>
        <stp>CPN</stp>
        <stp>[portefeuille USD.xlsm]treasuries!R187C27_x0000__x0000_</stp>
        <tr r="AA187" s="13"/>
      </tp>
      <tp t="e">
        <v>#N/A</v>
        <stp/>
        <stp>##V3_BDPV12</stp>
        <stp>US912828SF82 Corp</stp>
        <stp>CPN</stp>
        <stp>[portefeuille USD.xlsm]treasuries!R247C27_x0000__x0000_</stp>
        <tr r="AA247" s="13"/>
      </tp>
      <tp t="e">
        <v>#N/A</v>
        <stp/>
        <stp>##V3_BDPV12</stp>
        <stp>US912828NV87 Corp</stp>
        <stp>CPN</stp>
        <stp>[portefeuille USD.xlsm]treasuries!R142C27_x0000__x0000_</stp>
        <tr r="AA142" s="13"/>
      </tp>
      <tp t="e">
        <v>#N/A</v>
        <stp/>
        <stp>##V3_BDPV12</stp>
        <stp>EH531108 Corp Corp</stp>
        <stp>CPN_FREQ</stp>
        <stp>[portefeuille USD.xlsm]SSA!R143C27_x0000_2</stp>
        <tr r="AA143" s="16"/>
      </tp>
      <tp t="e">
        <v>#N/A</v>
        <stp/>
        <stp>##V3_BDPV12</stp>
        <stp>EG524914 Corp Corp</stp>
        <stp>CPN_FREQ</stp>
        <stp>[portefeuille USD.xlsm]SSA!R133C27_x0000_2</stp>
        <tr r="AA133" s="16"/>
      </tp>
      <tp t="e">
        <v>#N/A</v>
        <stp/>
        <stp>##V3_BDPV12</stp>
        <stp>ED650463 Corp Corp</stp>
        <stp>MATURITY</stp>
        <stp>[portefeuille USD.xlsm]SSA!R140C25_x0000_2</stp>
        <tr r="Y140" s="16"/>
      </tp>
      <tp t="e">
        <v>#N/A</v>
        <stp/>
        <stp>##V3_BDPV12</stp>
        <stp>EI265078 Corp Corp</stp>
        <stp>CPN_FREQ</stp>
        <stp>[portefeuille USD.xlsm]SSA!R144C27_x0000_2</stp>
        <tr r="AA144" s="16"/>
      </tp>
      <tp t="e">
        <v>#N/A</v>
        <stp/>
        <stp>##V3_BDPV12</stp>
        <stp>US12802NAB01 Corp</stp>
        <stp>CPN_FREQ</stp>
        <stp>[portefeuille USD.xlsm]SSA!R101C27_x0000__x0000_</stp>
        <tr r="AA101" s="16"/>
      </tp>
      <tp t="e">
        <v>#N/A</v>
        <stp/>
        <stp>##V3_BDPV12</stp>
        <stp>US12802DAB29 Corp</stp>
        <stp>CPN_FREQ</stp>
        <stp>[portefeuille USD.xlsm]SSA!R102C27_x0000__x0000_</stp>
        <tr r="AA102" s="16"/>
      </tp>
      <tp t="e">
        <v>#N/A</v>
        <stp/>
        <stp>##V3_BDPV12</stp>
        <stp>US12802NAA28 Corp</stp>
        <stp>CPN_FREQ</stp>
        <stp>[portefeuille USD.xlsm]SSA!R95C27_x0000__x0000_</stp>
        <tr r="AA95" s="16"/>
      </tp>
      <tp t="e">
        <v>#N/A</v>
        <stp/>
        <stp>##V3_BDPV12</stp>
        <stp>US12802DAC02 Corp</stp>
        <stp>CPN_FREQ</stp>
        <stp>[portefeuille USD.xlsm]SSA!R98C27_x0000__x0000_</stp>
        <tr r="AA98" s="16"/>
      </tp>
      <tp t="e">
        <v>#N/A</v>
        <stp/>
        <stp>##V3_BDPV12</stp>
        <stp>US9127955W72 Corp</stp>
        <stp>INT_ACC_DT</stp>
        <stp>[portefeuille USD.xlsm]treasuries!R3C23_x0000__x0000_</stp>
        <tr r="W3" s="13"/>
      </tp>
      <tp t="e">
        <v>#N/A</v>
        <stp/>
        <stp>##V3_BDPV12</stp>
        <stp>US63983TAA34 Corp</stp>
        <stp>DAY_CNT_DES</stp>
        <stp>[portefeuille USD.xlsm]SSA!R3C29_x0000_1</stp>
        <tr r="AC3" s="16"/>
      </tp>
      <tp t="e">
        <v>#N/A</v>
        <stp/>
        <stp>##V3_BDPV12</stp>
        <stp>US63983UAA07 Corp</stp>
        <stp>DAY_CNT_DES</stp>
        <stp>[portefeuille USD.xlsm]SSA!R4C29_x0000_4</stp>
        <tr r="AC4" s="16"/>
      </tp>
      <tp t="e">
        <v>#N/A</v>
        <stp/>
        <stp>##V3_BDPV12</stp>
        <stp>US912828NZ91 Corp</stp>
        <stp>CPN</stp>
        <stp>[portefeuille USD.xlsm]treasuries!R143C27_x0000__x0000_</stp>
        <tr r="AA143" s="13"/>
      </tp>
      <tp t="e">
        <v>#N/A</v>
        <stp/>
        <stp>##V3_BDPV12</stp>
        <stp>US912828SC51 Corp</stp>
        <stp>CPN</stp>
        <stp>[portefeuille USD.xlsm]treasuries!R180C27_x0000__x0000_</stp>
        <tr r="AA180" s="13"/>
      </tp>
      <tp t="e">
        <v>#N/A</v>
        <stp/>
        <stp>##V3_BDPV12</stp>
        <stp>US912828KS85 Corp</stp>
        <stp>CPN</stp>
        <stp>[portefeuille USD.xlsm]treasuries!R152C27_x0000__x0000_</stp>
        <tr r="AA152" s="13"/>
      </tp>
      <tp t="e">
        <v>#N/A</v>
        <stp/>
        <stp>##V3_BDPV12</stp>
        <stp>US912828PR57 Corp</stp>
        <stp>AMT_OUTSTANDING</stp>
        <stp>[portefeuille USD.xlsm]treasuries!R47C28_x0000__x0000_</stp>
        <tr r="AB47" s="13"/>
      </tp>
      <tp t="e">
        <v>#N/A</v>
        <stp/>
        <stp>##V3_BDPV12</stp>
        <stp>US912810FP85 Corp</stp>
        <stp>CPN</stp>
        <stp>[portefeuille USD.xlsm]treasuries!R267C27_x0000__x0000_</stp>
        <tr r="AA267" s="13"/>
      </tp>
      <tp t="e">
        <v>#N/A</v>
        <stp/>
        <stp>##V3_BDPV12</stp>
        <stp>US912810FG86 Corp</stp>
        <stp>CPN</stp>
        <stp>[portefeuille USD.xlsm]treasuries!R264C27_x0000__x0000_</stp>
        <tr r="AA264" s="13"/>
      </tp>
      <tp t="e">
        <v>#N/A</v>
        <stp/>
        <stp>##V3_BDPV12</stp>
        <stp>US912810QA97 Corp</stp>
        <stp>CPN</stp>
        <stp>[portefeuille USD.xlsm]treasuries!R273C27_x0000__x0000_</stp>
        <tr r="AA273" s="13"/>
      </tp>
      <tp t="e">
        <v>#N/A</v>
        <stp/>
        <stp>##V3_BDPV12</stp>
        <stp>EH828973 Corp Corp</stp>
        <stp>MATURITY</stp>
        <stp>[portefeuille USD.xlsm]SSA!R142C25_x0000_2</stp>
        <tr r="Y142" s="16"/>
      </tp>
      <tp t="e">
        <v>#N/A</v>
        <stp/>
        <stp>##V3_BDPV12</stp>
        <stp>EI472618 Corp Corp</stp>
        <stp>CPN_FREQ</stp>
        <stp>[portefeuille USD.xlsm]SSA!R139C27_x0000_2</stp>
        <tr r="AA139" s="16"/>
      </tp>
      <tp t="e">
        <v>#N/A</v>
        <stp/>
        <stp>##V3_BDPV12</stp>
        <stp>EI697819 Corp Corp</stp>
        <stp>MATURITY</stp>
        <stp>[portefeuille USD.xlsm]SSA!R141C25_x0000_2</stp>
        <tr r="Y141" s="16"/>
      </tp>
      <tp t="e">
        <v>#N/A</v>
        <stp/>
        <stp>##V3_BDPV12</stp>
        <stp>US639832AD61 Govt</stp>
        <stp>SECURITY_DES</stp>
        <stp>[portefeuille USD.xlsm]SSA!R5C2_x0000__x0000_</stp>
        <tr r="B5" s="16"/>
      </tp>
      <tp t="e">
        <v>#N/A</v>
        <stp/>
        <stp>##V3_BDPV12</stp>
        <stp>US12802DAA46 Corp</stp>
        <stp>PENULTIMATE_CPN_DT</stp>
        <stp>[portefeuille USD.xlsm]SSA!R94C24_x0000__x0000_</stp>
        <tr r="X94" s="16"/>
      </tp>
      <tp t="e">
        <v>#N/A</v>
        <stp/>
        <stp>##V3_BDPV12</stp>
        <stp>US298785EK86 Corp</stp>
        <stp>PENULTIMATE_CPN_DT</stp>
        <stp>[portefeuille USD.xlsm]SSA!R43C24_x0000_R</stp>
        <tr r="X43" s="16"/>
      </tp>
      <tp t="e">
        <v>#N/A</v>
        <stp/>
        <stp>##V3_BDPV12</stp>
        <stp>US12802NAA28 Corp</stp>
        <stp>PENULTIMATE_CPN_DT</stp>
        <stp>[portefeuille USD.xlsm]SSA!R95C24_x0000__x0000_</stp>
        <tr r="X95" s="16"/>
      </tp>
      <tp t="e">
        <v>#N/A</v>
        <stp/>
        <stp>##V3_BDPV12</stp>
        <stp>US298785FL50 Corp</stp>
        <stp>INT_ACC_DT</stp>
        <stp>[portefeuille USD.xlsm]SSA!R51C22_x0000_R</stp>
        <tr r="V51" s="16"/>
      </tp>
      <tp t="e">
        <v>#N/A</v>
        <stp/>
        <stp>##V3_BDPV12</stp>
        <stp>US298785FN17 Corp</stp>
        <stp>INT_ACC_DT</stp>
        <stp>[portefeuille USD.xlsm]SSA!R70C22_x0000_R</stp>
        <tr r="V70" s="16"/>
      </tp>
      <tp t="e">
        <v>#N/A</v>
        <stp/>
        <stp>##V3_BDPV12</stp>
        <stp>US298785EN26 Corp</stp>
        <stp>YLD_YTM_BID</stp>
        <stp>[portefeuille USD.xlsm]SSA!R44C8_x0000__x0000_</stp>
        <tr r="H44" s="16"/>
      </tp>
      <tp t="e">
        <v>#N/A</v>
        <stp/>
        <stp>##V3_BDPV12</stp>
        <stp>US298785FN17 Corp</stp>
        <stp>YLD_YTM_BID</stp>
        <stp>[portefeuille USD.xlsm]SSA!R70C8_x0000__x0000_</stp>
        <tr r="H70" s="16"/>
      </tp>
      <tp t="e">
        <v>#N/A</v>
        <stp/>
        <stp>##V3_BDPV12</stp>
        <stp>US912828QP82 Corp</stp>
        <stp>CPN</stp>
        <stp>[portefeuille USD.xlsm]treasuries!R160C27_x0000__x0000_</stp>
        <tr r="AA160" s="13"/>
      </tp>
      <tp t="e">
        <v>#N/A</v>
        <stp/>
        <stp>##V3_BDPV12</stp>
        <stp>US912828FQ84 Corp</stp>
        <stp>CPN</stp>
        <stp>[portefeuille USD.xlsm]treasuries!R166C27_x0000__x0000_</stp>
        <tr r="AA166" s="13"/>
      </tp>
      <tp t="e">
        <v>#N/A</v>
        <stp/>
        <stp>##V3_BDPV12</stp>
        <stp>US912828SY71 Corp</stp>
        <stp>CPN</stp>
        <stp>[portefeuille USD.xlsm]treasuries!R190C27_x0000__x0000_</stp>
        <tr r="AA190" s="13"/>
      </tp>
      <tp t="e">
        <v>#N/A</v>
        <stp/>
        <stp>##V3_BDPV12</stp>
        <stp>US912828NR75 Corp</stp>
        <stp>CPN</stp>
        <stp>[portefeuille USD.xlsm]treasuries!R194C27_x0000__x0000_</stp>
        <tr r="AA194" s="13"/>
      </tp>
      <tp t="e">
        <v>#N/A</v>
        <stp/>
        <stp>##V3_BDPV12</stp>
        <stp>US912828MD98 Corp</stp>
        <stp>CPN</stp>
        <stp>[portefeuille USD.xlsm]treasuries!R178C27_x0000__x0000_</stp>
        <tr r="AA178" s="13"/>
      </tp>
      <tp t="e">
        <v>#N/A</v>
        <stp/>
        <stp>##V3_BDPV12</stp>
        <stp>US912828HQ66 Corp</stp>
        <stp>AMT_OUTSTANDING</stp>
        <stp>[portefeuille USD.xlsm]treasuries!R48C28_x0000__x0000_</stp>
        <tr r="AB48" s="13"/>
      </tp>
      <tp t="e">
        <v>#N/A</v>
        <stp/>
        <stp>##V3_BDPV12</stp>
        <stp>US912828MS67 Corp</stp>
        <stp>CPN</stp>
        <stp>[portefeuille USD.xlsm]treasuries!R182C27_x0000__x0000_</stp>
        <tr r="AA182" s="13"/>
      </tp>
      <tp t="e">
        <v>#N/A</v>
        <stp/>
        <stp>##V3_BDPV12</stp>
        <stp>US912810QL52 Corp</stp>
        <stp>CPN</stp>
        <stp>[portefeuille USD.xlsm]treasuries!R280C27_x0000__x0000_</stp>
        <tr r="AA280" s="13"/>
      </tp>
      <tp t="e">
        <v>#N/A</v>
        <stp/>
        <stp>##V3_BDPV12</stp>
        <stp>US912810QU51 Corp</stp>
        <stp>CPN</stp>
        <stp>[portefeuille USD.xlsm]treasuries!R285C27_x0000__x0000_</stp>
        <tr r="AA285" s="13"/>
      </tp>
      <tp t="e">
        <v>#N/A</v>
        <stp/>
        <stp>##V3_BDPV12</stp>
        <stp>EI133522 Corp Corp</stp>
        <stp>CPN_FREQ</stp>
        <stp>[portefeuille USD.xlsm]SSA!R138C27_x0000_2</stp>
        <tr r="AA138" s="16"/>
      </tp>
      <tp t="e">
        <v>#N/A</v>
        <stp/>
        <stp>##V3_BDPV12</stp>
        <stp>US298785FJ05 Corp</stp>
        <stp>PENULTIMATE_CPN_DT</stp>
        <stp>[portefeuille USD.xlsm]SSA!R66C24_x0000_R</stp>
        <tr r="X66" s="16"/>
      </tp>
      <tp t="e">
        <v>#N/A</v>
        <stp/>
        <stp>##V3_BDPV12</stp>
        <stp>US639832AD61 Corp</stp>
        <stp>CPN</stp>
        <stp>[portefeuille USD.xlsm]SSA!R5C26_x0000__x0000_</stp>
        <tr r="Z5" s="16"/>
      </tp>
      <tp t="e">
        <v>#N/A</v>
        <stp/>
        <stp>##V3_BDPV12</stp>
        <stp>US298785EN26 Corp</stp>
        <stp>INT_ACC_DT</stp>
        <stp>[portefeuille USD.xlsm]SSA!R44C22_x0000_R</stp>
        <tr r="V44" s="16"/>
      </tp>
      <tp t="e">
        <v>#N/A</v>
        <stp/>
        <stp>##V3_BDPV12</stp>
        <stp>US63983TAC99 Corp</stp>
        <stp>DAY_CNT_DES</stp>
        <stp>[portefeuille USD.xlsm]SSA!R9C29_x0000__x0000_</stp>
        <tr r="AC9" s="16"/>
      </tp>
      <tp t="e">
        <v>#N/A</v>
        <stp/>
        <stp>##V3_BDPV12</stp>
        <stp>US12802DAD84 Corp</stp>
        <stp>INT_ACC_DT</stp>
        <stp>[portefeuille USD.xlsm]SSA!R91C22_x0000__x0000_</stp>
        <tr r="V91" s="16"/>
      </tp>
      <tp t="e">
        <v>#N/A</v>
        <stp/>
        <stp>##V3_BDPV12</stp>
        <stp>US298785FM34 Corp</stp>
        <stp>YLD_YTM_BID</stp>
        <stp>[portefeuille USD.xlsm]SSA!R85C8_x0000__x0000_</stp>
        <tr r="H85" s="16"/>
      </tp>
      <tp t="e">
        <v>#N/A</v>
        <stp/>
        <stp>##V3_BDPV12</stp>
        <stp>US63983UAD46 Corp</stp>
        <stp>INT_ACC_DT</stp>
        <stp>[portefeuille USD.xlsm]SSA!R10C22_x0000__x0000_</stp>
        <tr r="V10" s="16"/>
      </tp>
      <tp t="e">
        <v>#N/A</v>
        <stp/>
        <stp>##V3_BDPV12</stp>
        <stp>US912828NW60 Corp</stp>
        <stp>CPN</stp>
        <stp>[portefeuille USD.xlsm]treasuries!R197C27_x0000__x0000_</stp>
        <tr r="AA197" s="13"/>
      </tp>
      <tp t="e">
        <v>#N/A</v>
        <stp/>
        <stp>##V3_BDPV12</stp>
        <stp>US912828GH76 Corp</stp>
        <stp>CPN</stp>
        <stp>[portefeuille USD.xlsm]treasuries!R181C27_x0000__x0000_</stp>
        <tr r="AA181" s="13"/>
      </tp>
      <tp t="e">
        <v>#N/A</v>
        <stp/>
        <stp>##V3_BDPV12</stp>
        <stp>US912828KW97 Corp</stp>
        <stp>CPN</stp>
        <stp>[portefeuille USD.xlsm]treasuries!R161C27_x0000__x0000_</stp>
        <tr r="AA161" s="13"/>
      </tp>
      <tp t="e">
        <v>#N/A</v>
        <stp/>
        <stp>##V3_BDPV12</stp>
        <stp>US912810QQ40 Corp</stp>
        <stp>CPN</stp>
        <stp>[portefeuille USD.xlsm]treasuries!R282C27_x0000__x0000_</stp>
        <tr r="AA282" s="13"/>
      </tp>
      <tp t="e">
        <v>#N/A</v>
        <stp/>
        <stp>##V3_BDPV12</stp>
        <stp>US912828TB69 Corp</stp>
        <stp>CPN</stp>
        <stp>[portefeuille USD.xlsm]treasuries!R193C27_x0000__x0000_</stp>
        <tr r="AA193" s="13"/>
      </tp>
      <tp t="e">
        <v>#N/A</v>
        <stp/>
        <stp>##V3_BDPV12</stp>
        <stp>US912828RF91 Corp</stp>
        <stp>CPN</stp>
        <stp>[portefeuille USD.xlsm]treasuries!R168C27_x0000__x0000_</stp>
        <tr r="AA168" s="13"/>
      </tp>
      <tp t="e">
        <v>#N/A</v>
        <stp/>
        <stp>##V3_BDPV12</stp>
        <stp>US912810EP94 Corp</stp>
        <stp>CPN</stp>
        <stp>[portefeuille USD.xlsm]treasuries!R251C27_x0000__x0000_</stp>
        <tr r="AA251" s="13"/>
      </tp>
      <tp t="e">
        <v>#N/A</v>
        <stp/>
        <stp>##V3_BDPV12</stp>
        <stp>US912810EL80 Corp</stp>
        <stp>CPN</stp>
        <stp>[portefeuille USD.xlsm]treasuries!R245C27_x0000__x0000_</stp>
        <tr r="AA245" s="13"/>
      </tp>
      <tp t="e">
        <v>#N/A</v>
        <stp/>
        <stp>##V3_BDPV12</stp>
        <stp>EI575402 Corp Corp</stp>
        <stp>CPN_FREQ</stp>
        <stp>[portefeuille USD.xlsm]SSA!R136C27_x0000_2</stp>
        <tr r="AA136" s="16"/>
      </tp>
      <tp t="e">
        <v>#N/A</v>
        <stp/>
        <stp>##V3_BDPV12</stp>
        <stp>US12802DAC02 Corp</stp>
        <stp>PENULTIMATE_CPN_DT</stp>
        <stp>[portefeuille USD.xlsm]SSA!R98C24_x0000__x0000_</stp>
        <tr r="X98" s="16"/>
      </tp>
      <tp t="e">
        <v>#N/A</v>
        <stp/>
        <stp>##V3_BDPV12</stp>
        <stp>US298785FK77 Corp</stp>
        <stp>PENULTIMATE_CPN_DT</stp>
        <stp>[portefeuille USD.xlsm]SSA!R69C24_x0000_R</stp>
        <tr r="X69" s="16"/>
      </tp>
      <tp t="e">
        <v>#N/A</v>
        <stp/>
        <stp>##V3_BDPV12</stp>
        <stp>US29878TCC62 Corp</stp>
        <stp>INT_ACC_DT</stp>
        <stp>[portefeuille USD.xlsm]SSA!R83C22_x0000_R</stp>
        <tr r="V83" s="16"/>
      </tp>
      <tp t="e">
        <v>#N/A</v>
        <stp/>
        <stp>##V3_BDPV12</stp>
        <stp>US63983TAE55 Corp</stp>
        <stp>INT_ACC_DT</stp>
        <stp>[portefeuille USD.xlsm]SSA!R11C22_x0000__x0000_</stp>
        <tr r="V11" s="16"/>
      </tp>
      <tp t="e">
        <v>#N/A</v>
        <stp/>
        <stp>##V3_BDPV12</stp>
        <stp>US298785FL50 Corp</stp>
        <stp>YLD_YTM_BID</stp>
        <stp>[portefeuille USD.xlsm]SSA!R51C8_x0000__x0000_</stp>
        <tr r="H51" s="16"/>
      </tp>
      <tp t="e">
        <v>#N/A</v>
        <stp/>
        <stp>##V3_BDPV12</stp>
        <stp>US63983UAB89 Corp</stp>
        <stp>DAY_CNT_DES</stp>
        <stp>[portefeuille USD.xlsm]SSA!R6C29_x0000__x0000_</stp>
        <tr r="AC6" s="16"/>
      </tp>
      <tp t="e">
        <v>#N/A</v>
        <stp/>
        <stp>##V3_BDPV12</stp>
        <stp>US912828HA15 Corp</stp>
        <stp>CPN</stp>
        <stp>[portefeuille USD.xlsm]treasuries!R196C27_x0000__x0000_</stp>
        <tr r="AA196" s="13"/>
      </tp>
      <tp t="e">
        <v>#N/A</v>
        <stp/>
        <stp>##V3_BDPV12</stp>
        <stp>US912828SS04 Corp</stp>
        <stp>CPN</stp>
        <stp>[portefeuille USD.xlsm]treasuries!R186C27_x0000__x0000_</stp>
        <tr r="AA186" s="13"/>
      </tp>
      <tp t="e">
        <v>#N/A</v>
        <stp/>
        <stp>##V3_BDPV12</stp>
        <stp>US912828NG11 Corp</stp>
        <stp>CPN</stp>
        <stp>[portefeuille USD.xlsm]treasuries!R191C27_x0000__x0000_</stp>
        <tr r="AA191" s="13"/>
      </tp>
      <tp t="e">
        <v>#N/A</v>
        <stp/>
        <stp>##V3_BDPV12</stp>
        <stp>US912828PZ73 Corp</stp>
        <stp>AMT_OUTSTANDING</stp>
        <stp>[portefeuille USD.xlsm]treasuries!R98C28_x0000__x0000_</stp>
        <tr r="AB98" s="13"/>
      </tp>
      <tp t="e">
        <v>#N/A</v>
        <stp/>
        <stp>##V3_BDPV12</stp>
        <stp>US912828SJ05 Corp</stp>
        <stp>CPN</stp>
        <stp>[portefeuille USD.xlsm]treasuries!R183C27_x0000__x0000_</stp>
        <tr r="AA183" s="13"/>
      </tp>
      <tp t="e">
        <v>#N/A</v>
        <stp/>
        <stp>##V3_BDPV12</stp>
        <stp>US912828KJ86 Corp</stp>
        <stp>CPN</stp>
        <stp>[portefeuille USD.xlsm]treasuries!R100C27_x0000__x0000_</stp>
        <tr r="AA100" s="13"/>
      </tp>
      <tp t="e">
        <v>#N/A</v>
        <stp/>
        <stp>##V3_BDPV12</stp>
        <stp>US912828QG83 Corp</stp>
        <stp>CPN</stp>
        <stp>[portefeuille USD.xlsm]treasuries!R207C27_x0000__x0000_</stp>
        <tr r="AA207" s="13"/>
      </tp>
      <tp t="e">
        <v>#N/A</v>
        <stp/>
        <stp>##V3_BDPV12</stp>
        <stp>US912828HV51 Corp</stp>
        <stp>AMT_OUTSTANDING</stp>
        <stp>[portefeuille USD.xlsm]treasuries!R56C28_x0000__x0000_</stp>
        <tr r="AB56" s="13"/>
      </tp>
      <tp t="e">
        <v>#N/A</v>
        <stp/>
        <stp>##V3_BDPV12</stp>
        <stp>US912828QY99 Corp</stp>
        <stp>CPN</stp>
        <stp>[portefeuille USD.xlsm]treasuries!R212C27_x0000__x0000_</stp>
        <tr r="AA212" s="13"/>
      </tp>
      <tp t="e">
        <v>#N/A</v>
        <stp/>
        <stp>##V3_BDPV12</stp>
        <stp>US912828PF10 Corp</stp>
        <stp>CPN</stp>
        <stp>[portefeuille USD.xlsm]treasuries!R199C27_x0000__x0000_</stp>
        <tr r="AA199" s="13"/>
      </tp>
      <tp t="e">
        <v>#N/A</v>
        <stp/>
        <stp>##V3_BDPV12</stp>
        <stp>US912828AP56 Corp</stp>
        <stp>AMT_OUTSTANDING</stp>
        <stp>[portefeuille USD.xlsm]treasuries!R35C28_x0000__x0000_</stp>
        <tr r="AB35" s="13"/>
      </tp>
      <tp t="e">
        <v>#N/A</v>
        <stp/>
        <stp>##V3_BDPV12</stp>
        <stp>US912828PW43 Corp</stp>
        <stp>AMT_OUTSTANDING</stp>
        <stp>[portefeuille USD.xlsm]treasuries!R44C28_x0000__x0000_</stp>
        <tr r="AB44" s="13"/>
      </tp>
      <tp t="e">
        <v>#N/A</v>
        <stp/>
        <stp>##V3_BDPV12</stp>
        <stp>US912828JZ48 Corp</stp>
        <stp>AMT_OUTSTANDING</stp>
        <stp>[portefeuille USD.xlsm]treasuries!R92C28_x0000__x0000_</stp>
        <tr r="AB92" s="13"/>
      </tp>
      <tp t="e">
        <v>#N/A</v>
        <stp/>
        <stp>##V3_BDPV12</stp>
        <stp>US912828RT95 Corp</stp>
        <stp>CPN</stp>
        <stp>[portefeuille USD.xlsm]treasuries!R219C27_x0000__x0000_</stp>
        <tr r="AA219" s="13"/>
      </tp>
      <tp t="e">
        <v>#N/A</v>
        <stp/>
        <stp>##V3_BDPV12</stp>
        <stp>EI791385 Corp Corp</stp>
        <stp>CPN_FREQ</stp>
        <stp>[portefeuille USD.xlsm]SSA!R131C27_x0000_2</stp>
        <tr r="AA131" s="16"/>
      </tp>
      <tp t="e">
        <v>#N/A</v>
        <stp/>
        <stp>##V3_BDPV12</stp>
        <stp>EJ095994 Corp Corp</stp>
        <stp>MATURITY</stp>
        <stp>[portefeuille USD.xlsm]SSA!R130C25_x0000_2</stp>
        <tr r="Y130" s="16"/>
      </tp>
      <tp t="e">
        <v>#N/A</v>
        <stp/>
        <stp>##V3_BDPV12</stp>
        <stp>US12802DAA46 Corp</stp>
        <stp>CPN_FREQ</stp>
        <stp>[portefeuille USD.xlsm]SSA!R94C27_x0000__x0000_</stp>
        <tr r="AA94" s="16"/>
      </tp>
      <tp t="e">
        <v>#N/A</v>
        <stp/>
        <stp>##V3_BDPV12</stp>
        <stp>US63983UAA07 Govt</stp>
        <stp>SECURITY_DES</stp>
        <stp>[portefeuille USD.xlsm]SSA!R4C2_x0000__x0000_</stp>
        <tr r="B4" s="16"/>
      </tp>
      <tp t="e">
        <v>#N/A</v>
        <stp/>
        <stp>##V3_BDPV12</stp>
        <stp>US12802DAD84 Corp</stp>
        <stp>PENULTIMATE_CPN_DT</stp>
        <stp>[portefeuille USD.xlsm]SSA!R91C24_x0000__x0000_</stp>
        <tr r="X91" s="16"/>
      </tp>
      <tp t="e">
        <v>#N/A</v>
        <stp/>
        <stp>##V3_BDPV12</stp>
        <stp>US63983TAA34 Govt</stp>
        <stp>SECURITY_DES</stp>
        <stp>[portefeuille USD.xlsm]SSA!R3C2_x0000__x0000_</stp>
        <tr r="B3" s="16"/>
      </tp>
      <tp t="e">
        <v>#N/A</v>
        <stp/>
        <stp>##V3_BDPV12</stp>
        <stp>US298785EN26 Corp</stp>
        <stp>PENULTIMATE_CPN_DT</stp>
        <stp>[portefeuille USD.xlsm]SSA!R44C24_x0000_R</stp>
        <tr r="X44" s="16"/>
      </tp>
      <tp t="e">
        <v>#N/A</v>
        <stp/>
        <stp>##V3_BDPV12</stp>
        <stp>US63983UAD46 Corp</stp>
        <stp>PENULTIMATE_CPN_DT</stp>
        <stp>[portefeuille USD.xlsm]SSA!R10C24_x0000__x0000_</stp>
        <tr r="X10" s="16"/>
      </tp>
      <tp t="e">
        <v>#N/A</v>
        <stp/>
        <stp>##V3_BDPV12</stp>
        <stp>US298785EK86 Corp</stp>
        <stp>YLD_YTM_BID</stp>
        <stp>[portefeuille USD.xlsm]SSA!R43C8_x0000__x0000_</stp>
        <tr r="H43" s="16"/>
      </tp>
      <tp t="e">
        <v>#N/A</v>
        <stp/>
        <stp>##V3_BDPV12</stp>
        <stp>US298785FJ05 Corp</stp>
        <stp>INT_ACC_DT</stp>
        <stp>[portefeuille USD.xlsm]SSA!R66C22_x0000_R</stp>
        <tr r="V66" s="16"/>
      </tp>
      <tp t="e">
        <v>#N/A</v>
        <stp/>
        <stp>##V3_BDPV12</stp>
        <stp>US63983UAD46 Corp</stp>
        <stp>YLD_YTM_BID</stp>
        <stp>[portefeuille USD.xlsm]SSA!R10C8_x0000_9</stp>
        <tr r="H10" s="16"/>
      </tp>
      <tp t="e">
        <v>#N/A</v>
        <stp/>
        <stp>##V3_BDPV12</stp>
        <stp>US63983UAB89 Corp</stp>
        <stp>CPN</stp>
        <stp>[portefeuille USD.xlsm]SSA!R6C26_x0000_9</stp>
        <tr r="Z6" s="16"/>
      </tp>
      <tp t="e">
        <v>#N/A</v>
        <stp/>
        <stp>##V3_BDPV12</stp>
        <stp>US298785FK77 Corp</stp>
        <stp>YLD_YTM_BID</stp>
        <stp>[portefeuille USD.xlsm]SSA!R69C8_x0000__x0000_</stp>
        <tr r="H69" s="16"/>
      </tp>
      <tp t="e">
        <v>#N/A</v>
        <stp/>
        <stp>##V3_BDPV12</stp>
        <stp>US912828RB87 Corp</stp>
        <stp>CPN</stp>
        <stp>[portefeuille USD.xlsm]treasuries!R114C27_x0000__x0000_</stp>
        <tr r="AA114" s="13"/>
      </tp>
      <tp t="e">
        <v>#N/A</v>
        <stp/>
        <stp>##V3_BDPV12</stp>
        <stp>US912828QB96 Corp</stp>
        <stp>CPN</stp>
        <stp>[portefeuille USD.xlsm]treasuries!R206C27_x0000__x0000_</stp>
        <tr r="AA206" s="13"/>
      </tp>
      <tp t="e">
        <v>#N/A</v>
        <stp/>
        <stp>##V3_BDPV12</stp>
        <stp>US912828TA86 Corp</stp>
        <stp>CPN</stp>
        <stp>[portefeuille USD.xlsm]treasuries!R110C27_x0000__x0000_</stp>
        <tr r="AA110" s="13"/>
      </tp>
      <tp t="e">
        <v>#N/A</v>
        <stp/>
        <stp>##V3_BDPV12</stp>
        <stp>US912810EC81 Corp</stp>
        <stp>CPN</stp>
        <stp>[portefeuille USD.xlsm]treasuries!R222C27_x0000__x0000_</stp>
        <tr r="AA222" s="13"/>
      </tp>
      <tp t="e">
        <v>#N/A</v>
        <stp/>
        <stp>##V3_BDPV12</stp>
        <stp>US912810EG95 Corp</stp>
        <stp>CPN</stp>
        <stp>[portefeuille USD.xlsm]treasuries!R236C27_x0000__x0000_</stp>
        <tr r="AA236" s="13"/>
      </tp>
      <tp t="e">
        <v>#N/A</v>
        <stp/>
        <stp>##V3_BDPV12</stp>
        <stp>US912828KN98 Corp</stp>
        <stp>CPN</stp>
        <stp>[portefeuille USD.xlsm]treasuries!R102C27_x0000__x0000_</stp>
        <tr r="AA102" s="13"/>
      </tp>
      <tp t="e">
        <v>#N/A</v>
        <stp/>
        <stp>##V3_BDPV12</stp>
        <stp>US912828PV69 Corp</stp>
        <stp>AMT_OUTSTANDING</stp>
        <stp>[portefeuille USD.xlsm]treasuries!R40C28_x0000__x0000_</stp>
        <tr r="AB40" s="13"/>
      </tp>
      <tp t="e">
        <v>#N/A</v>
        <stp/>
        <stp>##V3_BDPV12</stp>
        <stp>US912828NU05 Corp</stp>
        <stp>AMT_OUTSTANDING</stp>
        <stp>[portefeuille USD.xlsm]treasuries!R74C28_x0000__x0000_</stp>
        <tr r="AB74" s="13"/>
      </tp>
      <tp t="e">
        <v>#N/A</v>
        <stp/>
        <stp>##V3_BDPV12</stp>
        <stp>US29878TCC62 Corp</stp>
        <stp>PENULTIMATE_CPN_DT</stp>
        <stp>[portefeuille USD.xlsm]SSA!R83C24_x0000_R</stp>
        <tr r="X83" s="16"/>
      </tp>
      <tp t="e">
        <v>#N/A</v>
        <stp/>
        <stp>##V3_BDPV12</stp>
        <stp>US9127955U17 Corp</stp>
        <stp>INT_ACC_DT</stp>
        <stp>[portefeuille USD.xlsm]treasuries!R2C23_x0000__x0000_</stp>
        <tr r="W2" s="13"/>
      </tp>
      <tp t="e">
        <v>#N/A</v>
        <stp/>
        <stp>##V3_BDPV12</stp>
        <stp>US63983TAE55 Corp</stp>
        <stp>PENULTIMATE_CPN_DT</stp>
        <stp>[portefeuille USD.xlsm]SSA!R11C24_x0000__x0000_</stp>
        <tr r="X11" s="16"/>
      </tp>
      <tp t="e">
        <v>#N/A</v>
        <stp/>
        <stp>##V3_BDPV12</stp>
        <stp>US639832AD61 Corp</stp>
        <stp>DAY_CNT_DES</stp>
        <stp>[portefeuille USD.xlsm]SSA!R5C29_x0000__x0000_</stp>
        <tr r="AC5" s="16"/>
      </tp>
      <tp t="e">
        <v>#N/A</v>
        <stp/>
        <stp>##V3_BDPV12</stp>
        <stp>US63983TAC99 Corp</stp>
        <stp>CPN</stp>
        <stp>[portefeuille USD.xlsm]SSA!R9C26_x0000_8</stp>
        <tr r="Z9" s="16"/>
      </tp>
      <tp t="e">
        <v>#N/A</v>
        <stp/>
        <stp>##V3_BDPV12</stp>
        <stp>US12802DAC02 Corp</stp>
        <stp>INT_ACC_DT</stp>
        <stp>[portefeuille USD.xlsm]SSA!R98C22_x0000__x0000_</stp>
        <tr r="V98" s="16"/>
      </tp>
      <tp t="e">
        <v>#N/A</v>
        <stp/>
        <stp>##V3_BDPV12</stp>
        <stp>US63983TAE55 Corp</stp>
        <stp>YLD_YTM_BID</stp>
        <stp>[portefeuille USD.xlsm]SSA!R11C8_x0000__x0000_</stp>
        <tr r="H11" s="16"/>
      </tp>
      <tp t="e">
        <v>#N/A</v>
        <stp/>
        <stp>##V3_BDPV12</stp>
        <stp>US298785FK77 Corp</stp>
        <stp>INT_ACC_DT</stp>
        <stp>[portefeuille USD.xlsm]SSA!R69C22_x0000_R</stp>
        <tr r="V69" s="16"/>
      </tp>
      <tp t="e">
        <v>#N/A</v>
        <stp/>
        <stp>##V3_BDPV12</stp>
        <stp>US298785FJ05 Corp</stp>
        <stp>YLD_YTM_BID</stp>
        <stp>[portefeuille USD.xlsm]SSA!R66C8_x0000__x0000_</stp>
        <tr r="H66" s="16"/>
      </tp>
      <tp t="e">
        <v>#N/A</v>
        <stp/>
        <stp>##V3_BDPV12</stp>
        <stp>US912828DV97 Corp</stp>
        <stp>CPN</stp>
        <stp>[portefeuille USD.xlsm]treasuries!R136C27_x0000__x0000_</stp>
        <tr r="AA136" s="13"/>
      </tp>
      <tp t="e">
        <v>#N/A</v>
        <stp/>
        <stp>##V3_BDPV12</stp>
        <stp>US912828ST86 Corp</stp>
        <stp>CPN</stp>
        <stp>[portefeuille USD.xlsm]treasuries!R226C27_x0000__x0000_</stp>
        <tr r="AA226" s="13"/>
      </tp>
      <tp t="e">
        <v>#N/A</v>
        <stp/>
        <stp>##V3_BDPV12</stp>
        <stp>US912828RY80 Corp</stp>
        <stp>CPN</stp>
        <stp>[portefeuille USD.xlsm]treasuries!R220C27_x0000__x0000_</stp>
        <tr r="AA220" s="13"/>
      </tp>
      <tp t="e">
        <v>#N/A</v>
        <stp/>
        <stp>##V3_BDPV12</stp>
        <stp>US912810QN19 Corp</stp>
        <stp>CPN</stp>
        <stp>[portefeuille USD.xlsm]treasuries!R281C27_x0000__x0000_</stp>
        <tr r="AA281" s="13"/>
      </tp>
      <tp t="e">
        <v>#N/A</v>
        <stp/>
        <stp>##V3_BDPV12</stp>
        <stp>US912810DY11 Corp</stp>
        <stp>CPN</stp>
        <stp>[portefeuille USD.xlsm]treasuries!R189C27_x0000__x0000_</stp>
        <tr r="AA189" s="13"/>
      </tp>
      <tp t="e">
        <v>#N/A</v>
        <stp/>
        <stp>##V3_BDPV12</stp>
        <stp>US912810QW18 Corp</stp>
        <stp>CPN</stp>
        <stp>[portefeuille USD.xlsm]treasuries!R286C27_x0000__x0000_</stp>
        <tr r="AA286" s="13"/>
      </tp>
      <tp t="e">
        <v>#N/A</v>
        <stp/>
        <stp>##V3_BDPV12</stp>
        <stp>US912828HT06 Corp</stp>
        <stp>AMT_OUTSTANDING</stp>
        <stp>[portefeuille USD.xlsm]treasuries!R53C28_x0000__x0000_</stp>
        <tr r="AB53" s="13"/>
      </tp>
      <tp t="e">
        <v>#N/A</v>
        <stp/>
        <stp>##V3_BDPV12</stp>
        <stp>US9127955Z04 Corp</stp>
        <stp>AMT_OUTSTANDING</stp>
        <stp>[portefeuille USD.xlsm]treasuries!R49C28_x0000__x0000_</stp>
        <tr r="AB49" s="13"/>
      </tp>
      <tp t="e">
        <v>#N/A</v>
        <stp/>
        <stp>##V3_BDPV12</stp>
        <stp>US912828MT41 Corp</stp>
        <stp>AMT_OUTSTANDING</stp>
        <stp>[portefeuille USD.xlsm]treasuries!R55C28_x0000__x0000_</stp>
        <tr r="AB55" s="13"/>
      </tp>
      <tp t="e">
        <v>#N/A</v>
        <stp/>
        <stp>##V3_BDPV12</stp>
        <stp>EI954150 Corp Corp</stp>
        <stp>CPN_FREQ</stp>
        <stp>[portefeuille USD.xlsm]SSA!R134C27_x0000_2</stp>
        <tr r="AA134" s="16"/>
      </tp>
      <tp t="e">
        <v>#N/A</v>
        <stp/>
        <stp>##V3_BDPV12</stp>
        <stp>EI791877 Corp Corp</stp>
        <stp>MATURITY</stp>
        <stp>[portefeuille USD.xlsm]SSA!R137C25_x0000_2</stp>
        <tr r="Y137" s="16"/>
      </tp>
      <tp t="e">
        <v>#N/A</v>
        <stp/>
        <stp>##V3_BDPV12</stp>
        <stp>EF501708 Corp Corp</stp>
        <stp>MATURITY</stp>
        <stp>[portefeuille USD.xlsm]SSA!R135C25_x0000_2</stp>
        <tr r="Y135" s="16"/>
      </tp>
      <tp t="e">
        <v>#N/A</v>
        <stp/>
        <stp>##V3_BDPV12</stp>
        <stp>US12802DAD84 Corp</stp>
        <stp>CPN_FREQ</stp>
        <stp>[portefeuille USD.xlsm]SSA!R91C27_x0000__x0000_</stp>
        <tr r="AA91" s="16"/>
      </tp>
      <tp t="e">
        <v>#N/A</v>
        <stp/>
        <stp>##V3_BDPV12</stp>
        <stp>US63983TAC99 Govt</stp>
        <stp>SECURITY_DES</stp>
        <stp>[portefeuille USD.xlsm]SSA!R9C2_x0000__x0000_</stp>
        <tr r="B9" s="16"/>
      </tp>
      <tp t="e">
        <v>#N/A</v>
        <stp/>
        <stp>##V3_BDPV12</stp>
        <stp>US912828SM34 Corp</stp>
        <stp>CPN</stp>
        <stp>[portefeuille USD.xlsm]treasuries!R185C27_x0000__x0000_</stp>
        <tr r="AA185" s="13"/>
      </tp>
      <tp t="e">
        <v>#N/A</v>
        <stp/>
        <stp>##V3_BDPV12</stp>
        <stp>US912828NK23 Corp</stp>
        <stp>CPN</stp>
        <stp>[portefeuille USD.xlsm]treasuries!R192C27_x0000__x0000_</stp>
        <tr r="AA192" s="13"/>
      </tp>
      <tp t="e">
        <v>#N/A</v>
        <stp/>
        <stp>##V3_BDPV12</stp>
        <stp>US912828SX98 Corp</stp>
        <stp>CPN</stp>
        <stp>[portefeuille USD.xlsm]treasuries!R228C27_x0000__x0000_</stp>
        <tr r="AA228" s="13"/>
      </tp>
      <tp t="e">
        <v>#N/A</v>
        <stp/>
        <stp>##V3_BDPV12</stp>
        <stp>US912828PC88 Corp</stp>
        <stp>CPN</stp>
        <stp>[portefeuille USD.xlsm]treasuries!R238C27_x0000__x0000_</stp>
        <tr r="AA238" s="13"/>
      </tp>
      <tp t="e">
        <v>#N/A</v>
        <stp/>
        <stp>##V3_BDPV12</stp>
        <stp>US912828DM98 Corp</stp>
        <stp>CPN</stp>
        <stp>[portefeuille USD.xlsm]treasuries!R128C27_x0000__x0000_</stp>
        <tr r="AA128" s="13"/>
      </tp>
      <tp t="e">
        <v>#N/A</v>
        <stp/>
        <stp>##V3_BDPV12</stp>
        <stp>US912828LR93 Corp</stp>
        <stp>AMT_OUTSTANDING</stp>
        <stp>[portefeuille USD.xlsm]treasuries!R27C28_x0000__x0000_</stp>
        <tr r="AB27" s="13"/>
      </tp>
      <tp t="e">
        <v>#N/A</v>
        <stp/>
        <stp>##V3_BDPV12</stp>
        <stp>US912828MR84 Corp</stp>
        <stp>CPN</stp>
        <stp>[portefeuille USD.xlsm]treasuries!R130C27_x0000__x0000_</stp>
        <tr r="AA130" s="13"/>
      </tp>
      <tp t="e">
        <v>#N/A</v>
        <stp/>
        <stp>##V3_BDPV12</stp>
        <stp>US912828PA23 Corp</stp>
        <stp>CPN</stp>
        <stp>[portefeuille USD.xlsm]treasuries!R198C27_x0000__x0000_</stp>
        <tr r="AA198" s="13"/>
      </tp>
      <tp t="e">
        <v>#N/A</v>
        <stp/>
        <stp>##V3_BDPV12</stp>
        <stp>US912828GS32 Corp</stp>
        <stp>CPN</stp>
        <stp>[portefeuille USD.xlsm]treasuries!R188C27_x0000__x0000_</stp>
        <tr r="AA188" s="13"/>
      </tp>
      <tp t="e">
        <v>#N/A</v>
        <stp/>
        <stp>##V3_BDPV12</stp>
        <stp>US912828QW34 Corp</stp>
        <stp>AMT_OUTSTANDING</stp>
        <stp>[portefeuille USD.xlsm]treasuries!R73C28_x0000__x0000_</stp>
        <tr r="AB73" s="13"/>
      </tp>
      <tp t="e">
        <v>#N/A</v>
        <stp/>
        <stp>##V3_BDPV12</stp>
        <stp>US912810QS06 Corp</stp>
        <stp>CPN</stp>
        <stp>[portefeuille USD.xlsm]treasuries!R283C27_x0000__x0000_</stp>
        <tr r="AA283" s="13"/>
      </tp>
      <tp t="e">
        <v>#N/A</v>
        <stp/>
        <stp>##V3_BDPV12</stp>
        <stp>US912828AU42 Corp</stp>
        <stp>AMT_OUTSTANDING</stp>
        <stp>[portefeuille USD.xlsm]treasuries!R50C28_x0000__x0000_</stp>
        <tr r="AB50" s="13"/>
      </tp>
      <tp t="e">
        <v>#N/A</v>
        <stp/>
        <stp>##V3_BDPV12</stp>
        <stp>US912828ND89 Corp</stp>
        <stp>CPN</stp>
        <stp>[portefeuille USD.xlsm]treasuries!R235C27_x0000__x0000_</stp>
        <tr r="AA235" s="13"/>
      </tp>
      <tp t="e">
        <v>#N/A</v>
        <stp/>
        <stp>##V3_BDPV12</stp>
        <stp>EI355035 Corp Corp</stp>
        <stp>CPN_FREQ</stp>
        <stp>[portefeuille USD.xlsm]SSA!R132C27_x0000_2</stp>
        <tr r="AA132" s="16"/>
      </tp>
      <tp t="e">
        <v>#N/A</v>
        <stp/>
        <stp>##V3_BDPV12</stp>
        <stp>USN9638CAY59 Corp</stp>
        <stp>ISSUE_DT</stp>
        <stp>[portefeuille USD.xlsm]SSA!R12C21_x0000__x0000_</stp>
        <tr r="U12" s="16"/>
      </tp>
      <tp t="e">
        <v>#N/A</v>
        <stp/>
        <stp>##V3_BDPV12</stp>
        <stp>USN9638CAY59 Corp</stp>
        <stp>MATURITY</stp>
        <stp>[portefeuille USD.xlsm]SSA!R12C25_x0000__x0000_</stp>
        <tr r="Y12" s="16"/>
      </tp>
      <tp t="e">
        <v>#N/A</v>
        <stp/>
        <stp>##V3_BDPV12</stp>
        <stp>US298785FN17 Corp</stp>
        <stp>PENULTIMATE_CPN_DT</stp>
        <stp>[portefeuille USD.xlsm]SSA!R70C24_x0000_R</stp>
        <tr r="X70" s="16"/>
      </tp>
      <tp t="e">
        <v>#N/A</v>
        <stp/>
        <stp>##V3_BDPV12</stp>
        <stp>US9127955X55 Corp</stp>
        <stp>INT_ACC_DT</stp>
        <stp>[portefeuille USD.xlsm]treasuries!R5C23_x0000_8</stp>
        <tr r="W5" s="13"/>
      </tp>
      <tp t="e">
        <v>#N/A</v>
        <stp/>
        <stp>##V3_BDPV12</stp>
        <stp>US9127954B45 Corp</stp>
        <stp>INT_ACC_DT</stp>
        <stp>[portefeuille USD.xlsm]treasuries!R6C23_x0000_8</stp>
        <tr r="W6" s="13"/>
      </tp>
      <tp t="e">
        <v>#N/A</v>
        <stp/>
        <stp>##V3_BDPV12</stp>
        <stp>US298785FL50 Corp</stp>
        <stp>PENULTIMATE_CPN_DT</stp>
        <stp>[portefeuille USD.xlsm]SSA!R51C24_x0000_R</stp>
        <tr r="X51" s="16"/>
      </tp>
      <tp t="e">
        <v>#N/A</v>
        <stp/>
        <stp>##V3_BDPV12</stp>
        <stp>US63983UAB89 Govt</stp>
        <stp>SECURITY_DES</stp>
        <stp>[portefeuille USD.xlsm]SSA!R6C2_x0000__x0000_</stp>
        <tr r="B6" s="16"/>
      </tp>
      <tp t="e">
        <v>#N/A</v>
        <stp/>
        <stp>##V3_BDPV12</stp>
        <stp>US298785FH49 Corp</stp>
        <stp>YLD_YTM_BID</stp>
        <stp>[portefeuille USD.xlsm]SSA!R84C8_x0000__x0000_</stp>
        <tr r="H84" s="16"/>
      </tp>
      <tp t="e">
        <v>#N/A</v>
        <stp/>
        <stp>##V3_BDPV12</stp>
        <stp>US63983TAA34 Corp</stp>
        <stp>CPN</stp>
        <stp>[portefeuille USD.xlsm]SSA!R3C26_x0000_6</stp>
        <tr r="Z3" s="16"/>
      </tp>
      <tp t="e">
        <v>#N/A</v>
        <stp/>
        <stp>##V3_BDPV12</stp>
        <stp>US63983UAA07 Corp</stp>
        <stp>CPN</stp>
        <stp>[portefeuille USD.xlsm]SSA!R4C26_x0000_5</stp>
        <tr r="Z4" s="16"/>
      </tp>
      <tp t="e">
        <v>#N/A</v>
        <stp/>
        <stp>##V3_BDPV12</stp>
        <stp>US12802NAA28 Corp</stp>
        <stp>INT_ACC_DT</stp>
        <stp>[portefeuille USD.xlsm]SSA!R95C22_x0000__x0000_</stp>
        <tr r="V95" s="16"/>
      </tp>
      <tp t="e">
        <v>#N/A</v>
        <stp/>
        <stp>##V3_BDPV12</stp>
        <stp>US298785EK86 Corp</stp>
        <stp>INT_ACC_DT</stp>
        <stp>[portefeuille USD.xlsm]SSA!R43C22_x0000_R</stp>
        <tr r="V43" s="16"/>
      </tp>
      <tp t="e">
        <v>#N/A</v>
        <stp/>
        <stp>##V3_BDPV12</stp>
        <stp>US12802DAA46 Corp</stp>
        <stp>INT_ACC_DT</stp>
        <stp>[portefeuille USD.xlsm]SSA!R94C22_x0000__x0000_</stp>
        <tr r="V94" s="16"/>
      </tp>
      <tp t="e">
        <v>#N/A</v>
        <stp/>
        <stp>##V3_BDPV12</stp>
        <stp>US912828RW25 Corp</stp>
        <stp>AMT_OUTSTANDING</stp>
        <stp>[portefeuille USD.xlsm]treasuries!R89C28_x0000__x0000_</stp>
        <tr r="AB89" s="13"/>
      </tp>
      <tp t="e">
        <v>#N/A</v>
        <stp/>
        <stp>##V3_BDPV12</stp>
        <stp>US912828LL24 Corp</stp>
        <stp>CPN</stp>
        <stp>[portefeuille USD.xlsm]treasuries!R167C27_x0000__x0000_</stp>
        <tr r="AA167" s="13"/>
      </tp>
      <tp t="e">
        <v>#N/A</v>
        <stp/>
        <stp>##V3_BDPV12</stp>
        <stp>US912828CT50 Corp</stp>
        <stp>CPN</stp>
        <stp>[portefeuille USD.xlsm]treasuries!R113C27_x0000__x0000_</stp>
        <tr r="AA113" s="13"/>
      </tp>
      <tp t="e">
        <v>#N/A</v>
        <stp/>
        <stp>##V3_BDPV12</stp>
        <stp>US912828RH57 Corp</stp>
        <stp>CPN</stp>
        <stp>[portefeuille USD.xlsm]treasuries!R215C27_x0000__x0000_</stp>
        <tr r="AA215" s="13"/>
      </tp>
      <tp t="e">
        <v>#N/A</v>
        <stp/>
        <stp>##V3_BDPV12</stp>
        <stp>US912810EE48 Corp</stp>
        <stp>CPN</stp>
        <stp>[portefeuille USD.xlsm]treasuries!R232C27_x0000__x0000_</stp>
        <tr r="AA232" s="13"/>
      </tp>
      <tp t="e">
        <v>#N/A</v>
        <stp/>
        <stp>##V3_BDPV12</stp>
        <stp>US912828QA14 Corp</stp>
        <stp>CPN</stp>
        <stp>[portefeuille USD.xlsm]treasuries!R155C27_x0000__x0000_</stp>
        <tr r="AA155" s="13"/>
      </tp>
      <tp t="e">
        <v>#N/A</v>
        <stp/>
        <stp>##V3_BDPV12</stp>
        <stp>US912828HY90 Corp</stp>
        <stp>AMT_OUTSTANDING</stp>
        <stp>[portefeuille USD.xlsm]treasuries!R61C28_x0000__x0000_</stp>
        <tr r="AB61" s="13"/>
      </tp>
      <tp t="e">
        <v>#N/A</v>
        <stp/>
        <stp>##V3_BDPV12</stp>
        <stp>US912828SK77 Corp</stp>
        <stp>CPN</stp>
        <stp>[portefeuille USD.xlsm]treasuries!R131C27_x0000__x0000_</stp>
        <tr r="AA131" s="13"/>
      </tp>
      <tp t="e">
        <v>#N/A</v>
        <stp/>
        <stp>##V3_BDPV12</stp>
        <stp>US912828PN44 Corp</stp>
        <stp>CPN</stp>
        <stp>[portefeuille USD.xlsm]treasuries!R202C27_x0000__x0000_</stp>
        <tr r="AA202" s="13"/>
      </tp>
      <tp t="e">
        <v>#N/A</v>
        <stp/>
        <stp>##V3_BDPV12</stp>
        <stp>US912810EX29 Corp</stp>
        <stp>CPN</stp>
        <stp>[portefeuille USD.xlsm]treasuries!R257C27_x0000__x0000_</stp>
        <tr r="AA257" s="13"/>
      </tp>
      <tp t="e">
        <v>#N/A</v>
        <stp/>
        <stp>##V3_BDPV12</stp>
        <stp>US9127956S51 Corp</stp>
        <stp>AMT_OUTSTANDING</stp>
        <stp>[portefeuille USD.xlsm]treasuries!R33C28_x0000__x0000_</stp>
        <tr r="AB33" s="13"/>
      </tp>
      <tp t="e">
        <v>#N/A</v>
        <stp/>
        <stp>##V3_BDPV12</stp>
        <stp>US912828HR40 Corp</stp>
        <stp>CPN</stp>
        <stp>[portefeuille USD.xlsm]treasuries!R204C27_x0000__x0000_</stp>
        <tr r="AA204" s="13"/>
      </tp>
      <tp t="e">
        <v>#N/A</v>
        <stp/>
        <stp>##V3_BDPV12</stp>
        <stp>US912828KZ29 Corp</stp>
        <stp>CPN</stp>
        <stp>[portefeuille USD.xlsm]treasuries!R162C27_x0000__x0000_</stp>
        <tr r="AA162" s="13"/>
      </tp>
      <tp t="e">
        <v>#N/A</v>
        <stp/>
        <stp>##V3_BDPV12</stp>
        <stp>US912828MW79 Corp</stp>
        <stp>CPN</stp>
        <stp>[portefeuille USD.xlsm]treasuries!R132C27_x0000__x0000_</stp>
        <tr r="AA132" s="13"/>
      </tp>
      <tp t="e">
        <v>#N/A</v>
        <stp/>
        <stp>##V3_BDPV12</stp>
        <stp>US912828MK32 Corp</stp>
        <stp>CPN</stp>
        <stp>[portefeuille USD.xlsm]treasuries!R179C27_x0000__x0000_</stp>
        <tr r="AA179" s="13"/>
      </tp>
      <tp t="e">
        <v>#N/A</v>
        <stp/>
        <stp>##V3_BDPV12</stp>
        <stp>US912810PX00 Corp</stp>
        <stp>CPN</stp>
        <stp>[portefeuille USD.xlsm]treasuries!R272C27_x0000__x0000_</stp>
        <tr r="AA272" s="13"/>
      </tp>
      <tp t="e">
        <v>#N/A</v>
        <stp/>
        <stp>##V3_BDPV12</stp>
        <stp>US912810FA17 Corp</stp>
        <stp>CPN</stp>
        <stp>[portefeuille USD.xlsm]treasuries!R260C27_x0000__x0000_</stp>
        <tr r="AA260" s="13"/>
      </tp>
      <tp t="e">
        <v>#N/A</v>
        <stp/>
        <stp>##V3_BDPV12</stp>
        <stp>US912810EJ35 Corp</stp>
        <stp>CPN</stp>
        <stp>[portefeuille USD.xlsm]treasuries!R242C27_x0000__x0000_</stp>
        <tr r="AA242" s="13"/>
      </tp>
      <tp t="e">
        <v>#N/A</v>
        <stp/>
        <stp>##V3_BDPV12</stp>
        <stp>EI472618 Corp Corp</stp>
        <stp>MATURITY</stp>
        <stp>[portefeuille USD.xlsm]SSA!R139C25_x0000_2</stp>
        <tr r="Y139" s="16"/>
      </tp>
      <tp t="e">
        <v>#N/A</v>
        <stp/>
        <stp>##V3_BDPV12</stp>
        <stp>EH828973 Corp Corp</stp>
        <stp>CPN_FREQ</stp>
        <stp>[portefeuille USD.xlsm]SSA!R142C27_x0000_2</stp>
        <tr r="AA142" s="16"/>
      </tp>
      <tp t="e">
        <v>#N/A</v>
        <stp/>
        <stp>##V3_BDPV12</stp>
        <stp>EI697819 Corp Corp</stp>
        <stp>CPN_FREQ</stp>
        <stp>[portefeuille USD.xlsm]SSA!R141C27_x0000_2</stp>
        <tr r="AA141" s="16"/>
      </tp>
      <tp t="e">
        <v>#N/A</v>
        <stp/>
        <stp>##V3_BDPV12</stp>
        <stp>US912795Y967 Govt</stp>
        <stp>SECURITY_DES</stp>
        <stp>[portefeuille USD.xlsm]treasuries!R14C2_x0000__x0000_</stp>
        <tr r="B14" s="13"/>
      </tp>
      <tp t="e">
        <v>#N/A</v>
        <stp/>
        <stp>##V3_BDPV12</stp>
        <stp>US12802DAC02 Corp</stp>
        <stp>ISSUE_DT</stp>
        <stp>[portefeuille USD.xlsm]SSA!R98C21_x0000__x0000_</stp>
        <tr r="U98" s="16"/>
      </tp>
      <tp t="e">
        <v>#N/A</v>
        <stp/>
        <stp>##V3_BDPV12</stp>
        <stp>US12802NAA28 Corp</stp>
        <stp>ISSUE_DT</stp>
        <stp>[portefeuille USD.xlsm]SSA!R95C21_x0000__x0000_</stp>
        <tr r="U95" s="16"/>
      </tp>
      <tp t="e">
        <v>#N/A</v>
        <stp/>
        <stp>##V3_BDPV12</stp>
        <stp>US12802DAC02 Corp</stp>
        <stp>MATURITY</stp>
        <stp>[portefeuille USD.xlsm]SSA!R98C25_x0000__x0000_</stp>
        <tr r="Y98" s="16"/>
      </tp>
      <tp t="e">
        <v>#N/A</v>
        <stp/>
        <stp>##V3_BDPV12</stp>
        <stp>US12802NAA28 Corp</stp>
        <stp>MATURITY</stp>
        <stp>[portefeuille USD.xlsm]SSA!R95C25_x0000__x0000_</stp>
        <tr r="Y95" s="16"/>
      </tp>
      <tp t="e">
        <v>#N/A</v>
        <stp/>
        <stp>##V3_BDPV12</stp>
        <stp>US298785EA05 Corp</stp>
        <stp>PENULTIMATE_CPN_DT</stp>
        <stp>[portefeuille USD.xlsm]SSA!R76C24_x0000_R</stp>
        <tr r="X76" s="16"/>
      </tp>
      <tp t="e">
        <v>#N/A</v>
        <stp/>
        <stp>##V3_BDPV12</stp>
        <stp>US298785FH49 Corp</stp>
        <stp>INT_ACC_DT</stp>
        <stp>[portefeuille USD.xlsm]SSA!R84C22_x0000_R</stp>
        <tr r="V84" s="16"/>
      </tp>
      <tp t="e">
        <v>#N/A</v>
        <stp/>
        <stp>##V3_BDPV12</stp>
        <stp>US298785EG74 Corp</stp>
        <stp>INT_ACC_DT</stp>
        <stp>[portefeuille USD.xlsm]SSA!R78C22_x0000_R</stp>
        <tr r="V78" s="16"/>
      </tp>
      <tp t="e">
        <v>#N/A</v>
        <stp/>
        <stp>##V3_BDPV12</stp>
        <stp>US298785FG65 Corp</stp>
        <stp>YLD_YTM_BID</stp>
        <stp>[portefeuille USD.xlsm]SSA!R65C8_x0000__x0000_</stp>
        <tr r="H65" s="16"/>
      </tp>
      <tp t="e">
        <v>#N/A</v>
        <stp/>
        <stp>##V3_BDPV12</stp>
        <stp>US298785EG74 Corp</stp>
        <stp>YLD_YTM_BID</stp>
        <stp>[portefeuille USD.xlsm]SSA!R78C8_x0000__x0000_</stp>
        <tr r="H78" s="16"/>
      </tp>
      <tp t="e">
        <v>#N/A</v>
        <stp/>
        <stp>##V3_BDPV12</stp>
        <stp>US912828JH40 Corp</stp>
        <stp>CPN</stp>
        <stp>[portefeuille USD.xlsm]treasuries!R213C27_x0000__x0000_</stp>
        <tr r="AA213" s="13"/>
      </tp>
      <tp t="e">
        <v>#N/A</v>
        <stp/>
        <stp>##V3_BDPV12</stp>
        <stp>US912828NY27 Corp</stp>
        <stp>AMT_OUTSTANDING</stp>
        <stp>[portefeuille USD.xlsm]treasuries!R78C28_x0000__x0000_</stp>
        <tr r="AB78" s="13"/>
      </tp>
      <tp t="e">
        <v>#N/A</v>
        <stp/>
        <stp>##V3_BDPV12</stp>
        <stp>US912828LP38 Corp</stp>
        <stp>CPN</stp>
        <stp>[portefeuille USD.xlsm]treasuries!R169C27_x0000__x0000_</stp>
        <tr r="AA169" s="13"/>
      </tp>
      <tp t="e">
        <v>#N/A</v>
        <stp/>
        <stp>##V3_BDPV12</stp>
        <stp>US912828LU23 Corp</stp>
        <stp>CPN</stp>
        <stp>[portefeuille USD.xlsm]treasuries!R172C27_x0000__x0000_</stp>
        <tr r="AA172" s="13"/>
      </tp>
      <tp t="e">
        <v>#N/A</v>
        <stp/>
        <stp>##V3_BDPV12</stp>
        <stp>US912828SP64 Corp</stp>
        <stp>CPN</stp>
        <stp>[portefeuille USD.xlsm]treasuries!R133C27_x0000__x0000_</stp>
        <tr r="AA133" s="13"/>
      </tp>
      <tp t="e">
        <v>#N/A</v>
        <stp/>
        <stp>##V3_BDPV12</stp>
        <stp>US912828QF01 Corp</stp>
        <stp>CPN</stp>
        <stp>[portefeuille USD.xlsm]treasuries!R156C27_x0000__x0000_</stp>
        <tr r="AA156" s="13"/>
      </tp>
      <tp t="e">
        <v>#N/A</v>
        <stp/>
        <stp>##V3_BDPV12</stp>
        <stp>US912828QM51 Corp</stp>
        <stp>CPN</stp>
        <stp>[portefeuille USD.xlsm]treasuries!R104C27_x0000__x0000_</stp>
        <tr r="AA104" s="13"/>
      </tp>
      <tp t="e">
        <v>#N/A</v>
        <stp/>
        <stp>##V3_BDPV12</stp>
        <stp>US912828ME71 Corp</stp>
        <stp>CPN</stp>
        <stp>[portefeuille USD.xlsm]treasuries!R124C27_x0000__x0000_</stp>
        <tr r="AA124" s="13"/>
      </tp>
      <tp t="e">
        <v>#N/A</v>
        <stp/>
        <stp>##V3_BDPV12</stp>
        <stp>US912828KR03 Corp</stp>
        <stp>CPN</stp>
        <stp>[portefeuille USD.xlsm]treasuries!R157C27_x0000__x0000_</stp>
        <tr r="AA157" s="13"/>
      </tp>
      <tp t="e">
        <v>#N/A</v>
        <stp/>
        <stp>##V3_BDPV12</stp>
        <stp>US912828LK41 Corp</stp>
        <stp>CPN</stp>
        <stp>[portefeuille USD.xlsm]treasuries!R115C27_x0000__x0000_</stp>
        <tr r="AA115" s="13"/>
      </tp>
      <tp t="e">
        <v>#N/A</v>
        <stp/>
        <stp>##V3_BDPV12</stp>
        <stp>US912810DT26 Corp</stp>
        <stp>CPN</stp>
        <stp>[portefeuille USD.xlsm]treasuries!R145C27_x0000__x0000_</stp>
        <tr r="AA145" s="13"/>
      </tp>
      <tp t="e">
        <v>#N/A</v>
        <stp/>
        <stp>##V3_BDPV12</stp>
        <stp>US912828KY53 Corp</stp>
        <stp>CPN</stp>
        <stp>[portefeuille USD.xlsm]treasuries!R109C27_x0000__x0000_</stp>
        <tr r="AA109" s="13"/>
      </tp>
      <tp t="e">
        <v>#N/A</v>
        <stp/>
        <stp>##V3_BDPV12</stp>
        <stp>US912828JW17 Corp</stp>
        <stp>AMT_OUTSTANDING</stp>
        <stp>[portefeuille USD.xlsm]treasuries!R90C28_x0000__x0000_</stp>
        <tr r="AB90" s="13"/>
      </tp>
      <tp t="e">
        <v>#N/A</v>
        <stp/>
        <stp>##V3_BDPV12</stp>
        <stp>US912810FT08 Corp</stp>
        <stp>CPN</stp>
        <stp>[portefeuille USD.xlsm]treasuries!R268C27_x0000__x0000_</stp>
        <tr r="AA268" s="13"/>
      </tp>
      <tp t="e">
        <v>#N/A</v>
        <stp/>
        <stp>##V3_BDPV12</stp>
        <stp>US912810QE10 Corp</stp>
        <stp>CPN</stp>
        <stp>[portefeuille USD.xlsm]treasuries!R277C27_x0000__x0000_</stp>
        <tr r="AA277" s="13"/>
      </tp>
      <tp t="e">
        <v>#N/A</v>
        <stp/>
        <stp>##V3_BDPV12</stp>
        <stp>US912810FF04 Corp</stp>
        <stp>CPN</stp>
        <stp>[portefeuille USD.xlsm]treasuries!R263C27_x0000__x0000_</stp>
        <tr r="AA263" s="13"/>
      </tp>
      <tp t="e">
        <v>#N/A</v>
        <stp/>
        <stp>##V3_BDPV12</stp>
        <stp>US912810ES34 Corp</stp>
        <stp>CPN</stp>
        <stp>[portefeuille USD.xlsm]treasuries!R253C27_x0000__x0000_</stp>
        <tr r="AA253" s="13"/>
      </tp>
      <tp t="e">
        <v>#N/A</v>
        <stp/>
        <stp>##V3_BDPV12</stp>
        <stp>US912828LJ77 Corp</stp>
        <stp>CPN</stp>
        <stp>[portefeuille USD.xlsm]treasuries!R229C27_x0000__x0000_</stp>
        <tr r="AA229" s="13"/>
      </tp>
      <tp t="e">
        <v>#N/A</v>
        <stp/>
        <stp>##V3_BDPV12</stp>
        <stp>EH531108 Corp Corp</stp>
        <stp>MATURITY</stp>
        <stp>[portefeuille USD.xlsm]SSA!R143C25_x0000_2</stp>
        <tr r="Y143" s="16"/>
      </tp>
      <tp t="e">
        <v>#N/A</v>
        <stp/>
        <stp>##V3_BDPV12</stp>
        <stp>EG524914 Corp Corp</stp>
        <stp>MATURITY</stp>
        <stp>[portefeuille USD.xlsm]SSA!R133C25_x0000_2</stp>
        <tr r="Y133" s="16"/>
      </tp>
      <tp t="e">
        <v>#N/A</v>
        <stp/>
        <stp>##V3_BDPV12</stp>
        <stp>EI265078 Corp Corp</stp>
        <stp>MATURITY</stp>
        <stp>[portefeuille USD.xlsm]SSA!R144C25_x0000_2</stp>
        <tr r="Y144" s="16"/>
      </tp>
      <tp t="e">
        <v>#N/A</v>
        <stp/>
        <stp>##V3_BDPV12</stp>
        <stp>ED650463 Corp Corp</stp>
        <stp>CPN_FREQ</stp>
        <stp>[portefeuille USD.xlsm]SSA!R140C27_x0000_2</stp>
        <tr r="AA140" s="16"/>
      </tp>
      <tp t="e">
        <v>#N/A</v>
        <stp/>
        <stp>##V3_BDPV12</stp>
        <stp>US12802DAB29 Corp</stp>
        <stp>MATURITY</stp>
        <stp>[portefeuille USD.xlsm]SSA!R102C25_x0000__x0000_</stp>
        <tr r="Y102" s="16"/>
      </tp>
      <tp t="e">
        <v>#N/A</v>
        <stp/>
        <stp>##V3_BDPV12</stp>
        <stp>US12802NAB01 Corp</stp>
        <stp>MATURITY</stp>
        <stp>[portefeuille USD.xlsm]SSA!R101C25_x0000__x0000_</stp>
        <tr r="Y101" s="16"/>
      </tp>
      <tp t="e">
        <v>#N/A</v>
        <stp/>
        <stp>##V3_BDPV12</stp>
        <stp>US298785FC51 Corp</stp>
        <stp>PENULTIMATE_CPN_DT</stp>
        <stp>[portefeuille USD.xlsm]SSA!R42C24_x0000_R</stp>
        <tr r="X42" s="16"/>
      </tp>
      <tp t="e">
        <v>#N/A</v>
        <stp/>
        <stp>##V3_BDPV12</stp>
        <stp>US298785FF82 Corp</stp>
        <stp>YLD_YTM_BID</stp>
        <stp>[portefeuille USD.xlsm]SSA!R49C8_x0000__x0000_</stp>
        <tr r="H49" s="16"/>
      </tp>
      <tp t="e">
        <v>#N/A</v>
        <stp/>
        <stp>##V3_BDPV12</stp>
        <stp>US298785FE18 Corp</stp>
        <stp>INT_ACC_DT</stp>
        <stp>[portefeuille USD.xlsm]SSA!R47C22_x0000_R</stp>
        <tr r="V47" s="16"/>
      </tp>
      <tp t="e">
        <v>#N/A</v>
        <stp/>
        <stp>##V3_BDPV12</stp>
        <stp>US298785DD52 Corp</stp>
        <stp>INT_ACC_DT</stp>
        <stp>[portefeuille USD.xlsm]SSA!R56C22_x0000_R</stp>
        <tr r="V56" s="16"/>
      </tp>
      <tp t="e">
        <v>#N/A</v>
        <stp/>
        <stp>##V3_BDPV12</stp>
        <stp>US298785FG65 Corp</stp>
        <stp>INT_ACC_DT</stp>
        <stp>[portefeuille USD.xlsm]SSA!R65C22_x0000_R</stp>
        <tr r="V65" s="16"/>
      </tp>
      <tp t="e">
        <v>#N/A</v>
        <stp/>
        <stp>##V3_BDPV12</stp>
        <stp>US12802DAA46 Corp</stp>
        <stp>YLD_YTM_ASK</stp>
        <stp>[portefeuille USD.xlsm]SSA!R94C8_x0000__x0000_</stp>
        <tr r="H94" s="16"/>
      </tp>
      <tp t="e">
        <v>#N/A</v>
        <stp/>
        <stp>##V3_BDPV12</stp>
        <stp>US12802NAA28 Corp</stp>
        <stp>YLD_YTM_ASK</stp>
        <stp>[portefeuille USD.xlsm]SSA!R95C8_x0000__x0000_</stp>
        <tr r="H95" s="16"/>
      </tp>
      <tp t="e">
        <v>#N/A</v>
        <stp/>
        <stp>##V3_BDPV12</stp>
        <stp>US912810FE39 Corp</stp>
        <stp>CPN</stp>
        <stp>[portefeuille USD.xlsm]treasuries!R262C27_x0000__x0000_</stp>
        <tr r="AA262" s="13"/>
      </tp>
      <tp t="e">
        <v>#N/A</v>
        <stp/>
        <stp>##V3_BDPV12</stp>
        <stp>US912828RG74 Corp</stp>
        <stp>CPN</stp>
        <stp>[portefeuille USD.xlsm]treasuries!R116C27_x0000__x0000_</stp>
        <tr r="AA116" s="13"/>
      </tp>
      <tp t="e">
        <v>#N/A</v>
        <stp/>
        <stp>##V3_BDPV12</stp>
        <stp>US912810EY02 Corp</stp>
        <stp>CPN</stp>
        <stp>[portefeuille USD.xlsm]treasuries!R258C27_x0000__x0000_</stp>
        <tr r="AA258" s="13"/>
      </tp>
      <tp t="e">
        <v>#N/A</v>
        <stp/>
        <stp>##V3_BDPV12</stp>
        <stp>US912828RV42 Corp</stp>
        <stp>CPN</stp>
        <stp>[portefeuille USD.xlsm]treasuries!R123C27_x0000__x0000_</stp>
        <tr r="AA123" s="13"/>
      </tp>
      <tp t="e">
        <v>#N/A</v>
        <stp/>
        <stp>##V3_BDPV12</stp>
        <stp>US912828HH67 Corp</stp>
        <stp>CPN</stp>
        <stp>[portefeuille USD.xlsm]treasuries!R200C27_x0000__x0000_</stp>
        <tr r="AA200" s="13"/>
      </tp>
      <tp t="e">
        <v>#N/A</v>
        <stp/>
        <stp>##V3_BDPV12</stp>
        <stp>US912828QU77 Corp</stp>
        <stp>CPN</stp>
        <stp>[portefeuille USD.xlsm]treasuries!R111C27_x0000__x0000_</stp>
        <tr r="AA111" s="13"/>
      </tp>
      <tp t="e">
        <v>#N/A</v>
        <stp/>
        <stp>##V3_BDPV12</stp>
        <stp>US912828RP73 Corp</stp>
        <stp>CPN</stp>
        <stp>[portefeuille USD.xlsm]treasuries!R216C27_x0000__x0000_</stp>
        <tr r="AA216" s="13"/>
      </tp>
      <tp t="e">
        <v>#N/A</v>
        <stp/>
        <stp>##V3_BDPV12</stp>
        <stp>US912828PU86 Corp</stp>
        <stp>AMT_OUTSTANDING</stp>
        <stp>[portefeuille USD.xlsm]treasuries!R84C28_x0000__x0000_</stp>
        <tr r="AB84" s="13"/>
      </tp>
      <tp t="e">
        <v>#N/A</v>
        <stp/>
        <stp>##V3_BDPV12</stp>
        <stp>US912828MX52 Corp</stp>
        <stp>AMT_OUTSTANDING</stp>
        <stp>[portefeuille USD.xlsm]treasuries!R59C28_x0000__x0000_</stp>
        <tr r="AB59" s="13"/>
      </tp>
      <tp t="e">
        <v>#N/A</v>
        <stp/>
        <stp>##V3_BDPV12</stp>
        <stp>US912828RJ14 Corp</stp>
        <stp>CPN</stp>
        <stp>[portefeuille USD.xlsm]treasuries!R170C27_x0000__x0000_</stp>
        <tr r="AA170" s="13"/>
      </tp>
      <tp t="e">
        <v>#N/A</v>
        <stp/>
        <stp>##V3_BDPV12</stp>
        <stp>US912828FY19 Corp</stp>
        <stp>CPN</stp>
        <stp>[portefeuille USD.xlsm]treasuries!R173C27_x0000__x0000_</stp>
        <tr r="AA173" s="13"/>
      </tp>
      <tp t="e">
        <v>#N/A</v>
        <stp/>
        <stp>##V3_BDPV12</stp>
        <stp>US9127955V99 Corp</stp>
        <stp>AMT_OUTSTANDING</stp>
        <stp>[portefeuille USD.xlsm]treasuries!R45C28_x0000__x0000_</stp>
        <tr r="AB45" s="13"/>
      </tp>
      <tp t="e">
        <v>#N/A</v>
        <stp/>
        <stp>##V3_BDPV12</stp>
        <stp>US912828LS76 Corp</stp>
        <stp>CPN</stp>
        <stp>[portefeuille USD.xlsm]treasuries!R119C27_x0000__x0000_</stp>
        <tr r="AA119" s="13"/>
      </tp>
      <tp t="e">
        <v>#N/A</v>
        <stp/>
        <stp>##V3_BDPV12</stp>
        <stp>US912810PW27 Corp</stp>
        <stp>CPN</stp>
        <stp>[portefeuille USD.xlsm]treasuries!R271C27_x0000__x0000_</stp>
        <tr r="AA271" s="13"/>
      </tp>
      <tp t="e">
        <v>#N/A</v>
        <stp/>
        <stp>##V3_BDPV12</stp>
        <stp>US912828SH49 Corp</stp>
        <stp>CPN</stp>
        <stp>[portefeuille USD.xlsm]treasuries!R224C27_x0000__x0000_</stp>
        <tr r="AA224" s="13"/>
      </tp>
      <tp t="e">
        <v>#N/A</v>
        <stp/>
        <stp>##V3_BDPV12</stp>
        <stp>US912828LD08 Corp</stp>
        <stp>CPN</stp>
        <stp>[portefeuille USD.xlsm]treasuries!R165C27_x0000__x0000_</stp>
        <tr r="AA165" s="13"/>
      </tp>
      <tp t="e">
        <v>#N/A</v>
        <stp/>
        <stp>##V3_BDPV12</stp>
        <stp>US912828SU59 Corp</stp>
        <stp>CPN</stp>
        <stp>[portefeuille USD.xlsm]treasuries!R135C27_x0000__x0000_</stp>
        <tr r="AA135" s="13"/>
      </tp>
      <tp t="e">
        <v>#N/A</v>
        <stp/>
        <stp>##V3_BDPV12</stp>
        <stp>US912828HZ65 Corp</stp>
        <stp>CPN</stp>
        <stp>[portefeuille USD.xlsm]treasuries!R209C27_x0000__x0000_</stp>
        <tr r="AA209" s="13"/>
      </tp>
      <tp t="e">
        <v>#N/A</v>
        <stp/>
        <stp>##V3_BDPV12</stp>
        <stp>US912810ED64 Corp</stp>
        <stp>CPN</stp>
        <stp>[portefeuille USD.xlsm]treasuries!R230C27_x0000__x0000_</stp>
        <tr r="AA230" s="13"/>
      </tp>
      <tp t="e">
        <v>#N/A</v>
        <stp/>
        <stp>##V3_BDPV12</stp>
        <stp>EI575402 Corp Corp</stp>
        <stp>MATURITY</stp>
        <stp>[portefeuille USD.xlsm]SSA!R136C25_x0000_2</stp>
        <tr r="Y136" s="16"/>
      </tp>
      <tp t="e">
        <v>#N/A</v>
        <stp/>
        <stp>##V3_BDPV12</stp>
        <stp>US298785FB78 Corp</stp>
        <stp>PENULTIMATE_CPN_DT</stp>
        <stp>[portefeuille USD.xlsm]SSA!R61C24_x0000_R</stp>
        <tr r="X61" s="16"/>
      </tp>
      <tp t="e">
        <v>#N/A</v>
        <stp/>
        <stp>##V3_BDPV12</stp>
        <stp>US298785FF82 Corp</stp>
        <stp>INT_ACC_DT</stp>
        <stp>[portefeuille USD.xlsm]SSA!R49C22_x0000_R</stp>
        <tr r="V49" s="16"/>
      </tp>
      <tp t="e">
        <v>#N/A</v>
        <stp/>
        <stp>##V3_BDPV12</stp>
        <stp>US298785FD35 Corp</stp>
        <stp>INT_ACC_DT</stp>
        <stp>[portefeuille USD.xlsm]SSA!R62C22_x0000_R</stp>
        <tr r="V62" s="16"/>
      </tp>
      <tp t="e">
        <v>#N/A</v>
        <stp/>
        <stp>##V3_BDPV12</stp>
        <stp>US298785FE18 Corp</stp>
        <stp>YLD_YTM_BID</stp>
        <stp>[portefeuille USD.xlsm]SSA!R47C8_x0000__x0000_</stp>
        <tr r="H47" s="16"/>
      </tp>
      <tp t="e">
        <v>#N/A</v>
        <stp/>
        <stp>##V3_BDPV12</stp>
        <stp>US912828QX17 Corp</stp>
        <stp>CPN</stp>
        <stp>[portefeuille USD.xlsm]treasuries!R164C27_x0000__x0000_</stp>
        <tr r="AA164" s="13"/>
      </tp>
      <tp t="e">
        <v>#N/A</v>
        <stp/>
        <stp>##V3_BDPV12</stp>
        <stp>US912828RL69 Corp</stp>
        <stp>CPN</stp>
        <stp>[portefeuille USD.xlsm]treasuries!R118C27_x0000__x0000_</stp>
        <tr r="AA118" s="13"/>
      </tp>
      <tp t="e">
        <v>#N/A</v>
        <stp/>
        <stp>##V3_BDPV12</stp>
        <stp>US9127956P13 Corp</stp>
        <stp>AMT_OUTSTANDING</stp>
        <stp>[portefeuille USD.xlsm]treasuries!R32C28_x0000__x0000_</stp>
        <tr r="AB32" s="13"/>
      </tp>
      <tp t="e">
        <v>#N/A</v>
        <stp/>
        <stp>##V3_BDPV12</stp>
        <stp>US912828RZ55 Corp</stp>
        <stp>CPN</stp>
        <stp>[portefeuille USD.xlsm]treasuries!R125C27_x0000__x0000_</stp>
        <tr r="AA125" s="13"/>
      </tp>
      <tp t="e">
        <v>#N/A</v>
        <stp/>
        <stp>##V3_BDPV12</stp>
        <stp>US912828QJ23 Corp</stp>
        <stp>CPN</stp>
        <stp>[portefeuille USD.xlsm]treasuries!R153C27_x0000__x0000_</stp>
        <tr r="AA153" s="13"/>
      </tp>
      <tp t="e">
        <v>#N/A</v>
        <stp/>
        <stp>##V3_BDPV12</stp>
        <stp>US912828JT87 Corp</stp>
        <stp>AMT_OUTSTANDING</stp>
        <stp>[portefeuille USD.xlsm]treasuries!R87C28_x0000__x0000_</stp>
        <tr r="AB87" s="13"/>
      </tp>
      <tp t="e">
        <v>#N/A</v>
        <stp/>
        <stp>##V3_BDPV12</stp>
        <stp>US912828RQ56 Corp</stp>
        <stp>CPN</stp>
        <stp>[portefeuille USD.xlsm]treasuries!R121C27_x0000__x0000_</stp>
        <tr r="AA121" s="13"/>
      </tp>
      <tp t="e">
        <v>#N/A</v>
        <stp/>
        <stp>##V3_BDPV12</stp>
        <stp>US912828RR30 Corp</stp>
        <stp>CPN</stp>
        <stp>[portefeuille USD.xlsm]treasuries!R246C27_x0000__x0000_</stp>
        <tr r="AA246" s="13"/>
      </tp>
      <tp t="e">
        <v>#N/A</v>
        <stp/>
        <stp>##V3_BDPV12</stp>
        <stp>US912828QQ65 Corp</stp>
        <stp>CPN</stp>
        <stp>[portefeuille USD.xlsm]treasuries!R210C27_x0000__x0000_</stp>
        <tr r="AA210" s="13"/>
      </tp>
      <tp t="e">
        <v>#N/A</v>
        <stp/>
        <stp>##V3_BDPV12</stp>
        <stp>US912828PJ32 Corp</stp>
        <stp>CPN</stp>
        <stp>[portefeuille USD.xlsm]treasuries!R147C27_x0000__x0000_</stp>
        <tr r="AA147" s="13"/>
      </tp>
      <tp t="e">
        <v>#N/A</v>
        <stp/>
        <stp>##V3_BDPV12</stp>
        <stp>US912828QN35 Corp</stp>
        <stp>CPN</stp>
        <stp>[portefeuille USD.xlsm]treasuries!R241C27_x0000__x0000_</stp>
        <tr r="AA241" s="13"/>
      </tp>
      <tp t="e">
        <v>#N/A</v>
        <stp/>
        <stp>##V3_BDPV12</stp>
        <stp>US912828LY45 Corp</stp>
        <stp>CPN</stp>
        <stp>[portefeuille USD.xlsm]treasuries!R231C27_x0000__x0000_</stp>
        <tr r="AA231" s="13"/>
      </tp>
      <tp t="e">
        <v>#N/A</v>
        <stp/>
        <stp>##V3_BDPV12</stp>
        <stp>US912810EK08 Corp</stp>
        <stp>CPN</stp>
        <stp>[portefeuille USD.xlsm]treasuries!R244C27_x0000__x0000_</stp>
        <tr r="AA244" s="13"/>
      </tp>
      <tp t="e">
        <v>#N/A</v>
        <stp/>
        <stp>##V3_BDPV12</stp>
        <stp>US912810DX38 Corp</stp>
        <stp>CPN</stp>
        <stp>[portefeuille USD.xlsm]treasuries!R174C27_x0000__x0000_</stp>
        <tr r="AA174" s="13"/>
      </tp>
      <tp t="e">
        <v>#N/A</v>
        <stp/>
        <stp>##V3_BDPV12</stp>
        <stp>US912828SV33 Corp</stp>
        <stp>CPN</stp>
        <stp>[portefeuille USD.xlsm]treasuries!R248C27_x0000__x0000_</stp>
        <tr r="AA248" s="13"/>
      </tp>
      <tp t="e">
        <v>#N/A</v>
        <stp/>
        <stp>##V3_BDPV12</stp>
        <stp>US912810FJ26 Corp</stp>
        <stp>CPN</stp>
        <stp>[portefeuille USD.xlsm]treasuries!R265C27_x0000__x0000_</stp>
        <tr r="AA265" s="13"/>
      </tp>
      <tp t="e">
        <v>#N/A</v>
        <stp/>
        <stp>##V3_BDPV12</stp>
        <stp>US912810ET17 Corp</stp>
        <stp>CPN</stp>
        <stp>[portefeuille USD.xlsm]treasuries!R254C27_x0000__x0000_</stp>
        <tr r="AA254" s="13"/>
      </tp>
      <tp t="e">
        <v>#N/A</v>
        <stp/>
        <stp>##V3_BDPV12</stp>
        <stp>US912810QD37 Corp</stp>
        <stp>CPN</stp>
        <stp>[portefeuille USD.xlsm]treasuries!R276C27_x0000__x0000_</stp>
        <tr r="AA276" s="13"/>
      </tp>
      <tp t="e">
        <v>#N/A</v>
        <stp/>
        <stp>##V3_BDPV12</stp>
        <stp>US912828FF20 Corp</stp>
        <stp>CPN</stp>
        <stp>[portefeuille USD.xlsm]treasuries!R159C27_x0000__x0000_</stp>
        <tr r="AA159" s="13"/>
      </tp>
      <tp t="e">
        <v>#N/A</v>
        <stp/>
        <stp>##V3_BDPV12</stp>
        <stp>US912828QZ64 Corp</stp>
        <stp>AMT_OUTSTANDING</stp>
        <stp>[portefeuille USD.xlsm]treasuries!R66C28_x0000__x0000_</stp>
        <tr r="AB66" s="13"/>
      </tp>
      <tp t="e">
        <v>#N/A</v>
        <stp/>
        <stp>##V3_BDPV12</stp>
        <stp>US912828QC79 Corp</stp>
        <stp>CPN</stp>
        <stp>[portefeuille USD.xlsm]treasuries!R101C27_x0000__x0000_</stp>
        <tr r="AA101" s="13"/>
      </tp>
      <tp t="e">
        <v>#N/A</v>
        <stp/>
        <stp>##V3_BDPV12</stp>
        <stp>US912828PS31 Corp</stp>
        <stp>CPN</stp>
        <stp>[portefeuille USD.xlsm]treasuries!R149C27_x0000__x0000_</stp>
        <tr r="AA149" s="13"/>
      </tp>
      <tp t="e">
        <v>#N/A</v>
        <stp/>
        <stp>##V3_BDPV12</stp>
        <stp>US912828RX08 Corp</stp>
        <stp>CPN</stp>
        <stp>[portefeuille USD.xlsm]treasuries!R177C27_x0000__x0000_</stp>
        <tr r="AA177" s="13"/>
      </tp>
      <tp t="e">
        <v>#N/A</v>
        <stp/>
        <stp>##V3_BDPV12</stp>
        <stp>US912828CJ78 Corp</stp>
        <stp>CPN</stp>
        <stp>[portefeuille USD.xlsm]treasuries!R105C27_x0000__x0000_</stp>
        <tr r="AA105" s="13"/>
      </tp>
      <tp t="e">
        <v>#N/A</v>
        <stp/>
        <stp>##V3_BDPV12</stp>
        <stp>US912828GZ74 Corp</stp>
        <stp>INT_ACC_DT</stp>
        <stp>[portefeuille USD.xlsm]treasuries!R8C23_x0000_5</stp>
        <tr r="W8" s="13"/>
      </tp>
      <tp t="e">
        <v>#N/A</v>
        <stp/>
        <stp>##V3_BDPV12</stp>
        <stp>EI133522 Corp Corp</stp>
        <stp>MATURITY</stp>
        <stp>[portefeuille USD.xlsm]SSA!R138C25_x0000_2</stp>
        <tr r="Y138" s="16"/>
      </tp>
      <tp t="e">
        <v>#N/A</v>
        <stp/>
        <stp>##V3_BDPV12</stp>
        <stp>US298785FM34 Corp</stp>
        <stp>PENULTIMATE_CPN_DT</stp>
        <stp>[portefeuille USD.xlsm]SSA!R85C24_x0000_R</stp>
        <tr r="X85" s="16"/>
      </tp>
      <tp t="e">
        <v>#N/A</v>
        <stp/>
        <stp>##V3_BDPV12</stp>
        <stp>US912828QZ64 Govt</stp>
        <stp>INT_ACC</stp>
        <stp>[portefeuille USD.xlsm]MV Repo!R8C6_x0000__x0000_</stp>
        <tr r="F8" s="6"/>
      </tp>
      <tp t="e">
        <v>#N/A</v>
        <stp/>
        <stp>##V3_BDPV12</stp>
        <stp>US9127955Y39 Corp</stp>
        <stp>INT_ACC_DT</stp>
        <stp>[portefeuille USD.xlsm]treasuries!R9C23_x0000__x0000_</stp>
        <tr r="W9" s="13"/>
      </tp>
      <tp t="e">
        <v>#N/A</v>
        <stp/>
        <stp>##V3_BDPV12</stp>
        <stp>US912828QE36 Govt</stp>
        <stp>INT_ACC</stp>
        <stp>[portefeuille USD.xlsm]MV Repo!R5C6_x0000__x0000_</stp>
        <tr r="F5" s="6"/>
      </tp>
      <tp t="e">
        <v>#N/A</v>
        <stp/>
        <stp>##V3_BDPV12</stp>
        <stp>US298785FD35 Corp</stp>
        <stp>YLD_YTM_BID</stp>
        <stp>[portefeuille USD.xlsm]SSA!R62C8_x0000__x0000_</stp>
        <tr r="H62" s="16"/>
      </tp>
      <tp t="e">
        <v>#N/A</v>
        <stp/>
        <stp>##V3_BDPV12</stp>
        <stp>US298785DD52 Corp</stp>
        <stp>YLD_YTM_BID</stp>
        <stp>[portefeuille USD.xlsm]SSA!R56C8_x0000__x0000_</stp>
        <tr r="H56" s="16"/>
      </tp>
      <tp t="e">
        <v>#N/A</v>
        <stp/>
        <stp>##V3_BDPV12</stp>
        <stp>US12802DAC02 Corp</stp>
        <stp>YLD_YTM_ASK</stp>
        <stp>[portefeuille USD.xlsm]SSA!R98C8_x0000_!</stp>
        <tr r="H98" s="16"/>
      </tp>
      <tp t="e">
        <v>#N/A</v>
        <stp/>
        <stp>##V3_BDPV12</stp>
        <stp>US9127956R78 Corp</stp>
        <stp>AMT_OUTSTANDING</stp>
        <stp>[portefeuille USD.xlsm]treasuries!R65C28_x0000__x0000_</stp>
        <tr r="AB65" s="13"/>
      </tp>
      <tp t="e">
        <v>#N/A</v>
        <stp/>
        <stp>##V3_BDPV12</stp>
        <stp>US912810QH41 Corp</stp>
        <stp>CPN</stp>
        <stp>[portefeuille USD.xlsm]treasuries!R278C27_x0000__x0000_</stp>
        <tr r="AA278" s="13"/>
      </tp>
      <tp t="e">
        <v>#N/A</v>
        <stp/>
        <stp>##V3_BDPV12</stp>
        <stp>US912828PE45 Corp</stp>
        <stp>CPN</stp>
        <stp>[portefeuille USD.xlsm]treasuries!R144C27_x0000__x0000_</stp>
        <tr r="AA144" s="13"/>
      </tp>
      <tp t="e">
        <v>#N/A</v>
        <stp/>
        <stp>##V3_BDPV12</stp>
        <stp>US912810EH78 Corp</stp>
        <stp>CPN</stp>
        <stp>[portefeuille USD.xlsm]treasuries!R240C27_x0000__x0000_</stp>
        <tr r="AA240" s="13"/>
      </tp>
      <tp t="e">
        <v>#N/A</v>
        <stp/>
        <stp>##V3_BDPV12</stp>
        <stp>US912828KQ20 Corp</stp>
        <stp>CPN</stp>
        <stp>[portefeuille USD.xlsm]treasuries!R227C27_x0000__x0000_</stp>
        <tr r="AA227" s="13"/>
      </tp>
      <tp t="e">
        <v>#N/A</v>
        <stp/>
        <stp>##V3_BDPV12</stp>
        <stp>US912828LQ11 Corp</stp>
        <stp>CPN</stp>
        <stp>[portefeuille USD.xlsm]treasuries!R117C27_x0000__x0000_</stp>
        <tr r="AA117" s="13"/>
      </tp>
      <tp t="e">
        <v>#N/A</v>
        <stp/>
        <stp>##V3_BDPV12</stp>
        <stp>US912828NT32 Corp</stp>
        <stp>CPN</stp>
        <stp>[portefeuille USD.xlsm]treasuries!R237C27_x0000__x0000_</stp>
        <tr r="AA237" s="13"/>
      </tp>
      <tp t="e">
        <v>#N/A</v>
        <stp/>
        <stp>##V3_BDPV12</stp>
        <stp>US912828PK05 Corp</stp>
        <stp>CPN</stp>
        <stp>[portefeuille USD.xlsm]treasuries!R201C27_x0000__x0000_</stp>
        <tr r="AA201" s="13"/>
      </tp>
      <tp t="e">
        <v>#N/A</v>
        <stp/>
        <stp>##V3_BDPV12</stp>
        <stp>US912810FM54 Corp</stp>
        <stp>CPN</stp>
        <stp>[portefeuille USD.xlsm]treasuries!R266C27_x0000__x0000_</stp>
        <tr r="AA266" s="13"/>
      </tp>
      <tp t="e">
        <v>#N/A</v>
        <stp/>
        <stp>##V3_BDPV12</stp>
        <stp>US912828LX61 Corp</stp>
        <stp>AMT_OUTSTANDING</stp>
        <stp>[portefeuille USD.xlsm]treasuries!R36C28_x0000__x0000_</stp>
        <tr r="AB36" s="13"/>
      </tp>
      <tp t="e">
        <v>#N/A</v>
        <stp/>
        <stp>##V3_BDPV12</stp>
        <stp>US912828RS13 Corp</stp>
        <stp>AMT_OUTSTANDING</stp>
        <stp>[portefeuille USD.xlsm]treasuries!R86C28_x0000__x0000_</stp>
        <tr r="AB86" s="13"/>
      </tp>
      <tp t="e">
        <v>#N/A</v>
        <stp/>
        <stp>##V3_BDPV12</stp>
        <stp>US912828NF38 Corp</stp>
        <stp>CPN</stp>
        <stp>[portefeuille USD.xlsm]treasuries!R137C27_x0000__x0000_</stp>
        <tr r="AA137" s="13"/>
      </tp>
      <tp t="e">
        <v>#N/A</v>
        <stp/>
        <stp>##V3_BDPV12</stp>
        <stp>US912810EV62 Corp</stp>
        <stp>CPN</stp>
        <stp>[portefeuille USD.xlsm]treasuries!R255C27_x0000__x0000_</stp>
        <tr r="AA255" s="13"/>
      </tp>
      <tp t="e">
        <v>#N/A</v>
        <stp/>
        <stp>##V3_BDPV12</stp>
        <stp>US912828PY09 Corp</stp>
        <stp>CPN</stp>
        <stp>[portefeuille USD.xlsm]treasuries!R205C27_x0000__x0000_</stp>
        <tr r="AA205" s="13"/>
      </tp>
      <tp t="e">
        <v>#N/A</v>
        <stp/>
        <stp>##V3_BDPV12</stp>
        <stp>US12802DAA46 Corp</stp>
        <stp>ISSUE_DT</stp>
        <stp>[portefeuille USD.xlsm]SSA!R94C21_x0000__x0000_</stp>
        <tr r="U94" s="16"/>
      </tp>
      <tp t="e">
        <v>#N/A</v>
        <stp/>
        <stp>##V3_BDPV12</stp>
        <stp>US63983UAA07 Corp</stp>
        <stp>PENULTIMATE_CPN_DT</stp>
        <stp>[portefeuille USD.xlsm]SSA!R4C24_x0000__x0000_</stp>
        <tr r="X4" s="16"/>
      </tp>
      <tp t="e">
        <v>#N/A</v>
        <stp/>
        <stp>##V3_BDPV12</stp>
        <stp>US63983UAB89 Corp</stp>
        <stp>PENULTIMATE_CPN_DT</stp>
        <stp>[portefeuille USD.xlsm]SSA!R6C24_x0000_8</stp>
        <tr r="X6" s="16"/>
      </tp>
      <tp t="e">
        <v>#N/A</v>
        <stp/>
        <stp>##V3_BDPV12</stp>
        <stp>US639832AD61 Corp</stp>
        <stp>PENULTIMATE_CPN_DT</stp>
        <stp>[portefeuille USD.xlsm]SSA!R5C24_x0000__x0000_</stp>
        <tr r="X5" s="16"/>
      </tp>
      <tp t="e">
        <v>#N/A</v>
        <stp/>
        <stp>##V3_BDPV12</stp>
        <stp>US63983TAA34 Corp</stp>
        <stp>PENULTIMATE_CPN_DT</stp>
        <stp>[portefeuille USD.xlsm]SSA!R3C24_x0000__x0000_</stp>
        <tr r="X3" s="16"/>
      </tp>
      <tp t="e">
        <v>#N/A</v>
        <stp/>
        <stp>##V3_BDPV12</stp>
        <stp>US12802DAA46 Corp</stp>
        <stp>MATURITY</stp>
        <stp>[portefeuille USD.xlsm]SSA!R94C25_x0000__x0000_</stp>
        <tr r="Y94" s="16"/>
      </tp>
      <tp t="e">
        <v>#N/A</v>
        <stp/>
        <stp>##V3_BDPV12</stp>
        <stp>US63983TAC99 Corp</stp>
        <stp>PENULTIMATE_CPN_DT</stp>
        <stp>[portefeuille USD.xlsm]SSA!R9C24_x0000_8</stp>
        <tr r="X9" s="16"/>
      </tp>
      <tp t="e">
        <v>#N/A</v>
        <stp/>
        <stp>##V3_BDPV12</stp>
        <stp>US298785FF82 Corp</stp>
        <stp>PENULTIMATE_CPN_DT</stp>
        <stp>[portefeuille USD.xlsm]SSA!R49C24_x0000_R</stp>
        <tr r="X49" s="16"/>
      </tp>
      <tp t="e">
        <v>#N/A</v>
        <stp/>
        <stp>##V3_BDPV12</stp>
        <stp>US298785FD35 Corp</stp>
        <stp>PENULTIMATE_CPN_DT</stp>
        <stp>[portefeuille USD.xlsm]SSA!R62C24_x0000_R</stp>
        <tr r="X62" s="16"/>
      </tp>
      <tp t="e">
        <v>#N/A</v>
        <stp/>
        <stp>##V3_BDPV12</stp>
        <stp>US298785FB78 Corp</stp>
        <stp>INT_ACC_DT</stp>
        <stp>[portefeuille USD.xlsm]SSA!R61C22_x0000_R</stp>
        <tr r="V61" s="16"/>
      </tp>
      <tp t="e">
        <v>#N/A</v>
        <stp/>
        <stp>##V3_BDPV12</stp>
        <stp>US29878TCC62 Corp</stp>
        <stp>YLD_YTM_BID</stp>
        <stp>[portefeuille USD.xlsm]SSA!R83C8_x0000__x0000_</stp>
        <tr r="H83" s="16"/>
      </tp>
      <tp t="e">
        <v>#N/A</v>
        <stp/>
        <stp>##V3_BDPV12</stp>
        <stp>US12802DAD84 Corp</stp>
        <stp>YLD_YTM_ASK</stp>
        <stp>[portefeuille USD.xlsm]SSA!R91C8_x0000_!</stp>
        <tr r="H91" s="16"/>
      </tp>
      <tp t="e">
        <v>#N/A</v>
        <stp/>
        <stp>##V3_BDPV12</stp>
        <stp>US298785FC51 Corp</stp>
        <stp>YLD_YTM_BID</stp>
        <stp>[portefeuille USD.xlsm]SSA!R42C8_x0000__x0000_</stp>
        <tr r="H42" s="16"/>
      </tp>
      <tp t="e">
        <v>#N/A</v>
        <stp/>
        <stp>##V3_BDPV12</stp>
        <stp>US912828KV15 Corp</stp>
        <stp>CPN</stp>
        <stp>[portefeuille USD.xlsm]treasuries!R106C27_x0000__x0000_</stp>
        <tr r="AA106" s="13"/>
      </tp>
      <tp t="e">
        <v>#N/A</v>
        <stp/>
        <stp>##V3_BDPV12</stp>
        <stp>US9127955Q05 Corp</stp>
        <stp>AMT_OUTSTANDING</stp>
        <stp>[portefeuille USD.xlsm]treasuries!R41C28_x0000__x0000_</stp>
        <tr r="AB41" s="13"/>
      </tp>
      <tp t="e">
        <v>#N/A</v>
        <stp/>
        <stp>##V3_BDPV12</stp>
        <stp>US912828MV96 Corp</stp>
        <stp>CPN</stp>
        <stp>[portefeuille USD.xlsm]treasuries!R184C27_x0000__x0000_</stp>
        <tr r="AA184" s="13"/>
      </tp>
      <tp t="e">
        <v>#N/A</v>
        <stp/>
        <stp>##V3_BDPV12</stp>
        <stp>US912810EM63 Corp</stp>
        <stp>CPN</stp>
        <stp>[portefeuille USD.xlsm]treasuries!R249C27_x0000__x0000_</stp>
        <tr r="AA249" s="13"/>
      </tp>
      <tp t="e">
        <v>#N/A</v>
        <stp/>
        <stp>##V3_BDPV12</stp>
        <stp>US912828SW16 Corp</stp>
        <stp>CPN</stp>
        <stp>[portefeuille USD.xlsm]treasuries!R107C27_x0000__x0000_</stp>
        <tr r="AA107" s="13"/>
      </tp>
      <tp t="e">
        <v>#N/A</v>
        <stp/>
        <stp>##V3_BDPV12</stp>
        <stp>US912828PT14 Corp</stp>
        <stp>CPN</stp>
        <stp>[portefeuille USD.xlsm]treasuries!R203C27_x0000__x0000_</stp>
        <tr r="AA203" s="13"/>
      </tp>
      <tp t="e">
        <v>#N/A</v>
        <stp/>
        <stp>##V3_BDPV12</stp>
        <stp>US912810EZ76 Corp</stp>
        <stp>CPN</stp>
        <stp>[portefeuille USD.xlsm]treasuries!R259C27_x0000__x0000_</stp>
        <tr r="AA259" s="13"/>
      </tp>
      <tp t="e">
        <v>#N/A</v>
        <stp/>
        <stp>##V3_BDPV12</stp>
        <stp>US912810EA26 Corp</stp>
        <stp>CPN</stp>
        <stp>[portefeuille USD.xlsm]treasuries!R208C27_x0000__x0000_</stp>
        <tr r="AA208" s="13"/>
      </tp>
      <tp t="e">
        <v>#N/A</v>
        <stp/>
        <stp>##V3_BDPV12</stp>
        <stp>US912828SD35 Corp</stp>
        <stp>CPN</stp>
        <stp>[portefeuille USD.xlsm]treasuries!R221C27_x0000__x0000_</stp>
        <tr r="AA221" s="13"/>
      </tp>
      <tp t="e">
        <v>#N/A</v>
        <stp/>
        <stp>##V3_BDPV12</stp>
        <stp>US912828QT05 Corp</stp>
        <stp>CPN</stp>
        <stp>[portefeuille USD.xlsm]treasuries!R211C27_x0000__x0000_</stp>
        <tr r="AA211" s="13"/>
      </tp>
      <tp t="e">
        <v>#N/A</v>
        <stp/>
        <stp>##V3_BDPV12</stp>
        <stp>US912810DP04 Corp</stp>
        <stp>CPN</stp>
        <stp>[portefeuille USD.xlsm]treasuries!R127C27_x0000__x0000_</stp>
        <tr r="AA127" s="13"/>
      </tp>
      <tp t="e">
        <v>#N/A</v>
        <stp/>
        <stp>##V3_BDPV12</stp>
        <stp>US912828MP29 Corp</stp>
        <stp>CPN</stp>
        <stp>[portefeuille USD.xlsm]treasuries!R233C27_x0000__x0000_</stp>
        <tr r="AA233" s="13"/>
      </tp>
      <tp t="e">
        <v>#N/A</v>
        <stp/>
        <stp>##V3_BDPV12</stp>
        <stp>US912810DV71 Corp</stp>
        <stp>CPN</stp>
        <stp>[portefeuille USD.xlsm]treasuries!R150C27_x0000__x0000_</stp>
        <tr r="AA150" s="13"/>
      </tp>
      <tp t="e">
        <v>#N/A</v>
        <stp/>
        <stp>##V3_BDPV12</stp>
        <stp>US912828NX44 Corp</stp>
        <stp>AMT_OUTSTANDING</stp>
        <stp>[portefeuille USD.xlsm]treasuries!R24C28_x0000__x0000_</stp>
        <tr r="AB24" s="13"/>
      </tp>
      <tp t="e">
        <v>#N/A</v>
        <stp/>
        <stp>##V3_BDPV12</stp>
        <stp>US912828PX26 Corp</stp>
        <stp>CPN</stp>
        <stp>[portefeuille USD.xlsm]treasuries!R239C27_x0000__x0000_</stp>
        <tr r="AA239" s="13"/>
      </tp>
      <tp t="e">
        <v>#N/A</v>
        <stp/>
        <stp>##V3_BDPV12</stp>
        <stp>US912810EF13 Corp</stp>
        <stp>CPN</stp>
        <stp>[portefeuille USD.xlsm]treasuries!R234C27_x0000__x0000_</stp>
        <tr r="AA234" s="13"/>
      </tp>
      <tp t="e">
        <v>#N/A</v>
        <stp/>
        <stp>##V3_BDPV12</stp>
        <stp>US912828RU68 Corp</stp>
        <stp>CPN</stp>
        <stp>[portefeuille USD.xlsm]treasuries!R176C27_x0000__x0000_</stp>
        <tr r="AA176" s="13"/>
      </tp>
      <tp t="e">
        <v>#N/A</v>
        <stp/>
        <stp>##V3_BDPV12</stp>
        <stp>US912810QC53 Corp</stp>
        <stp>CPN</stp>
        <stp>[portefeuille USD.xlsm]treasuries!R275C27_x0000__x0000_</stp>
        <tr r="AA275" s="13"/>
      </tp>
      <tp t="e">
        <v>#N/A</v>
        <stp/>
        <stp>##V3_BDPV12</stp>
        <stp>US912828BR04 Corp</stp>
        <stp>AMT_OUTSTANDING</stp>
        <stp>[portefeuille USD.xlsm]treasuries!R85C28_x0000__x0000_</stp>
        <tr r="AB85" s="13"/>
      </tp>
      <tp t="e">
        <v>#N/A</v>
        <stp/>
        <stp>##V3_BDPV12</stp>
        <stp>US912810EQ77 Corp</stp>
        <stp>CPN</stp>
        <stp>[portefeuille USD.xlsm]treasuries!R252C27_x0000__x0000_</stp>
        <tr r="AA252" s="13"/>
      </tp>
      <tp t="e">
        <v>#N/A</v>
        <stp/>
        <stp>##V3_BDPV12</stp>
        <stp>US912828NQ92 Corp</stp>
        <stp>INT_ACC_DT</stp>
        <stp>[portefeuille USD.xlsm]treasuries!R7C23_x0000_8</stp>
        <tr r="W7" s="13"/>
      </tp>
      <tp t="e">
        <v>#N/A</v>
        <stp/>
        <stp>##V3_BDPV12</stp>
        <stp>US912828LB42 Corp</stp>
        <stp>INT_ACC_DT</stp>
        <stp>[portefeuille USD.xlsm]treasuries!R4C23_x0000_8</stp>
        <tr r="W4" s="13"/>
      </tp>
      <tp t="e">
        <v>#N/A</v>
        <stp/>
        <stp>##V3_BDPV12</stp>
        <stp>EI791385 Corp Corp</stp>
        <stp>MATURITY</stp>
        <stp>[portefeuille USD.xlsm]SSA!R131C25_x0000_2</stp>
        <tr r="Y131" s="16"/>
      </tp>
      <tp t="e">
        <v>#N/A</v>
        <stp/>
        <stp>##V3_BDPV12</stp>
        <stp>EJ095994 Corp Corp</stp>
        <stp>CPN_FREQ</stp>
        <stp>[portefeuille USD.xlsm]SSA!R130C27_x0000_2</stp>
        <tr r="AA130" s="16"/>
      </tp>
      <tp t="e">
        <v>#N/A</v>
        <stp/>
        <stp>##V3_BDPV12</stp>
        <stp>USN9638CAY59 Corp</stp>
        <stp>AMT_OUTSTANDING</stp>
        <stp>[portefeuille USD.xlsm]SSA!R12C28_x0000__x0000_</stp>
        <tr r="AB12" s="16"/>
      </tp>
      <tp t="e">
        <v>#N/A</v>
        <stp/>
        <stp>##V3_BDPV12</stp>
        <stp>US298785FM34 Corp</stp>
        <stp>INT_ACC_DT</stp>
        <stp>[portefeuille USD.xlsm]SSA!R85C22_x0000_R</stp>
        <tr r="V85" s="16"/>
      </tp>
      <tp t="e">
        <v>#N/A</v>
        <stp/>
        <stp>##V3_BDPV12</stp>
        <stp>US298785FB78 Corp</stp>
        <stp>YLD_YTM_BID</stp>
        <stp>[portefeuille USD.xlsm]SSA!R61C8_x0000__x0000_</stp>
        <tr r="H61" s="16"/>
      </tp>
      <tp t="e">
        <v>#N/A</v>
        <stp/>
        <stp>##V3_BDPV12</stp>
        <stp>US912828RC60 Corp</stp>
        <stp>CPN</stp>
        <stp>[portefeuille USD.xlsm]treasuries!R243C27_x0000__x0000_</stp>
        <tr r="AA243" s="13"/>
      </tp>
      <tp t="e">
        <v>#N/A</v>
        <stp/>
        <stp>##V3_BDPV12</stp>
        <stp>US912828EE63 Corp</stp>
        <stp>CPN</stp>
        <stp>[portefeuille USD.xlsm]treasuries!R140C27_x0000__x0000_</stp>
        <tr r="AA140" s="13"/>
      </tp>
      <tp t="e">
        <v>#N/A</v>
        <stp/>
        <stp>##V3_BDPV12</stp>
        <stp>US912828SR21 Corp</stp>
        <stp>CPN</stp>
        <stp>[portefeuille USD.xlsm]treasuries!R103C27_x0000__x0000_</stp>
        <tr r="AA103" s="13"/>
      </tp>
      <tp t="e">
        <v>#N/A</v>
        <stp/>
        <stp>##V3_BDPV12</stp>
        <stp>US912828MH03 Corp</stp>
        <stp>CPN</stp>
        <stp>[portefeuille USD.xlsm]treasuries!R126C27_x0000__x0000_</stp>
        <tr r="AA126" s="13"/>
      </tp>
      <tp t="e">
        <v>#N/A</v>
        <stp/>
        <stp>##V3_BDPV12</stp>
        <stp>US912828EN62 Corp</stp>
        <stp>CPN</stp>
        <stp>[portefeuille USD.xlsm]treasuries!R146C27_x0000__x0000_</stp>
        <tr r="AA146" s="13"/>
      </tp>
      <tp t="e">
        <v>#N/A</v>
        <stp/>
        <stp>##V3_BDPV12</stp>
        <stp>US9127956U08 Corp</stp>
        <stp>AMT_OUTSTANDING</stp>
        <stp>[portefeuille USD.xlsm]treasuries!R38C28_x0000__x0000_</stp>
        <tr r="AB38" s="13"/>
      </tp>
      <tp t="e">
        <v>#N/A</v>
        <stp/>
        <stp>##V3_BDPV12</stp>
        <stp>US912828QS22 Corp</stp>
        <stp>CPN</stp>
        <stp>[portefeuille USD.xlsm]treasuries!R108C27_x0000__x0000_</stp>
        <tr r="AA108" s="13"/>
      </tp>
      <tp t="e">
        <v>#N/A</v>
        <stp/>
        <stp>##V3_BDPV12</stp>
        <stp>US912828QR49 Corp</stp>
        <stp>CPN</stp>
        <stp>[portefeuille USD.xlsm]treasuries!R163C27_x0000__x0000_</stp>
        <tr r="AA163" s="13"/>
      </tp>
      <tp t="e">
        <v>#N/A</v>
        <stp/>
        <stp>##V3_BDPV12</stp>
        <stp>US912828NP10 Corp</stp>
        <stp>CPN</stp>
        <stp>[portefeuille USD.xlsm]treasuries!R139C27_x0000__x0000_</stp>
        <tr r="AA139" s="13"/>
      </tp>
      <tp t="e">
        <v>#N/A</v>
        <stp/>
        <stp>##V3_BDPV12</stp>
        <stp>US912810EB09 Corp</stp>
        <stp>CPN</stp>
        <stp>[portefeuille USD.xlsm]treasuries!R218C27_x0000__x0000_</stp>
        <tr r="AA218" s="13"/>
      </tp>
      <tp t="e">
        <v>#N/A</v>
        <stp/>
        <stp>##V3_BDPV12</stp>
        <stp>US912810PU60 Corp</stp>
        <stp>CPN</stp>
        <stp>[portefeuille USD.xlsm]treasuries!R270C27_x0000__x0000_</stp>
        <tr r="AA270" s="13"/>
      </tp>
      <tp t="e">
        <v>#N/A</v>
        <stp/>
        <stp>##V3_BDPV12</stp>
        <stp>US912828PM60 Corp</stp>
        <stp>CPN</stp>
        <stp>[portefeuille USD.xlsm]treasuries!R148C27_x0000__x0000_</stp>
        <tr r="AA148" s="13"/>
      </tp>
      <tp t="e">
        <v>#N/A</v>
        <stp/>
        <stp>##V3_BDPV12</stp>
        <stp>US912810EW46 Corp</stp>
        <stp>CPN</stp>
        <stp>[portefeuille USD.xlsm]treasuries!R256C27_x0000__x0000_</stp>
        <tr r="AA256" s="13"/>
      </tp>
      <tp t="e">
        <v>#N/A</v>
        <stp/>
        <stp>##V3_BDPV12</stp>
        <stp>US912810DZ85 Corp</stp>
        <stp>CPN</stp>
        <stp>[portefeuille USD.xlsm]treasuries!R195C27_x0000__x0000_</stp>
        <tr r="AA195" s="13"/>
      </tp>
      <tp t="e">
        <v>#N/A</v>
        <stp/>
        <stp>##V3_BDPV12</stp>
        <stp>US912828JQ49 Corp</stp>
        <stp>AMT_OUTSTANDING</stp>
        <stp>[portefeuille USD.xlsm]treasuries!R83C28_x0000__x0000_</stp>
        <tr r="AB83" s="13"/>
      </tp>
      <tp t="e">
        <v>#N/A</v>
        <stp/>
        <stp>##V3_BDPV12</stp>
        <stp>US912810EN47 Corp</stp>
        <stp>CPN</stp>
        <stp>[portefeuille USD.xlsm]treasuries!R250C27_x0000__x0000_</stp>
        <tr r="AA250" s="13"/>
      </tp>
      <tp t="e">
        <v>#N/A</v>
        <stp/>
        <stp>##V3_BDPV12</stp>
        <stp>US912828MA59 Corp</stp>
        <stp>CPN</stp>
        <stp>[portefeuille USD.xlsm]treasuries!R175C27_x0000__x0000_</stp>
        <tr r="AA175" s="13"/>
      </tp>
      <tp t="e">
        <v>#N/A</v>
        <stp/>
        <stp>##V3_BDPV12</stp>
        <stp>EI355035 Corp Corp</stp>
        <stp>MATURITY</stp>
        <stp>[portefeuille USD.xlsm]SSA!R132C25_x0000_2</stp>
        <tr r="Y132" s="16"/>
      </tp>
      <tp t="e">
        <v>#N/A</v>
        <stp/>
        <stp>##V3_BDPV12</stp>
        <stp>US12802DAD84 Corp</stp>
        <stp>ISSUE_DT</stp>
        <stp>[portefeuille USD.xlsm]SSA!R91C21_x0000__x0000_</stp>
        <tr r="U91" s="16"/>
      </tp>
      <tp t="e">
        <v>#N/A</v>
        <stp/>
        <stp>##V3_BDPV12</stp>
        <stp>US12802DAD84 Corp</stp>
        <stp>MATURITY</stp>
        <stp>[portefeuille USD.xlsm]SSA!R91C25_x0000__x0000_</stp>
        <tr r="Y91" s="16"/>
      </tp>
      <tp t="e">
        <v>#N/A</v>
        <stp/>
        <stp>##V3_BDPV12</stp>
        <stp>US298785FH49 Corp</stp>
        <stp>PENULTIMATE_CPN_DT</stp>
        <stp>[portefeuille USD.xlsm]SSA!R84C24_x0000_R</stp>
        <tr r="X84" s="16"/>
      </tp>
      <tp t="e">
        <v>#N/A</v>
        <stp/>
        <stp>##V3_BDPV12</stp>
        <stp>US298785EG74 Corp</stp>
        <stp>PENULTIMATE_CPN_DT</stp>
        <stp>[portefeuille USD.xlsm]SSA!R78C24_x0000_R</stp>
        <tr r="X78" s="16"/>
      </tp>
      <tp t="e">
        <v>#N/A</v>
        <stp/>
        <stp>##V3_BDPV12</stp>
        <stp>US298785EA05 Corp</stp>
        <stp>INT_ACC_DT</stp>
        <stp>[portefeuille USD.xlsm]SSA!R76C22_x0000_R</stp>
        <tr r="V76" s="16"/>
      </tp>
      <tp t="e">
        <v>#N/A</v>
        <stp/>
        <stp>##V3_BDPV12</stp>
        <stp>US298785EA05 Corp</stp>
        <stp>YLD_YTM_BID</stp>
        <stp>[portefeuille USD.xlsm]SSA!R76C8_x0000__x0000_</stp>
        <tr r="H76" s="16"/>
      </tp>
      <tp t="e">
        <v>#N/A</v>
        <stp/>
        <stp>##V3_BDPV12</stp>
        <stp>US912828RE27 Corp</stp>
        <stp>CPN</stp>
        <stp>[portefeuille USD.xlsm]treasuries!R214C27_x0000__x0000_</stp>
        <tr r="AA214" s="13"/>
      </tp>
      <tp t="e">
        <v>#N/A</v>
        <stp/>
        <stp>##V3_BDPV12</stp>
        <stp>US912828SN17 Corp</stp>
        <stp>CPN</stp>
        <stp>[portefeuille USD.xlsm]treasuries!R225C27_x0000__x0000_</stp>
        <tr r="AA225" s="13"/>
      </tp>
      <tp t="e">
        <v>#N/A</v>
        <stp/>
        <stp>##V3_BDPV12</stp>
        <stp>US912828RM43 Corp</stp>
        <stp>CPN</stp>
        <stp>[portefeuille USD.xlsm]treasuries!R171C27_x0000__x0000_</stp>
        <tr r="AA171" s="13"/>
      </tp>
      <tp t="e">
        <v>#N/A</v>
        <stp/>
        <stp>##V3_BDPV12</stp>
        <stp>US912828LZ10 Corp</stp>
        <stp>CPN</stp>
        <stp>[portefeuille USD.xlsm]treasuries!R122C27_x0000__x0000_</stp>
        <tr r="AA122" s="13"/>
      </tp>
      <tp t="e">
        <v>#N/A</v>
        <stp/>
        <stp>##V3_BDPV12</stp>
        <stp>US912828SE18 Corp</stp>
        <stp>CPN</stp>
        <stp>[portefeuille USD.xlsm]treasuries!R129C27_x0000__x0000_</stp>
        <tr r="AA129" s="13"/>
      </tp>
      <tp t="e">
        <v>#N/A</v>
        <stp/>
        <stp>##V3_BDPV12</stp>
        <stp>US912828EW61 Corp</stp>
        <stp>CPN</stp>
        <stp>[portefeuille USD.xlsm]treasuries!R151C27_x0000__x0000_</stp>
        <tr r="AA151" s="13"/>
      </tp>
      <tp t="e">
        <v>#N/A</v>
        <stp/>
        <stp>##V3_BDPV12</stp>
        <stp>US9127956T35 Corp</stp>
        <stp>AMT_OUTSTANDING</stp>
        <stp>[portefeuille USD.xlsm]treasuries!R37C28_x0000__x0000_</stp>
        <tr r="AB37" s="13"/>
      </tp>
      <tp t="e">
        <v>#N/A</v>
        <stp/>
        <stp>##V3_BDPV12</stp>
        <stp>US912828LC25 Corp</stp>
        <stp>CPN</stp>
        <stp>[portefeuille USD.xlsm]treasuries!R112C27_x0000__x0000_</stp>
        <tr r="AA112" s="13"/>
      </tp>
      <tp t="e">
        <v>#N/A</v>
        <stp/>
        <stp>##V3_BDPV12</stp>
        <stp>US912828DC17 Corp</stp>
        <stp>CPN</stp>
        <stp>[portefeuille USD.xlsm]treasuries!R120C27_x0000__x0000_</stp>
        <tr r="AA120" s="13"/>
      </tp>
      <tp t="e">
        <v>#N/A</v>
        <stp/>
        <stp>##V3_BDPV12</stp>
        <stp>US912828JR22 Corp</stp>
        <stp>CPN</stp>
        <stp>[portefeuille USD.xlsm]treasuries!R217C27_x0000__x0000_</stp>
        <tr r="AA217" s="13"/>
      </tp>
      <tp t="e">
        <v>#N/A</v>
        <stp/>
        <stp>##V3_BDPV12</stp>
        <stp>US912828MZ01 Corp</stp>
        <stp>CPN</stp>
        <stp>[portefeuille USD.xlsm]treasuries!R134C27_x0000__x0000_</stp>
        <tr r="AA134" s="13"/>
      </tp>
      <tp t="e">
        <v>#N/A</v>
        <stp/>
        <stp>##V3_BDPV12</stp>
        <stp>US912810QT88 Corp</stp>
        <stp>CPN</stp>
        <stp>[portefeuille USD.xlsm]treasuries!R284C27_x0000__x0000_</stp>
        <tr r="AA284" s="13"/>
      </tp>
      <tp t="e">
        <v>#N/A</v>
        <stp/>
        <stp>##V3_BDPV12</stp>
        <stp>US912828KD17 Corp</stp>
        <stp>CPN</stp>
        <stp>[portefeuille USD.xlsm]treasuries!R223C27_x0000__x0000_</stp>
        <tr r="AA223" s="13"/>
      </tp>
      <tp t="e">
        <v>#N/A</v>
        <stp/>
        <stp>##V3_BDPV12</stp>
        <stp>US912810DW54 Corp</stp>
        <stp>CPN</stp>
        <stp>[portefeuille USD.xlsm]treasuries!R158C27_x0000__x0000_</stp>
        <tr r="AA158" s="13"/>
      </tp>
      <tp t="e">
        <v>#N/A</v>
        <stp/>
        <stp>##V3_BDPV12</stp>
        <stp>US912810DS43 Corp</stp>
        <stp>CPN</stp>
        <stp>[portefeuille USD.xlsm]treasuries!R141C27_x0000__x0000_</stp>
        <tr r="AA141" s="13"/>
      </tp>
      <tp t="e">
        <v>#N/A</v>
        <stp/>
        <stp>##V3_BDPV12</stp>
        <stp>US912810QK79 Corp</stp>
        <stp>CPN</stp>
        <stp>[portefeuille USD.xlsm]treasuries!R279C27_x0000__x0000_</stp>
        <tr r="AA279" s="13"/>
      </tp>
      <tp t="e">
        <v>#N/A</v>
        <stp/>
        <stp>##V3_BDPV12</stp>
        <stp>US912828PQ74 Corp</stp>
        <stp>AMT_OUTSTANDING</stp>
        <stp>[portefeuille USD.xlsm]treasuries!R91C28_x0000__x0000_</stp>
        <tr r="AB91" s="13"/>
      </tp>
      <tp t="e">
        <v>#N/A</v>
        <stp/>
        <stp>##V3_BDPV12</stp>
        <stp>US912828NL06 Corp</stp>
        <stp>CPN</stp>
        <stp>[portefeuille USD.xlsm]treasuries!R138C27_x0000__x0000_</stp>
        <tr r="AA138" s="13"/>
      </tp>
      <tp t="e">
        <v>#N/A</v>
        <stp/>
        <stp>##V3_BDPV12</stp>
        <stp>US912810QB70 Corp</stp>
        <stp>CPN</stp>
        <stp>[portefeuille USD.xlsm]treasuries!R274C27_x0000__x0000_</stp>
        <tr r="AA274" s="13"/>
      </tp>
      <tp t="e">
        <v>#N/A</v>
        <stp/>
        <stp>##V3_BDPV12</stp>
        <stp>US912828KT68 Corp</stp>
        <stp>CPN</stp>
        <stp>[portefeuille USD.xlsm]treasuries!R154C27_x0000__x0000_</stp>
        <tr r="AA154" s="13"/>
      </tp>
      <tp t="e">
        <v>#N/A</v>
        <stp/>
        <stp>##V3_BDPV12</stp>
        <stp>EI954150 Corp Corp</stp>
        <stp>MATURITY</stp>
        <stp>[portefeuille USD.xlsm]SSA!R134C25_x0000_2</stp>
        <tr r="Y134" s="16"/>
      </tp>
      <tp t="e">
        <v>#N/A</v>
        <stp/>
        <stp>##V3_BDPV12</stp>
        <stp>EI791877 Corp Corp</stp>
        <stp>CPN_FREQ</stp>
        <stp>[portefeuille USD.xlsm]SSA!R137C27_x0000_2</stp>
        <tr r="AA137" s="16"/>
      </tp>
      <tp t="e">
        <v>#N/A</v>
        <stp/>
        <stp>##V3_BDPV12</stp>
        <stp>EF501708 Corp Corp</stp>
        <stp>CPN_FREQ</stp>
        <stp>[portefeuille USD.xlsm]SSA!R135C27_x0000_2</stp>
        <tr r="AA135" s="16"/>
      </tp>
      <tp t="e">
        <v>#N/A</v>
        <stp/>
        <stp>##V3_BDPV12</stp>
        <stp>USN9638CAY59 Corp</stp>
        <stp>CPN_FREQ</stp>
        <stp>[portefeuille USD.xlsm]SSA!R12C27_x0000__x0000_</stp>
        <tr r="AA12" s="16"/>
      </tp>
      <tp t="e">
        <v>#N/A</v>
        <stp/>
        <stp>##V3_BDPV12</stp>
        <stp>US298785DD52 Corp</stp>
        <stp>PENULTIMATE_CPN_DT</stp>
        <stp>[portefeuille USD.xlsm]SSA!R56C24_x0000_R</stp>
        <tr r="X56" s="16"/>
      </tp>
      <tp t="e">
        <v>#N/A</v>
        <stp/>
        <stp>##V3_BDPV12</stp>
        <stp>US298785FG65 Corp</stp>
        <stp>PENULTIMATE_CPN_DT</stp>
        <stp>[portefeuille USD.xlsm]SSA!R65C24_x0000_R</stp>
        <tr r="X65" s="16"/>
      </tp>
      <tp t="e">
        <v>#N/A</v>
        <stp/>
        <stp>##V3_BDPV12</stp>
        <stp>US298785FE18 Corp</stp>
        <stp>PENULTIMATE_CPN_DT</stp>
        <stp>[portefeuille USD.xlsm]SSA!R47C24_x0000_R</stp>
        <tr r="X47" s="16"/>
      </tp>
      <tp t="e">
        <v>#N/A</v>
        <stp/>
        <stp>##V3_BDPV12</stp>
        <stp>US298785FC51 Corp</stp>
        <stp>INT_ACC_DT</stp>
        <stp>[portefeuille USD.xlsm]SSA!R42C22_x0000_R</stp>
        <tr r="V42" s="16"/>
      </tp>
      <tp t="e">
        <v>#N/A</v>
        <stp/>
        <stp>##V3_BDPV12</stp>
        <stp>US912828RA05 Corp</stp>
        <stp>AMT_OUTSTANDING</stp>
        <stp>[portefeuille USD.xlsm]treasuries!R69C28_x0000__x0000_</stp>
        <tr r="AB69" s="13"/>
      </tp>
      <tp t="e">
        <v>#N/A</v>
        <stp/>
        <stp>##V3_BDPV12</stp>
        <stp>US9127956J52 Corp</stp>
        <stp>AMT_OUTSTANDING</stp>
        <stp>[portefeuille USD.xlsm]treasuries!R22C28_x0000__x0000_</stp>
        <tr r="AB22" s="13"/>
      </tp>
      <tp t="e">
        <v>#N/A</v>
        <stp/>
        <stp>##V3_BDPV12</stp>
        <stp>US912828BA78 Corp</stp>
        <stp>AMT_OUTSTANDING</stp>
        <stp>[portefeuille USD.xlsm]treasuries!R64C28_x0000__x0000_</stp>
        <tr r="AB64" s="13"/>
      </tp>
      <tp t="e">
        <v>#N/A</v>
        <stp/>
        <stp>##V3_BDPV12</stp>
        <stp>US912828HE37 Corp</stp>
        <stp>AMT_OUTSTANDING</stp>
        <stp>[portefeuille USD.xlsm]treasuries!R23C28_x0000__x0000_</stp>
        <tr r="AB23" s="13"/>
      </tp>
      <tp t="e">
        <v>#N/A</v>
        <stp/>
        <stp>##V3_BDPV12</stp>
        <stp>US912828PD61 Corp</stp>
        <stp>AMT_OUTSTANDING</stp>
        <stp>[portefeuille USD.xlsm]treasuries!R31C28_x0000__x0000_</stp>
        <tr r="AB31" s="13"/>
      </tp>
      <tp t="e">
        <v>#N/A</v>
        <stp/>
        <stp>##V3_BDPV12</stp>
        <stp>EG914838 Corp Corp</stp>
        <stp>PENULTIMATE_CPN_DT</stp>
        <stp>[portefeuille USD.xlsm]SSA!R37C24_x0000__x0000_</stp>
        <tr r="X37" s="16"/>
      </tp>
      <tp t="e">
        <v>#N/A</v>
        <stp/>
        <stp>##V3_BDPV12</stp>
        <stp>US298785DV50 Corp</stp>
        <stp>PENULTIMATE_CPN_DT</stp>
        <stp>[portefeuille USD.xlsm]SSA!R86C24_x0000_R</stp>
        <tr r="X86" s="16"/>
      </tp>
      <tp t="e">
        <v>#N/A</v>
        <stp/>
        <stp>##V3_BDPV12</stp>
        <stp>US912828SH49 Corp</stp>
        <stp>FIRST_CPN_DT</stp>
        <stp>[portefeuille USD.xlsm]treasuries!R224C24_x0000__x0000_</stp>
        <tr r="X224" s="13"/>
      </tp>
      <tp t="e">
        <v>#N/A</v>
        <stp/>
        <stp>##V3_BDPV12</stp>
        <stp>US298785DY99 Corp</stp>
        <stp>PENULTIMATE_CPN_DT</stp>
        <stp>[portefeuille USD.xlsm]SSA!R72C24_x0000_R</stp>
        <tr r="X72" s="16"/>
      </tp>
      <tp t="e">
        <v>#N/A</v>
        <stp/>
        <stp>##V3_BDPV12</stp>
        <stp>US912828PC88 Corp</stp>
        <stp>FIRST_CPN_DT</stp>
        <stp>[portefeuille USD.xlsm]treasuries!R238C24_x0000__x0000_</stp>
        <tr r="X238" s="13"/>
      </tp>
      <tp t="e">
        <v>#N/A</v>
        <stp/>
        <stp>##V3_BDPV12</stp>
        <stp>US912810EC81 Corp</stp>
        <stp>FIRST_CPN_DT</stp>
        <stp>[portefeuille USD.xlsm]treasuries!R222C24_x0000__x0000_</stp>
        <tr r="X222" s="13"/>
      </tp>
      <tp t="e">
        <v>#N/A</v>
        <stp/>
        <stp>##V3_BDPV12</stp>
        <stp>US912810FP85 Corp</stp>
        <stp>FIRST_CPN_DT</stp>
        <stp>[portefeuille USD.xlsm]treasuries!R267C24_x0000__x0000_</stp>
        <tr r="X267" s="13"/>
      </tp>
      <tp t="e">
        <v>#N/A</v>
        <stp/>
        <stp>##V3_BDPV12</stp>
        <stp>US912810EW46 Corp</stp>
        <stp>FIRST_CPN_DT</stp>
        <stp>[portefeuille USD.xlsm]treasuries!R256C24_x0000__x0000_</stp>
        <tr r="X256" s="13"/>
      </tp>
      <tp t="e">
        <v>#N/A</v>
        <stp/>
        <stp>##V3_BDPV12</stp>
        <stp>US912810EZ76 Corp</stp>
        <stp>FIRST_CPN_DT</stp>
        <stp>[portefeuille USD.xlsm]treasuries!R259C24_x0000__x0000_</stp>
        <tr r="X259" s="13"/>
      </tp>
      <tp t="e">
        <v>#N/A</v>
        <stp/>
        <stp>##V3_BDPV12</stp>
        <stp>US912828NF38 Corp</stp>
        <stp>FIRST_CPN_DT</stp>
        <stp>[portefeuille USD.xlsm]treasuries!R137C24_x0000__x0000_</stp>
        <tr r="X137" s="13"/>
      </tp>
      <tp t="e">
        <v>#N/A</v>
        <stp/>
        <stp>##V3_BDPV12</stp>
        <stp>US9127956H96 Corp</stp>
        <stp>AMT_OUTSTANDING</stp>
        <stp>[portefeuille USD.xlsm]treasuries!R19C28_x0000__x0000_</stp>
        <tr r="AB19" s="13"/>
      </tp>
      <tp t="e">
        <v>#N/A</v>
        <stp/>
        <stp>##V3_BDPV12</stp>
        <stp>US9127956K26 Corp</stp>
        <stp>AMT_OUTSTANDING</stp>
        <stp>[portefeuille USD.xlsm]treasuries!R25C28_x0000__x0000_</stp>
        <tr r="AB25" s="13"/>
      </tp>
      <tp t="e">
        <v>#N/A</v>
        <stp/>
        <stp>##V3_BDPV12</stp>
        <stp>US912828MB33 Corp</stp>
        <stp>AMT_OUTSTANDING</stp>
        <stp>[portefeuille USD.xlsm]treasuries!R42C28_x0000__x0000_</stp>
        <tr r="AB42" s="13"/>
      </tp>
      <tp t="e">
        <v>#N/A</v>
        <stp/>
        <stp>##V3_BDPV12</stp>
        <stp>US912828RN26 Corp</stp>
        <stp>AMT_OUTSTANDING</stp>
        <stp>[portefeuille USD.xlsm]treasuries!R82C28_x0000__x0000_</stp>
        <tr r="AB82" s="13"/>
      </tp>
      <tp t="e">
        <v>#N/A</v>
        <stp/>
        <stp>##V3_BDPV12</stp>
        <stp>EI297586 Corp Corp</stp>
        <stp>PENULTIMATE_CPN_DT</stp>
        <stp>[portefeuille USD.xlsm]SSA!R26C24_x0000__x0000_</stp>
        <tr r="X26" s="16"/>
      </tp>
      <tp t="e">
        <v>#N/A</v>
        <stp/>
        <stp>##V3_BDPV12</stp>
        <stp>US63983UAA07 Corp</stp>
        <stp>INT_ACC_DT</stp>
        <stp>[portefeuille USD.xlsm]SSA!R4C22_x0000__x0000_</stp>
        <tr r="V4" s="16"/>
      </tp>
      <tp t="e">
        <v>#N/A</v>
        <stp/>
        <stp>##V3_BDPV12</stp>
        <stp>US63983UAB89 Corp</stp>
        <stp>INT_ACC_DT</stp>
        <stp>[portefeuille USD.xlsm]SSA!R6C22_x0000_3</stp>
        <tr r="V6" s="16"/>
      </tp>
      <tp t="e">
        <v>#N/A</v>
        <stp/>
        <stp>##V3_BDPV12</stp>
        <stp>US639832AD61 Corp</stp>
        <stp>INT_ACC_DT</stp>
        <stp>[portefeuille USD.xlsm]SSA!R5C22_x0000_8</stp>
        <tr r="V5" s="16"/>
      </tp>
      <tp t="e">
        <v>#N/A</v>
        <stp/>
        <stp>##V3_BDPV12</stp>
        <stp>US63983TAA34 Corp</stp>
        <stp>INT_ACC_DT</stp>
        <stp>[portefeuille USD.xlsm]SSA!R3C22_x0000__x0000_</stp>
        <tr r="V3" s="16"/>
      </tp>
      <tp t="e">
        <v>#N/A</v>
        <stp/>
        <stp>##V3_BDPV12</stp>
        <stp>US63983TAC99 Corp</stp>
        <stp>INT_ACC_DT</stp>
        <stp>[portefeuille USD.xlsm]SSA!R9C22_x0000_1</stp>
        <tr r="V9" s="16"/>
      </tp>
      <tp t="e">
        <v>#N/A</v>
        <stp/>
        <stp>##V3_BDPV12</stp>
        <stp>US912828SU59 Corp</stp>
        <stp>FIRST_CPN_DT</stp>
        <stp>[portefeuille USD.xlsm]treasuries!R135C24_x0000__x0000_</stp>
        <tr r="X135" s="13"/>
      </tp>
      <tp t="e">
        <v>#N/A</v>
        <stp/>
        <stp>##V3_BDPV12</stp>
        <stp>US912828PA23 Corp</stp>
        <stp>FIRST_CPN_DT</stp>
        <stp>[portefeuille USD.xlsm]treasuries!R198C24_x0000__x0000_</stp>
        <tr r="X198" s="13"/>
      </tp>
      <tp t="e">
        <v>#N/A</v>
        <stp/>
        <stp>##V3_BDPV12</stp>
        <stp>US912828SX98 Corp</stp>
        <stp>FIRST_CPN_DT</stp>
        <stp>[portefeuille USD.xlsm]treasuries!R228C24_x0000__x0000_</stp>
        <tr r="X228" s="13"/>
      </tp>
      <tp t="e">
        <v>#N/A</v>
        <stp/>
        <stp>##V3_BDPV12</stp>
        <stp>US912828SE18 Corp</stp>
        <stp>FIRST_CPN_DT</stp>
        <stp>[portefeuille USD.xlsm]treasuries!R129C24_x0000__x0000_</stp>
        <tr r="X129" s="13"/>
      </tp>
      <tp t="e">
        <v>#N/A</v>
        <stp/>
        <stp>##V3_BDPV12</stp>
        <stp>US912810FF04 Corp</stp>
        <stp>FIRST_CPN_DT</stp>
        <stp>[portefeuille USD.xlsm]treasuries!R263C24_x0000__x0000_</stp>
        <tr r="X263" s="13"/>
      </tp>
      <tp t="e">
        <v>#N/A</v>
        <stp/>
        <stp>##V3_BDPV12</stp>
        <stp>US912810EN47 Corp</stp>
        <stp>FIRST_CPN_DT</stp>
        <stp>[portefeuille USD.xlsm]treasuries!R250C24_x0000__x0000_</stp>
        <tr r="X250" s="13"/>
      </tp>
      <tp t="e">
        <v>#N/A</v>
        <stp/>
        <stp>##V3_BDPV12</stp>
        <stp>US912810EQ77 Corp</stp>
        <stp>FIRST_CPN_DT</stp>
        <stp>[portefeuille USD.xlsm]treasuries!R252C24_x0000__x0000_</stp>
        <tr r="X252" s="13"/>
      </tp>
      <tp t="e">
        <v>#N/A</v>
        <stp/>
        <stp>##V3_BDPV12</stp>
        <stp>US912810DT26 Corp</stp>
        <stp>FIRST_CPN_DT</stp>
        <stp>[portefeuille USD.xlsm]treasuries!R145C24_x0000__x0000_</stp>
        <tr r="X145" s="13"/>
      </tp>
      <tp t="e">
        <v>#N/A</v>
        <stp/>
        <stp>##V3_BDPV12</stp>
        <stp>US912810ET17 Corp</stp>
        <stp>FIRST_CPN_DT</stp>
        <stp>[portefeuille USD.xlsm]treasuries!R254C24_x0000__x0000_</stp>
        <tr r="X254" s="13"/>
      </tp>
      <tp t="e">
        <v>#N/A</v>
        <stp/>
        <stp>##V3_BDPV12</stp>
        <stp>US912810FM54 Corp</stp>
        <stp>FIRST_CPN_DT</stp>
        <stp>[portefeuille USD.xlsm]treasuries!R266C24_x0000__x0000_</stp>
        <tr r="X266" s="13"/>
      </tp>
      <tp t="e">
        <v>#N/A</v>
        <stp/>
        <stp>##V3_BDPV12</stp>
        <stp>US912828NK23 Corp</stp>
        <stp>FIRST_CPN_DT</stp>
        <stp>[portefeuille USD.xlsm]treasuries!R192C24_x0000__x0000_</stp>
        <tr r="X192" s="13"/>
      </tp>
      <tp t="e">
        <v>#N/A</v>
        <stp/>
        <stp>##V3_BDPV12</stp>
        <stp>US912828DM98 Corp</stp>
        <stp>FIRST_CPN_DT</stp>
        <stp>[portefeuille USD.xlsm]treasuries!R128C24_x0000__x0000_</stp>
        <tr r="X128" s="13"/>
      </tp>
      <tp t="e">
        <v>#N/A</v>
        <stp/>
        <stp>##V3_BDPV12</stp>
        <stp>US912828GS32 Corp</stp>
        <stp>FIRST_CPN_DT</stp>
        <stp>[portefeuille USD.xlsm]treasuries!R188C24_x0000__x0000_</stp>
        <tr r="X188" s="13"/>
      </tp>
      <tp t="e">
        <v>#N/A</v>
        <stp/>
        <stp>##V3_BDPV12</stp>
        <stp>US912828MW79 Corp</stp>
        <stp>FIRST_CPN_DT</stp>
        <stp>[portefeuille USD.xlsm]treasuries!R132C24_x0000__x0000_</stp>
        <tr r="X132" s="13"/>
      </tp>
      <tp t="e">
        <v>#N/A</v>
        <stp/>
        <stp>##V3_BDPV12</stp>
        <stp>US298785EZ55 Corp</stp>
        <stp>INT_ACC_DT</stp>
        <stp>[portefeuille USD.xlsm]SSA!R39C22_x0000_R</stp>
        <tr r="V39" s="16"/>
      </tp>
      <tp t="e">
        <v>#N/A</v>
        <stp/>
        <stp>##V3_BDPV12</stp>
        <stp>US912828MP29 Corp</stp>
        <stp>FIRST_CPN_DT</stp>
        <stp>[portefeuille USD.xlsm]treasuries!R233C24_x0000__x0000_</stp>
        <tr r="X233" s="13"/>
      </tp>
      <tp t="e">
        <v>#N/A</v>
        <stp/>
        <stp>##V3_BDPV12</stp>
        <stp>US912828ND89 Corp</stp>
        <stp>FIRST_CPN_DT</stp>
        <stp>[portefeuille USD.xlsm]treasuries!R235C24_x0000__x0000_</stp>
        <tr r="X235" s="13"/>
      </tp>
      <tp t="e">
        <v>#N/A</v>
        <stp/>
        <stp>##V3_BDPV12</stp>
        <stp>US9127956L09 Corp</stp>
        <stp>AMT_OUTSTANDING</stp>
        <stp>[portefeuille USD.xlsm]treasuries!R62C28_x0000__x0000_</stp>
        <tr r="AB62" s="13"/>
      </tp>
      <tp t="e">
        <v>#N/A</v>
        <stp/>
        <stp>##V3_BDPV12</stp>
        <stp>USN9638CAY59 Corp</stp>
        <stp>YLD_YTM_BID</stp>
        <stp>[portefeuille USD.xlsm]SSA!R12C8_x0000_1</stp>
        <tr r="H12" s="16"/>
      </tp>
      <tp t="e">
        <v>#N/A</v>
        <stp/>
        <stp>##V3_BDPV12</stp>
        <stp>US912828SL50 Corp</stp>
        <stp>AMT_OUTSTANDING</stp>
        <stp>[portefeuille USD.xlsm]treasuries!R99C28_x0000__x0000_</stp>
        <tr r="AB99" s="13"/>
      </tp>
      <tp t="e">
        <v>#N/A</v>
        <stp/>
        <stp>##V3_BDPV12</stp>
        <stp>US912828NC07 Corp</stp>
        <stp>AMT_OUTSTANDING</stp>
        <stp>[portefeuille USD.xlsm]treasuries!R63C28_x0000__x0000_</stp>
        <tr r="AB63" s="13"/>
      </tp>
      <tp t="e">
        <v>#N/A</v>
        <stp/>
        <stp>##V3_BDPV12</stp>
        <stp>US912828JM35 Corp</stp>
        <stp>AMT_OUTSTANDING</stp>
        <stp>[portefeuille USD.xlsm]treasuries!R80C28_x0000__x0000_</stp>
        <tr r="AB80" s="13"/>
      </tp>
      <tp t="e">
        <v>#N/A</v>
        <stp/>
        <stp>##V3_BDPV12</stp>
        <stp>USN9638CAY59 Corp</stp>
        <stp>PENULTIMATE_CPN_DT</stp>
        <stp>[portefeuille USD.xlsm]SSA!R12C24_x0000__x0000_</stp>
        <tr r="X12" s="16"/>
      </tp>
      <tp t="e">
        <v>#N/A</v>
        <stp/>
        <stp>##V3_BDPV12</stp>
        <stp>EI697819 Corp Corp</stp>
        <stp>ISSUE_DT</stp>
        <stp>[portefeuille USD.xlsm]SSA!R141C21_x0000_2</stp>
        <tr r="U141" s="16"/>
      </tp>
      <tp t="e">
        <v>#N/A</v>
        <stp/>
        <stp>##V3_BDPV12</stp>
        <stp>EH828973 Corp Corp</stp>
        <stp>ISSUE_DT</stp>
        <stp>[portefeuille USD.xlsm]SSA!R142C21_x0000_2</stp>
        <tr r="U142" s="16"/>
      </tp>
      <tp t="e">
        <v>#N/A</v>
        <stp/>
        <stp>##V3_BDPV12</stp>
        <stp>EI939268 Corp Corp</stp>
        <stp>INT_ACC_DT</stp>
        <stp>[portefeuille USD.xlsm]SSA!R21C22_x0000__x0000_</stp>
        <tr r="V21" s="16"/>
      </tp>
      <tp t="e">
        <v>#N/A</v>
        <stp/>
        <stp>##V3_BDPV12</stp>
        <stp>EI297586 Corp Corp</stp>
        <stp>YLD_YTM_BID</stp>
        <stp>[portefeuille USD.xlsm]SSA!R26C8_x0000__x0000_</stp>
        <tr r="H26" s="16"/>
      </tp>
      <tp t="e">
        <v>#N/A</v>
        <stp/>
        <stp>##V3_BDPV12</stp>
        <stp>EG914838 Corp Corp</stp>
        <stp>YLD_YTM_BID</stp>
        <stp>[portefeuille USD.xlsm]SSA!R37C8_x0000__x0000_</stp>
        <tr r="H37" s="16"/>
      </tp>
      <tp t="e">
        <v>#N/A</v>
        <stp/>
        <stp>##V3_BDPV12</stp>
        <stp>US29878TCC62 Corp</stp>
        <stp>ISSUE_DT</stp>
        <stp>[portefeuille USD.xlsm]SSA!R83C21_x0000_R</stp>
        <tr r="U83" s="16"/>
      </tp>
      <tp t="e">
        <v>#N/A</v>
        <stp/>
        <stp>##V3_BDPV12</stp>
        <stp>US63983TAC99 Corp</stp>
        <stp>YLD_YTM_BID</stp>
        <stp>[portefeuille USD.xlsm]SSA!R9C8_x0000_8</stp>
        <tr r="H9" s="16"/>
      </tp>
      <tp t="e">
        <v>#N/A</v>
        <stp/>
        <stp>##V3_BDPV12</stp>
        <stp>US63983UAB89 Corp</stp>
        <stp>YLD_YTM_BID</stp>
        <stp>[portefeuille USD.xlsm]SSA!R6C8_x0000_2</stp>
        <tr r="H6" s="16"/>
      </tp>
      <tp t="e">
        <v>#N/A</v>
        <stp/>
        <stp>##V3_BDPV12</stp>
        <stp>US63983UAA07 Corp</stp>
        <stp>YLD_YTM_BID</stp>
        <stp>[portefeuille USD.xlsm]SSA!R4C8_x0000_9</stp>
        <tr r="H4" s="16"/>
      </tp>
      <tp t="e">
        <v>#N/A</v>
        <stp/>
        <stp>##V3_BDPV12</stp>
        <stp>US63983TAA34 Corp</stp>
        <stp>YLD_YTM_BID</stp>
        <stp>[portefeuille USD.xlsm]SSA!R3C8_x0000__x0000_</stp>
        <tr r="H3" s="16"/>
      </tp>
      <tp t="e">
        <v>#N/A</v>
        <stp/>
        <stp>##V3_BDPV12</stp>
        <stp>US29878TCC62 Corp</stp>
        <stp>MATURITY</stp>
        <stp>[portefeuille USD.xlsm]SSA!R83C25_x0000_R</stp>
        <tr r="Y83" s="16"/>
      </tp>
      <tp t="e">
        <v>#N/A</v>
        <stp/>
        <stp>##V3_BDPV12</stp>
        <stp>US639832AD61 Corp</stp>
        <stp>YLD_YTM_BID</stp>
        <stp>[portefeuille USD.xlsm]SSA!R5C8_x0000_8</stp>
        <tr r="H5" s="16"/>
      </tp>
      <tp t="e">
        <v>#N/A</v>
        <stp/>
        <stp>##V3_BDPV12</stp>
        <stp>US912828PY09 Corp</stp>
        <stp>FIRST_CPN_DT</stp>
        <stp>[portefeuille USD.xlsm]treasuries!R205C24_x0000__x0000_</stp>
        <tr r="X205" s="13"/>
      </tp>
      <tp t="e">
        <v>#N/A</v>
        <stp/>
        <stp>##V3_BDPV12</stp>
        <stp>US298785CX26 Corp</stp>
        <stp>PENULTIMATE_CPN_DT</stp>
        <stp>[portefeuille USD.xlsm]SSA!R46C24_x0000_R</stp>
        <tr r="X46" s="16"/>
      </tp>
      <tp t="e">
        <v>#N/A</v>
        <stp/>
        <stp>##V3_BDPV12</stp>
        <stp>US912828QC79 Corp</stp>
        <stp>FIRST_CPN_DT</stp>
        <stp>[portefeuille USD.xlsm]treasuries!R101C24_x0000__x0000_</stp>
        <tr r="X101" s="13"/>
      </tp>
      <tp t="e">
        <v>#N/A</v>
        <stp/>
        <stp>##V3_BDPV12</stp>
        <stp>US912810QN19 Corp</stp>
        <stp>FIRST_CPN_DT</stp>
        <stp>[portefeuille USD.xlsm]treasuries!R281C24_x0000__x0000_</stp>
        <tr r="X281" s="13"/>
      </tp>
      <tp t="e">
        <v>#N/A</v>
        <stp/>
        <stp>##V3_BDPV12</stp>
        <stp>US912828SC51 Corp</stp>
        <stp>FIRST_CPN_DT</stp>
        <stp>[portefeuille USD.xlsm]treasuries!R180C24_x0000__x0000_</stp>
        <tr r="X180" s="13"/>
      </tp>
      <tp t="e">
        <v>#N/A</v>
        <stp/>
        <stp>##V3_BDPV12</stp>
        <stp>US912828PF10 Corp</stp>
        <stp>FIRST_CPN_DT</stp>
        <stp>[portefeuille USD.xlsm]treasuries!R199C24_x0000__x0000_</stp>
        <tr r="X199" s="13"/>
      </tp>
      <tp t="e">
        <v>#N/A</v>
        <stp/>
        <stp>##V3_BDPV12</stp>
        <stp>US912810PT97 Corp</stp>
        <stp>FIRST_CPN_DT</stp>
        <stp>[portefeuille USD.xlsm]treasuries!R269C24_x0000__x0000_</stp>
        <tr r="X269" s="13"/>
      </tp>
      <tp t="e">
        <v>#N/A</v>
        <stp/>
        <stp>##V3_BDPV12</stp>
        <stp>US298785EY80 Corp</stp>
        <stp>PENULTIMATE_CPN_DT</stp>
        <stp>[portefeuille USD.xlsm]SSA!R57C24_x0000_R</stp>
        <tr r="X57" s="16"/>
      </tp>
      <tp t="e">
        <v>#N/A</v>
        <stp/>
        <stp>##V3_BDPV12</stp>
        <stp>US912810EP94 Corp</stp>
        <stp>FIRST_CPN_DT</stp>
        <stp>[portefeuille USD.xlsm]treasuries!R251C24_x0000__x0000_</stp>
        <tr r="X251" s="13"/>
      </tp>
      <tp t="e">
        <v>#N/A</v>
        <stp/>
        <stp>##V3_BDPV12</stp>
        <stp>US912810EJ35 Corp</stp>
        <stp>FIRST_CPN_DT</stp>
        <stp>[portefeuille USD.xlsm]treasuries!R242C24_x0000__x0000_</stp>
        <tr r="X242" s="13"/>
      </tp>
      <tp t="e">
        <v>#N/A</v>
        <stp/>
        <stp>##V3_BDPV12</stp>
        <stp>US912810FA17 Corp</stp>
        <stp>FIRST_CPN_DT</stp>
        <stp>[portefeuille USD.xlsm]treasuries!R260C24_x0000__x0000_</stp>
        <tr r="X260" s="13"/>
      </tp>
      <tp t="e">
        <v>#N/A</v>
        <stp/>
        <stp>##V3_BDPV12</stp>
        <stp>US912810ES34 Corp</stp>
        <stp>FIRST_CPN_DT</stp>
        <stp>[portefeuille USD.xlsm]treasuries!R253C24_x0000__x0000_</stp>
        <tr r="X253" s="13"/>
      </tp>
      <tp t="e">
        <v>#N/A</v>
        <stp/>
        <stp>##V3_BDPV12</stp>
        <stp>US912810DW54 Corp</stp>
        <stp>FIRST_CPN_DT</stp>
        <stp>[portefeuille USD.xlsm]treasuries!R158C24_x0000__x0000_</stp>
        <tr r="X158" s="13"/>
      </tp>
      <tp t="e">
        <v>#N/A</v>
        <stp/>
        <stp>##V3_BDPV12</stp>
        <stp>US912828NA41 Corp</stp>
        <stp>FIRST_CPN_DT</stp>
        <stp>[portefeuille USD.xlsm]treasuries!R187C24_x0000__x0000_</stp>
        <tr r="X187" s="13"/>
      </tp>
      <tp t="e">
        <v>#N/A</v>
        <stp/>
        <stp>##V3_BDPV12</stp>
        <stp>US912828NW60 Corp</stp>
        <stp>FIRST_CPN_DT</stp>
        <stp>[portefeuille USD.xlsm]treasuries!R197C24_x0000__x0000_</stp>
        <tr r="X197" s="13"/>
      </tp>
      <tp t="e">
        <v>#N/A</v>
        <stp/>
        <stp>##V3_BDPV12</stp>
        <stp>US912828LB42 Corp</stp>
        <stp>PENULTIMATE_CPN_DT</stp>
        <stp>[portefeuille USD.xlsm]treasuries!R4C25_x0000__x0000_</stp>
        <tr r="Y4" s="13"/>
      </tp>
      <tp t="e">
        <v>#N/A</v>
        <stp/>
        <stp>##V3_BDPV12</stp>
        <stp>US912828NQ92 Corp</stp>
        <stp>PENULTIMATE_CPN_DT</stp>
        <stp>[portefeuille USD.xlsm]treasuries!R7C25_x0000_7</stp>
        <tr r="Y7" s="13"/>
      </tp>
      <tp t="e">
        <v>#N/A</v>
        <stp/>
        <stp>##V3_BDPV12</stp>
        <stp>US912828HG84 Corp</stp>
        <stp>AMT_OUTSTANDING</stp>
        <stp>[portefeuille USD.xlsm]treasuries!R30C28_x0000__x0000_</stp>
        <tr r="AB30" s="13"/>
      </tp>
      <tp t="e">
        <v>#N/A</v>
        <stp/>
        <stp>##V3_BDPV12</stp>
        <stp>US912828PL87 Corp</stp>
        <stp>AMT_OUTSTANDING</stp>
        <stp>[portefeuille USD.xlsm]treasuries!R88C28_x0000__x0000_</stp>
        <tr r="AB88" s="13"/>
      </tp>
      <tp t="e">
        <v>#N/A</v>
        <stp/>
        <stp>##V3_BDPV12</stp>
        <stp>US912828JB79 Corp</stp>
        <stp>AMT_OUTSTANDING</stp>
        <stp>[portefeuille USD.xlsm]treasuries!R67C28_x0000__x0000_</stp>
        <tr r="AB67" s="13"/>
      </tp>
      <tp t="e">
        <v>#N/A</v>
        <stp/>
        <stp>##V3_BDPV12</stp>
        <stp>ED650463 Corp Corp</stp>
        <stp>ISSUE_DT</stp>
        <stp>[portefeuille USD.xlsm]SSA!R140C21_x0000_2</stp>
        <tr r="U140" s="16"/>
      </tp>
      <tp t="e">
        <v>#N/A</v>
        <stp/>
        <stp>##V3_BDPV12</stp>
        <stp>US912828GZ74 Govt</stp>
        <stp>SECURITY_DES</stp>
        <stp>[portefeuille USD.xlsm]treasuries!R8C2_x0000_5</stp>
        <tr r="B8" s="13"/>
      </tp>
      <tp t="e">
        <v>#N/A</v>
        <stp/>
        <stp>##V3_BDPV12</stp>
        <stp>US912810QT88 Corp</stp>
        <stp>FIRST_CPN_DT</stp>
        <stp>[portefeuille USD.xlsm]treasuries!R284C24_x0000__x0000_</stp>
        <tr r="X284" s="13"/>
      </tp>
      <tp t="e">
        <v>#N/A</v>
        <stp/>
        <stp>##V3_BDPV12</stp>
        <stp>US298785EX08 Corp</stp>
        <stp>PENULTIMATE_CPN_DT</stp>
        <stp>[portefeuille USD.xlsm]SSA!R53C24_x0000_R</stp>
        <tr r="X53" s="16"/>
      </tp>
      <tp t="e">
        <v>#N/A</v>
        <stp/>
        <stp>##V3_BDPV12</stp>
        <stp>US912810QD37 Corp</stp>
        <stp>FIRST_CPN_DT</stp>
        <stp>[portefeuille USD.xlsm]treasuries!R276C24_x0000__x0000_</stp>
        <tr r="X276" s="13"/>
      </tp>
      <tp t="e">
        <v>#N/A</v>
        <stp/>
        <stp>##V3_BDPV12</stp>
        <stp>US912810QW18 Corp</stp>
        <stp>FIRST_CPN_DT</stp>
        <stp>[portefeuille USD.xlsm]treasuries!R286C24_x0000__x0000_</stp>
        <tr r="X286" s="13"/>
      </tp>
      <tp t="e">
        <v>#N/A</v>
        <stp/>
        <stp>##V3_BDPV12</stp>
        <stp>US912810PW27 Corp</stp>
        <stp>FIRST_CPN_DT</stp>
        <stp>[portefeuille USD.xlsm]treasuries!R271C24_x0000__x0000_</stp>
        <tr r="X271" s="13"/>
      </tp>
      <tp t="e">
        <v>#N/A</v>
        <stp/>
        <stp>##V3_BDPV12</stp>
        <stp>US912828SY71 Corp</stp>
        <stp>FIRST_CPN_DT</stp>
        <stp>[portefeuille USD.xlsm]treasuries!R190C24_x0000__x0000_</stp>
        <tr r="X190" s="13"/>
      </tp>
      <tp t="e">
        <v>#N/A</v>
        <stp/>
        <stp>##V3_BDPV12</stp>
        <stp>US912828QY99 Corp</stp>
        <stp>FIRST_CPN_DT</stp>
        <stp>[portefeuille USD.xlsm]treasuries!R212C24_x0000__x0000_</stp>
        <tr r="X212" s="13"/>
      </tp>
      <tp t="e">
        <v>#N/A</v>
        <stp/>
        <stp>##V3_BDPV12</stp>
        <stp>US912810QA97 Corp</stp>
        <stp>FIRST_CPN_DT</stp>
        <stp>[portefeuille USD.xlsm]treasuries!R273C24_x0000__x0000_</stp>
        <tr r="X273" s="13"/>
      </tp>
      <tp t="e">
        <v>#N/A</v>
        <stp/>
        <stp>##V3_BDPV12</stp>
        <stp>US912828RL69 Corp</stp>
        <stp>FIRST_CPN_DT</stp>
        <stp>[portefeuille USD.xlsm]treasuries!R118C24_x0000__x0000_</stp>
        <tr r="X118" s="13"/>
      </tp>
      <tp t="e">
        <v>#N/A</v>
        <stp/>
        <stp>##V3_BDPV12</stp>
        <stp>US912828CJ78 Corp</stp>
        <stp>FIRST_CPN_DT</stp>
        <stp>[portefeuille USD.xlsm]treasuries!R105C24_x0000__x0000_</stp>
        <tr r="X105" s="13"/>
      </tp>
      <tp t="e">
        <v>#N/A</v>
        <stp/>
        <stp>##V3_BDPV12</stp>
        <stp>US912810EF13 Corp</stp>
        <stp>FIRST_CPN_DT</stp>
        <stp>[portefeuille USD.xlsm]treasuries!R234C24_x0000__x0000_</stp>
        <tr r="X234" s="13"/>
      </tp>
      <tp t="e">
        <v>#N/A</v>
        <stp/>
        <stp>##V3_BDPV12</stp>
        <stp>US912810FJ26 Corp</stp>
        <stp>FIRST_CPN_DT</stp>
        <stp>[portefeuille USD.xlsm]treasuries!R265C24_x0000__x0000_</stp>
        <tr r="X265" s="13"/>
      </tp>
      <tp t="e">
        <v>#N/A</v>
        <stp/>
        <stp>##V3_BDPV12</stp>
        <stp>US912810FG86 Corp</stp>
        <stp>FIRST_CPN_DT</stp>
        <stp>[portefeuille USD.xlsm]treasuries!R264C24_x0000__x0000_</stp>
        <tr r="X264" s="13"/>
      </tp>
      <tp t="e">
        <v>#N/A</v>
        <stp/>
        <stp>##V3_BDPV12</stp>
        <stp>US912828NG11 Corp</stp>
        <stp>FIRST_CPN_DT</stp>
        <stp>[portefeuille USD.xlsm]treasuries!R191C24_x0000__x0000_</stp>
        <tr r="X191" s="13"/>
      </tp>
      <tp t="e">
        <v>#N/A</v>
        <stp/>
        <stp>##V3_BDPV12</stp>
        <stp>US912828KN98 Corp</stp>
        <stp>FIRST_CPN_DT</stp>
        <stp>[portefeuille USD.xlsm]treasuries!R102C24_x0000__x0000_</stp>
        <tr r="X102" s="13"/>
      </tp>
      <tp t="e">
        <v>#N/A</v>
        <stp/>
        <stp>##V3_BDPV12</stp>
        <stp>US912828JD36 Corp</stp>
        <stp>AMT_OUTSTANDING</stp>
        <stp>[portefeuille USD.xlsm]treasuries!R70C28_x0000__x0000_</stp>
        <tr r="AB70" s="13"/>
      </tp>
      <tp t="e">
        <v>#N/A</v>
        <stp/>
        <stp>##V3_BDPV12</stp>
        <stp>US912828QE36 Corp</stp>
        <stp>AMT_OUTSTANDING</stp>
        <stp>[portefeuille USD.xlsm]treasuries!R60C28_x0000__x0000_</stp>
        <tr r="AB60" s="13"/>
      </tp>
      <tp t="e">
        <v>#N/A</v>
        <stp/>
        <stp>##V3_BDPV12</stp>
        <stp>US912828RD44 Corp</stp>
        <stp>AMT_OUTSTANDING</stp>
        <stp>[portefeuille USD.xlsm]treasuries!R77C28_x0000__x0000_</stp>
        <tr r="AB77" s="13"/>
      </tp>
      <tp t="e">
        <v>#N/A</v>
        <stp/>
        <stp>##V3_BDPV12</stp>
        <stp>USN9638CAY59 Corp</stp>
        <stp>INT_ACC_DT</stp>
        <stp>[portefeuille USD.xlsm]SSA!R12C22_x0000__x0000_</stp>
        <tr r="V12" s="16"/>
      </tp>
      <tp t="e">
        <v>#N/A</v>
        <stp/>
        <stp>##V3_BDPV12</stp>
        <stp>US912828MG20 Corp</stp>
        <stp>AMT_OUTSTANDING</stp>
        <stp>[portefeuille USD.xlsm]treasuries!R46C28_x0000__x0000_</stp>
        <tr r="AB46" s="13"/>
      </tp>
      <tp t="e">
        <v>#N/A</v>
        <stp/>
        <stp>##V3_BDPV12</stp>
        <stp>US9127956N64 Corp</stp>
        <stp>AMT_OUTSTANDING</stp>
        <stp>[portefeuille USD.xlsm]treasuries!R29C28_x0000__x0000_</stp>
        <tr r="AB29" s="13"/>
      </tp>
      <tp t="e">
        <v>#N/A</v>
        <stp/>
        <stp>##V3_BDPV12</stp>
        <stp>EI939268 Corp Corp</stp>
        <stp>PENULTIMATE_CPN_DT</stp>
        <stp>[portefeuille USD.xlsm]SSA!R21C24_x0000__x0000_</stp>
        <tr r="X21" s="16"/>
      </tp>
      <tp t="e">
        <v>#N/A</v>
        <stp/>
        <stp>##V3_BDPV12</stp>
        <stp>US63983UAD46 Corp</stp>
        <stp>ISSUE_DT</stp>
        <stp>[portefeuille USD.xlsm]SSA!R10C21_x0000__x0000_</stp>
        <tr r="U10" s="16"/>
      </tp>
      <tp t="e">
        <v>#N/A</v>
        <stp/>
        <stp>##V3_BDPV12</stp>
        <stp>US63983UAD46 Corp</stp>
        <stp>MATURITY</stp>
        <stp>[portefeuille USD.xlsm]SSA!R10C25_x0000__x0000_</stp>
        <tr r="Y10" s="16"/>
      </tp>
      <tp t="e">
        <v>#N/A</v>
        <stp/>
        <stp>##V3_BDPV12</stp>
        <stp>US912810QB70 Corp</stp>
        <stp>FIRST_CPN_DT</stp>
        <stp>[portefeuille USD.xlsm]treasuries!R274C24_x0000__x0000_</stp>
        <tr r="X274" s="13"/>
      </tp>
      <tp t="e">
        <v>#N/A</v>
        <stp/>
        <stp>##V3_BDPV12</stp>
        <stp>US912828RX08 Corp</stp>
        <stp>FIRST_CPN_DT</stp>
        <stp>[portefeuille USD.xlsm]treasuries!R177C24_x0000__x0000_</stp>
        <tr r="X177" s="13"/>
      </tp>
      <tp t="e">
        <v>#N/A</v>
        <stp/>
        <stp>##V3_BDPV12</stp>
        <stp>US912828RU68 Corp</stp>
        <stp>FIRST_CPN_DT</stp>
        <stp>[portefeuille USD.xlsm]treasuries!R176C24_x0000__x0000_</stp>
        <tr r="X176" s="13"/>
      </tp>
      <tp t="e">
        <v>#N/A</v>
        <stp/>
        <stp>##V3_BDPV12</stp>
        <stp>US912810QE10 Corp</stp>
        <stp>FIRST_CPN_DT</stp>
        <stp>[portefeuille USD.xlsm]treasuries!R277C24_x0000__x0000_</stp>
        <tr r="X277" s="13"/>
      </tp>
      <tp t="e">
        <v>#N/A</v>
        <stp/>
        <stp>##V3_BDPV12</stp>
        <stp>US912810PU60 Corp</stp>
        <stp>FIRST_CPN_DT</stp>
        <stp>[portefeuille USD.xlsm]treasuries!R270C24_x0000__x0000_</stp>
        <tr r="X270" s="13"/>
      </tp>
      <tp t="e">
        <v>#N/A</v>
        <stp/>
        <stp>##V3_BDPV12</stp>
        <stp>US912828QR49 Corp</stp>
        <stp>FIRST_CPN_DT</stp>
        <stp>[portefeuille USD.xlsm]treasuries!R163C24_x0000__x0000_</stp>
        <tr r="X163" s="13"/>
      </tp>
      <tp t="e">
        <v>#N/A</v>
        <stp/>
        <stp>##V3_BDPV12</stp>
        <stp>US912810PX00 Corp</stp>
        <stp>FIRST_CPN_DT</stp>
        <stp>[portefeuille USD.xlsm]treasuries!R272C24_x0000__x0000_</stp>
        <tr r="X272" s="13"/>
      </tp>
      <tp t="e">
        <v>#N/A</v>
        <stp/>
        <stp>##V3_BDPV12</stp>
        <stp>US912810ED64 Corp</stp>
        <stp>FIRST_CPN_DT</stp>
        <stp>[portefeuille USD.xlsm]treasuries!R230C24_x0000__x0000_</stp>
        <tr r="X230" s="13"/>
      </tp>
      <tp t="e">
        <v>#N/A</v>
        <stp/>
        <stp>##V3_BDPV12</stp>
        <stp>US912828MD98 Corp</stp>
        <stp>FIRST_CPN_DT</stp>
        <stp>[portefeuille USD.xlsm]treasuries!R178C24_x0000__x0000_</stp>
        <tr r="X178" s="13"/>
      </tp>
      <tp t="e">
        <v>#N/A</v>
        <stp/>
        <stp>##V3_BDPV12</stp>
        <stp>US912810DS43 Corp</stp>
        <stp>FIRST_CPN_DT</stp>
        <stp>[portefeuille USD.xlsm]treasuries!R141C24_x0000__x0000_</stp>
        <tr r="X141" s="13"/>
      </tp>
      <tp t="e">
        <v>#N/A</v>
        <stp/>
        <stp>##V3_BDPV12</stp>
        <stp>US298785CX26 Corp</stp>
        <stp>INT_ACC_DT</stp>
        <stp>[portefeuille USD.xlsm]SSA!R46C22_x0000_R</stp>
        <tr r="V46" s="16"/>
      </tp>
      <tp t="e">
        <v>#N/A</v>
        <stp/>
        <stp>##V3_BDPV12</stp>
        <stp>US912810EV62 Corp</stp>
        <stp>FIRST_CPN_DT</stp>
        <stp>[portefeuille USD.xlsm]treasuries!R255C24_x0000__x0000_</stp>
        <tr r="X255" s="13"/>
      </tp>
      <tp t="e">
        <v>#N/A</v>
        <stp/>
        <stp>##V3_BDPV12</stp>
        <stp>US298785EY80 Corp</stp>
        <stp>INT_ACC_DT</stp>
        <stp>[portefeuille USD.xlsm]SSA!R57C22_x0000_R</stp>
        <tr r="V57" s="16"/>
      </tp>
      <tp t="e">
        <v>#N/A</v>
        <stp/>
        <stp>##V3_BDPV12</stp>
        <stp>US912810EY02 Corp</stp>
        <stp>FIRST_CPN_DT</stp>
        <stp>[portefeuille USD.xlsm]treasuries!R258C24_x0000__x0000_</stp>
        <tr r="X258" s="13"/>
      </tp>
      <tp t="e">
        <v>#N/A</v>
        <stp/>
        <stp>##V3_BDPV12</stp>
        <stp>US912810EM63 Corp</stp>
        <stp>FIRST_CPN_DT</stp>
        <stp>[portefeuille USD.xlsm]treasuries!R249C24_x0000__x0000_</stp>
        <tr r="X249" s="13"/>
      </tp>
      <tp t="e">
        <v>#N/A</v>
        <stp/>
        <stp>##V3_BDPV12</stp>
        <stp>US912828MS67 Corp</stp>
        <stp>FIRST_CPN_DT</stp>
        <stp>[portefeuille USD.xlsm]treasuries!R182C24_x0000__x0000_</stp>
        <tr r="X182" s="13"/>
      </tp>
      <tp t="e">
        <v>#N/A</v>
        <stp/>
        <stp>##V3_BDPV12</stp>
        <stp>US912828NH93 Govt</stp>
        <stp>INT_ACC</stp>
        <stp>[portefeuille USD.xlsm]MV Repo!R9C6_x0000__x0000_</stp>
        <tr r="F9" s="6"/>
      </tp>
      <tp t="e">
        <v>#N/A</v>
        <stp/>
        <stp>##V3_BDPV12</stp>
        <stp>US912828KZ29 Corp</stp>
        <stp>FIRST_CPN_DT</stp>
        <stp>[portefeuille USD.xlsm]treasuries!R162C24_x0000__x0000_</stp>
        <tr r="X162" s="13"/>
      </tp>
      <tp t="e">
        <v>#N/A</v>
        <stp/>
        <stp>##V3_BDPV12</stp>
        <stp>US912828GZ74 Corp</stp>
        <stp>PENULTIMATE_CPN_DT</stp>
        <stp>[portefeuille USD.xlsm]treasuries!R8C25_x0000_5</stp>
        <tr r="Y8" s="13"/>
      </tp>
      <tp t="e">
        <v>#N/A</v>
        <stp/>
        <stp>##V3_BDPV12</stp>
        <stp>US912828HC70 Corp</stp>
        <stp>AMT_OUTSTANDING</stp>
        <stp>[portefeuille USD.xlsm]treasuries!R17C28_x0000__x0000_</stp>
        <tr r="AB17" s="13"/>
      </tp>
      <tp t="e">
        <v>#N/A</v>
        <stp/>
        <stp>##V3_BDPV12</stp>
        <stp>EF501708 Corp Corp</stp>
        <stp>ISSUE_DT</stp>
        <stp>[portefeuille USD.xlsm]SSA!R135C21_x0000_2</stp>
        <tr r="U135" s="16"/>
      </tp>
      <tp t="e">
        <v>#N/A</v>
        <stp/>
        <stp>##V3_BDPV12</stp>
        <stp>EI791877 Corp Corp</stp>
        <stp>ISSUE_DT</stp>
        <stp>[portefeuille USD.xlsm]SSA!R137C21_x0000_2</stp>
        <tr r="U137" s="16"/>
      </tp>
      <tp t="e">
        <v>#N/A</v>
        <stp/>
        <stp>##V3_BDPV12</stp>
        <stp>US912810QH41 Corp</stp>
        <stp>FIRST_CPN_DT</stp>
        <stp>[portefeuille USD.xlsm]treasuries!R278C24_x0000__x0000_</stp>
        <tr r="X278" s="13"/>
      </tp>
      <tp t="e">
        <v>#N/A</v>
        <stp/>
        <stp>##V3_BDPV12</stp>
        <stp>US912828LP38 Corp</stp>
        <stp>FIRST_CPN_DT</stp>
        <stp>[portefeuille USD.xlsm]treasuries!R169C24_x0000__x0000_</stp>
        <tr r="X169" s="13"/>
      </tp>
      <tp t="e">
        <v>#N/A</v>
        <stp/>
        <stp>##V3_BDPV12</stp>
        <stp>US912828FY19 Corp</stp>
        <stp>FIRST_CPN_DT</stp>
        <stp>[portefeuille USD.xlsm]treasuries!R173C24_x0000__x0000_</stp>
        <tr r="X173" s="13"/>
      </tp>
      <tp t="e">
        <v>#N/A</v>
        <stp/>
        <stp>##V3_BDPV12</stp>
        <stp>US912828GH76 Corp</stp>
        <stp>FIRST_CPN_DT</stp>
        <stp>[portefeuille USD.xlsm]treasuries!R181C24_x0000__x0000_</stp>
        <tr r="X181" s="13"/>
      </tp>
      <tp t="e">
        <v>#N/A</v>
        <stp/>
        <stp>##V3_BDPV12</stp>
        <stp>US298785EX08 Corp</stp>
        <stp>INT_ACC_DT</stp>
        <stp>[portefeuille USD.xlsm]SSA!R53C22_x0000_R</stp>
        <tr r="V53" s="16"/>
      </tp>
      <tp t="e">
        <v>#N/A</v>
        <stp/>
        <stp>##V3_BDPV12</stp>
        <stp>US9127955Y39 Corp</stp>
        <stp>PENULTIMATE_CPN_DT</stp>
        <stp>[portefeuille USD.xlsm]treasuries!R9C25_x0000__x0000_</stp>
        <tr r="Y9" s="13"/>
      </tp>
      <tp t="e">
        <v>#N/A</v>
        <stp/>
        <stp>##V3_BDPV12</stp>
        <stp>US912810EG95 Corp</stp>
        <stp>FIRST_CPN_DT</stp>
        <stp>[portefeuille USD.xlsm]treasuries!R236C24_x0000__x0000_</stp>
        <tr r="X236" s="13"/>
      </tp>
      <tp t="e">
        <v>#N/A</v>
        <stp/>
        <stp>##V3_BDPV12</stp>
        <stp>US912810DP04 Corp</stp>
        <stp>FIRST_CPN_DT</stp>
        <stp>[portefeuille USD.xlsm]treasuries!R127C24_x0000__x0000_</stp>
        <tr r="X127" s="13"/>
      </tp>
      <tp t="e">
        <v>#N/A</v>
        <stp/>
        <stp>##V3_BDPV12</stp>
        <stp>US912810EA26 Corp</stp>
        <stp>FIRST_CPN_DT</stp>
        <stp>[portefeuille USD.xlsm]treasuries!R208C24_x0000__x0000_</stp>
        <tr r="X208" s="13"/>
      </tp>
      <tp t="e">
        <v>#N/A</v>
        <stp/>
        <stp>##V3_BDPV12</stp>
        <stp>US298785EZ55 Corp</stp>
        <stp>YLD_YTM_BID</stp>
        <stp>[portefeuille USD.xlsm]SSA!R39C8_x0000__x0000_</stp>
        <tr r="H39" s="16"/>
      </tp>
      <tp t="e">
        <v>#N/A</v>
        <stp/>
        <stp>##V3_BDPV12</stp>
        <stp>US912828LD08 Corp</stp>
        <stp>FIRST_CPN_DT</stp>
        <stp>[portefeuille USD.xlsm]treasuries!R165C24_x0000__x0000_</stp>
        <tr r="X165" s="13"/>
      </tp>
      <tp t="e">
        <v>#N/A</v>
        <stp/>
        <stp>##V3_BDPV12</stp>
        <stp>US912828MV96 Corp</stp>
        <stp>FIRST_CPN_DT</stp>
        <stp>[portefeuille USD.xlsm]treasuries!R184C24_x0000__x0000_</stp>
        <tr r="X184" s="13"/>
      </tp>
      <tp t="e">
        <v>#N/A</v>
        <stp/>
        <stp>##V3_BDPV12</stp>
        <stp>US912828MA59 Corp</stp>
        <stp>FIRST_CPN_DT</stp>
        <stp>[portefeuille USD.xlsm]treasuries!R175C24_x0000__x0000_</stp>
        <tr r="X175" s="13"/>
      </tp>
      <tp t="e">
        <v>#N/A</v>
        <stp/>
        <stp>##V3_BDPV12</stp>
        <stp>US912828QH66 Corp</stp>
        <stp>AMT_OUTSTANDING</stp>
        <stp>[portefeuille USD.xlsm]treasuries!R94C28_x0000__x0000_</stp>
        <tr r="AB94" s="13"/>
      </tp>
      <tp t="e">
        <v>#N/A</v>
        <stp/>
        <stp>##V3_BDPV12</stp>
        <stp>EG914838 Corp Corp</stp>
        <stp>INT_ACC_DT</stp>
        <stp>[portefeuille USD.xlsm]SSA!R37C22_x0000__x0000_</stp>
        <tr r="V37" s="16"/>
      </tp>
      <tp t="e">
        <v>#N/A</v>
        <stp/>
        <stp>##V3_BDPV12</stp>
        <stp>US63983TAE55 Corp</stp>
        <stp>ISSUE_DT</stp>
        <stp>[portefeuille USD.xlsm]SSA!R11C21_x0000__x0000_</stp>
        <tr r="U11" s="16"/>
      </tp>
      <tp t="e">
        <v>#N/A</v>
        <stp/>
        <stp>##V3_BDPV12</stp>
        <stp>US29878TBU79 Corp</stp>
        <stp>ISSUE_DT</stp>
        <stp>[portefeuille USD.xlsm]SSA!R75C21_x0000_R</stp>
        <tr r="U75" s="16"/>
      </tp>
      <tp t="e">
        <v>#N/A</v>
        <stp/>
        <stp>##V3_BDPV12</stp>
        <stp>US29878TBU79 Corp</stp>
        <stp>MATURITY</stp>
        <stp>[portefeuille USD.xlsm]SSA!R75C25_x0000_R</stp>
        <tr r="Y75" s="16"/>
      </tp>
      <tp t="e">
        <v>#N/A</v>
        <stp/>
        <stp>##V3_BDPV12</stp>
        <stp>US63983TAE55 Corp</stp>
        <stp>MATURITY</stp>
        <stp>[portefeuille USD.xlsm]SSA!R11C25_x0000__x0000_</stp>
        <tr r="Y11" s="16"/>
      </tp>
      <tp t="e">
        <v>#N/A</v>
        <stp/>
        <stp>##V3_BDPV12</stp>
        <stp>US912828SJ05 Corp</stp>
        <stp>FIRST_CPN_DT</stp>
        <stp>[portefeuille USD.xlsm]treasuries!R183C24_x0000__x0000_</stp>
        <tr r="X183" s="13"/>
      </tp>
      <tp t="e">
        <v>#N/A</v>
        <stp/>
        <stp>##V3_BDPV12</stp>
        <stp>US298785EY80 Corp</stp>
        <stp>YLD_YTM_BID</stp>
        <stp>[portefeuille USD.xlsm]SSA!R57C8_x0000__x0000_</stp>
        <tr r="H57" s="16"/>
      </tp>
      <tp t="e">
        <v>#N/A</v>
        <stp/>
        <stp>##V3_BDPV12</stp>
        <stp>US298785DY99 Corp</stp>
        <stp>YLD_YTM_BID</stp>
        <stp>[portefeuille USD.xlsm]SSA!R72C8_x0000__x0000_</stp>
        <tr r="H72" s="16"/>
      </tp>
      <tp t="e">
        <v>#N/A</v>
        <stp/>
        <stp>##V3_BDPV12</stp>
        <stp>US298785DV50 Corp</stp>
        <stp>INT_ACC_DT</stp>
        <stp>[portefeuille USD.xlsm]SSA!R86C22_x0000_R</stp>
        <tr r="V86" s="16"/>
      </tp>
      <tp t="e">
        <v>#N/A</v>
        <stp/>
        <stp>##V3_BDPV12</stp>
        <stp>US912828KT68 Corp</stp>
        <stp>FIRST_CPN_DT</stp>
        <stp>[portefeuille USD.xlsm]treasuries!R154C24_x0000__x0000_</stp>
        <tr r="X154" s="13"/>
      </tp>
      <tp t="e">
        <v>#N/A</v>
        <stp/>
        <stp>##V3_BDPV12</stp>
        <stp>US298785DY99 Corp</stp>
        <stp>INT_ACC_DT</stp>
        <stp>[portefeuille USD.xlsm]SSA!R72C22_x0000_R</stp>
        <tr r="V72" s="16"/>
      </tp>
      <tp t="e">
        <v>#N/A</v>
        <stp/>
        <stp>##V3_BDPV12</stp>
        <stp>US9127955L18 Corp</stp>
        <stp>AMT_OUTSTANDING</stp>
        <stp>[portefeuille USD.xlsm]treasuries!R34C28_x0000__x0000_</stp>
        <tr r="AB34" s="13"/>
      </tp>
      <tp t="e">
        <v>#N/A</v>
        <stp/>
        <stp>##V3_BDPV12</stp>
        <stp>US9127956M81 Corp</stp>
        <stp>AMT_OUTSTANDING</stp>
        <stp>[portefeuille USD.xlsm]treasuries!R26C28_x0000__x0000_</stp>
        <tr r="AB26" s="13"/>
      </tp>
      <tp t="e">
        <v>#N/A</v>
        <stp/>
        <stp>##V3_BDPV12</stp>
        <stp>US912828JG66 Corp</stp>
        <stp>AMT_OUTSTANDING</stp>
        <stp>[portefeuille USD.xlsm]treasuries!R72C28_x0000__x0000_</stp>
        <tr r="AB72" s="13"/>
      </tp>
      <tp t="e">
        <v>#N/A</v>
        <stp/>
        <stp>##V3_BDPV12</stp>
        <stp>EJ095994 Corp Corp</stp>
        <stp>ISSUE_DT</stp>
        <stp>[portefeuille USD.xlsm]SSA!R130C21_x0000_2</stp>
        <tr r="U130" s="16"/>
      </tp>
      <tp t="e">
        <v>#N/A</v>
        <stp/>
        <stp>##V3_BDPV12</stp>
        <stp>EI297586 Corp Corp</stp>
        <stp>INT_ACC_DT</stp>
        <stp>[portefeuille USD.xlsm]SSA!R26C22_x0000__x0000_</stp>
        <tr r="V26" s="16"/>
      </tp>
      <tp t="e">
        <v>#N/A</v>
        <stp/>
        <stp>##V3_BDPV12</stp>
        <stp>EI939268 Corp Corp</stp>
        <stp>YLD_YTM_BID</stp>
        <stp>[portefeuille USD.xlsm]SSA!R21C8_x0000__x0000_</stp>
        <tr r="H21" s="16"/>
      </tp>
      <tp t="e">
        <v>#N/A</v>
        <stp/>
        <stp>##V3_BDPV12</stp>
        <stp>US912828SS04 Corp</stp>
        <stp>FIRST_CPN_DT</stp>
        <stp>[portefeuille USD.xlsm]treasuries!R186C24_x0000__x0000_</stp>
        <tr r="X186" s="13"/>
      </tp>
      <tp t="e">
        <v>#N/A</v>
        <stp/>
        <stp>##V3_BDPV12</stp>
        <stp>US912810QC53 Corp</stp>
        <stp>FIRST_CPN_DT</stp>
        <stp>[portefeuille USD.xlsm]treasuries!R275C24_x0000__x0000_</stp>
        <tr r="X275" s="13"/>
      </tp>
      <tp t="e">
        <v>#N/A</v>
        <stp/>
        <stp>##V3_BDPV12</stp>
        <stp>US912828SM34 Corp</stp>
        <stp>FIRST_CPN_DT</stp>
        <stp>[portefeuille USD.xlsm]treasuries!R185C24_x0000__x0000_</stp>
        <tr r="X185" s="13"/>
      </tp>
      <tp t="e">
        <v>#N/A</v>
        <stp/>
        <stp>##V3_BDPV12</stp>
        <stp>US298785EZ55 Corp</stp>
        <stp>PENULTIMATE_CPN_DT</stp>
        <stp>[portefeuille USD.xlsm]SSA!R39C24_x0000_R</stp>
        <tr r="X39" s="16"/>
      </tp>
      <tp t="e">
        <v>#N/A</v>
        <stp/>
        <stp>##V3_BDPV12</stp>
        <stp>US912810DV71 Corp</stp>
        <stp>FIRST_CPN_DT</stp>
        <stp>[portefeuille USD.xlsm]treasuries!R150C24_x0000__x0000_</stp>
        <tr r="X150" s="13"/>
      </tp>
      <tp t="e">
        <v>#N/A</v>
        <stp/>
        <stp>##V3_BDPV12</stp>
        <stp>US912810EL80 Corp</stp>
        <stp>FIRST_CPN_DT</stp>
        <stp>[portefeuille USD.xlsm]treasuries!R245C24_x0000__x0000_</stp>
        <tr r="X245" s="13"/>
      </tp>
      <tp t="e">
        <v>#N/A</v>
        <stp/>
        <stp>##V3_BDPV12</stp>
        <stp>US298785EX08 Corp</stp>
        <stp>YLD_YTM_BID</stp>
        <stp>[portefeuille USD.xlsm]SSA!R53C8_x0000__x0000_</stp>
        <tr r="H53" s="16"/>
      </tp>
      <tp t="e">
        <v>#N/A</v>
        <stp/>
        <stp>##V3_BDPV12</stp>
        <stp>US298785CX26 Corp</stp>
        <stp>YLD_YTM_BID</stp>
        <stp>[portefeuille USD.xlsm]SSA!R46C8_x0000__x0000_</stp>
        <tr r="H46" s="16"/>
      </tp>
      <tp t="e">
        <v>#N/A</v>
        <stp/>
        <stp>##V3_BDPV12</stp>
        <stp>US912828HA15 Corp</stp>
        <stp>FIRST_CPN_DT</stp>
        <stp>[portefeuille USD.xlsm]treasuries!R196C24_x0000__x0000_</stp>
        <tr r="X196" s="13"/>
      </tp>
      <tp t="e">
        <v>#N/A</v>
        <stp/>
        <stp>##V3_BDPV12</stp>
        <stp>US912828NR75 Corp</stp>
        <stp>FIRST_CPN_DT</stp>
        <stp>[portefeuille USD.xlsm]treasuries!R194C24_x0000__x0000_</stp>
        <tr r="X194" s="13"/>
      </tp>
      <tp t="e">
        <v>#N/A</v>
        <stp/>
        <stp>##V3_BDPV12</stp>
        <stp>US9127956E65 Corp</stp>
        <stp>AMT_OUTSTANDING</stp>
        <stp>[portefeuille USD.xlsm]treasuries!R54C28_x0000__x0000_</stp>
        <tr r="AB54" s="13"/>
      </tp>
      <tp t="e">
        <v>#N/A</v>
        <stp/>
        <stp>##V3_BDPV12</stp>
        <stp>US9127956A44 Corp</stp>
        <stp>AMT_OUTSTANDING</stp>
        <stp>[portefeuille USD.xlsm]treasuries!R10C28_x0000__x0000_</stp>
        <tr r="AB10" s="13"/>
      </tp>
      <tp t="e">
        <v>#N/A</v>
        <stp/>
        <stp>##V3_BDPV12</stp>
        <stp>US912828KF64 Corp</stp>
        <stp>AMT_OUTSTANDING</stp>
        <stp>[portefeuille USD.xlsm]treasuries!R97C28_x0000__x0000_</stp>
        <tr r="AB97" s="13"/>
      </tp>
      <tp t="e">
        <v>#N/A</v>
        <stp/>
        <stp>##V3_BDPV12</stp>
        <stp>US912828LM07 Corp</stp>
        <stp>AMT_OUTSTANDING</stp>
        <stp>[portefeuille USD.xlsm]treasuries!R20C28_x0000__x0000_</stp>
        <tr r="AB20" s="13"/>
      </tp>
      <tp t="e">
        <v>#N/A</v>
        <stp/>
        <stp>##V3_BDPV12</stp>
        <stp>US912828BH22 Corp</stp>
        <stp>AMT_OUTSTANDING</stp>
        <stp>[portefeuille USD.xlsm]treasuries!R75C28_x0000__x0000_</stp>
        <tr r="AB75" s="13"/>
      </tp>
      <tp t="e">
        <v>#N/A</v>
        <stp/>
        <stp>##V3_BDPV12</stp>
        <stp>EC687043 Corp Corp</stp>
        <stp>PENULTIMATE_CPN_DT</stp>
        <stp>[portefeuille USD.xlsm]SSA!R35C24_x0000__x0000_</stp>
        <tr r="X35" s="16"/>
      </tp>
      <tp t="e">
        <v>#N/A</v>
        <stp/>
        <stp>##V3_BDPV12</stp>
        <stp>EH237816 Corp Corp</stp>
        <stp>PENULTIMATE_CPN_DT</stp>
        <stp>[portefeuille USD.xlsm]SSA!R29C24_x0000__x0000_</stp>
        <tr r="X29" s="16"/>
      </tp>
      <tp t="e">
        <v>#N/A</v>
        <stp/>
        <stp>##V3_BDPV12</stp>
        <stp>EI133522 Corp Corp</stp>
        <stp>ISSUE_DT</stp>
        <stp>[portefeuille USD.xlsm]SSA!R138C21_x0000_2</stp>
        <tr r="U138" s="16"/>
      </tp>
      <tp t="e">
        <v>#N/A</v>
        <stp/>
        <stp>##V3_BDPV12</stp>
        <stp>US912828LB42 Govt</stp>
        <stp>SECURITY_DES</stp>
        <stp>[portefeuille USD.xlsm]treasuries!R4C2_x0000_2</stp>
        <tr r="B4" s="13"/>
      </tp>
      <tp t="e">
        <v>#N/A</v>
        <stp/>
        <stp>##V3_BDPV12</stp>
        <stp>EI839783 Corp Corp</stp>
        <stp>YLD_YTM_BID</stp>
        <stp>[portefeuille USD.xlsm]SSA!R22C8_x0000__x0000_</stp>
        <tr r="H22" s="16"/>
      </tp>
      <tp t="e">
        <v>#N/A</v>
        <stp/>
        <stp>##V3_BDPV12</stp>
        <stp>EI787877 Corp Corp</stp>
        <stp>YLD_YTM_BID</stp>
        <stp>[portefeuille USD.xlsm]SSA!R25C8_x0000__x0000_</stp>
        <tr r="H25" s="16"/>
      </tp>
      <tp t="e">
        <v>#N/A</v>
        <stp/>
        <stp>##V3_BDPV12</stp>
        <stp>EH539714 Corp Corp</stp>
        <stp>INT_ACC_DT</stp>
        <stp>[portefeuille USD.xlsm]SSA!R34C22_x0000__x0000_</stp>
        <tr r="V34" s="16"/>
      </tp>
      <tp t="e">
        <v>#N/A</v>
        <stp/>
        <stp>##V3_BDPV12</stp>
        <stp>US912828QG83 Corp</stp>
        <stp>FIRST_CPN_DT</stp>
        <stp>[portefeuille USD.xlsm]treasuries!R207C24_x0000__x0000_</stp>
        <tr r="X207" s="13"/>
      </tp>
      <tp t="e">
        <v>#N/A</v>
        <stp/>
        <stp>##V3_BDPV12</stp>
        <stp>US298785FQ48 Corp</stp>
        <stp>PENULTIMATE_CPN_DT</stp>
        <stp>[portefeuille USD.xlsm]SSA!R71C24_x0000_R</stp>
        <tr r="X71" s="16"/>
      </tp>
      <tp t="e">
        <v>#N/A</v>
        <stp/>
        <stp>##V3_BDPV12</stp>
        <stp>US912828RJ14 Corp</stp>
        <stp>FIRST_CPN_DT</stp>
        <stp>[portefeuille USD.xlsm]treasuries!R170C24_x0000__x0000_</stp>
        <tr r="X170" s="13"/>
      </tp>
      <tp t="e">
        <v>#N/A</v>
        <stp/>
        <stp>##V3_BDPV12</stp>
        <stp>US298785ER30 Corp</stp>
        <stp>PENULTIMATE_CPN_DT</stp>
        <stp>[portefeuille USD.xlsm]SSA!R48C24_x0000_R</stp>
        <tr r="X48" s="16"/>
      </tp>
      <tp t="e">
        <v>#N/A</v>
        <stp/>
        <stp>##V3_BDPV12</stp>
        <stp>US912810EE48 Corp</stp>
        <stp>FIRST_CPN_DT</stp>
        <stp>[portefeuille USD.xlsm]treasuries!R232C24_x0000__x0000_</stp>
        <tr r="X232" s="13"/>
      </tp>
      <tp t="e">
        <v>#N/A</v>
        <stp/>
        <stp>##V3_BDPV12</stp>
        <stp>US912828NP10 Corp</stp>
        <stp>FIRST_CPN_DT</stp>
        <stp>[portefeuille USD.xlsm]treasuries!R139C24_x0000__x0000_</stp>
        <tr r="X139" s="13"/>
      </tp>
      <tp t="e">
        <v>#N/A</v>
        <stp/>
        <stp>##V3_BDPV12</stp>
        <stp>US298785FV33 Corp</stp>
        <stp>INT_ACC_DT</stp>
        <stp>[portefeuille USD.xlsm]SSA!R63C22_x0000_R</stp>
        <tr r="V63" s="16"/>
      </tp>
      <tp t="e">
        <v>#N/A</v>
        <stp/>
        <stp>##V3_BDPV12</stp>
        <stp>US912828KY53 Corp</stp>
        <stp>FIRST_CPN_DT</stp>
        <stp>[portefeuille USD.xlsm]treasuries!R109C24_x0000__x0000_</stp>
        <tr r="X109" s="13"/>
      </tp>
      <tp t="e">
        <v>#N/A</v>
        <stp/>
        <stp>##V3_BDPV12</stp>
        <stp>US912828JR22 Corp</stp>
        <stp>FIRST_CPN_DT</stp>
        <stp>[portefeuille USD.xlsm]treasuries!R217C24_x0000__x0000_</stp>
        <tr r="X217" s="13"/>
      </tp>
      <tp t="e">
        <v>#N/A</v>
        <stp/>
        <stp>##V3_BDPV12</stp>
        <stp>US912828NV87 Corp</stp>
        <stp>FIRST_CPN_DT</stp>
        <stp>[portefeuille USD.xlsm]treasuries!R142C24_x0000__x0000_</stp>
        <tr r="X142" s="13"/>
      </tp>
      <tp t="e">
        <v>#N/A</v>
        <stp/>
        <stp>##V3_BDPV12</stp>
        <stp>US298785FW16 Corp</stp>
        <stp>YLD_YTM_BID</stp>
        <stp>[portefeuille USD.xlsm]SSA!R79C8_x0000__x0000_</stp>
        <tr r="H79" s="16"/>
      </tp>
      <tp t="e">
        <v>#N/A</v>
        <stp/>
        <stp>##V3_BDPV12</stp>
        <stp>US912828ME71 Corp</stp>
        <stp>FIRST_CPN_DT</stp>
        <stp>[portefeuille USD.xlsm]treasuries!R124C24_x0000__x0000_</stp>
        <tr r="X124" s="13"/>
      </tp>
      <tp t="e">
        <v>#N/A</v>
        <stp/>
        <stp>##V3_BDPV12</stp>
        <stp>US298785FW16 Corp</stp>
        <stp>INT_ACC_DT</stp>
        <stp>[portefeuille USD.xlsm]SSA!R79C22_x0000_R</stp>
        <tr r="V79" s="16"/>
      </tp>
      <tp t="e">
        <v>#N/A</v>
        <stp/>
        <stp>##V3_BDPV12</stp>
        <stp>US912828QK95 Corp</stp>
        <stp>AMT_OUTSTANDING</stp>
        <stp>[portefeuille USD.xlsm]treasuries!R52C28_x0000__x0000_</stp>
        <tr r="AB52" s="13"/>
      </tp>
      <tp t="e">
        <v>#N/A</v>
        <stp/>
        <stp>##V3_BDPV12</stp>
        <stp>US9127955C19 Corp</stp>
        <stp>AMT_OUTSTANDING</stp>
        <stp>[portefeuille USD.xlsm]treasuries!R21C28_x0000__x0000_</stp>
        <tr r="AB21" s="13"/>
      </tp>
      <tp t="e">
        <v>#N/A</v>
        <stp/>
        <stp>##V3_BDPV12</stp>
        <stp>US912828NH93 Corp</stp>
        <stp>AMT_OUTSTANDING</stp>
        <stp>[portefeuille USD.xlsm]treasuries!R68C28_x0000__x0000_</stp>
        <tr r="AB68" s="13"/>
      </tp>
      <tp t="e">
        <v>#N/A</v>
        <stp/>
        <stp>##V3_BDPV12</stp>
        <stp>US912828SG65 Corp</stp>
        <stp>AMT_OUTSTANDING</stp>
        <stp>[portefeuille USD.xlsm]treasuries!R96C28_x0000__x0000_</stp>
        <tr r="AB96" s="13"/>
      </tp>
      <tp t="e">
        <v>#N/A</v>
        <stp/>
        <stp>##V3_BDPV12</stp>
        <stp>EI575402 Corp Corp</stp>
        <stp>ISSUE_DT</stp>
        <stp>[portefeuille USD.xlsm]SSA!R136C21_x0000_2</stp>
        <tr r="U136" s="16"/>
      </tp>
      <tp t="e">
        <v>#N/A</v>
        <stp/>
        <stp>##V3_BDPV12</stp>
        <stp>EF684257 Corp Corp</stp>
        <stp>PENULTIMATE_CPN_DT</stp>
        <stp>[portefeuille USD.xlsm]SSA!R38C24_x0000__x0000_</stp>
        <tr r="X38" s="16"/>
      </tp>
      <tp t="e">
        <v>#N/A</v>
        <stp/>
        <stp>##V3_BDPV12</stp>
        <stp>EH790357 Corp Corp</stp>
        <stp>PENULTIMATE_CPN_DT</stp>
        <stp>[portefeuille USD.xlsm]SSA!R28C24_x0000__x0000_</stp>
        <tr r="X28" s="16"/>
      </tp>
      <tp t="e">
        <v>#N/A</v>
        <stp/>
        <stp>##V3_BDPV12</stp>
        <stp>EI009749 Corp Corp</stp>
        <stp>INT_ACC_DT</stp>
        <stp>[portefeuille USD.xlsm]SSA!R24C22_x0000__x0000_</stp>
        <tr r="V24" s="16"/>
      </tp>
      <tp t="e">
        <v>#N/A</v>
        <stp/>
        <stp>##V3_BDPV12</stp>
        <stp>EI347021 Corp Corp</stp>
        <stp>YLD_YTM_BID</stp>
        <stp>[portefeuille USD.xlsm]SSA!R27C8_x0000__x0000_</stp>
        <tr r="H27" s="16"/>
      </tp>
      <tp t="e">
        <v>#N/A</v>
        <stp/>
        <stp>##V3_BDPV12</stp>
        <stp>EI143648 Corp Corp</stp>
        <stp>INT_ACC_DT</stp>
        <stp>[portefeuille USD.xlsm]SSA!R32C22_x0000__x0000_</stp>
        <tr r="V32" s="16"/>
      </tp>
      <tp t="e">
        <v>#N/A</v>
        <stp/>
        <stp>##V3_BDPV12</stp>
        <stp>EH967487 Corp Corp</stp>
        <stp>YLD_YTM_BID</stp>
        <stp>[portefeuille USD.xlsm]SSA!R31C8_x0000__x0000_</stp>
        <tr r="H31" s="16"/>
      </tp>
      <tp t="e">
        <v>#N/A</v>
        <stp/>
        <stp>##V3_BDPV12</stp>
        <stp>ED607736 Corp Corp</stp>
        <stp>INT_ACC_DT</stp>
        <stp>[portefeuille USD.xlsm]SSA!R36C22_x0000__x0000_</stp>
        <tr r="V36" s="16"/>
      </tp>
      <tp t="e">
        <v>#N/A</v>
        <stp/>
        <stp>##V3_BDPV12</stp>
        <stp>US912828RP73 Corp</stp>
        <stp>FIRST_CPN_DT</stp>
        <stp>[portefeuille USD.xlsm]treasuries!R216C24_x0000__x0000_</stp>
        <tr r="X216" s="13"/>
      </tp>
      <tp t="e">
        <v>#N/A</v>
        <stp/>
        <stp>##V3_BDPV12</stp>
        <stp>US912810QL52 Corp</stp>
        <stp>FIRST_CPN_DT</stp>
        <stp>[portefeuille USD.xlsm]treasuries!R280C24_x0000__x0000_</stp>
        <tr r="X280" s="13"/>
      </tp>
      <tp t="e">
        <v>#N/A</v>
        <stp/>
        <stp>##V3_BDPV12</stp>
        <stp>US912828RY80 Corp</stp>
        <stp>FIRST_CPN_DT</stp>
        <stp>[portefeuille USD.xlsm]treasuries!R220C24_x0000__x0000_</stp>
        <tr r="X220" s="13"/>
      </tp>
      <tp t="e">
        <v>#N/A</v>
        <stp/>
        <stp>##V3_BDPV12</stp>
        <stp>US298785FR21 Corp</stp>
        <stp>PENULTIMATE_CPN_DT</stp>
        <stp>[portefeuille USD.xlsm]SSA!R58C24_x0000_R</stp>
        <tr r="X58" s="16"/>
      </tp>
      <tp t="e">
        <v>#N/A</v>
        <stp/>
        <stp>##V3_BDPV12</stp>
        <stp>US912828QS22 Corp</stp>
        <stp>FIRST_CPN_DT</stp>
        <stp>[portefeuille USD.xlsm]treasuries!R108C24_x0000__x0000_</stp>
        <tr r="X108" s="13"/>
      </tp>
      <tp t="e">
        <v>#N/A</v>
        <stp/>
        <stp>##V3_BDPV12</stp>
        <stp>US298785DV50 Corp</stp>
        <stp>YLD_YTM_BID</stp>
        <stp>[portefeuille USD.xlsm]SSA!R86C8_x0000__x0000_</stp>
        <tr r="H86" s="16"/>
      </tp>
      <tp t="e">
        <v>#N/A</v>
        <stp/>
        <stp>##V3_BDPV12</stp>
        <stp>US912828FQ84 Corp</stp>
        <stp>FIRST_CPN_DT</stp>
        <stp>[portefeuille USD.xlsm]treasuries!R166C24_x0000__x0000_</stp>
        <tr r="X166" s="13"/>
      </tp>
      <tp t="e">
        <v>#N/A</v>
        <stp/>
        <stp>##V3_BDPV12</stp>
        <stp>US9127954B45 Corp</stp>
        <stp>PENULTIMATE_CPN_DT</stp>
        <stp>[portefeuille USD.xlsm]treasuries!R6C25_x0000__x0000_</stp>
        <tr r="Y6" s="13"/>
      </tp>
      <tp t="e">
        <v>#N/A</v>
        <stp/>
        <stp>##V3_BDPV12</stp>
        <stp>US298785FV33 Corp</stp>
        <stp>YLD_YTM_BID</stp>
        <stp>[portefeuille USD.xlsm]SSA!R63C8_x0000__x0000_</stp>
        <tr r="H63" s="16"/>
      </tp>
      <tp t="e">
        <v>#N/A</v>
        <stp/>
        <stp>##V3_BDPV12</stp>
        <stp>US912828KQ20 Corp</stp>
        <stp>FIRST_CPN_DT</stp>
        <stp>[portefeuille USD.xlsm]treasuries!R227C24_x0000__x0000_</stp>
        <tr r="X227" s="13"/>
      </tp>
      <tp t="e">
        <v>#N/A</v>
        <stp/>
        <stp>##V3_BDPV12</stp>
        <stp>US9127955X55 Corp</stp>
        <stp>PENULTIMATE_CPN_DT</stp>
        <stp>[portefeuille USD.xlsm]treasuries!R5C25_x0000_4</stp>
        <tr r="Y5" s="13"/>
      </tp>
      <tp t="e">
        <v>#N/A</v>
        <stp/>
        <stp>##V3_BDPV12</stp>
        <stp>US912828LZ10 Corp</stp>
        <stp>FIRST_CPN_DT</stp>
        <stp>[portefeuille USD.xlsm]treasuries!R122C24_x0000__x0000_</stp>
        <tr r="X122" s="13"/>
      </tp>
      <tp t="e">
        <v>#N/A</v>
        <stp/>
        <stp>##V3_BDPV12</stp>
        <stp>US912828MZ01 Corp</stp>
        <stp>FIRST_CPN_DT</stp>
        <stp>[portefeuille USD.xlsm]treasuries!R134C24_x0000__x0000_</stp>
        <tr r="X134" s="13"/>
      </tp>
      <tp t="e">
        <v>#N/A</v>
        <stp/>
        <stp>##V3_BDPV12</stp>
        <stp>US298785EV42 Corp</stp>
        <stp>YLD_YTM_BID</stp>
        <stp>[portefeuille USD.xlsm]SSA!R52C8_x0000__x0000_</stp>
        <tr r="H52" s="16"/>
      </tp>
      <tp t="e">
        <v>#N/A</v>
        <stp/>
        <stp>##V3_BDPV12</stp>
        <stp>US912828LL24 Corp</stp>
        <stp>FIRST_CPN_DT</stp>
        <stp>[portefeuille USD.xlsm]treasuries!R167C24_x0000__x0000_</stp>
        <tr r="X167" s="13"/>
      </tp>
      <tp t="e">
        <v>#N/A</v>
        <stp/>
        <stp>##V3_BDPV12</stp>
        <stp>US9127956C00 Corp</stp>
        <stp>AMT_OUTSTANDING</stp>
        <stp>[portefeuille USD.xlsm]treasuries!R15C28_x0000__x0000_</stp>
        <tr r="AB15" s="13"/>
      </tp>
      <tp t="e">
        <v>#N/A</v>
        <stp/>
        <stp>##V3_BDPV12</stp>
        <stp>US9127955U17 Corp</stp>
        <stp>CPN</stp>
        <stp>[portefeuille USD.xlsm]treasuries!R2C27_x0000__x0000_</stp>
        <tr r="AA2" s="13"/>
      </tp>
      <tp t="e">
        <v>#N/A</v>
        <stp/>
        <stp>##V3_BDPV12</stp>
        <stp>US9127955W72 Corp</stp>
        <stp>CPN</stp>
        <stp>[portefeuille USD.xlsm]treasuries!R3C27_x0000_8</stp>
        <tr r="AA3" s="13"/>
      </tp>
      <tp t="e">
        <v>#N/A</v>
        <stp/>
        <stp>##V3_BDPV12</stp>
        <stp>US9127955Y39 Corp</stp>
        <stp>CPN</stp>
        <stp>[portefeuille USD.xlsm]treasuries!R9C27_x0000_7</stp>
        <tr r="AA9" s="13"/>
      </tp>
      <tp t="e">
        <v>#N/A</v>
        <stp/>
        <stp>##V3_BDPV12</stp>
        <stp>US9127955X55 Corp</stp>
        <stp>CPN</stp>
        <stp>[portefeuille USD.xlsm]treasuries!R5C27_x0000__x0000_</stp>
        <tr r="AA5" s="13"/>
      </tp>
      <tp t="e">
        <v>#N/A</v>
        <stp/>
        <stp>##V3_BDPV12</stp>
        <stp>EI265078 Corp Corp</stp>
        <stp>ISSUE_DT</stp>
        <stp>[portefeuille USD.xlsm]SSA!R144C21_x0000_2</stp>
        <tr r="U144" s="16"/>
      </tp>
      <tp t="e">
        <v>#N/A</v>
        <stp/>
        <stp>##V3_BDPV12</stp>
        <stp>EG524914 Corp Corp</stp>
        <stp>ISSUE_DT</stp>
        <stp>[portefeuille USD.xlsm]SSA!R133C21_x0000_2</stp>
        <tr r="U133" s="16"/>
      </tp>
      <tp t="e">
        <v>#N/A</v>
        <stp/>
        <stp>##V3_BDPV12</stp>
        <stp>EH531108 Corp Corp</stp>
        <stp>ISSUE_DT</stp>
        <stp>[portefeuille USD.xlsm]SSA!R143C21_x0000_2</stp>
        <tr r="U143" s="16"/>
      </tp>
      <tp t="e">
        <v>#N/A</v>
        <stp/>
        <stp>##V3_BDPV12</stp>
        <stp>EI347021 Corp Corp</stp>
        <stp>PENULTIMATE_CPN_DT</stp>
        <stp>[portefeuille USD.xlsm]SSA!R27C24_x0000__x0000_</stp>
        <tr r="X27" s="16"/>
      </tp>
      <tp t="e">
        <v>#N/A</v>
        <stp/>
        <stp>##V3_BDPV12</stp>
        <stp>US12802DAB29 Corp</stp>
        <stp>ISSUE_DT</stp>
        <stp>[portefeuille USD.xlsm]SSA!R102C21_x0000__x0000_</stp>
        <tr r="U102" s="16"/>
      </tp>
      <tp t="e">
        <v>#N/A</v>
        <stp/>
        <stp>##V3_BDPV12</stp>
        <stp>US12802NAB01 Corp</stp>
        <stp>ISSUE_DT</stp>
        <stp>[portefeuille USD.xlsm]SSA!R101C21_x0000__x0000_</stp>
        <tr r="U101" s="16"/>
      </tp>
      <tp t="e">
        <v>#N/A</v>
        <stp/>
        <stp>##V3_BDPV12</stp>
        <stp>EF086162 Corp Corp</stp>
        <stp>INT_ACC_DT</stp>
        <stp>[portefeuille USD.xlsm]SSA!R33C22_x0000__x0000_</stp>
        <tr r="V33" s="16"/>
      </tp>
      <tp t="e">
        <v>#N/A</v>
        <stp/>
        <stp>##V3_BDPV12</stp>
        <stp>EH790357 Corp Corp</stp>
        <stp>YLD_YTM_BID</stp>
        <stp>[portefeuille USD.xlsm]SSA!R28C8_x0000__x0000_</stp>
        <tr r="H28" s="16"/>
      </tp>
      <tp t="e">
        <v>#N/A</v>
        <stp/>
        <stp>##V3_BDPV12</stp>
        <stp>EI251950 Corp Corp</stp>
        <stp>INT_ACC_DT</stp>
        <stp>[portefeuille USD.xlsm]SSA!R23C22_x0000__x0000_</stp>
        <tr r="V23" s="16"/>
      </tp>
      <tp t="e">
        <v>#N/A</v>
        <stp/>
        <stp>##V3_BDPV12</stp>
        <stp>US912828NQ92 Govt</stp>
        <stp>SECURITY_DES</stp>
        <stp>[portefeuille USD.xlsm]treasuries!R7C2_x0000_2</stp>
        <tr r="B7" s="13"/>
      </tp>
      <tp t="e">
        <v>#N/A</v>
        <stp/>
        <stp>##V3_BDPV12</stp>
        <stp>EC687043 Corp Corp</stp>
        <stp>YLD_YTM_BID</stp>
        <stp>[portefeuille USD.xlsm]SSA!R35C8_x0000__x0000_</stp>
        <tr r="H35" s="16"/>
      </tp>
      <tp t="e">
        <v>#N/A</v>
        <stp/>
        <stp>##V3_BDPV12</stp>
        <stp>US29878TCC62 Corp</stp>
        <stp>CPN_FREQ</stp>
        <stp>[portefeuille USD.xlsm]SSA!R83C27_x0000_R</stp>
        <tr r="AA83" s="16"/>
      </tp>
      <tp t="e">
        <v>#N/A</v>
        <stp/>
        <stp>##V3_BDPV12</stp>
        <stp>US912828QM51 Corp</stp>
        <stp>FIRST_CPN_DT</stp>
        <stp>[portefeuille USD.xlsm]treasuries!R104C24_x0000__x0000_</stp>
        <tr r="X104" s="13"/>
      </tp>
      <tp t="e">
        <v>#N/A</v>
        <stp/>
        <stp>##V3_BDPV12</stp>
        <stp>US912828QX17 Corp</stp>
        <stp>FIRST_CPN_DT</stp>
        <stp>[portefeuille USD.xlsm]treasuries!R164C24_x0000__x0000_</stp>
        <tr r="X164" s="13"/>
      </tp>
      <tp t="e">
        <v>#N/A</v>
        <stp/>
        <stp>##V3_BDPV12</stp>
        <stp>US912828QA14 Corp</stp>
        <stp>FIRST_CPN_DT</stp>
        <stp>[portefeuille USD.xlsm]treasuries!R155C24_x0000__x0000_</stp>
        <tr r="X155" s="13"/>
      </tp>
      <tp t="e">
        <v>#N/A</v>
        <stp/>
        <stp>##V3_BDPV12</stp>
        <stp>US912828PE45 Corp</stp>
        <stp>FIRST_CPN_DT</stp>
        <stp>[portefeuille USD.xlsm]treasuries!R144C24_x0000__x0000_</stp>
        <tr r="X144" s="13"/>
      </tp>
      <tp t="e">
        <v>#N/A</v>
        <stp/>
        <stp>##V3_BDPV12</stp>
        <stp>US912810QU51 Corp</stp>
        <stp>FIRST_CPN_DT</stp>
        <stp>[portefeuille USD.xlsm]treasuries!R285C24_x0000__x0000_</stp>
        <tr r="X285" s="13"/>
      </tp>
      <tp t="e">
        <v>#N/A</v>
        <stp/>
        <stp>##V3_BDPV12</stp>
        <stp>US298785DR49 Corp</stp>
        <stp>PENULTIMATE_CPN_DT</stp>
        <stp>[portefeuille USD.xlsm]SSA!R67C24_x0000_R</stp>
        <tr r="X67" s="16"/>
      </tp>
      <tp t="e">
        <v>#N/A</v>
        <stp/>
        <stp>##V3_BDPV12</stp>
        <stp>US298785FS04 Corp</stp>
        <stp>PENULTIMATE_CPN_DT</stp>
        <stp>[portefeuille USD.xlsm]SSA!R73C24_x0000_R</stp>
        <tr r="X73" s="16"/>
      </tp>
      <tp t="e">
        <v>#N/A</v>
        <stp/>
        <stp>##V3_BDPV12</stp>
        <stp>US912828QN35 Corp</stp>
        <stp>FIRST_CPN_DT</stp>
        <stp>[portefeuille USD.xlsm]treasuries!R241C24_x0000__x0000_</stp>
        <tr r="X241" s="13"/>
      </tp>
      <tp t="e">
        <v>#N/A</v>
        <stp/>
        <stp>##V3_BDPV12</stp>
        <stp>US912828SR21 Corp</stp>
        <stp>FIRST_CPN_DT</stp>
        <stp>[portefeuille USD.xlsm]treasuries!R103C24_x0000__x0000_</stp>
        <tr r="X103" s="13"/>
      </tp>
      <tp t="e">
        <v>#N/A</v>
        <stp/>
        <stp>##V3_BDPV12</stp>
        <stp>US298785FU59 Corp</stp>
        <stp>INT_ACC_DT</stp>
        <stp>[portefeuille USD.xlsm]SSA!R77C22_x0000_R</stp>
        <tr r="V77" s="16"/>
      </tp>
      <tp t="e">
        <v>#N/A</v>
        <stp/>
        <stp>##V3_BDPV12</stp>
        <stp>US29878TBU79 Corp</stp>
        <stp>INT_ACC_DT</stp>
        <stp>[portefeuille USD.xlsm]SSA!R75C22_x0000_R</stp>
        <tr r="V75" s="16"/>
      </tp>
      <tp t="e">
        <v>#N/A</v>
        <stp/>
        <stp>##V3_BDPV12</stp>
        <stp>US912828CT50 Corp</stp>
        <stp>FIRST_CPN_DT</stp>
        <stp>[portefeuille USD.xlsm]treasuries!R113C24_x0000__x0000_</stp>
        <tr r="X113" s="13"/>
      </tp>
      <tp t="e">
        <v>#N/A</v>
        <stp/>
        <stp>##V3_BDPV12</stp>
        <stp>US912810DY11 Corp</stp>
        <stp>FIRST_CPN_DT</stp>
        <stp>[portefeuille USD.xlsm]treasuries!R189C24_x0000__x0000_</stp>
        <tr r="X189" s="13"/>
      </tp>
      <tp t="e">
        <v>#N/A</v>
        <stp/>
        <stp>##V3_BDPV12</stp>
        <stp>US29878TBU79 Corp</stp>
        <stp>YLD_YTM_BID</stp>
        <stp>[portefeuille USD.xlsm]SSA!R75C8_x0000__x0000_</stp>
        <tr r="H75" s="16"/>
      </tp>
      <tp t="e">
        <v>#N/A</v>
        <stp/>
        <stp>##V3_BDPV12</stp>
        <stp>US912828JH40 Corp</stp>
        <stp>FIRST_CPN_DT</stp>
        <stp>[portefeuille USD.xlsm]treasuries!R213C24_x0000__x0000_</stp>
        <tr r="X213" s="13"/>
      </tp>
      <tp t="e">
        <v>#N/A</v>
        <stp/>
        <stp>##V3_BDPV12</stp>
        <stp>US912828NT32 Corp</stp>
        <stp>FIRST_CPN_DT</stp>
        <stp>[portefeuille USD.xlsm]treasuries!R237C24_x0000__x0000_</stp>
        <tr r="X237" s="13"/>
      </tp>
      <tp t="e">
        <v>#N/A</v>
        <stp/>
        <stp>##V3_BDPV12</stp>
        <stp>US298785DU77 Corp</stp>
        <stp>YLD_YTM_BID</stp>
        <stp>[portefeuille USD.xlsm]SSA!R68C8_x0000__x0000_</stp>
        <tr r="H68" s="16"/>
      </tp>
      <tp t="e">
        <v>#N/A</v>
        <stp/>
        <stp>##V3_BDPV12</stp>
        <stp>US912828MH03 Corp</stp>
        <stp>FIRST_CPN_DT</stp>
        <stp>[portefeuille USD.xlsm]treasuries!R126C24_x0000__x0000_</stp>
        <tr r="X126" s="13"/>
      </tp>
      <tp t="e">
        <v>#N/A</v>
        <stp/>
        <stp>##V3_BDPV12</stp>
        <stp>US298785FU59 Corp</stp>
        <stp>YLD_YTM_BID</stp>
        <stp>[portefeuille USD.xlsm]SSA!R77C8_x0000__x0000_</stp>
        <tr r="H77" s="16"/>
      </tp>
      <tp t="e">
        <v>#N/A</v>
        <stp/>
        <stp>##V3_BDPV12</stp>
        <stp>US298785FT86 Corp</stp>
        <stp>INT_ACC_DT</stp>
        <stp>[portefeuille USD.xlsm]SSA!R60C22_x0000_R</stp>
        <tr r="V60" s="16"/>
      </tp>
      <tp t="e">
        <v>#N/A</v>
        <stp/>
        <stp>##V3_BDPV12</stp>
        <stp>US912828KW97 Corp</stp>
        <stp>FIRST_CPN_DT</stp>
        <stp>[portefeuille USD.xlsm]treasuries!R161C24_x0000__x0000_</stp>
        <tr r="X161" s="13"/>
      </tp>
      <tp t="e">
        <v>#N/A</v>
        <stp/>
        <stp>##V3_BDPV12</stp>
        <stp>US9127956B27 Corp</stp>
        <stp>AMT_OUTSTANDING</stp>
        <stp>[portefeuille USD.xlsm]treasuries!R13C28_x0000__x0000_</stp>
        <tr r="AB13" s="13"/>
      </tp>
      <tp t="e">
        <v>#N/A</v>
        <stp/>
        <stp>##V3_BDPV12</stp>
        <stp>US9127954B45 Corp</stp>
        <stp>CPN</stp>
        <stp>[portefeuille USD.xlsm]treasuries!R6C27_x0000__x0000_</stp>
        <tr r="AA6" s="13"/>
      </tp>
      <tp t="e">
        <v>#N/A</v>
        <stp/>
        <stp>##V3_BDPV12</stp>
        <stp>US912828RK86 Corp</stp>
        <stp>AMT_OUTSTANDING</stp>
        <stp>[portefeuille USD.xlsm]treasuries!R79C28_x0000__x0000_</stp>
        <tr r="AB79" s="13"/>
      </tp>
      <tp t="e">
        <v>#N/A</v>
        <stp/>
        <stp>##V3_BDPV12</stp>
        <stp>US912828JK78 Corp</stp>
        <stp>AMT_OUTSTANDING</stp>
        <stp>[portefeuille USD.xlsm]treasuries!R76C28_x0000__x0000_</stp>
        <tr r="AB76" s="13"/>
      </tp>
      <tp t="e">
        <v>#N/A</v>
        <stp/>
        <stp>##V3_BDPV12</stp>
        <stp>US9127956F31 Corp</stp>
        <stp>AMT_OUTSTANDING</stp>
        <stp>[portefeuille USD.xlsm]treasuries!R58C28_x0000__x0000_</stp>
        <tr r="AB58" s="13"/>
      </tp>
      <tp t="e">
        <v>#N/A</v>
        <stp/>
        <stp>##V3_BDPV12</stp>
        <stp>EI787877 Corp Corp</stp>
        <stp>PENULTIMATE_CPN_DT</stp>
        <stp>[portefeuille USD.xlsm]SSA!R25C24_x0000__x0000_</stp>
        <tr r="X25" s="16"/>
      </tp>
      <tp t="e">
        <v>#N/A</v>
        <stp/>
        <stp>##V3_BDPV12</stp>
        <stp>EI839783 Corp Corp</stp>
        <stp>PENULTIMATE_CPN_DT</stp>
        <stp>[portefeuille USD.xlsm]SSA!R22C24_x0000__x0000_</stp>
        <tr r="X22" s="16"/>
      </tp>
      <tp t="e">
        <v>#N/A</v>
        <stp/>
        <stp>##V3_BDPV12</stp>
        <stp>EH967487 Corp Corp</stp>
        <stp>PENULTIMATE_CPN_DT</stp>
        <stp>[portefeuille USD.xlsm]SSA!R31C24_x0000__x0000_</stp>
        <tr r="X31" s="16"/>
      </tp>
      <tp t="e">
        <v>#N/A</v>
        <stp/>
        <stp>##V3_BDPV12</stp>
        <stp>EI472618 Corp Corp</stp>
        <stp>ISSUE_DT</stp>
        <stp>[portefeuille USD.xlsm]SSA!R139C21_x0000_2</stp>
        <tr r="U139" s="16"/>
      </tp>
      <tp t="e">
        <v>#N/A</v>
        <stp/>
        <stp>##V3_BDPV12</stp>
        <stp>EH237816 Corp Corp</stp>
        <stp>YLD_YTM_BID</stp>
        <stp>[portefeuille USD.xlsm]SSA!R29C8_x0000__x0000_</stp>
        <tr r="H29" s="16"/>
      </tp>
      <tp t="e">
        <v>#N/A</v>
        <stp/>
        <stp>##V3_BDPV12</stp>
        <stp>ED037578 Corp Corp</stp>
        <stp>INT_ACC_DT</stp>
        <stp>[portefeuille USD.xlsm]SSA!R30C22_x0000__x0000_</stp>
        <tr r="V30" s="16"/>
      </tp>
      <tp t="e">
        <v>#N/A</v>
        <stp/>
        <stp>##V3_BDPV12</stp>
        <stp>EF684257 Corp Corp</stp>
        <stp>YLD_YTM_BID</stp>
        <stp>[portefeuille USD.xlsm]SSA!R38C8_x0000__x0000_</stp>
        <tr r="H38" s="16"/>
      </tp>
      <tp t="e">
        <v>#N/A</v>
        <stp/>
        <stp>##V3_BDPV12</stp>
        <stp>US298785FP64 Corp</stp>
        <stp>PENULTIMATE_CPN_DT</stp>
        <stp>[portefeuille USD.xlsm]SSA!R55C24_x0000_R</stp>
        <tr r="X55" s="16"/>
      </tp>
      <tp t="e">
        <v>#N/A</v>
        <stp/>
        <stp>##V3_BDPV12</stp>
        <stp>US912828TB69 Corp</stp>
        <stp>FIRST_CPN_DT</stp>
        <stp>[portefeuille USD.xlsm]treasuries!R193C24_x0000__x0000_</stp>
        <tr r="X193" s="13"/>
      </tp>
      <tp t="e">
        <v>#N/A</v>
        <stp/>
        <stp>##V3_BDPV12</stp>
        <stp>US912828RV42 Corp</stp>
        <stp>FIRST_CPN_DT</stp>
        <stp>[portefeuille USD.xlsm]treasuries!R123C24_x0000__x0000_</stp>
        <tr r="X123" s="13"/>
      </tp>
      <tp t="e">
        <v>#N/A</v>
        <stp/>
        <stp>##V3_BDPV12</stp>
        <stp>US912810QQ40 Corp</stp>
        <stp>FIRST_CPN_DT</stp>
        <stp>[portefeuille USD.xlsm]treasuries!R282C24_x0000__x0000_</stp>
        <tr r="X282" s="13"/>
      </tp>
      <tp t="e">
        <v>#N/A</v>
        <stp/>
        <stp>##V3_BDPV12</stp>
        <stp>US298785EV42 Corp</stp>
        <stp>INT_ACC_DT</stp>
        <stp>[portefeuille USD.xlsm]SSA!R52C22_x0000_R</stp>
        <tr r="V52" s="16"/>
      </tp>
      <tp t="e">
        <v>#N/A</v>
        <stp/>
        <stp>##V3_BDPV12</stp>
        <stp>US298785FT86 Corp</stp>
        <stp>YLD_YTM_BID</stp>
        <stp>[portefeuille USD.xlsm]SSA!R60C8_x0000__x0000_</stp>
        <tr r="H60" s="16"/>
      </tp>
      <tp t="e">
        <v>#N/A</v>
        <stp/>
        <stp>##V3_BDPV12</stp>
        <stp>US298785DU77 Corp</stp>
        <stp>INT_ACC_DT</stp>
        <stp>[portefeuille USD.xlsm]SSA!R68C22_x0000_R</stp>
        <tr r="V68" s="16"/>
      </tp>
      <tp t="e">
        <v>#N/A</v>
        <stp/>
        <stp>##V3_BDPV12</stp>
        <stp>US912810EB09 Corp</stp>
        <stp>FIRST_CPN_DT</stp>
        <stp>[portefeuille USD.xlsm]treasuries!R218C24_x0000__x0000_</stp>
        <tr r="X218" s="13"/>
      </tp>
      <tp t="e">
        <v>#N/A</v>
        <stp/>
        <stp>##V3_BDPV12</stp>
        <stp>US912828HR40 Corp</stp>
        <stp>FIRST_CPN_DT</stp>
        <stp>[portefeuille USD.xlsm]treasuries!R204C24_x0000__x0000_</stp>
        <tr r="X204" s="13"/>
      </tp>
      <tp t="e">
        <v>#N/A</v>
        <stp/>
        <stp>##V3_BDPV12</stp>
        <stp>US912828LK41 Corp</stp>
        <stp>FIRST_CPN_DT</stp>
        <stp>[portefeuille USD.xlsm]treasuries!R115C24_x0000__x0000_</stp>
        <tr r="X115" s="13"/>
      </tp>
      <tp t="e">
        <v>#N/A</v>
        <stp/>
        <stp>##V3_BDPV12</stp>
        <stp>US912828KS85 Corp</stp>
        <stp>FIRST_CPN_DT</stp>
        <stp>[portefeuille USD.xlsm]treasuries!R152C24_x0000__x0000_</stp>
        <tr r="X152" s="13"/>
      </tp>
      <tp t="e">
        <v>#N/A</v>
        <stp/>
        <stp>##V3_BDPV12</stp>
        <stp>US9127955U17 Corp</stp>
        <stp>PENULTIMATE_CPN_DT</stp>
        <stp>[portefeuille USD.xlsm]treasuries!R2C25_x0000__x0000_</stp>
        <tr r="Y2" s="13"/>
      </tp>
      <tp t="e">
        <v>#N/A</v>
        <stp/>
        <stp>##V3_BDPV12</stp>
        <stp>US912828LQ11 Corp</stp>
        <stp>FIRST_CPN_DT</stp>
        <stp>[portefeuille USD.xlsm]treasuries!R117C24_x0000__x0000_</stp>
        <tr r="X117" s="13"/>
      </tp>
      <tp t="e">
        <v>#N/A</v>
        <stp/>
        <stp>##V3_BDPV12</stp>
        <stp>US912828AJ96 Corp</stp>
        <stp>AMT_OUTSTANDING</stp>
        <stp>[portefeuille USD.xlsm]treasuries!R11C28_x0000__x0000_</stp>
        <tr r="AB11" s="13"/>
      </tp>
      <tp t="e">
        <v>#N/A</v>
        <stp/>
        <stp>##V3_BDPV12</stp>
        <stp>US912828MN70 Corp</stp>
        <stp>AMT_OUTSTANDING</stp>
        <stp>[portefeuille USD.xlsm]treasuries!R51C28_x0000__x0000_</stp>
        <tr r="AB51" s="13"/>
      </tp>
      <tp t="e">
        <v>#N/A</v>
        <stp/>
        <stp>##V3_BDPV12</stp>
        <stp>US912828SB78 Corp</stp>
        <stp>AMT_OUTSTANDING</stp>
        <stp>[portefeuille USD.xlsm]treasuries!R93C28_x0000__x0000_</stp>
        <tr r="AB93" s="13"/>
      </tp>
      <tp t="e">
        <v>#N/A</v>
        <stp/>
        <stp>##V3_BDPV12</stp>
        <stp>EF086162 Corp Corp</stp>
        <stp>PENULTIMATE_CPN_DT</stp>
        <stp>[portefeuille USD.xlsm]SSA!R33C24_x0000__x0000_</stp>
        <tr r="X33" s="16"/>
      </tp>
      <tp t="e">
        <v>#N/A</v>
        <stp/>
        <stp>##V3_BDPV12</stp>
        <stp>EI954150 Corp Corp</stp>
        <stp>ISSUE_DT</stp>
        <stp>[portefeuille USD.xlsm]SSA!R134C21_x0000_2</stp>
        <tr r="U134" s="16"/>
      </tp>
      <tp t="e">
        <v>#N/A</v>
        <stp/>
        <stp>##V3_BDPV12</stp>
        <stp>EI251950 Corp Corp</stp>
        <stp>PENULTIMATE_CPN_DT</stp>
        <stp>[portefeuille USD.xlsm]SSA!R23C24_x0000__x0000_</stp>
        <tr r="X23" s="16"/>
      </tp>
      <tp t="e">
        <v>#N/A</v>
        <stp/>
        <stp>##V3_BDPV12</stp>
        <stp>EH539714 Corp Corp</stp>
        <stp>YLD_YTM_BID</stp>
        <stp>[portefeuille USD.xlsm]SSA!R34C8_x0000__x0000_</stp>
        <tr r="H34" s="16"/>
      </tp>
      <tp t="e">
        <v>#N/A</v>
        <stp/>
        <stp>##V3_BDPV12</stp>
        <stp>EI009749 Corp Corp</stp>
        <stp>YLD_YTM_BID</stp>
        <stp>[portefeuille USD.xlsm]SSA!R24C8_x0000__x0000_</stp>
        <tr r="H24" s="16"/>
      </tp>
      <tp t="e">
        <v>#N/A</v>
        <stp/>
        <stp>##V3_BDPV12</stp>
        <stp>EI347021 Corp Corp</stp>
        <stp>INT_ACC_DT</stp>
        <stp>[portefeuille USD.xlsm]SSA!R27C22_x0000__x0000_</stp>
        <tr r="V27" s="16"/>
      </tp>
      <tp t="e">
        <v>#N/A</v>
        <stp/>
        <stp>##V3_BDPV12</stp>
        <stp>US63983UAD46 Corp</stp>
        <stp>CPN_FREQ</stp>
        <stp>[portefeuille USD.xlsm]SSA!R10C27_x0000__x0000_</stp>
        <tr r="AA10" s="16"/>
      </tp>
      <tp t="e">
        <v>#N/A</v>
        <stp/>
        <stp>##V3_BDPV12</stp>
        <stp>US912828TA86 Corp</stp>
        <stp>FIRST_CPN_DT</stp>
        <stp>[portefeuille USD.xlsm]treasuries!R110C24_x0000__x0000_</stp>
        <tr r="X110" s="13"/>
      </tp>
      <tp t="e">
        <v>#N/A</v>
        <stp/>
        <stp>##V3_BDPV12</stp>
        <stp>US912828RZ55 Corp</stp>
        <stp>FIRST_CPN_DT</stp>
        <stp>[portefeuille USD.xlsm]treasuries!R125C24_x0000__x0000_</stp>
        <tr r="X125" s="13"/>
      </tp>
      <tp t="e">
        <v>#N/A</v>
        <stp/>
        <stp>##V3_BDPV12</stp>
        <stp>US298785FU59 Corp</stp>
        <stp>PENULTIMATE_CPN_DT</stp>
        <stp>[portefeuille USD.xlsm]SSA!R77C24_x0000_R</stp>
        <tr r="X77" s="16"/>
      </tp>
      <tp t="e">
        <v>#N/A</v>
        <stp/>
        <stp>##V3_BDPV12</stp>
        <stp>US29878TBU79 Corp</stp>
        <stp>PENULTIMATE_CPN_DT</stp>
        <stp>[portefeuille USD.xlsm]SSA!R75C24_x0000_R</stp>
        <tr r="X75" s="16"/>
      </tp>
      <tp t="e">
        <v>#N/A</v>
        <stp/>
        <stp>##V3_BDPV12</stp>
        <stp>US912828SP64 Corp</stp>
        <stp>FIRST_CPN_DT</stp>
        <stp>[portefeuille USD.xlsm]treasuries!R133C24_x0000__x0000_</stp>
        <tr r="X133" s="13"/>
      </tp>
      <tp t="e">
        <v>#N/A</v>
        <stp/>
        <stp>##V3_BDPV12</stp>
        <stp>US912828SD35 Corp</stp>
        <stp>FIRST_CPN_DT</stp>
        <stp>[portefeuille USD.xlsm]treasuries!R221C24_x0000__x0000_</stp>
        <tr r="X221" s="13"/>
      </tp>
      <tp t="e">
        <v>#N/A</v>
        <stp/>
        <stp>##V3_BDPV12</stp>
        <stp>US298785FT86 Corp</stp>
        <stp>PENULTIMATE_CPN_DT</stp>
        <stp>[portefeuille USD.xlsm]SSA!R60C24_x0000_R</stp>
        <tr r="X60" s="16"/>
      </tp>
      <tp t="e">
        <v>#N/A</v>
        <stp/>
        <stp>##V3_BDPV12</stp>
        <stp>US912828SV33 Corp</stp>
        <stp>FIRST_CPN_DT</stp>
        <stp>[portefeuille USD.xlsm]treasuries!R248C24_x0000__x0000_</stp>
        <tr r="X248" s="13"/>
      </tp>
      <tp t="e">
        <v>#N/A</v>
        <stp/>
        <stp>##V3_BDPV12</stp>
        <stp>US912828RF91 Corp</stp>
        <stp>FIRST_CPN_DT</stp>
        <stp>[portefeuille USD.xlsm]treasuries!R168C24_x0000__x0000_</stp>
        <tr r="X168" s="13"/>
      </tp>
      <tp t="e">
        <v>#N/A</v>
        <stp/>
        <stp>##V3_BDPV12</stp>
        <stp>US912828EE63 Corp</stp>
        <stp>FIRST_CPN_DT</stp>
        <stp>[portefeuille USD.xlsm]treasuries!R140C24_x0000__x0000_</stp>
        <tr r="X140" s="13"/>
      </tp>
      <tp t="e">
        <v>#N/A</v>
        <stp/>
        <stp>##V3_BDPV12</stp>
        <stp>US912828LS76 Corp</stp>
        <stp>FIRST_CPN_DT</stp>
        <stp>[portefeuille USD.xlsm]treasuries!R119C24_x0000__x0000_</stp>
        <tr r="X119" s="13"/>
      </tp>
      <tp t="e">
        <v>#N/A</v>
        <stp/>
        <stp>##V3_BDPV12</stp>
        <stp>US912810FE39 Corp</stp>
        <stp>FIRST_CPN_DT</stp>
        <stp>[portefeuille USD.xlsm]treasuries!R262C24_x0000__x0000_</stp>
        <tr r="X262" s="13"/>
      </tp>
      <tp t="e">
        <v>#N/A</v>
        <stp/>
        <stp>##V3_BDPV12</stp>
        <stp>US912810FB99 Corp</stp>
        <stp>FIRST_CPN_DT</stp>
        <stp>[portefeuille USD.xlsm]treasuries!R261C24_x0000__x0000_</stp>
        <tr r="X261" s="13"/>
      </tp>
      <tp t="e">
        <v>#N/A</v>
        <stp/>
        <stp>##V3_BDPV12</stp>
        <stp>US298785FS04 Corp</stp>
        <stp>INT_ACC_DT</stp>
        <stp>[portefeuille USD.xlsm]SSA!R73C22_x0000_R</stp>
        <tr r="V73" s="16"/>
      </tp>
      <tp t="e">
        <v>#N/A</v>
        <stp/>
        <stp>##V3_BDPV12</stp>
        <stp>US298785DR49 Corp</stp>
        <stp>INT_ACC_DT</stp>
        <stp>[portefeuille USD.xlsm]SSA!R67C22_x0000_R</stp>
        <tr r="V67" s="16"/>
      </tp>
      <tp t="e">
        <v>#N/A</v>
        <stp/>
        <stp>##V3_BDPV12</stp>
        <stp>US912810DX38 Corp</stp>
        <stp>FIRST_CPN_DT</stp>
        <stp>[portefeuille USD.xlsm]treasuries!R174C24_x0000__x0000_</stp>
        <tr r="X174" s="13"/>
      </tp>
      <tp t="e">
        <v>#N/A</v>
        <stp/>
        <stp>##V3_BDPV12</stp>
        <stp>US912828MR84 Corp</stp>
        <stp>FIRST_CPN_DT</stp>
        <stp>[portefeuille USD.xlsm]treasuries!R130C24_x0000__x0000_</stp>
        <tr r="X130" s="13"/>
      </tp>
      <tp t="e">
        <v>#N/A</v>
        <stp/>
        <stp>##V3_BDPV12</stp>
        <stp>US298785FS04 Corp</stp>
        <stp>YLD_YTM_BID</stp>
        <stp>[portefeuille USD.xlsm]SSA!R73C8_x0000__x0000_</stp>
        <tr r="H73" s="16"/>
      </tp>
      <tp t="e">
        <v>#N/A</v>
        <stp/>
        <stp>##V3_BDPV12</stp>
        <stp>US912828HH67 Corp</stp>
        <stp>FIRST_CPN_DT</stp>
        <stp>[portefeuille USD.xlsm]treasuries!R200C24_x0000__x0000_</stp>
        <tr r="X200" s="13"/>
      </tp>
      <tp t="e">
        <v>#N/A</v>
        <stp/>
        <stp>##V3_BDPV12</stp>
        <stp>US9127955L18 Govt</stp>
        <stp>YLD_YTM_ASK</stp>
        <stp>[portefeuille USD.xlsm]treasuries!R34C8_x0000__x0000_</stp>
        <tr r="H34" s="13"/>
      </tp>
      <tp t="e">
        <v>#N/A</v>
        <stp/>
        <stp>##V3_BDPV12</stp>
        <stp>US912828PB06 Corp</stp>
        <stp>AMT_OUTSTANDING</stp>
        <stp>[portefeuille USD.xlsm]treasuries!R81C28_x0000__x0000_</stp>
        <tr r="AB81" s="13"/>
      </tp>
      <tp t="e">
        <v>#N/A</v>
        <stp/>
        <stp>##V3_BDPV12</stp>
        <stp>US9127955G23 Corp</stp>
        <stp>AMT_OUTSTANDING</stp>
        <stp>[portefeuille USD.xlsm]treasuries!R28C28_x0000__x0000_</stp>
        <tr r="AB28" s="13"/>
      </tp>
      <tp t="e">
        <v>#N/A</v>
        <stp/>
        <stp>##V3_BDPV12</stp>
        <stp>US9127955C19 Govt</stp>
        <stp>YLD_YTM_ASK</stp>
        <stp>[portefeuille USD.xlsm]treasuries!R21C8_x0000__x0000_</stp>
        <tr r="H21" s="13"/>
      </tp>
      <tp t="e">
        <v>#N/A</v>
        <stp/>
        <stp>##V3_BDPV12</stp>
        <stp>US9127955G23 Govt</stp>
        <stp>YLD_YTM_ASK</stp>
        <stp>[portefeuille USD.xlsm]treasuries!R28C8_x0000__x0000_</stp>
        <tr r="H28" s="13"/>
      </tp>
      <tp t="e">
        <v>#N/A</v>
        <stp/>
        <stp>##V3_BDPV12</stp>
        <stp>US9127955Z04 Govt</stp>
        <stp>YLD_YTM_ASK</stp>
        <stp>[portefeuille USD.xlsm]treasuries!R49C8_x0000__x0000_</stp>
        <tr r="H49" s="13"/>
      </tp>
      <tp t="e">
        <v>#N/A</v>
        <stp/>
        <stp>##V3_BDPV12</stp>
        <stp>US9127955V99 Govt</stp>
        <stp>YLD_YTM_ASK</stp>
        <stp>[portefeuille USD.xlsm]treasuries!R45C8_x0000__x0000_</stp>
        <tr r="H45" s="13"/>
      </tp>
      <tp t="e">
        <v>#N/A</v>
        <stp/>
        <stp>##V3_BDPV12</stp>
        <stp>US9127955Q05 Govt</stp>
        <stp>YLD_YTM_ASK</stp>
        <stp>[portefeuille USD.xlsm]treasuries!R41C8_x0000__x0000_</stp>
        <tr r="H41" s="13"/>
      </tp>
      <tp t="e">
        <v>#N/A</v>
        <stp/>
        <stp>##V3_BDPV12</stp>
        <stp>ED037578 Corp Corp</stp>
        <stp>PENULTIMATE_CPN_DT</stp>
        <stp>[portefeuille USD.xlsm]SSA!R30C24_x0000__x0000_</stp>
        <tr r="X30" s="16"/>
      </tp>
      <tp t="e">
        <v>#N/A</v>
        <stp/>
        <stp>##V3_BDPV12</stp>
        <stp>EI355035 Corp Corp</stp>
        <stp>ISSUE_DT</stp>
        <stp>[portefeuille USD.xlsm]SSA!R132C21_x0000_2</stp>
        <tr r="U132" s="16"/>
      </tp>
      <tp t="e">
        <v>#N/A</v>
        <stp/>
        <stp>##V3_BDPV12</stp>
        <stp>ED607736 Corp Corp</stp>
        <stp>YLD_YTM_BID</stp>
        <stp>[portefeuille USD.xlsm]SSA!R36C8_x0000__x0000_</stp>
        <tr r="H36" s="16"/>
      </tp>
      <tp t="e">
        <v>#N/A</v>
        <stp/>
        <stp>##V3_BDPV12</stp>
        <stp>EI787877 Corp Corp</stp>
        <stp>INT_ACC_DT</stp>
        <stp>[portefeuille USD.xlsm]SSA!R25C22_x0000__x0000_</stp>
        <tr r="V25" s="16"/>
      </tp>
      <tp t="e">
        <v>#N/A</v>
        <stp/>
        <stp>##V3_BDPV12</stp>
        <stp>EI143648 Corp Corp</stp>
        <stp>YLD_YTM_BID</stp>
        <stp>[portefeuille USD.xlsm]SSA!R32C8_x0000__x0000_</stp>
        <tr r="H32" s="16"/>
      </tp>
      <tp t="e">
        <v>#N/A</v>
        <stp/>
        <stp>##V3_BDPV12</stp>
        <stp>EH967487 Corp Corp</stp>
        <stp>INT_ACC_DT</stp>
        <stp>[portefeuille USD.xlsm]SSA!R31C22_x0000__x0000_</stp>
        <tr r="V31" s="16"/>
      </tp>
      <tp t="e">
        <v>#N/A</v>
        <stp/>
        <stp>##V3_BDPV12</stp>
        <stp>US12802DAB29 Corp</stp>
        <stp>AMT_OUTSTANDING</stp>
        <stp>[portefeuille USD.xlsm]SSA!R102C28_x0000__x0000_</stp>
        <tr r="AB102" s="16"/>
      </tp>
      <tp t="e">
        <v>#N/A</v>
        <stp/>
        <stp>##V3_BDPV12</stp>
        <stp>EI839783 Corp Corp</stp>
        <stp>INT_ACC_DT</stp>
        <stp>[portefeuille USD.xlsm]SSA!R22C22_x0000__x0000_</stp>
        <tr r="V22" s="16"/>
      </tp>
      <tp t="e">
        <v>#N/A</v>
        <stp/>
        <stp>##V3_BDPV12</stp>
        <stp>US912828SF82 Corp</stp>
        <stp>FIRST_CPN_DT</stp>
        <stp>[portefeuille USD.xlsm]treasuries!R247C24_x0000__x0000_</stp>
        <tr r="X247" s="13"/>
      </tp>
      <tp t="e">
        <v>#N/A</v>
        <stp/>
        <stp>##V3_BDPV12</stp>
        <stp>US912828SW16 Corp</stp>
        <stp>FIRST_CPN_DT</stp>
        <stp>[portefeuille USD.xlsm]treasuries!R107C24_x0000__x0000_</stp>
        <tr r="X107" s="13"/>
      </tp>
      <tp t="e">
        <v>#N/A</v>
        <stp/>
        <stp>##V3_BDPV12</stp>
        <stp>US912828QB96 Corp</stp>
        <stp>FIRST_CPN_DT</stp>
        <stp>[portefeuille USD.xlsm]treasuries!R206C24_x0000__x0000_</stp>
        <tr r="X206" s="13"/>
      </tp>
      <tp t="e">
        <v>#N/A</v>
        <stp/>
        <stp>##V3_BDPV12</stp>
        <stp>US912828PJ32 Corp</stp>
        <stp>FIRST_CPN_DT</stp>
        <stp>[portefeuille USD.xlsm]treasuries!R147C24_x0000__x0000_</stp>
        <tr r="X147" s="13"/>
      </tp>
      <tp t="e">
        <v>#N/A</v>
        <stp/>
        <stp>##V3_BDPV12</stp>
        <stp>US912828RH57 Corp</stp>
        <stp>FIRST_CPN_DT</stp>
        <stp>[portefeuille USD.xlsm]treasuries!R215C24_x0000__x0000_</stp>
        <tr r="X215" s="13"/>
      </tp>
      <tp t="e">
        <v>#N/A</v>
        <stp/>
        <stp>##V3_BDPV12</stp>
        <stp>US912828RB87 Corp</stp>
        <stp>FIRST_CPN_DT</stp>
        <stp>[portefeuille USD.xlsm]treasuries!R114C24_x0000__x0000_</stp>
        <tr r="X114" s="13"/>
      </tp>
      <tp t="e">
        <v>#N/A</v>
        <stp/>
        <stp>##V3_BDPV12</stp>
        <stp>US912828RE27 Corp</stp>
        <stp>FIRST_CPN_DT</stp>
        <stp>[portefeuille USD.xlsm]treasuries!R214C24_x0000__x0000_</stp>
        <tr r="X214" s="13"/>
      </tp>
      <tp t="e">
        <v>#N/A</v>
        <stp/>
        <stp>##V3_BDPV12</stp>
        <stp>US912828QU77 Corp</stp>
        <stp>FIRST_CPN_DT</stp>
        <stp>[portefeuille USD.xlsm]treasuries!R111C24_x0000__x0000_</stp>
        <tr r="X111" s="13"/>
      </tp>
      <tp t="e">
        <v>#N/A</v>
        <stp/>
        <stp>##V3_BDPV12</stp>
        <stp>US298785EV42 Corp</stp>
        <stp>PENULTIMATE_CPN_DT</stp>
        <stp>[portefeuille USD.xlsm]SSA!R52C24_x0000_R</stp>
        <tr r="X52" s="16"/>
      </tp>
      <tp t="e">
        <v>#N/A</v>
        <stp/>
        <stp>##V3_BDPV12</stp>
        <stp>US912828QJ23 Corp</stp>
        <stp>FIRST_CPN_DT</stp>
        <stp>[portefeuille USD.xlsm]treasuries!R153C24_x0000__x0000_</stp>
        <tr r="X153" s="13"/>
      </tp>
      <tp t="e">
        <v>#N/A</v>
        <stp/>
        <stp>##V3_BDPV12</stp>
        <stp>US912810QS06 Corp</stp>
        <stp>FIRST_CPN_DT</stp>
        <stp>[portefeuille USD.xlsm]treasuries!R283C24_x0000__x0000_</stp>
        <tr r="X283" s="13"/>
      </tp>
      <tp t="e">
        <v>#N/A</v>
        <stp/>
        <stp>##V3_BDPV12</stp>
        <stp>US912810QK79 Corp</stp>
        <stp>FIRST_CPN_DT</stp>
        <stp>[portefeuille USD.xlsm]treasuries!R279C24_x0000__x0000_</stp>
        <tr r="X279" s="13"/>
      </tp>
      <tp t="e">
        <v>#N/A</v>
        <stp/>
        <stp>##V3_BDPV12</stp>
        <stp>US298785DU77 Corp</stp>
        <stp>PENULTIMATE_CPN_DT</stp>
        <stp>[portefeuille USD.xlsm]SSA!R68C24_x0000_R</stp>
        <tr r="X68" s="16"/>
      </tp>
      <tp t="e">
        <v>#N/A</v>
        <stp/>
        <stp>##V3_BDPV12</stp>
        <stp>US298785FP64 Corp</stp>
        <stp>INT_ACC_DT</stp>
        <stp>[portefeuille USD.xlsm]SSA!R55C22_x0000_R</stp>
        <tr r="V55" s="16"/>
      </tp>
      <tp t="e">
        <v>#N/A</v>
        <stp/>
        <stp>##V3_BDPV12</stp>
        <stp>US912828EN62 Corp</stp>
        <stp>FIRST_CPN_DT</stp>
        <stp>[portefeuille USD.xlsm]treasuries!R146C24_x0000__x0000_</stp>
        <tr r="X146" s="13"/>
      </tp>
      <tp t="e">
        <v>#N/A</v>
        <stp/>
        <stp>##V3_BDPV12</stp>
        <stp>US912828LY45 Corp</stp>
        <stp>FIRST_CPN_DT</stp>
        <stp>[portefeuille USD.xlsm]treasuries!R231C24_x0000__x0000_</stp>
        <tr r="X231" s="13"/>
      </tp>
      <tp t="e">
        <v>#N/A</v>
        <stp/>
        <stp>##V3_BDPV12</stp>
        <stp>US912828KR03 Corp</stp>
        <stp>FIRST_CPN_DT</stp>
        <stp>[portefeuille USD.xlsm]treasuries!R157C24_x0000__x0000_</stp>
        <tr r="X157" s="13"/>
      </tp>
      <tp t="e">
        <v>#N/A</v>
        <stp/>
        <stp>##V3_BDPV12</stp>
        <stp>US912810FT08 Corp</stp>
        <stp>FIRST_CPN_DT</stp>
        <stp>[portefeuille USD.xlsm]treasuries!R268C24_x0000__x0000_</stp>
        <tr r="X268" s="13"/>
      </tp>
      <tp t="e">
        <v>#N/A</v>
        <stp/>
        <stp>##V3_BDPV12</stp>
        <stp>US298785ER30 Corp</stp>
        <stp>YLD_YTM_BID</stp>
        <stp>[portefeuille USD.xlsm]SSA!R48C8_x0000__x0000_</stp>
        <tr r="H48" s="16"/>
      </tp>
      <tp t="e">
        <v>#N/A</v>
        <stp/>
        <stp>##V3_BDPV12</stp>
        <stp>US298785FR21 Corp</stp>
        <stp>YLD_YTM_BID</stp>
        <stp>[portefeuille USD.xlsm]SSA!R58C8_x0000__x0000_</stp>
        <tr r="H58" s="16"/>
      </tp>
      <tp t="e">
        <v>#N/A</v>
        <stp/>
        <stp>##V3_BDPV12</stp>
        <stp>US912828KJ86 Corp</stp>
        <stp>FIRST_CPN_DT</stp>
        <stp>[portefeuille USD.xlsm]treasuries!R100C24_x0000__x0000_</stp>
        <tr r="X100" s="13"/>
      </tp>
      <tp t="e">
        <v>#N/A</v>
        <stp/>
        <stp>##V3_BDPV12</stp>
        <stp>US298785DR49 Corp</stp>
        <stp>YLD_YTM_BID</stp>
        <stp>[portefeuille USD.xlsm]SSA!R67C8_x0000__x0000_</stp>
        <tr r="H67" s="16"/>
      </tp>
      <tp t="e">
        <v>#N/A</v>
        <stp/>
        <stp>##V3_BDPV12</stp>
        <stp>US9127956L09 Govt</stp>
        <stp>YLD_YTM_ASK</stp>
        <stp>[portefeuille USD.xlsm]treasuries!R62C8_x0000__x0000_</stp>
        <tr r="H62" s="13"/>
      </tp>
      <tp t="e">
        <v>#N/A</v>
        <stp/>
        <stp>##V3_BDPV12</stp>
        <stp>US9127956H96 Govt</stp>
        <stp>YLD_YTM_ASK</stp>
        <stp>[portefeuille USD.xlsm]treasuries!R19C8_x0000__x0000_</stp>
        <tr r="H19" s="13"/>
      </tp>
      <tp t="e">
        <v>#N/A</v>
        <stp/>
        <stp>##V3_BDPV12</stp>
        <stp>US9127956K26 Govt</stp>
        <stp>YLD_YTM_ASK</stp>
        <stp>[portefeuille USD.xlsm]treasuries!R25C8_x0000__x0000_</stp>
        <tr r="H25" s="13"/>
      </tp>
      <tp t="e">
        <v>#N/A</v>
        <stp/>
        <stp>##V3_BDPV12</stp>
        <stp>US9127956J52 Govt</stp>
        <stp>YLD_YTM_ASK</stp>
        <stp>[portefeuille USD.xlsm]treasuries!R22C8_x0000__x0000_</stp>
        <tr r="H22" s="13"/>
      </tp>
      <tp t="e">
        <v>#N/A</v>
        <stp/>
        <stp>##V3_BDPV12</stp>
        <stp>US9127956M81 Govt</stp>
        <stp>YLD_YTM_ASK</stp>
        <stp>[portefeuille USD.xlsm]treasuries!R26C8_x0000__x0000_</stp>
        <tr r="H26" s="13"/>
      </tp>
      <tp t="e">
        <v>#N/A</v>
        <stp/>
        <stp>##V3_BDPV12</stp>
        <stp>US9127956N64 Govt</stp>
        <stp>YLD_YTM_ASK</stp>
        <stp>[portefeuille USD.xlsm]treasuries!R29C8_x0000__x0000_</stp>
        <tr r="H29" s="13"/>
      </tp>
      <tp t="e">
        <v>#N/A</v>
        <stp/>
        <stp>##V3_BDPV12</stp>
        <stp>US912828LH12 Corp</stp>
        <stp>AMT_OUTSTANDING</stp>
        <stp>[portefeuille USD.xlsm]treasuries!R12C28_x0000__x0000_</stp>
        <tr r="AB12" s="13"/>
      </tp>
      <tp t="e">
        <v>#N/A</v>
        <stp/>
        <stp>##V3_BDPV12</stp>
        <stp>US9127956F31 Govt</stp>
        <stp>YLD_YTM_ASK</stp>
        <stp>[portefeuille USD.xlsm]treasuries!R58C8_x0000__x0000_</stp>
        <tr r="H58" s="13"/>
      </tp>
      <tp t="e">
        <v>#N/A</v>
        <stp/>
        <stp>##V3_BDPV12</stp>
        <stp>US9127956B27 Govt</stp>
        <stp>YLD_YTM_ASK</stp>
        <stp>[portefeuille USD.xlsm]treasuries!R13C8_x0000_3</stp>
        <tr r="H13" s="13"/>
      </tp>
      <tp t="e">
        <v>#N/A</v>
        <stp/>
        <stp>##V3_BDPV12</stp>
        <stp>US9127956G14 Corp</stp>
        <stp>AMT_OUTSTANDING</stp>
        <stp>[portefeuille USD.xlsm]treasuries!R18C28_x0000__x0000_</stp>
        <tr r="AB18" s="13"/>
      </tp>
      <tp t="e">
        <v>#N/A</v>
        <stp/>
        <stp>##V3_BDPV12</stp>
        <stp>US9127956C00 Govt</stp>
        <stp>YLD_YTM_ASK</stp>
        <stp>[portefeuille USD.xlsm]treasuries!R15C8_x0000__x0000_</stp>
        <tr r="H15" s="13"/>
      </tp>
      <tp t="e">
        <v>#N/A</v>
        <stp/>
        <stp>##V3_BDPV12</stp>
        <stp>US912828PH75 Corp</stp>
        <stp>AMT_OUTSTANDING</stp>
        <stp>[portefeuille USD.xlsm]treasuries!R16C28_x0000__x0000_</stp>
        <tr r="AB16" s="13"/>
      </tp>
      <tp t="e">
        <v>#N/A</v>
        <stp/>
        <stp>##V3_BDPV12</stp>
        <stp>US912828QL78 Corp</stp>
        <stp>AMT_OUTSTANDING</stp>
        <stp>[portefeuille USD.xlsm]treasuries!R57C28_x0000__x0000_</stp>
        <tr r="AB57" s="13"/>
      </tp>
      <tp t="e">
        <v>#N/A</v>
        <stp/>
        <stp>##V3_BDPV12</stp>
        <stp>US9127956E65 Govt</stp>
        <stp>YLD_YTM_ASK</stp>
        <stp>[portefeuille USD.xlsm]treasuries!R54C8_x0000__x0000_</stp>
        <tr r="H54" s="13"/>
      </tp>
      <tp t="e">
        <v>#N/A</v>
        <stp/>
        <stp>##V3_BDPV12</stp>
        <stp>US9127956A44 Govt</stp>
        <stp>YLD_YTM_ASK</stp>
        <stp>[portefeuille USD.xlsm]treasuries!R10C8_x0000__x0000_</stp>
        <tr r="H10" s="13"/>
      </tp>
      <tp t="e">
        <v>#N/A</v>
        <stp/>
        <stp>##V3_BDPV12</stp>
        <stp>US912828NN61 Corp</stp>
        <stp>AMT_OUTSTANDING</stp>
        <stp>[portefeuille USD.xlsm]treasuries!R71C28_x0000__x0000_</stp>
        <tr r="AB71" s="13"/>
      </tp>
      <tp t="e">
        <v>#N/A</v>
        <stp/>
        <stp>##V3_BDPV12</stp>
        <stp>US912828HM52 Corp</stp>
        <stp>AMT_OUTSTANDING</stp>
        <stp>[portefeuille USD.xlsm]treasuries!R43C28_x0000__x0000_</stp>
        <tr r="AB43" s="13"/>
      </tp>
      <tp t="e">
        <v>#N/A</v>
        <stp/>
        <stp>##V3_BDPV12</stp>
        <stp>US9127956G14 Govt</stp>
        <stp>YLD_YTM_ASK</stp>
        <stp>[portefeuille USD.xlsm]treasuries!R18C8_x0000__x0000_</stp>
        <tr r="H18" s="13"/>
      </tp>
      <tp t="e">
        <v>#N/A</v>
        <stp/>
        <stp>##V3_BDPV12</stp>
        <stp>US9127956P13 Govt</stp>
        <stp>YLD_YTM_ASK</stp>
        <stp>[portefeuille USD.xlsm]treasuries!R32C8_x0000__x0000_</stp>
        <tr r="H32" s="13"/>
      </tp>
      <tp t="e">
        <v>#N/A</v>
        <stp/>
        <stp>##V3_BDPV12</stp>
        <stp>US9127956S51 Govt</stp>
        <stp>YLD_YTM_ASK</stp>
        <stp>[portefeuille USD.xlsm]treasuries!R33C8_x0000__x0000_</stp>
        <tr r="H33" s="13"/>
      </tp>
      <tp t="e">
        <v>#N/A</v>
        <stp/>
        <stp>##V3_BDPV12</stp>
        <stp>US9127956T35 Govt</stp>
        <stp>YLD_YTM_ASK</stp>
        <stp>[portefeuille USD.xlsm]treasuries!R37C8_x0000__x0000_</stp>
        <tr r="H37" s="13"/>
      </tp>
      <tp t="e">
        <v>#N/A</v>
        <stp/>
        <stp>##V3_BDPV12</stp>
        <stp>US9127956U08 Govt</stp>
        <stp>YLD_YTM_ASK</stp>
        <stp>[portefeuille USD.xlsm]treasuries!R38C8_x0000__x0000_</stp>
        <tr r="H38" s="13"/>
      </tp>
      <tp t="e">
        <v>#N/A</v>
        <stp/>
        <stp>##V3_BDPV12</stp>
        <stp>US9127956R78 Govt</stp>
        <stp>YLD_YTM_ASK</stp>
        <stp>[portefeuille USD.xlsm]treasuries!R65C8_x0000__x0000_</stp>
        <tr r="H65" s="13"/>
      </tp>
      <tp t="e">
        <v>#N/A</v>
        <stp/>
        <stp>##V3_BDPV12</stp>
        <stp>EH539714 Corp Corp</stp>
        <stp>PENULTIMATE_CPN_DT</stp>
        <stp>[portefeuille USD.xlsm]SSA!R34C24_x0000__x0000_</stp>
        <tr r="X34" s="16"/>
      </tp>
      <tp t="e">
        <v>#N/A</v>
        <stp/>
        <stp>##V3_BDPV12</stp>
        <stp>EI791385 Corp Corp</stp>
        <stp>ISSUE_DT</stp>
        <stp>[portefeuille USD.xlsm]SSA!R131C21_x0000_2</stp>
        <tr r="U131" s="16"/>
      </tp>
      <tp t="e">
        <v>#N/A</v>
        <stp/>
        <stp>##V3_BDPV12</stp>
        <stp>EH237816 Corp Corp</stp>
        <stp>INT_ACC_DT</stp>
        <stp>[portefeuille USD.xlsm]SSA!R29C22_x0000__x0000_</stp>
        <tr r="V29" s="16"/>
      </tp>
      <tp t="e">
        <v>#N/A</v>
        <stp/>
        <stp>##V3_BDPV12</stp>
        <stp>EC687043 Corp Corp</stp>
        <stp>INT_ACC_DT</stp>
        <stp>[portefeuille USD.xlsm]SSA!R35C22_x0000__x0000_</stp>
        <tr r="V35" s="16"/>
      </tp>
      <tp t="e">
        <v>#N/A</v>
        <stp/>
        <stp>##V3_BDPV12</stp>
        <stp>EF086162 Corp Corp</stp>
        <stp>YLD_YTM_BID</stp>
        <stp>[portefeuille USD.xlsm]SSA!R33C8_x0000__x0000_</stp>
        <tr r="H33" s="16"/>
      </tp>
      <tp t="e">
        <v>#N/A</v>
        <stp/>
        <stp>##V3_BDPV12</stp>
        <stp>US29878TBU79 Corp</stp>
        <stp>CPN_FREQ</stp>
        <stp>[portefeuille USD.xlsm]SSA!R75C27_x0000_R</stp>
        <tr r="AA75" s="16"/>
      </tp>
      <tp t="e">
        <v>#N/A</v>
        <stp/>
        <stp>##V3_BDPV12</stp>
        <stp>US63983TAE55 Corp</stp>
        <stp>CPN_FREQ</stp>
        <stp>[portefeuille USD.xlsm]SSA!R11C27_x0000__x0000_</stp>
        <tr r="AA11" s="16"/>
      </tp>
      <tp t="e">
        <v>#N/A</v>
        <stp/>
        <stp>##V3_BDPV12</stp>
        <stp>US298785FV33 Corp</stp>
        <stp>PENULTIMATE_CPN_DT</stp>
        <stp>[portefeuille USD.xlsm]SSA!R63C24_x0000_R</stp>
        <tr r="X63" s="16"/>
      </tp>
      <tp t="e">
        <v>#N/A</v>
        <stp/>
        <stp>##V3_BDPV12</stp>
        <stp>US912828RG74 Corp</stp>
        <stp>FIRST_CPN_DT</stp>
        <stp>[portefeuille USD.xlsm]treasuries!R116C24_x0000__x0000_</stp>
        <tr r="X116" s="13"/>
      </tp>
      <tp t="e">
        <v>#N/A</v>
        <stp/>
        <stp>##V3_BDPV12</stp>
        <stp>US912828SN17 Corp</stp>
        <stp>FIRST_CPN_DT</stp>
        <stp>[portefeuille USD.xlsm]treasuries!R225C24_x0000__x0000_</stp>
        <tr r="X225" s="13"/>
      </tp>
      <tp t="e">
        <v>#N/A</v>
        <stp/>
        <stp>##V3_BDPV12</stp>
        <stp>US912828PK05 Corp</stp>
        <stp>FIRST_CPN_DT</stp>
        <stp>[portefeuille USD.xlsm]treasuries!R201C24_x0000__x0000_</stp>
        <tr r="X201" s="13"/>
      </tp>
      <tp t="e">
        <v>#N/A</v>
        <stp/>
        <stp>##V3_BDPV12</stp>
        <stp>US298785FW16 Corp</stp>
        <stp>PENULTIMATE_CPN_DT</stp>
        <stp>[portefeuille USD.xlsm]SSA!R79C24_x0000_R</stp>
        <tr r="X79" s="16"/>
      </tp>
      <tp t="e">
        <v>#N/A</v>
        <stp/>
        <stp>##V3_BDPV12</stp>
        <stp>US912828PS31 Corp</stp>
        <stp>FIRST_CPN_DT</stp>
        <stp>[portefeuille USD.xlsm]treasuries!R149C24_x0000__x0000_</stp>
        <tr r="X149" s="13"/>
      </tp>
      <tp t="e">
        <v>#N/A</v>
        <stp/>
        <stp>##V3_BDPV12</stp>
        <stp>US912828PX26 Corp</stp>
        <stp>FIRST_CPN_DT</stp>
        <stp>[portefeuille USD.xlsm]treasuries!R239C24_x0000__x0000_</stp>
        <tr r="X239" s="13"/>
      </tp>
      <tp t="e">
        <v>#N/A</v>
        <stp/>
        <stp>##V3_BDPV12</stp>
        <stp>US912828LJ77 Corp</stp>
        <stp>FIRST_CPN_DT</stp>
        <stp>[portefeuille USD.xlsm]treasuries!R229C24_x0000__x0000_</stp>
        <tr r="X229" s="13"/>
      </tp>
      <tp t="e">
        <v>#N/A</v>
        <stp/>
        <stp>##V3_BDPV12</stp>
        <stp>US912828DC17 Corp</stp>
        <stp>FIRST_CPN_DT</stp>
        <stp>[portefeuille USD.xlsm]treasuries!R120C24_x0000__x0000_</stp>
        <tr r="X120" s="13"/>
      </tp>
      <tp t="e">
        <v>#N/A</v>
        <stp/>
        <stp>##V3_BDPV12</stp>
        <stp>US912828MK32 Corp</stp>
        <stp>FIRST_CPN_DT</stp>
        <stp>[portefeuille USD.xlsm]treasuries!R179C24_x0000__x0000_</stp>
        <tr r="X179" s="13"/>
      </tp>
      <tp t="e">
        <v>#N/A</v>
        <stp/>
        <stp>##V3_BDPV12</stp>
        <stp>US298785FQ48 Corp</stp>
        <stp>INT_ACC_DT</stp>
        <stp>[portefeuille USD.xlsm]SSA!R71C22_x0000_R</stp>
        <tr r="V71" s="16"/>
      </tp>
      <tp t="e">
        <v>#N/A</v>
        <stp/>
        <stp>##V3_BDPV12</stp>
        <stp>US912828NL06 Corp</stp>
        <stp>FIRST_CPN_DT</stp>
        <stp>[portefeuille USD.xlsm]treasuries!R138C24_x0000__x0000_</stp>
        <tr r="X138" s="13"/>
      </tp>
      <tp t="e">
        <v>#N/A</v>
        <stp/>
        <stp>##V3_BDPV12</stp>
        <stp>US912828HZ65 Corp</stp>
        <stp>FIRST_CPN_DT</stp>
        <stp>[portefeuille USD.xlsm]treasuries!R209C24_x0000__x0000_</stp>
        <tr r="X209" s="13"/>
      </tp>
      <tp t="e">
        <v>#N/A</v>
        <stp/>
        <stp>##V3_BDPV12</stp>
        <stp>US912828KV15 Corp</stp>
        <stp>FIRST_CPN_DT</stp>
        <stp>[portefeuille USD.xlsm]treasuries!R106C24_x0000__x0000_</stp>
        <tr r="X106" s="13"/>
      </tp>
      <tp t="e">
        <v>#N/A</v>
        <stp/>
        <stp>##V3_BDPV12</stp>
        <stp>US912828NZ91 Corp</stp>
        <stp>FIRST_CPN_DT</stp>
        <stp>[portefeuille USD.xlsm]treasuries!R143C24_x0000__x0000_</stp>
        <tr r="X143" s="13"/>
      </tp>
      <tp t="e">
        <v>#N/A</v>
        <stp/>
        <stp>##V3_BDPV12</stp>
        <stp>US912828FF20 Corp</stp>
        <stp>FIRST_CPN_DT</stp>
        <stp>[portefeuille USD.xlsm]treasuries!R159C24_x0000__x0000_</stp>
        <tr r="X159" s="13"/>
      </tp>
      <tp t="e">
        <v>#N/A</v>
        <stp/>
        <stp>##V3_BDPV12</stp>
        <stp>US9127955W72 Corp</stp>
        <stp>PENULTIMATE_CPN_DT</stp>
        <stp>[portefeuille USD.xlsm]treasuries!R3C25_x0000__x0000_</stp>
        <tr r="Y3" s="13"/>
      </tp>
      <tp t="e">
        <v>#N/A</v>
        <stp/>
        <stp>##V3_BDPV12</stp>
        <stp>US298785ER30 Corp</stp>
        <stp>INT_ACC_DT</stp>
        <stp>[portefeuille USD.xlsm]SSA!R48C22_x0000_R</stp>
        <tr r="V48" s="16"/>
      </tp>
      <tp t="e">
        <v>#N/A</v>
        <stp/>
        <stp>##V3_BDPV12</stp>
        <stp>US912828KD17 Corp</stp>
        <stp>FIRST_CPN_DT</stp>
        <stp>[portefeuille USD.xlsm]treasuries!R223C24_x0000__x0000_</stp>
        <tr r="X223" s="13"/>
      </tp>
      <tp t="e">
        <v>#N/A</v>
        <stp/>
        <stp>##V3_BDPV12</stp>
        <stp>US298785FQ48 Corp</stp>
        <stp>YLD_YTM_BID</stp>
        <stp>[portefeuille USD.xlsm]SSA!R71C8_x0000__x0000_</stp>
        <tr r="H71" s="16"/>
      </tp>
      <tp t="e">
        <v>#N/A</v>
        <stp/>
        <stp>##V3_BDPV12</stp>
        <stp>US912828CA69 Corp</stp>
        <stp>AMT_OUTSTANDING</stp>
        <stp>[portefeuille USD.xlsm]treasuries!R95C28_x0000__x0000_</stp>
        <tr r="AB95" s="13"/>
      </tp>
      <tp t="e">
        <v>#N/A</v>
        <stp/>
        <stp>##V3_BDPV12</stp>
        <stp>US912828HK96 Corp</stp>
        <stp>AMT_OUTSTANDING</stp>
        <stp>[portefeuille USD.xlsm]treasuries!R39C28_x0000__x0000_</stp>
        <tr r="AB39" s="13"/>
      </tp>
      <tp t="e">
        <v>#N/A</v>
        <stp/>
        <stp>##V3_BDPV12</stp>
        <stp>EI143648 Corp Corp</stp>
        <stp>PENULTIMATE_CPN_DT</stp>
        <stp>[portefeuille USD.xlsm]SSA!R32C24_x0000__x0000_</stp>
        <tr r="X32" s="16"/>
      </tp>
      <tp t="e">
        <v>#N/A</v>
        <stp/>
        <stp>##V3_BDPV12</stp>
        <stp>EI009749 Corp Corp</stp>
        <stp>PENULTIMATE_CPN_DT</stp>
        <stp>[portefeuille USD.xlsm]SSA!R24C24_x0000__x0000_</stp>
        <tr r="X24" s="16"/>
      </tp>
      <tp t="e">
        <v>#N/A</v>
        <stp/>
        <stp>##V3_BDPV12</stp>
        <stp>ED607736 Corp Corp</stp>
        <stp>PENULTIMATE_CPN_DT</stp>
        <stp>[portefeuille USD.xlsm]SSA!R36C24_x0000__x0000_</stp>
        <tr r="X36" s="16"/>
      </tp>
      <tp t="e">
        <v>#N/A</v>
        <stp/>
        <stp>##V3_BDPV12</stp>
        <stp>EI251950 Corp Corp</stp>
        <stp>YLD_YTM_BID</stp>
        <stp>[portefeuille USD.xlsm]SSA!R23C8_x0000__x0000_</stp>
        <tr r="H23" s="16"/>
      </tp>
      <tp t="e">
        <v>#N/A</v>
        <stp/>
        <stp>##V3_BDPV12</stp>
        <stp>EF684257 Corp Corp</stp>
        <stp>INT_ACC_DT</stp>
        <stp>[portefeuille USD.xlsm]SSA!R38C22_x0000__x0000_</stp>
        <tr r="V38" s="16"/>
      </tp>
      <tp t="e">
        <v>#N/A</v>
        <stp/>
        <stp>##V3_BDPV12</stp>
        <stp>EH790357 Corp Corp</stp>
        <stp>INT_ACC_DT</stp>
        <stp>[portefeuille USD.xlsm]SSA!R28C22_x0000__x0000_</stp>
        <tr r="V28" s="16"/>
      </tp>
      <tp t="e">
        <v>#N/A</v>
        <stp/>
        <stp>##V3_BDPV12</stp>
        <stp>ED037578 Corp Corp</stp>
        <stp>YLD_YTM_BID</stp>
        <stp>[portefeuille USD.xlsm]SSA!R30C8_x0000__x0000_</stp>
        <tr r="H30" s="16"/>
      </tp>
      <tp t="e">
        <v>#N/A</v>
        <stp/>
        <stp>##V3_BDPV12</stp>
        <stp>US12802NAB01 Corp</stp>
        <stp>AMT_OUTSTANDING</stp>
        <stp>[portefeuille USD.xlsm]SSA!R101C28_x0000__x0000_</stp>
        <tr r="AB101" s="16"/>
      </tp>
      <tp t="e">
        <v>#N/A</v>
        <stp/>
        <stp>##V3_BDPV12</stp>
        <stp>US912828ST86 Corp</stp>
        <stp>FIRST_CPN_DT</stp>
        <stp>[portefeuille USD.xlsm]treasuries!R226C24_x0000__x0000_</stp>
        <tr r="X226" s="13"/>
      </tp>
      <tp t="e">
        <v>#N/A</v>
        <stp/>
        <stp>##V3_BDPV12</stp>
        <stp>US912828RR30 Corp</stp>
        <stp>FIRST_CPN_DT</stp>
        <stp>[portefeuille USD.xlsm]treasuries!R246C24_x0000__x0000_</stp>
        <tr r="X246" s="13"/>
      </tp>
      <tp t="e">
        <v>#N/A</v>
        <stp/>
        <stp>##V3_BDPV12</stp>
        <stp>US912828QF01 Corp</stp>
        <stp>FIRST_CPN_DT</stp>
        <stp>[portefeuille USD.xlsm]treasuries!R156C24_x0000__x0000_</stp>
        <tr r="X156" s="13"/>
      </tp>
      <tp t="e">
        <v>#N/A</v>
        <stp/>
        <stp>##V3_BDPV12</stp>
        <stp>US912828RC60 Corp</stp>
        <stp>FIRST_CPN_DT</stp>
        <stp>[portefeuille USD.xlsm]treasuries!R243C24_x0000__x0000_</stp>
        <tr r="X243" s="13"/>
      </tp>
      <tp t="e">
        <v>#N/A</v>
        <stp/>
        <stp>##V3_BDPV12</stp>
        <stp>US912828QQ65 Corp</stp>
        <stp>FIRST_CPN_DT</stp>
        <stp>[portefeuille USD.xlsm]treasuries!R210C24_x0000__x0000_</stp>
        <tr r="X210" s="13"/>
      </tp>
      <tp t="e">
        <v>#N/A</v>
        <stp/>
        <stp>##V3_BDPV12</stp>
        <stp>US912828QP82 Corp</stp>
        <stp>FIRST_CPN_DT</stp>
        <stp>[portefeuille USD.xlsm]treasuries!R160C24_x0000__x0000_</stp>
        <tr r="X160" s="13"/>
      </tp>
      <tp t="e">
        <v>#N/A</v>
        <stp/>
        <stp>##V3_BDPV12</stp>
        <stp>US912828QT05 Corp</stp>
        <stp>FIRST_CPN_DT</stp>
        <stp>[portefeuille USD.xlsm]treasuries!R211C24_x0000__x0000_</stp>
        <tr r="X211" s="13"/>
      </tp>
      <tp t="e">
        <v>#N/A</v>
        <stp/>
        <stp>##V3_BDPV12</stp>
        <stp>US912828RM43 Corp</stp>
        <stp>FIRST_CPN_DT</stp>
        <stp>[portefeuille USD.xlsm]treasuries!R171C24_x0000__x0000_</stp>
        <tr r="X171" s="13"/>
      </tp>
      <tp t="e">
        <v>#N/A</v>
        <stp/>
        <stp>##V3_BDPV12</stp>
        <stp>US912828RQ56 Corp</stp>
        <stp>FIRST_CPN_DT</stp>
        <stp>[portefeuille USD.xlsm]treasuries!R121C24_x0000__x0000_</stp>
        <tr r="X121" s="13"/>
      </tp>
      <tp t="e">
        <v>#N/A</v>
        <stp/>
        <stp>##V3_BDPV12</stp>
        <stp>US912828PT14 Corp</stp>
        <stp>FIRST_CPN_DT</stp>
        <stp>[portefeuille USD.xlsm]treasuries!R203C24_x0000__x0000_</stp>
        <tr r="X203" s="13"/>
      </tp>
      <tp t="e">
        <v>#N/A</v>
        <stp/>
        <stp>##V3_BDPV12</stp>
        <stp>US912828SK77 Corp</stp>
        <stp>FIRST_CPN_DT</stp>
        <stp>[portefeuille USD.xlsm]treasuries!R131C24_x0000__x0000_</stp>
        <tr r="X131" s="13"/>
      </tp>
      <tp t="e">
        <v>#N/A</v>
        <stp/>
        <stp>##V3_BDPV12</stp>
        <stp>US912828PN44 Corp</stp>
        <stp>FIRST_CPN_DT</stp>
        <stp>[portefeuille USD.xlsm]treasuries!R202C24_x0000__x0000_</stp>
        <tr r="X202" s="13"/>
      </tp>
      <tp t="e">
        <v>#N/A</v>
        <stp/>
        <stp>##V3_BDPV12</stp>
        <stp>US912828PM60 Corp</stp>
        <stp>FIRST_CPN_DT</stp>
        <stp>[portefeuille USD.xlsm]treasuries!R148C24_x0000__x0000_</stp>
        <tr r="X148" s="13"/>
      </tp>
      <tp t="e">
        <v>#N/A</v>
        <stp/>
        <stp>##V3_BDPV12</stp>
        <stp>US912828RT95 Corp</stp>
        <stp>FIRST_CPN_DT</stp>
        <stp>[portefeuille USD.xlsm]treasuries!R219C24_x0000__x0000_</stp>
        <tr r="X219" s="13"/>
      </tp>
      <tp t="e">
        <v>#N/A</v>
        <stp/>
        <stp>##V3_BDPV12</stp>
        <stp>US912810EH78 Corp</stp>
        <stp>FIRST_CPN_DT</stp>
        <stp>[portefeuille USD.xlsm]treasuries!R240C24_x0000__x0000_</stp>
        <tr r="X240" s="13"/>
      </tp>
      <tp t="e">
        <v>#N/A</v>
        <stp/>
        <stp>##V3_BDPV12</stp>
        <stp>US912828EW61 Corp</stp>
        <stp>FIRST_CPN_DT</stp>
        <stp>[portefeuille USD.xlsm]treasuries!R151C24_x0000__x0000_</stp>
        <tr r="X151" s="13"/>
      </tp>
      <tp t="e">
        <v>#N/A</v>
        <stp/>
        <stp>##V3_BDPV12</stp>
        <stp>US912810EK08 Corp</stp>
        <stp>FIRST_CPN_DT</stp>
        <stp>[portefeuille USD.xlsm]treasuries!R244C24_x0000__x0000_</stp>
        <tr r="X244" s="13"/>
      </tp>
      <tp t="e">
        <v>#N/A</v>
        <stp/>
        <stp>##V3_BDPV12</stp>
        <stp>US912810DZ85 Corp</stp>
        <stp>FIRST_CPN_DT</stp>
        <stp>[portefeuille USD.xlsm]treasuries!R195C24_x0000__x0000_</stp>
        <tr r="X195" s="13"/>
      </tp>
      <tp t="e">
        <v>#N/A</v>
        <stp/>
        <stp>##V3_BDPV12</stp>
        <stp>US912828DV97 Corp</stp>
        <stp>FIRST_CPN_DT</stp>
        <stp>[portefeuille USD.xlsm]treasuries!R136C24_x0000__x0000_</stp>
        <tr r="X136" s="13"/>
      </tp>
      <tp t="e">
        <v>#N/A</v>
        <stp/>
        <stp>##V3_BDPV12</stp>
        <stp>US912810EX29 Corp</stp>
        <stp>FIRST_CPN_DT</stp>
        <stp>[portefeuille USD.xlsm]treasuries!R257C24_x0000__x0000_</stp>
        <tr r="X257" s="13"/>
      </tp>
      <tp t="e">
        <v>#N/A</v>
        <stp/>
        <stp>##V3_BDPV12</stp>
        <stp>US912828LC25 Corp</stp>
        <stp>FIRST_CPN_DT</stp>
        <stp>[portefeuille USD.xlsm]treasuries!R112C24_x0000__x0000_</stp>
        <tr r="X112" s="13"/>
      </tp>
      <tp t="e">
        <v>#N/A</v>
        <stp/>
        <stp>##V3_BDPV12</stp>
        <stp>US912828LU23 Corp</stp>
        <stp>FIRST_CPN_DT</stp>
        <stp>[portefeuille USD.xlsm]treasuries!R172C24_x0000__x0000_</stp>
        <tr r="X172" s="13"/>
      </tp>
      <tp t="e">
        <v>#N/A</v>
        <stp/>
        <stp>##V3_BDPV12</stp>
        <stp>US298785FR21 Corp</stp>
        <stp>INT_ACC_DT</stp>
        <stp>[portefeuille USD.xlsm]SSA!R58C22_x0000_R</stp>
        <tr r="V58" s="16"/>
      </tp>
      <tp t="e">
        <v>#N/A</v>
        <stp/>
        <stp>##V3_BDPV12</stp>
        <stp>US298785FP64 Corp</stp>
        <stp>YLD_YTM_BID</stp>
        <stp>[portefeuille USD.xlsm]SSA!R55C8_x0000__x0000_</stp>
        <tr r="H55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curve!$R$2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curve!$R$3:$R$19</c:f>
              <c:numCache>
                <c:formatCode>0.000%</c:formatCode>
                <c:ptCount val="17"/>
                <c:pt idx="0">
                  <c:v>2.3365417904344819E-3</c:v>
                </c:pt>
                <c:pt idx="1">
                  <c:v>3.1276647702442881E-3</c:v>
                </c:pt>
                <c:pt idx="2">
                  <c:v>4.5075947313397364E-3</c:v>
                </c:pt>
                <c:pt idx="3">
                  <c:v>4.4501629448086E-3</c:v>
                </c:pt>
                <c:pt idx="4">
                  <c:v>4.7039336173746449E-3</c:v>
                </c:pt>
                <c:pt idx="5">
                  <c:v>4.8350600166453539E-3</c:v>
                </c:pt>
                <c:pt idx="6">
                  <c:v>4.968000128251493E-3</c:v>
                </c:pt>
                <c:pt idx="7">
                  <c:v>5.0862999227918593E-3</c:v>
                </c:pt>
                <c:pt idx="8">
                  <c:v>5.3504788837210882E-3</c:v>
                </c:pt>
                <c:pt idx="9">
                  <c:v>6.1547942045452331E-3</c:v>
                </c:pt>
                <c:pt idx="10">
                  <c:v>7.7261210251671208E-3</c:v>
                </c:pt>
                <c:pt idx="11">
                  <c:v>9.6152190212284161E-3</c:v>
                </c:pt>
                <c:pt idx="12">
                  <c:v>1.149902420523885E-2</c:v>
                </c:pt>
                <c:pt idx="13">
                  <c:v>1.3557282049811992E-2</c:v>
                </c:pt>
                <c:pt idx="14">
                  <c:v>1.5194670017199652E-2</c:v>
                </c:pt>
                <c:pt idx="15">
                  <c:v>1.6685276262941251E-2</c:v>
                </c:pt>
                <c:pt idx="16">
                  <c:v>1.8057760733368067E-2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1.5105476733969151E-4</c:v>
                </c:pt>
                <c:pt idx="1">
                  <c:v>4.97552326080581E-4</c:v>
                </c:pt>
                <c:pt idx="2">
                  <c:v>8.3434573756693603E-4</c:v>
                </c:pt>
                <c:pt idx="3">
                  <c:v>1.5661078291525645E-3</c:v>
                </c:pt>
                <c:pt idx="4">
                  <c:v>2.0800793283766161E-3</c:v>
                </c:pt>
                <c:pt idx="5">
                  <c:v>2.4516008200756723E-3</c:v>
                </c:pt>
                <c:pt idx="6">
                  <c:v>2.7342214501295814E-3</c:v>
                </c:pt>
                <c:pt idx="7">
                  <c:v>2.9667472965937414E-3</c:v>
                </c:pt>
                <c:pt idx="8">
                  <c:v>3.383822581594309E-3</c:v>
                </c:pt>
                <c:pt idx="9">
                  <c:v>4.3782555922349253E-3</c:v>
                </c:pt>
                <c:pt idx="10">
                  <c:v>5.7809127967152207E-3</c:v>
                </c:pt>
                <c:pt idx="11">
                  <c:v>7.5077546090973613E-3</c:v>
                </c:pt>
                <c:pt idx="12">
                  <c:v>9.4159389217534084E-3</c:v>
                </c:pt>
                <c:pt idx="13">
                  <c:v>1.1395904074323226E-2</c:v>
                </c:pt>
                <c:pt idx="14">
                  <c:v>1.3337251696247776E-2</c:v>
                </c:pt>
                <c:pt idx="15">
                  <c:v>1.5204977447788703E-2</c:v>
                </c:pt>
                <c:pt idx="16">
                  <c:v>1.6958862795705798E-2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curve!$S$2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35912"/>
        <c:axId val="491637088"/>
      </c:lineChart>
      <c:dateAx>
        <c:axId val="4916359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1637088"/>
        <c:crosses val="autoZero"/>
        <c:auto val="1"/>
        <c:lblOffset val="100"/>
        <c:baseTimeUnit val="months"/>
        <c:majorUnit val="1"/>
        <c:majorTimeUnit val="years"/>
      </c:dateAx>
      <c:valAx>
        <c:axId val="4916370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16359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1.4874597980029087</c:v>
                </c:pt>
                <c:pt idx="1">
                  <c:v>10.617974027127643</c:v>
                </c:pt>
                <c:pt idx="2">
                  <c:v>-31.334818918426066</c:v>
                </c:pt>
                <c:pt idx="3">
                  <c:v>-16.119931231514066</c:v>
                </c:pt>
                <c:pt idx="4">
                  <c:v>16.013610966636328</c:v>
                </c:pt>
                <c:pt idx="5">
                  <c:v>12.702547914474703</c:v>
                </c:pt>
                <c:pt idx="6">
                  <c:v>1.4893607200235408</c:v>
                </c:pt>
                <c:pt idx="7">
                  <c:v>-9.1356665359393538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91637872"/>
        <c:axId val="491638264"/>
      </c:barChart>
      <c:catAx>
        <c:axId val="491637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91638264"/>
        <c:crosses val="autoZero"/>
        <c:auto val="1"/>
        <c:lblAlgn val="ctr"/>
        <c:lblOffset val="100"/>
        <c:noMultiLvlLbl val="0"/>
      </c:catAx>
      <c:valAx>
        <c:axId val="4916382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91637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20.269904161904837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-6.2313497071258368</c:v>
                </c:pt>
                <c:pt idx="3">
                  <c:v>-5.7126668665906273</c:v>
                </c:pt>
                <c:pt idx="4">
                  <c:v>-6.1044779608841342</c:v>
                </c:pt>
                <c:pt idx="5">
                  <c:v>-22.362458799903354</c:v>
                </c:pt>
                <c:pt idx="6">
                  <c:v>-5.471594204416693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1.3775466797989977</c:v>
                </c:pt>
                <c:pt idx="1">
                  <c:v>0.70356295149243286</c:v>
                </c:pt>
                <c:pt idx="2">
                  <c:v>1.7687797434507317</c:v>
                </c:pt>
                <c:pt idx="3">
                  <c:v>4.8131614935829141</c:v>
                </c:pt>
                <c:pt idx="4">
                  <c:v>3.692898245645901</c:v>
                </c:pt>
                <c:pt idx="5">
                  <c:v>20.506472171491168</c:v>
                </c:pt>
                <c:pt idx="6">
                  <c:v>16.652715971076457</c:v>
                </c:pt>
                <c:pt idx="7">
                  <c:v>12.313457882173379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-0.84539015061681977</c:v>
                </c:pt>
                <c:pt idx="1">
                  <c:v>-10.355493086269627</c:v>
                </c:pt>
                <c:pt idx="2">
                  <c:v>-27.91367679598666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91639048"/>
        <c:axId val="491639440"/>
      </c:barChart>
      <c:catAx>
        <c:axId val="491639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91639440"/>
        <c:crosses val="autoZero"/>
        <c:auto val="1"/>
        <c:lblAlgn val="ctr"/>
        <c:lblOffset val="100"/>
        <c:noMultiLvlLbl val="0"/>
      </c:catAx>
      <c:valAx>
        <c:axId val="4916394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916390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880"/>
        <c:axId val="496862272"/>
      </c:lineChart>
      <c:dateAx>
        <c:axId val="49686188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2272"/>
        <c:crosses val="autoZero"/>
        <c:auto val="1"/>
        <c:lblOffset val="100"/>
        <c:baseTimeUnit val="days"/>
        <c:majorUnit val="14"/>
        <c:minorUnit val="1"/>
      </c:dateAx>
      <c:valAx>
        <c:axId val="49686227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88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488"/>
        <c:axId val="496861096"/>
      </c:lineChart>
      <c:dateAx>
        <c:axId val="49686148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1096"/>
        <c:crosses val="autoZero"/>
        <c:auto val="1"/>
        <c:lblOffset val="100"/>
        <c:baseTimeUnit val="days"/>
        <c:majorUnit val="14"/>
        <c:minorUnit val="1"/>
      </c:dateAx>
      <c:valAx>
        <c:axId val="49686109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488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3056"/>
        <c:axId val="496863448"/>
      </c:lineChart>
      <c:dateAx>
        <c:axId val="49686305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3448"/>
        <c:crosses val="autoZero"/>
        <c:auto val="1"/>
        <c:lblOffset val="100"/>
        <c:baseTimeUnit val="days"/>
        <c:majorUnit val="14"/>
        <c:minorUnit val="1"/>
      </c:dateAx>
      <c:valAx>
        <c:axId val="49686344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3056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curve!$R$23:$R$39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1.864904354554664E-3</c:v>
                </c:pt>
                <c:pt idx="1">
                  <c:v>1.8755812037825059E-3</c:v>
                </c:pt>
                <c:pt idx="2">
                  <c:v>1.8933356333863394E-3</c:v>
                </c:pt>
                <c:pt idx="3">
                  <c:v>1.973153851371201E-3</c:v>
                </c:pt>
                <c:pt idx="4">
                  <c:v>2.1373740470038705E-3</c:v>
                </c:pt>
                <c:pt idx="5">
                  <c:v>2.3136387693463156E-3</c:v>
                </c:pt>
                <c:pt idx="6">
                  <c:v>2.4874089808681887E-3</c:v>
                </c:pt>
                <c:pt idx="7">
                  <c:v>2.7035051490456041E-3</c:v>
                </c:pt>
                <c:pt idx="8">
                  <c:v>3.6725249626630152E-3</c:v>
                </c:pt>
                <c:pt idx="9">
                  <c:v>9.0510960868441792E-3</c:v>
                </c:pt>
                <c:pt idx="10">
                  <c:v>1.3840643062211555E-2</c:v>
                </c:pt>
                <c:pt idx="11">
                  <c:v>1.7973597298104327E-2</c:v>
                </c:pt>
                <c:pt idx="12">
                  <c:v>2.132426932413356E-2</c:v>
                </c:pt>
                <c:pt idx="13">
                  <c:v>2.3854068764214809E-2</c:v>
                </c:pt>
                <c:pt idx="14">
                  <c:v>2.5856462950858639E-2</c:v>
                </c:pt>
                <c:pt idx="15">
                  <c:v>2.7454223217179941E-2</c:v>
                </c:pt>
                <c:pt idx="16">
                  <c:v>2.8708450910895245E-2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2.1167112328690507E-3</c:v>
                </c:pt>
                <c:pt idx="1">
                  <c:v>2.1502586336081819E-3</c:v>
                </c:pt>
                <c:pt idx="2">
                  <c:v>2.1914673871883394E-3</c:v>
                </c:pt>
                <c:pt idx="3">
                  <c:v>2.3397196449743696E-3</c:v>
                </c:pt>
                <c:pt idx="4">
                  <c:v>2.5934823480047164E-3</c:v>
                </c:pt>
                <c:pt idx="5">
                  <c:v>2.9975485912920874E-3</c:v>
                </c:pt>
                <c:pt idx="6">
                  <c:v>3.6055273823065725E-3</c:v>
                </c:pt>
                <c:pt idx="7">
                  <c:v>4.3872374355125032E-3</c:v>
                </c:pt>
                <c:pt idx="8">
                  <c:v>6.3697134391604848E-3</c:v>
                </c:pt>
                <c:pt idx="9">
                  <c:v>1.1441109710534914E-2</c:v>
                </c:pt>
                <c:pt idx="10">
                  <c:v>1.5907500622977189E-2</c:v>
                </c:pt>
                <c:pt idx="11">
                  <c:v>1.9648238449949673E-2</c:v>
                </c:pt>
                <c:pt idx="12">
                  <c:v>2.2583455392501506E-2</c:v>
                </c:pt>
                <c:pt idx="13">
                  <c:v>2.4858428517099185E-2</c:v>
                </c:pt>
                <c:pt idx="14">
                  <c:v>2.6655742165947238E-2</c:v>
                </c:pt>
                <c:pt idx="15">
                  <c:v>2.808124010742663E-2</c:v>
                </c:pt>
                <c:pt idx="16">
                  <c:v>2.9155706055613351E-2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2.7348853219826275E-3</c:v>
                </c:pt>
                <c:pt idx="1">
                  <c:v>2.8716854720443052E-3</c:v>
                </c:pt>
                <c:pt idx="2">
                  <c:v>3.0400521511784184E-3</c:v>
                </c:pt>
                <c:pt idx="3">
                  <c:v>3.5884719005934151E-3</c:v>
                </c:pt>
                <c:pt idx="4">
                  <c:v>4.2620579344836429E-3</c:v>
                </c:pt>
                <c:pt idx="5">
                  <c:v>5.0256671365760397E-3</c:v>
                </c:pt>
                <c:pt idx="6">
                  <c:v>5.8790431278787914E-3</c:v>
                </c:pt>
                <c:pt idx="7">
                  <c:v>6.8058719756716179E-3</c:v>
                </c:pt>
                <c:pt idx="8">
                  <c:v>8.8573856420408603E-3</c:v>
                </c:pt>
                <c:pt idx="9">
                  <c:v>1.3616252557691944E-2</c:v>
                </c:pt>
                <c:pt idx="10">
                  <c:v>1.7712313386116119E-2</c:v>
                </c:pt>
                <c:pt idx="11">
                  <c:v>2.1046380225334005E-2</c:v>
                </c:pt>
                <c:pt idx="12">
                  <c:v>2.3672351328010155E-2</c:v>
                </c:pt>
                <c:pt idx="13">
                  <c:v>2.5725962399274049E-2</c:v>
                </c:pt>
                <c:pt idx="14">
                  <c:v>2.7340065185839979E-2</c:v>
                </c:pt>
                <c:pt idx="15">
                  <c:v>2.8588649648586983E-2</c:v>
                </c:pt>
                <c:pt idx="16">
                  <c:v>2.9453589110437495E-2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4.4330969009518384E-3</c:v>
                </c:pt>
                <c:pt idx="1">
                  <c:v>4.6463734168442627E-3</c:v>
                </c:pt>
                <c:pt idx="2">
                  <c:v>4.8899212351560806E-3</c:v>
                </c:pt>
                <c:pt idx="3">
                  <c:v>5.6044992498174295E-3</c:v>
                </c:pt>
                <c:pt idx="4">
                  <c:v>6.3861804751828011E-3</c:v>
                </c:pt>
                <c:pt idx="5">
                  <c:v>7.2285906015361334E-3</c:v>
                </c:pt>
                <c:pt idx="6">
                  <c:v>8.135832787093733E-3</c:v>
                </c:pt>
                <c:pt idx="7">
                  <c:v>9.094162451911636E-3</c:v>
                </c:pt>
                <c:pt idx="8">
                  <c:v>1.113518546165615E-2</c:v>
                </c:pt>
                <c:pt idx="9">
                  <c:v>1.554049673349267E-2</c:v>
                </c:pt>
                <c:pt idx="10">
                  <c:v>1.9245042797744638E-2</c:v>
                </c:pt>
                <c:pt idx="11">
                  <c:v>2.2246155848780091E-2</c:v>
                </c:pt>
                <c:pt idx="12">
                  <c:v>2.4617157431956915E-2</c:v>
                </c:pt>
                <c:pt idx="13">
                  <c:v>2.6472617154845057E-2</c:v>
                </c:pt>
                <c:pt idx="14">
                  <c:v>2.7906209059635589E-2</c:v>
                </c:pt>
                <c:pt idx="15">
                  <c:v>2.8953562869279192E-2</c:v>
                </c:pt>
                <c:pt idx="16">
                  <c:v>2.9601867443687091E-2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6.3816588634093563E-3</c:v>
                </c:pt>
                <c:pt idx="1">
                  <c:v>6.6226811775327299E-3</c:v>
                </c:pt>
                <c:pt idx="2">
                  <c:v>6.894690422594163E-3</c:v>
                </c:pt>
                <c:pt idx="3">
                  <c:v>7.6765407008334563E-3</c:v>
                </c:pt>
                <c:pt idx="4">
                  <c:v>8.5070353870575488E-3</c:v>
                </c:pt>
                <c:pt idx="5">
                  <c:v>9.3771840728549272E-3</c:v>
                </c:pt>
                <c:pt idx="6">
                  <c:v>1.0287812765552573E-2</c:v>
                </c:pt>
                <c:pt idx="7">
                  <c:v>1.1227435950194042E-2</c:v>
                </c:pt>
                <c:pt idx="8">
                  <c:v>1.3170449615082624E-2</c:v>
                </c:pt>
                <c:pt idx="9">
                  <c:v>1.7199850163814201E-2</c:v>
                </c:pt>
                <c:pt idx="10">
                  <c:v>2.056412665284979E-2</c:v>
                </c:pt>
                <c:pt idx="11">
                  <c:v>2.3286697954240321E-2</c:v>
                </c:pt>
                <c:pt idx="12">
                  <c:v>2.5434755522221852E-2</c:v>
                </c:pt>
                <c:pt idx="13">
                  <c:v>2.7099684460359263E-2</c:v>
                </c:pt>
                <c:pt idx="14">
                  <c:v>2.8334454786064001E-2</c:v>
                </c:pt>
                <c:pt idx="15">
                  <c:v>2.9172156678715755E-2</c:v>
                </c:pt>
                <c:pt idx="16">
                  <c:v>2.9617071369349546E-2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curve!$V$2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curve!$V$3:$V$19</c:f>
              <c:numCache>
                <c:formatCode>0.000%</c:formatCode>
                <c:ptCount val="17"/>
                <c:pt idx="0">
                  <c:v>1.818407845775343E-3</c:v>
                </c:pt>
                <c:pt idx="1">
                  <c:v>1.7942230598885309E-3</c:v>
                </c:pt>
                <c:pt idx="2">
                  <c:v>1.8672581039984428E-3</c:v>
                </c:pt>
                <c:pt idx="3">
                  <c:v>1.8765926361054878E-3</c:v>
                </c:pt>
                <c:pt idx="4">
                  <c:v>1.9239202926244481E-3</c:v>
                </c:pt>
                <c:pt idx="5">
                  <c:v>1.9348628551639807E-3</c:v>
                </c:pt>
                <c:pt idx="6">
                  <c:v>2.0590961349951828E-3</c:v>
                </c:pt>
                <c:pt idx="7">
                  <c:v>2.3913199437955533E-3</c:v>
                </c:pt>
                <c:pt idx="8">
                  <c:v>2.6216009855180764E-3</c:v>
                </c:pt>
                <c:pt idx="9">
                  <c:v>6.2294713084704023E-3</c:v>
                </c:pt>
                <c:pt idx="10">
                  <c:v>1.1846221144943495E-2</c:v>
                </c:pt>
                <c:pt idx="11">
                  <c:v>1.6099600560140669E-2</c:v>
                </c:pt>
                <c:pt idx="12">
                  <c:v>1.9863857167172538E-2</c:v>
                </c:pt>
                <c:pt idx="13">
                  <c:v>2.2684560847488225E-2</c:v>
                </c:pt>
                <c:pt idx="14">
                  <c:v>2.489961626953972E-2</c:v>
                </c:pt>
                <c:pt idx="15">
                  <c:v>2.6617925494490789E-2</c:v>
                </c:pt>
                <c:pt idx="16">
                  <c:v>2.8033064008825919E-2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64232"/>
        <c:axId val="496864624"/>
      </c:lineChart>
      <c:dateAx>
        <c:axId val="496864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6864624"/>
        <c:crosses val="autoZero"/>
        <c:auto val="1"/>
        <c:lblOffset val="100"/>
        <c:baseTimeUnit val="months"/>
      </c:dateAx>
      <c:valAx>
        <c:axId val="49686462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68642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9524</xdr:colOff>
      <xdr:row>40</xdr:row>
      <xdr:rowOff>28575</xdr:rowOff>
    </xdr:from>
    <xdr:to>
      <xdr:col>24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26.510141782404" createdVersion="3" refreshedVersion="5" minRefreshableVersion="3" recordCount="350">
  <cacheSource type="worksheet">
    <worksheetSource ref="M1:O1048576" sheet="bench Comparison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000" maxValue="4895000000"/>
    </cacheField>
    <cacheField name="risque" numFmtId="0">
      <sharedItems containsString="0" containsBlank="1" containsNumber="1" minValue="-146783.39000000001" maxValue="246327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960.64501166"/>
    <n v="0"/>
  </r>
  <r>
    <x v="0"/>
    <n v="0"/>
    <n v="0"/>
  </r>
  <r>
    <x v="0"/>
    <n v="-431628954.78151828"/>
    <n v="613.4"/>
  </r>
  <r>
    <x v="0"/>
    <n v="-34808786.675928898"/>
    <n v="0"/>
  </r>
  <r>
    <x v="0"/>
    <n v="-366652552.98645103"/>
    <n v="1053.32"/>
  </r>
  <r>
    <x v="0"/>
    <n v="-111388117.36297247"/>
    <n v="693.32"/>
  </r>
  <r>
    <x v="0"/>
    <n v="-366652552.98645103"/>
    <n v="3510.88"/>
  </r>
  <r>
    <x v="0"/>
    <n v="-111388117.36297247"/>
    <n v="1439.91"/>
  </r>
  <r>
    <x v="0"/>
    <n v="-366652552.98645103"/>
    <n v="5968.76"/>
  </r>
  <r>
    <x v="0"/>
    <n v="-111388117.36297247"/>
    <n v="2186.61"/>
  </r>
  <r>
    <x v="0"/>
    <n v="-268027657.40465251"/>
    <n v="6159.85"/>
  </r>
  <r>
    <x v="0"/>
    <n v="-268027657.40465251"/>
    <n v="7058.16"/>
  </r>
  <r>
    <x v="0"/>
    <n v="-268317730.6269519"/>
    <n v="7965.08"/>
  </r>
  <r>
    <x v="0"/>
    <n v="-268201701.33803213"/>
    <n v="8860.5"/>
  </r>
  <r>
    <x v="0"/>
    <n v="-268027657.40465251"/>
    <n v="9753.06"/>
  </r>
  <r>
    <x v="0"/>
    <n v="-268027657.40465251"/>
    <n v="10651.37"/>
  </r>
  <r>
    <x v="0"/>
    <n v="-268027657.40465251"/>
    <n v="11549.67"/>
  </r>
  <r>
    <x v="0"/>
    <n v="-431048808.33691949"/>
    <n v="6539.73"/>
  </r>
  <r>
    <x v="0"/>
    <n v="-431628954.78151828"/>
    <n v="12860.24"/>
  </r>
  <r>
    <x v="0"/>
    <n v="-268027657.40465251"/>
    <n v="12447.96"/>
  </r>
  <r>
    <x v="0"/>
    <n v="-268027657.40465251"/>
    <n v="13346.27"/>
  </r>
  <r>
    <x v="0"/>
    <n v="-268027657.40465251"/>
    <n v="14244.57"/>
  </r>
  <r>
    <x v="0"/>
    <n v="-268027657.40465251"/>
    <n v="15142.87"/>
  </r>
  <r>
    <x v="0"/>
    <n v="-268027657.40465251"/>
    <n v="16041.16"/>
  </r>
  <r>
    <x v="0"/>
    <n v="-268027657.40465251"/>
    <n v="16939.419999999998"/>
  </r>
  <r>
    <x v="0"/>
    <n v="-268027657.40465251"/>
    <n v="17837.82"/>
  </r>
  <r>
    <x v="0"/>
    <n v="-268027657.40465251"/>
    <n v="18864.3"/>
  </r>
  <r>
    <x v="0"/>
    <n v="-268027657.40465251"/>
    <n v="19634.29"/>
  </r>
  <r>
    <x v="0"/>
    <n v="-268201701.33803213"/>
    <n v="20545.95"/>
  </r>
  <r>
    <x v="0"/>
    <n v="-268027657.40465251"/>
    <n v="21431.02"/>
  </r>
  <r>
    <x v="0"/>
    <n v="-268027657.40465251"/>
    <n v="22329.21"/>
  </r>
  <r>
    <x v="0"/>
    <n v="-268027657.40465251"/>
    <n v="23227.52"/>
  </r>
  <r>
    <x v="0"/>
    <n v="-431048808.33691949"/>
    <n v="19157.91"/>
  </r>
  <r>
    <x v="0"/>
    <n v="-430468661.89232069"/>
    <n v="25233.52"/>
  </r>
  <r>
    <x v="0"/>
    <n v="-430468661.89232069"/>
    <n v="31349.63"/>
  </r>
  <r>
    <x v="0"/>
    <n v="-431628954.78151828"/>
    <n v="37778.370000000003"/>
  </r>
  <r>
    <x v="0"/>
    <n v="-430468661.89232069"/>
    <n v="44004.22"/>
  </r>
  <r>
    <x v="0"/>
    <n v="-431628954.78151828"/>
    <n v="49841.78"/>
  </r>
  <r>
    <x v="0"/>
    <n v="-431048808.33691949"/>
    <n v="56346.83"/>
  </r>
  <r>
    <x v="0"/>
    <n v="-431048808.33691949"/>
    <n v="62196.639999999999"/>
  </r>
  <r>
    <x v="0"/>
    <n v="-431048808.33691949"/>
    <n v="68435.22"/>
  </r>
  <r>
    <x v="0"/>
    <n v="-430613698.50347036"/>
    <n v="74577.87"/>
  </r>
  <r>
    <x v="0"/>
    <n v="-431048808.33691949"/>
    <n v="80751.5"/>
  </r>
  <r>
    <x v="0"/>
    <n v="-431048808.33691949"/>
    <n v="87455.44"/>
  </r>
  <r>
    <x v="0"/>
    <n v="-431628954.78151828"/>
    <n v="93032.7"/>
  </r>
  <r>
    <x v="0"/>
    <n v="-430468661.89232069"/>
    <n v="99164.35"/>
  </r>
  <r>
    <x v="0"/>
    <n v="-430468661.89232069"/>
    <n v="105595.92"/>
  </r>
  <r>
    <x v="0"/>
    <n v="-431628954.78151828"/>
    <n v="111614.09"/>
  </r>
  <r>
    <x v="0"/>
    <n v="-430468661.89232069"/>
    <n v="117734.07"/>
  </r>
  <r>
    <x v="0"/>
    <n v="-412484122.10975742"/>
    <n v="118224.67"/>
  </r>
  <r>
    <x v="0"/>
    <n v="-412484122.10975742"/>
    <n v="124212.16"/>
  </r>
  <r>
    <x v="0"/>
    <n v="-411903975.66515857"/>
    <n v="129838.28"/>
  </r>
  <r>
    <x v="0"/>
    <n v="-412484122.10975742"/>
    <n v="136416.70000000001"/>
  </r>
  <r>
    <x v="0"/>
    <n v="-412484122.10975742"/>
    <n v="141255.0499999999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795.39214849"/>
    <n v="182042.46"/>
  </r>
  <r>
    <x v="0"/>
    <n v="-222196088.28134611"/>
    <n v="184735"/>
  </r>
  <r>
    <x v="0"/>
    <n v="-221035795.39214849"/>
    <n v="187363.76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142.47516418"/>
    <n v="177736.02"/>
  </r>
  <r>
    <x v="0"/>
    <n v="-122410899.81034996"/>
    <n v="192434.32"/>
  </r>
  <r>
    <x v="0"/>
    <n v="-123571192.69954757"/>
    <n v="195775.54"/>
  </r>
  <r>
    <x v="0"/>
    <n v="243771559.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000"/>
    <n v="116.92"/>
  </r>
  <r>
    <x v="0"/>
    <n v="-1045010200"/>
    <n v="-760.94"/>
  </r>
  <r>
    <x v="0"/>
    <n v="0"/>
    <n v="0"/>
  </r>
  <r>
    <x v="0"/>
    <n v="0"/>
    <n v="0"/>
  </r>
  <r>
    <x v="0"/>
    <n v="0"/>
    <n v="0"/>
  </r>
  <r>
    <x v="0"/>
    <n v="400000000"/>
    <n v="445.36"/>
  </r>
  <r>
    <x v="0"/>
    <n v="-1184826000"/>
    <n v="-2165"/>
  </r>
  <r>
    <x v="0"/>
    <n v="0"/>
    <n v="0"/>
  </r>
  <r>
    <x v="0"/>
    <n v="0"/>
    <n v="0"/>
  </r>
  <r>
    <x v="0"/>
    <n v="0"/>
    <n v="1604.41"/>
  </r>
  <r>
    <x v="2"/>
    <n v="150000000"/>
    <n v="583.25"/>
  </r>
  <r>
    <x v="0"/>
    <n v="-2586125000"/>
    <n v="-7882.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246.29"/>
  </r>
  <r>
    <x v="2"/>
    <n v="200000000"/>
    <n v="999.81"/>
  </r>
  <r>
    <x v="2"/>
    <n v="150000000"/>
    <n v="791.51"/>
  </r>
  <r>
    <x v="2"/>
    <n v="150000000"/>
    <n v="833.15"/>
  </r>
  <r>
    <x v="3"/>
    <n v="100000000"/>
    <n v="583.25"/>
  </r>
  <r>
    <x v="0"/>
    <n v="175000000"/>
    <n v="876.62"/>
  </r>
  <r>
    <x v="0"/>
    <n v="-682046500"/>
    <n v="-3220.79"/>
  </r>
  <r>
    <x v="0"/>
    <n v="0"/>
    <n v="0"/>
  </r>
  <r>
    <x v="0"/>
    <n v="0"/>
    <n v="0"/>
  </r>
  <r>
    <x v="0"/>
    <n v="0"/>
    <n v="13649.23"/>
  </r>
  <r>
    <x v="2"/>
    <n v="250000000"/>
    <n v="1735.62"/>
  </r>
  <r>
    <x v="4"/>
    <n v="192000000"/>
    <n v="1267.69"/>
  </r>
  <r>
    <x v="0"/>
    <n v="0"/>
    <n v="19982.37"/>
  </r>
  <r>
    <x v="5"/>
    <n v="50000000"/>
    <n v="963.89"/>
  </r>
  <r>
    <x v="6"/>
    <n v="45000000"/>
    <n v="958.71"/>
  </r>
  <r>
    <x v="1"/>
    <n v="75000000"/>
    <n v="1607.2"/>
  </r>
  <r>
    <x v="0"/>
    <n v="4895000000"/>
    <n v="81712.45"/>
  </r>
  <r>
    <x v="0"/>
    <n v="414000000"/>
    <n v="18399.36"/>
  </r>
  <r>
    <x v="0"/>
    <n v="400000000"/>
    <n v="20110.400000000001"/>
  </r>
  <r>
    <x v="7"/>
    <n v="40000000"/>
    <n v="1065.29"/>
  </r>
  <r>
    <x v="8"/>
    <n v="97000000"/>
    <n v="2954.56"/>
  </r>
  <r>
    <x v="9"/>
    <n v="99500000"/>
    <n v="3986.72"/>
  </r>
  <r>
    <x v="10"/>
    <n v="19000000"/>
    <n v="867.46"/>
  </r>
  <r>
    <x v="0"/>
    <n v="0"/>
    <n v="0"/>
  </r>
  <r>
    <x v="0"/>
    <n v="200000000"/>
    <n v="5224.88"/>
  </r>
  <r>
    <x v="0"/>
    <n v="-1249000000"/>
    <n v="-31262.9"/>
  </r>
  <r>
    <x v="0"/>
    <n v="0"/>
    <n v="0"/>
  </r>
  <r>
    <x v="3"/>
    <n v="50000000"/>
    <n v="2870.82"/>
  </r>
  <r>
    <x v="3"/>
    <n v="26000000"/>
    <n v="1528.42"/>
  </r>
  <r>
    <x v="3"/>
    <n v="40000000"/>
    <n v="2428.0500000000002"/>
  </r>
  <r>
    <x v="3"/>
    <n v="150000000"/>
    <n v="9474.3799999999992"/>
  </r>
  <r>
    <x v="3"/>
    <n v="85000000"/>
    <n v="5693.9"/>
  </r>
  <r>
    <x v="11"/>
    <n v="39900000"/>
    <n v="2152.23"/>
  </r>
  <r>
    <x v="0"/>
    <n v="-1145000000"/>
    <n v="-28660.65"/>
  </r>
  <r>
    <x v="0"/>
    <n v="1000000000"/>
    <n v="77497.119999999995"/>
  </r>
  <r>
    <x v="0"/>
    <n v="478000000"/>
    <n v="40761.25"/>
  </r>
  <r>
    <x v="0"/>
    <n v="0"/>
    <n v="0.01"/>
  </r>
  <r>
    <x v="0"/>
    <n v="194000000"/>
    <n v="19560.89"/>
  </r>
  <r>
    <x v="4"/>
    <n v="201500000"/>
    <n v="16216.42"/>
  </r>
  <r>
    <x v="0"/>
    <n v="252000000"/>
    <n v="21094.959999999999"/>
  </r>
  <r>
    <x v="0"/>
    <n v="456000000"/>
    <n v="42000.62"/>
  </r>
  <r>
    <x v="7"/>
    <n v="10000000"/>
    <n v="956.66"/>
  </r>
  <r>
    <x v="0"/>
    <n v="0"/>
    <n v="0"/>
  </r>
  <r>
    <x v="12"/>
    <n v="15000000"/>
    <n v="1354.32"/>
  </r>
  <r>
    <x v="0"/>
    <n v="-621000000"/>
    <n v="-15545.42"/>
  </r>
  <r>
    <x v="0"/>
    <n v="300000000"/>
    <n v="7576.82"/>
  </r>
  <r>
    <x v="0"/>
    <n v="-300000000"/>
    <n v="-22657.78"/>
  </r>
  <r>
    <x v="0"/>
    <n v="0"/>
    <n v="0"/>
  </r>
  <r>
    <x v="13"/>
    <n v="25000000"/>
    <n v="2604.0100000000002"/>
  </r>
  <r>
    <x v="3"/>
    <n v="18000000"/>
    <n v="1942.33"/>
  </r>
  <r>
    <x v="0"/>
    <n v="470000000"/>
    <n v="51081.03"/>
  </r>
  <r>
    <x v="14"/>
    <n v="185000000"/>
    <n v="22532.01"/>
  </r>
  <r>
    <x v="0"/>
    <n v="1505000000"/>
    <n v="188191.15"/>
  </r>
  <r>
    <x v="0"/>
    <n v="433000000"/>
    <n v="57868.15"/>
  </r>
  <r>
    <x v="15"/>
    <n v="200000000"/>
    <n v="27988.68"/>
  </r>
  <r>
    <x v="0"/>
    <n v="685000000"/>
    <n v="97484.1"/>
  </r>
  <r>
    <x v="0"/>
    <n v="1137000000"/>
    <n v="180409.21"/>
  </r>
  <r>
    <x v="4"/>
    <n v="27800000"/>
    <n v="4628.08"/>
  </r>
  <r>
    <x v="14"/>
    <n v="94000000"/>
    <n v="15867.46"/>
  </r>
  <r>
    <x v="9"/>
    <n v="39000000"/>
    <n v="6777.11"/>
  </r>
  <r>
    <x v="0"/>
    <n v="1046000000"/>
    <n v="182736.88"/>
  </r>
  <r>
    <x v="0"/>
    <n v="312000000"/>
    <n v="57055.7"/>
  </r>
  <r>
    <x v="9"/>
    <n v="30000000"/>
    <n v="5880.24"/>
  </r>
  <r>
    <x v="15"/>
    <n v="50000000"/>
    <n v="9581.35"/>
  </r>
  <r>
    <x v="16"/>
    <n v="25000000"/>
    <n v="5080.42"/>
  </r>
  <r>
    <x v="0"/>
    <n v="-920000000"/>
    <n v="-23031.54"/>
  </r>
  <r>
    <x v="0"/>
    <n v="-738000000"/>
    <n v="-18476.55"/>
  </r>
  <r>
    <x v="0"/>
    <n v="-522000000"/>
    <n v="-13069.45"/>
  </r>
  <r>
    <x v="0"/>
    <n v="-1087000000"/>
    <n v="-27447.59"/>
  </r>
  <r>
    <x v="0"/>
    <n v="200000000"/>
    <n v="1334.52"/>
  </r>
  <r>
    <x v="0"/>
    <n v="-200000000"/>
    <n v="-31502.63"/>
  </r>
  <r>
    <x v="0"/>
    <n v="211000000"/>
    <n v="41919.57"/>
  </r>
  <r>
    <x v="10"/>
    <n v="50000000"/>
    <n v="11215.79"/>
  </r>
  <r>
    <x v="5"/>
    <n v="66000000"/>
    <n v="15044.01"/>
  </r>
  <r>
    <x v="7"/>
    <n v="70000000"/>
    <n v="16799.419999999998"/>
  </r>
  <r>
    <x v="17"/>
    <n v="50000000"/>
    <n v="9370.82"/>
  </r>
  <r>
    <x v="0"/>
    <n v="0"/>
    <n v="0"/>
  </r>
  <r>
    <x v="18"/>
    <n v="25000000"/>
    <n v="7256.14"/>
  </r>
  <r>
    <x v="19"/>
    <n v="70000000"/>
    <n v="19534.990000000002"/>
  </r>
  <r>
    <x v="0"/>
    <n v="0"/>
    <n v="0"/>
  </r>
  <r>
    <x v="20"/>
    <n v="15000000"/>
    <n v="4326.09"/>
  </r>
  <r>
    <x v="0"/>
    <n v="-45600000"/>
    <n v="-8594.86"/>
  </r>
  <r>
    <x v="0"/>
    <n v="-396000000"/>
    <n v="-9915.99"/>
  </r>
  <r>
    <x v="0"/>
    <n v="-307000000"/>
    <n v="-7689.12"/>
  </r>
  <r>
    <x v="0"/>
    <n v="-285000000"/>
    <n v="-7139.77"/>
  </r>
  <r>
    <x v="0"/>
    <n v="-108000000"/>
    <n v="-2706.3"/>
  </r>
  <r>
    <x v="9"/>
    <n v="27000000"/>
    <n v="8116.61"/>
  </r>
  <r>
    <x v="4"/>
    <n v="15000000"/>
    <n v="4638.95"/>
  </r>
  <r>
    <x v="9"/>
    <n v="57000000"/>
    <n v="18242.13"/>
  </r>
  <r>
    <x v="9"/>
    <n v="30000000"/>
    <n v="10448.44"/>
  </r>
  <r>
    <x v="20"/>
    <n v="5000000"/>
    <n v="1784.42"/>
  </r>
  <r>
    <x v="5"/>
    <n v="37000000"/>
    <n v="14240.23"/>
  </r>
  <r>
    <x v="0"/>
    <n v="0"/>
    <n v="0"/>
  </r>
  <r>
    <x v="0"/>
    <n v="0"/>
    <n v="0"/>
  </r>
  <r>
    <x v="0"/>
    <n v="33000000"/>
    <n v="15551.6"/>
  </r>
  <r>
    <x v="0"/>
    <n v="477000000"/>
    <n v="230074.66"/>
  </r>
  <r>
    <x v="7"/>
    <n v="10000000"/>
    <n v="4306.2700000000004"/>
  </r>
  <r>
    <x v="0"/>
    <n v="-40000000"/>
    <n v="-1002.61"/>
  </r>
  <r>
    <x v="0"/>
    <n v="350000000"/>
    <n v="7333.37"/>
  </r>
  <r>
    <x v="0"/>
    <n v="-350000000"/>
    <n v="-146783.39000000001"/>
  </r>
  <r>
    <x v="0"/>
    <n v="346000000"/>
    <n v="170151.59"/>
  </r>
  <r>
    <x v="0"/>
    <n v="0"/>
    <n v="0"/>
  </r>
  <r>
    <x v="0"/>
    <n v="212000000"/>
    <n v="193346.33"/>
  </r>
  <r>
    <x v="0"/>
    <n v="268000000"/>
    <n v="246327.91"/>
  </r>
  <r>
    <x v="0"/>
    <n v="101695007.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tabSelected="1" workbookViewId="0">
      <selection activeCell="S1" sqref="S1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16384" width="11.42578125" style="42"/>
  </cols>
  <sheetData>
    <row r="2" spans="2:26" x14ac:dyDescent="0.2">
      <c r="B2" s="72" t="s">
        <v>974</v>
      </c>
      <c r="D2" s="422" t="s">
        <v>7</v>
      </c>
      <c r="E2" s="422"/>
      <c r="F2" s="422"/>
      <c r="I2" s="72" t="s">
        <v>74</v>
      </c>
      <c r="K2" s="42" t="s">
        <v>980</v>
      </c>
    </row>
    <row r="3" spans="2:26" x14ac:dyDescent="0.2">
      <c r="D3" s="44"/>
      <c r="E3" s="44"/>
      <c r="F3" s="44"/>
      <c r="I3" s="73">
        <f ca="1">IF(I4="",_xll.ADDIN.PRICING.DATE(_xll.CALENDRIER.JOURS.OUVRES(TODAY(),"USD",0)),I4)</f>
        <v>41088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47">
        <v>41088</v>
      </c>
    </row>
    <row r="5" spans="2:26" x14ac:dyDescent="0.2">
      <c r="B5" s="47">
        <v>300</v>
      </c>
      <c r="C5" s="148" t="s">
        <v>12</v>
      </c>
      <c r="D5" s="95">
        <f ca="1">0.5*B5/change*(1+D21/100*14/360)</f>
        <v>119.12515385531643</v>
      </c>
      <c r="E5" s="95">
        <f ca="1">B5/change*(1+E21/100*90/360)</f>
        <v>238.50190582069402</v>
      </c>
      <c r="F5" s="95">
        <f ca="1">1.5*B5/change*(1+F21/100*180/360)</f>
        <v>358.6535376796632</v>
      </c>
      <c r="G5" s="65"/>
      <c r="H5" s="48"/>
      <c r="I5" s="72" t="s">
        <v>977</v>
      </c>
    </row>
    <row r="6" spans="2:26" x14ac:dyDescent="0.2">
      <c r="B6" s="49"/>
      <c r="C6" s="148" t="s">
        <v>13</v>
      </c>
      <c r="D6" s="95">
        <f ca="1">B5/change*0.03</f>
        <v>7.1468276026363844</v>
      </c>
      <c r="E6" s="95">
        <f ca="1">B5/change*0.04</f>
        <v>9.5291034701818464</v>
      </c>
      <c r="F6" s="95">
        <f ca="1">B5/change*0.05</f>
        <v>11.911379337727309</v>
      </c>
      <c r="I6" s="72" t="s">
        <v>978</v>
      </c>
    </row>
    <row r="7" spans="2:26" x14ac:dyDescent="0.2">
      <c r="B7" s="49"/>
      <c r="C7" s="49"/>
      <c r="D7" s="49"/>
      <c r="E7" s="49"/>
      <c r="F7" s="49"/>
      <c r="I7" s="155">
        <f>(SUMIF('bench Comparison'!$A:$A,"RESINV1USD",'bench Comparison'!$G:$G)+SUMIF('bench Comparison'!$A:$A,"RESSWAPORUSD",'bench Comparison'!$G:$G))/SUMIF('bench Comparison'!$A:$A,"BKINV1USD",'bench Comparison'!$G:$G)</f>
        <v>0.58014644459881493</v>
      </c>
    </row>
    <row r="8" spans="2:26" x14ac:dyDescent="0.2">
      <c r="B8" s="49"/>
      <c r="C8" s="148" t="s">
        <v>14</v>
      </c>
      <c r="D8" s="95"/>
      <c r="E8" s="95">
        <f ca="1">0.03*$B$5/change</f>
        <v>7.1468276026363844</v>
      </c>
      <c r="F8" s="95"/>
    </row>
    <row r="9" spans="2:26" x14ac:dyDescent="0.2">
      <c r="B9" s="49"/>
      <c r="C9" s="148" t="s">
        <v>594</v>
      </c>
      <c r="D9" s="95"/>
      <c r="E9" s="95">
        <f ca="1">$B$5/change</f>
        <v>238.22758675454617</v>
      </c>
      <c r="F9" s="95"/>
      <c r="I9" s="42" t="s">
        <v>979</v>
      </c>
    </row>
    <row r="10" spans="2:26" x14ac:dyDescent="0.2">
      <c r="B10" s="49"/>
      <c r="C10" s="148" t="s">
        <v>599</v>
      </c>
      <c r="D10" s="95"/>
      <c r="E10" s="95">
        <f ca="1">$B$5/change*0.07</f>
        <v>16.675931072818234</v>
      </c>
      <c r="F10" s="95"/>
      <c r="I10" s="42" t="str">
        <f ca="1">_xll.INSTANCE.COURBE.AJUSTEE("UST_CURVE",pricingDate,1,treasuries!A2:A282,treasuries!I2:I282,"USD",I11,"United States Rule")</f>
        <v>UST_CURVE#0005</v>
      </c>
    </row>
    <row r="11" spans="2:26" x14ac:dyDescent="0.2">
      <c r="B11" s="49"/>
      <c r="C11" s="148"/>
      <c r="D11" s="95"/>
      <c r="E11" s="95"/>
      <c r="F11" s="95"/>
      <c r="I11" s="42" t="str">
        <f ca="1">_xll.INSTANCE.FITTING.SVENSSON("FITTING_SVENSSON","No Constraint",M14,N14,1,1,6000,0.000000001)</f>
        <v>FITTING_SVENSSON#0038</v>
      </c>
      <c r="M11" s="393"/>
    </row>
    <row r="13" spans="2:26" x14ac:dyDescent="0.2">
      <c r="C13" s="50"/>
      <c r="D13" s="95" t="s">
        <v>596</v>
      </c>
      <c r="E13" s="95" t="s">
        <v>597</v>
      </c>
      <c r="F13" s="95" t="s">
        <v>595</v>
      </c>
      <c r="I13" s="72" t="s">
        <v>127</v>
      </c>
      <c r="J13" s="445"/>
      <c r="K13" s="446" t="s">
        <v>976</v>
      </c>
      <c r="M13" s="43" t="s">
        <v>975</v>
      </c>
    </row>
    <row r="14" spans="2:26" x14ac:dyDescent="0.2">
      <c r="C14" s="148" t="s">
        <v>598</v>
      </c>
      <c r="D14" s="95">
        <f ca="1">0.5%*$B$5/change</f>
        <v>1.1911379337727308</v>
      </c>
      <c r="E14" s="95">
        <f ca="1">$B$5%/change</f>
        <v>2.3822758675454616</v>
      </c>
      <c r="F14" s="95">
        <f ca="1">1.5%*$B$5/change</f>
        <v>3.5734138013181922</v>
      </c>
      <c r="I14" s="42" t="str">
        <f ca="1">_xll.INSTANCE.CONVENTION.TAUX("US_CONV","ACT/ACT","SimpleThenCompounded","Semi-Annual","Unadjusted",TODAY())</f>
        <v>US_CONV#0000</v>
      </c>
      <c r="J14" s="153" t="s">
        <v>642</v>
      </c>
      <c r="K14" s="42">
        <f t="array" aca="1" ref="K14:K19" ca="1">_xll.FITTING.PARAMETRES.COURBE(ustCurve)</f>
        <v>-2.5413232152667727E-2</v>
      </c>
      <c r="M14" s="201" t="str">
        <f ca="1">_xll.INSTANCE.MATRICE("VECTOR",M15:M20,TODAY())</f>
        <v>VECTOR#0038</v>
      </c>
      <c r="N14" s="202" t="str">
        <f ca="1">_xll.INSTANCE.MATRICE("RANDOM",N15:S20,TODAY())</f>
        <v>RANDOM#0038</v>
      </c>
      <c r="O14" s="202"/>
      <c r="P14" s="202"/>
      <c r="Q14" s="202"/>
      <c r="R14" s="202"/>
      <c r="S14" s="203"/>
    </row>
    <row r="15" spans="2:26" x14ac:dyDescent="0.2">
      <c r="D15" s="42"/>
      <c r="F15" s="153" t="s">
        <v>600</v>
      </c>
      <c r="I15" s="42" t="str">
        <f ca="1">_xll.INSTANCE.CONVENTION.TAUX("TRUE_YIELD","ACT/ACT","SimpleThenCompounded","Semi-Annual","Following",TODAY())</f>
        <v>TRUE_YIELD#0000</v>
      </c>
      <c r="J15" s="153" t="s">
        <v>643</v>
      </c>
      <c r="K15" s="42">
        <f ca="1"/>
        <v>2.5202517412638237E-2</v>
      </c>
      <c r="M15" s="204">
        <v>-2.5245640484687516E-2</v>
      </c>
      <c r="N15" s="205">
        <v>1</v>
      </c>
      <c r="O15" s="205">
        <v>0</v>
      </c>
      <c r="P15" s="205">
        <v>0</v>
      </c>
      <c r="Q15" s="205">
        <v>0</v>
      </c>
      <c r="R15" s="205">
        <v>0</v>
      </c>
      <c r="S15" s="64">
        <v>0</v>
      </c>
      <c r="U15" s="385"/>
      <c r="V15" s="385"/>
      <c r="W15" s="385"/>
      <c r="X15" s="385"/>
      <c r="Y15" s="385"/>
      <c r="Z15" s="385"/>
    </row>
    <row r="16" spans="2:26" x14ac:dyDescent="0.2">
      <c r="C16" s="443"/>
      <c r="I16" s="42" t="str">
        <f ca="1">_xll.INSTANCE.CONVENTION.TAUX("CONT_CONV","ACT/ACT","Continuous","Annual","Following",TODAY())</f>
        <v>CONT_CONV#0000</v>
      </c>
      <c r="J16" s="153" t="s">
        <v>644</v>
      </c>
      <c r="K16" s="42">
        <f ca="1"/>
        <v>2.3763065263719498E-2</v>
      </c>
      <c r="M16" s="204">
        <v>2.5798643353690698E-2</v>
      </c>
      <c r="N16" s="205">
        <v>0</v>
      </c>
      <c r="O16" s="205">
        <v>1</v>
      </c>
      <c r="P16" s="205">
        <v>0</v>
      </c>
      <c r="Q16" s="205">
        <v>0</v>
      </c>
      <c r="R16" s="205">
        <v>0</v>
      </c>
      <c r="S16" s="64">
        <v>0</v>
      </c>
    </row>
    <row r="17" spans="2:19" x14ac:dyDescent="0.2">
      <c r="C17" s="42"/>
      <c r="D17" s="49"/>
      <c r="E17" s="54" t="s">
        <v>15</v>
      </c>
      <c r="F17" s="54" t="s">
        <v>16</v>
      </c>
      <c r="I17" s="42" t="str">
        <f ca="1">_xll.INSTANCE.CONVENTION.TAUX("SIMPLE_CONV","ACT/ACT","Simple","Annual","Unadjusted",TODAY())</f>
        <v>SIMPLE_CONV#0000</v>
      </c>
      <c r="J17" s="153" t="s">
        <v>645</v>
      </c>
      <c r="K17" s="42">
        <f ca="1"/>
        <v>0.17404498631144205</v>
      </c>
      <c r="M17" s="204">
        <v>1.903675918820142E-2</v>
      </c>
      <c r="N17" s="205">
        <v>0</v>
      </c>
      <c r="O17" s="205">
        <v>0</v>
      </c>
      <c r="P17" s="205">
        <v>1</v>
      </c>
      <c r="Q17" s="205">
        <v>0</v>
      </c>
      <c r="R17" s="205">
        <v>0</v>
      </c>
      <c r="S17" s="64">
        <v>0</v>
      </c>
    </row>
    <row r="18" spans="2:19" x14ac:dyDescent="0.2">
      <c r="C18" s="42"/>
      <c r="D18" s="55" t="s">
        <v>17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ANN_CONV#0000</v>
      </c>
      <c r="J18" s="153" t="s">
        <v>646</v>
      </c>
      <c r="K18" s="42">
        <f ca="1"/>
        <v>0.94234380064417467</v>
      </c>
      <c r="M18" s="204">
        <v>0.17517012554300268</v>
      </c>
      <c r="N18" s="205">
        <v>0</v>
      </c>
      <c r="O18" s="205">
        <v>0</v>
      </c>
      <c r="P18" s="205">
        <v>0</v>
      </c>
      <c r="Q18" s="205">
        <v>1</v>
      </c>
      <c r="R18" s="205">
        <v>0</v>
      </c>
      <c r="S18" s="64">
        <v>0</v>
      </c>
    </row>
    <row r="19" spans="2:19" x14ac:dyDescent="0.2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SEMI_CONV#0000</v>
      </c>
      <c r="J19" s="153" t="s">
        <v>647</v>
      </c>
      <c r="K19" s="42">
        <f ca="1"/>
        <v>6.4945264967764052E-2</v>
      </c>
      <c r="M19" s="204">
        <v>0.85706488493485367</v>
      </c>
      <c r="N19" s="205">
        <v>0</v>
      </c>
      <c r="O19" s="205">
        <v>0</v>
      </c>
      <c r="P19" s="205">
        <v>0</v>
      </c>
      <c r="Q19" s="205">
        <v>0</v>
      </c>
      <c r="R19" s="205">
        <v>1</v>
      </c>
      <c r="S19" s="64">
        <v>0</v>
      </c>
    </row>
    <row r="20" spans="2:19" x14ac:dyDescent="0.2">
      <c r="C20" s="60" t="s">
        <v>18</v>
      </c>
      <c r="D20" s="150" t="s">
        <v>80</v>
      </c>
      <c r="E20" s="151" t="s">
        <v>20</v>
      </c>
      <c r="F20" s="152" t="s">
        <v>21</v>
      </c>
      <c r="I20" s="42" t="str">
        <f ca="1">_xll.INSTANCE.CONVENTION.TAUX("MMKT_CONV","ACT/360","Simple","Annual","Unadjusted",TODAY())</f>
        <v>MMKT_CONV#0000</v>
      </c>
      <c r="J20" s="153" t="s">
        <v>641</v>
      </c>
      <c r="K20" s="42">
        <f ca="1">_xll.FITTING.COEFFICIENT.DETERMINATION(ustCurve)</f>
        <v>8.3343936762453352E-6</v>
      </c>
      <c r="M20" s="206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2">
      <c r="C22" s="67"/>
      <c r="D22" s="67"/>
      <c r="E22" s="67"/>
      <c r="F22" s="67"/>
      <c r="G22" s="68"/>
    </row>
    <row r="24" spans="2:19" ht="11.25" customHeight="1" x14ac:dyDescent="0.2">
      <c r="B24" s="72" t="s">
        <v>973</v>
      </c>
      <c r="C24" s="51"/>
      <c r="D24" s="51"/>
      <c r="E24" s="51"/>
      <c r="I24" s="444"/>
    </row>
    <row r="25" spans="2:19" ht="11.25" customHeight="1" x14ac:dyDescent="0.2">
      <c r="B25" s="52"/>
      <c r="C25" s="53"/>
      <c r="D25" s="51"/>
      <c r="E25" s="51"/>
    </row>
    <row r="26" spans="2:19" ht="11.25" customHeight="1" x14ac:dyDescent="0.2">
      <c r="D26" s="51"/>
      <c r="E26" s="51"/>
    </row>
    <row r="27" spans="2:19" ht="11.25" customHeight="1" x14ac:dyDescent="0.2">
      <c r="C27" s="42"/>
      <c r="D27" s="42"/>
      <c r="E27" s="42"/>
    </row>
    <row r="28" spans="2:19" ht="11.25" customHeight="1" x14ac:dyDescent="0.2">
      <c r="C28" s="42"/>
      <c r="D28" s="42"/>
      <c r="E28" s="42"/>
    </row>
    <row r="29" spans="2:19" ht="11.25" customHeight="1" x14ac:dyDescent="0.2">
      <c r="C29" s="42"/>
      <c r="D29" s="42"/>
      <c r="E29" s="42"/>
    </row>
    <row r="30" spans="2:19" ht="11.25" customHeight="1" x14ac:dyDescent="0.2">
      <c r="C30" s="42"/>
      <c r="D30" s="42"/>
      <c r="E30" s="42"/>
    </row>
    <row r="31" spans="2:19" ht="11.25" customHeight="1" x14ac:dyDescent="0.2">
      <c r="C31" s="42"/>
      <c r="D31" s="42"/>
      <c r="E31" s="42"/>
    </row>
    <row r="32" spans="2:19" ht="11.25" customHeight="1" x14ac:dyDescent="0.2">
      <c r="C32" s="42"/>
      <c r="D32" s="42"/>
    </row>
    <row r="33" spans="3:4" ht="11.25" customHeight="1" x14ac:dyDescent="0.2">
      <c r="C33" s="42"/>
      <c r="D33" s="42"/>
    </row>
    <row r="34" spans="3:4" ht="11.25" customHeight="1" x14ac:dyDescent="0.2">
      <c r="C34" s="42"/>
      <c r="D34" s="42"/>
    </row>
    <row r="35" spans="3:4" ht="11.25" customHeight="1" x14ac:dyDescent="0.2">
      <c r="C35" s="42"/>
      <c r="D35" s="42"/>
    </row>
    <row r="36" spans="3:4" ht="11.25" customHeight="1" x14ac:dyDescent="0.2">
      <c r="C36" s="42"/>
      <c r="D36" s="42"/>
    </row>
    <row r="37" spans="3:4" ht="11.25" customHeight="1" x14ac:dyDescent="0.2">
      <c r="C37" s="42"/>
      <c r="D37" s="42"/>
    </row>
    <row r="38" spans="3:4" ht="11.25" customHeight="1" x14ac:dyDescent="0.2">
      <c r="C38" s="42"/>
      <c r="D38" s="42"/>
    </row>
    <row r="39" spans="3:4" ht="11.25" customHeight="1" x14ac:dyDescent="0.2">
      <c r="C39" s="42"/>
      <c r="D39" s="42"/>
    </row>
    <row r="40" spans="3:4" ht="11.25" customHeight="1" x14ac:dyDescent="0.2">
      <c r="C40" s="42"/>
      <c r="D40" s="42"/>
    </row>
    <row r="41" spans="3:4" ht="11.25" customHeight="1" x14ac:dyDescent="0.2">
      <c r="C41" s="42"/>
      <c r="D41" s="42"/>
    </row>
    <row r="42" spans="3:4" ht="11.25" customHeight="1" x14ac:dyDescent="0.2">
      <c r="C42" s="42"/>
      <c r="D42" s="42"/>
    </row>
    <row r="43" spans="3:4" ht="11.25" customHeight="1" x14ac:dyDescent="0.2">
      <c r="C43" s="207"/>
      <c r="D43" s="42"/>
    </row>
    <row r="44" spans="3:4" ht="11.25" customHeight="1" x14ac:dyDescent="0.2">
      <c r="C44" s="42"/>
      <c r="D44" s="42"/>
    </row>
    <row r="45" spans="3:4" ht="11.25" customHeight="1" x14ac:dyDescent="0.2">
      <c r="C45" s="42"/>
      <c r="D45" s="42"/>
    </row>
    <row r="46" spans="3:4" ht="11.25" customHeight="1" x14ac:dyDescent="0.2">
      <c r="C46" s="42"/>
      <c r="D46" s="42"/>
    </row>
    <row r="47" spans="3:4" ht="11.25" customHeight="1" x14ac:dyDescent="0.2">
      <c r="C47" s="42"/>
      <c r="D47" s="42"/>
    </row>
    <row r="48" spans="3:4" ht="11.25" customHeight="1" x14ac:dyDescent="0.2">
      <c r="C48" s="42"/>
      <c r="D48" s="42"/>
    </row>
    <row r="49" spans="3:4" ht="11.25" customHeight="1" x14ac:dyDescent="0.2">
      <c r="C49" s="42"/>
      <c r="D49" s="42"/>
    </row>
    <row r="50" spans="3:4" ht="11.25" customHeight="1" x14ac:dyDescent="0.2">
      <c r="C50" s="42"/>
      <c r="D50" s="42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  <row r="242" spans="9:9" x14ac:dyDescent="0.2">
      <c r="I242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7" sqref="F7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-270000000</v>
      </c>
      <c r="D2" s="20"/>
      <c r="E2" s="21">
        <f>$C$2</f>
        <v>-270000000</v>
      </c>
      <c r="F2" s="21">
        <f t="shared" ref="F2:BF2" si="0">$C$2</f>
        <v>-270000000</v>
      </c>
      <c r="G2" s="21">
        <f t="shared" si="0"/>
        <v>-270000000</v>
      </c>
      <c r="H2" s="21">
        <f t="shared" si="0"/>
        <v>-270000000</v>
      </c>
      <c r="I2" s="21">
        <f t="shared" si="0"/>
        <v>-270000000</v>
      </c>
      <c r="J2" s="21">
        <f t="shared" si="0"/>
        <v>-270000000</v>
      </c>
      <c r="K2" s="21">
        <f t="shared" si="0"/>
        <v>-270000000</v>
      </c>
      <c r="L2" s="21">
        <f t="shared" si="0"/>
        <v>-270000000</v>
      </c>
      <c r="M2" s="21">
        <f t="shared" si="0"/>
        <v>-270000000</v>
      </c>
      <c r="N2" s="21">
        <f t="shared" si="0"/>
        <v>-270000000</v>
      </c>
      <c r="O2" s="21">
        <f t="shared" si="0"/>
        <v>-270000000</v>
      </c>
      <c r="P2" s="21">
        <f t="shared" si="0"/>
        <v>-270000000</v>
      </c>
      <c r="Q2" s="21">
        <f t="shared" si="0"/>
        <v>-270000000</v>
      </c>
      <c r="R2" s="21">
        <f t="shared" si="0"/>
        <v>-270000000</v>
      </c>
      <c r="S2" s="21">
        <f t="shared" si="0"/>
        <v>-270000000</v>
      </c>
      <c r="T2" s="21">
        <f t="shared" si="0"/>
        <v>-270000000</v>
      </c>
      <c r="U2" s="21">
        <f t="shared" si="0"/>
        <v>-270000000</v>
      </c>
      <c r="V2" s="21">
        <f t="shared" si="0"/>
        <v>-270000000</v>
      </c>
      <c r="W2" s="21">
        <f t="shared" si="0"/>
        <v>-270000000</v>
      </c>
      <c r="X2" s="21">
        <f t="shared" si="0"/>
        <v>-270000000</v>
      </c>
      <c r="Y2" s="21">
        <f t="shared" si="0"/>
        <v>-270000000</v>
      </c>
      <c r="Z2" s="21">
        <f t="shared" si="0"/>
        <v>-270000000</v>
      </c>
      <c r="AA2" s="21">
        <f t="shared" si="0"/>
        <v>-270000000</v>
      </c>
      <c r="AB2" s="21">
        <f t="shared" si="0"/>
        <v>-270000000</v>
      </c>
      <c r="AC2" s="21">
        <f t="shared" si="0"/>
        <v>-270000000</v>
      </c>
      <c r="AD2" s="21">
        <f t="shared" si="0"/>
        <v>-270000000</v>
      </c>
      <c r="AE2" s="21">
        <f t="shared" si="0"/>
        <v>-270000000</v>
      </c>
      <c r="AF2" s="21">
        <f t="shared" si="0"/>
        <v>-270000000</v>
      </c>
      <c r="AG2" s="21">
        <f t="shared" si="0"/>
        <v>-270000000</v>
      </c>
      <c r="AH2" s="21">
        <f t="shared" si="0"/>
        <v>-270000000</v>
      </c>
      <c r="AI2" s="21">
        <f t="shared" si="0"/>
        <v>-270000000</v>
      </c>
      <c r="AJ2" s="21">
        <f t="shared" si="0"/>
        <v>-270000000</v>
      </c>
      <c r="AK2" s="21">
        <f t="shared" si="0"/>
        <v>-270000000</v>
      </c>
      <c r="AL2" s="21">
        <f t="shared" si="0"/>
        <v>-270000000</v>
      </c>
      <c r="AM2" s="21">
        <f t="shared" si="0"/>
        <v>-270000000</v>
      </c>
      <c r="AN2" s="21">
        <f t="shared" si="0"/>
        <v>-270000000</v>
      </c>
      <c r="AO2" s="21">
        <f t="shared" si="0"/>
        <v>-270000000</v>
      </c>
      <c r="AP2" s="21">
        <f t="shared" si="0"/>
        <v>-270000000</v>
      </c>
      <c r="AQ2" s="21">
        <f t="shared" si="0"/>
        <v>-270000000</v>
      </c>
      <c r="AR2" s="21">
        <f t="shared" si="0"/>
        <v>-270000000</v>
      </c>
      <c r="AS2" s="21">
        <f t="shared" si="0"/>
        <v>-270000000</v>
      </c>
      <c r="AT2" s="21">
        <f t="shared" si="0"/>
        <v>-270000000</v>
      </c>
      <c r="AU2" s="21">
        <f t="shared" si="0"/>
        <v>-270000000</v>
      </c>
      <c r="AV2" s="21">
        <f t="shared" si="0"/>
        <v>-270000000</v>
      </c>
      <c r="AW2" s="21">
        <f t="shared" si="0"/>
        <v>-270000000</v>
      </c>
      <c r="AX2" s="21">
        <f t="shared" si="0"/>
        <v>-270000000</v>
      </c>
      <c r="AY2" s="21">
        <f t="shared" si="0"/>
        <v>-270000000</v>
      </c>
      <c r="AZ2" s="21">
        <f t="shared" si="0"/>
        <v>-270000000</v>
      </c>
      <c r="BA2" s="21">
        <f t="shared" si="0"/>
        <v>-270000000</v>
      </c>
      <c r="BB2" s="21">
        <f t="shared" si="0"/>
        <v>-270000000</v>
      </c>
      <c r="BC2" s="21">
        <f t="shared" si="0"/>
        <v>-270000000</v>
      </c>
      <c r="BD2" s="21">
        <f t="shared" si="0"/>
        <v>-270000000</v>
      </c>
      <c r="BE2" s="21">
        <f t="shared" si="0"/>
        <v>-270000000</v>
      </c>
      <c r="BF2" s="21">
        <f t="shared" si="0"/>
        <v>-270000000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4415196819.0045166</v>
      </c>
      <c r="F3" s="25">
        <f ca="1">SUM('MV Repo'!H2:H99)</f>
        <v>5885380648.8401232</v>
      </c>
      <c r="G3" s="25">
        <f ca="1">SUM('MV Repo'!I2:I99)</f>
        <v>5885380648.8401232</v>
      </c>
      <c r="H3" s="25">
        <f ca="1">SUM('MV Repo'!J2:J99)</f>
        <v>6385417779.6901236</v>
      </c>
      <c r="I3" s="25">
        <f ca="1">SUM('MV Repo'!K2:K99)</f>
        <v>7070072486.9108744</v>
      </c>
      <c r="J3" s="25">
        <f ca="1">SUM('MV Repo'!L2:L99)</f>
        <v>8817682805.9335079</v>
      </c>
      <c r="K3" s="25">
        <f ca="1">SUM('MV Repo'!M2:M99)</f>
        <v>8817682805.9335079</v>
      </c>
      <c r="L3" s="25">
        <f ca="1">SUM('MV Repo'!N2:N99)</f>
        <v>8817682805.9335079</v>
      </c>
      <c r="M3" s="25">
        <f ca="1">SUM('MV Repo'!O2:O99)</f>
        <v>9655200376.3727093</v>
      </c>
      <c r="N3" s="25">
        <f ca="1">SUM('MV Repo'!P2:P99)</f>
        <v>9655200376.3727093</v>
      </c>
      <c r="O3" s="25">
        <f ca="1">SUM('MV Repo'!Q2:Q99)</f>
        <v>10337217613.744543</v>
      </c>
      <c r="P3" s="25">
        <f ca="1">SUM('MV Repo'!R2:R99)</f>
        <v>10337217613.744543</v>
      </c>
      <c r="Q3" s="25">
        <f ca="1">SUM('MV Repo'!S2:S99)</f>
        <v>10337217613.744543</v>
      </c>
      <c r="R3" s="25">
        <f ca="1">SUM('MV Repo'!T2:T99)</f>
        <v>10337217613.744543</v>
      </c>
      <c r="S3" s="25">
        <f ca="1">SUM('MV Repo'!U2:U99)</f>
        <v>10337217613.744543</v>
      </c>
      <c r="T3" s="25">
        <f ca="1">SUM('MV Repo'!V2:V99)</f>
        <v>10337217613.744543</v>
      </c>
      <c r="U3" s="25">
        <f ca="1">SUM('MV Repo'!W2:W99)</f>
        <v>10337217613.744543</v>
      </c>
      <c r="V3" s="25">
        <f ca="1">SUM('MV Repo'!X2:X99)</f>
        <v>10337217613.744543</v>
      </c>
      <c r="W3" s="25">
        <f ca="1">SUM('MV Repo'!Y2:Y99)</f>
        <v>10337217613.744543</v>
      </c>
      <c r="X3" s="25">
        <f ca="1">SUM('MV Repo'!Z2:Z99)</f>
        <v>10337217613.744543</v>
      </c>
      <c r="Y3" s="25">
        <f ca="1">SUM('MV Repo'!AA2:AA99)</f>
        <v>10337217613.744543</v>
      </c>
      <c r="Z3" s="25">
        <f ca="1">SUM('MV Repo'!AB2:AB99)</f>
        <v>10337217613.744543</v>
      </c>
      <c r="AA3" s="25">
        <f ca="1">SUM('MV Repo'!AC2:AC99)</f>
        <v>10337217613.744543</v>
      </c>
      <c r="AB3" s="25">
        <f ca="1">SUM('MV Repo'!AD2:AD99)</f>
        <v>10337217613.744543</v>
      </c>
      <c r="AC3" s="25">
        <f ca="1">SUM('MV Repo'!AE2:AE99)</f>
        <v>10337217613.744543</v>
      </c>
      <c r="AD3" s="25">
        <f ca="1">SUM('MV Repo'!AF2:AF99)</f>
        <v>10337217613.744543</v>
      </c>
      <c r="AE3" s="25">
        <f ca="1">SUM('MV Repo'!AG2:AG99)</f>
        <v>10337217613.744543</v>
      </c>
      <c r="AF3" s="25">
        <f ca="1">SUM('MV Repo'!AH2:AH99)</f>
        <v>10337217613.744543</v>
      </c>
      <c r="AG3" s="25">
        <f ca="1">SUM('MV Repo'!AI2:AI99)</f>
        <v>10337217613.744543</v>
      </c>
      <c r="AH3" s="25">
        <f ca="1">SUM('MV Repo'!AJ2:AJ99)</f>
        <v>10337217613.744543</v>
      </c>
      <c r="AI3" s="25">
        <f ca="1">SUM('MV Repo'!AK2:AK99)</f>
        <v>10337217613.744543</v>
      </c>
      <c r="AJ3" s="25">
        <f ca="1">SUM('MV Repo'!AL2:AL99)</f>
        <v>10337217613.744543</v>
      </c>
      <c r="AK3" s="25">
        <f ca="1">SUM('MV Repo'!AM2:AM99)</f>
        <v>10337217613.744543</v>
      </c>
      <c r="AL3" s="25">
        <f ca="1">SUM('MV Repo'!AN2:AN99)</f>
        <v>10337217613.744543</v>
      </c>
      <c r="AM3" s="25">
        <f ca="1">SUM('MV Repo'!AO2:AO99)</f>
        <v>10337217613.744543</v>
      </c>
      <c r="AN3" s="25">
        <f ca="1">SUM('MV Repo'!AP2:AP99)</f>
        <v>10337217613.744543</v>
      </c>
      <c r="AO3" s="25">
        <f ca="1">SUM('MV Repo'!AQ2:AQ99)</f>
        <v>10337217613.744543</v>
      </c>
      <c r="AP3" s="25">
        <f ca="1">SUM('MV Repo'!AR2:AR99)</f>
        <v>10337217613.744543</v>
      </c>
      <c r="AQ3" s="25">
        <f ca="1">SUM('MV Repo'!AS2:AS99)</f>
        <v>10337217613.744543</v>
      </c>
      <c r="AR3" s="25">
        <f ca="1">SUM('MV Repo'!AT2:AT99)</f>
        <v>10337217613.744543</v>
      </c>
      <c r="AS3" s="25">
        <f ca="1">SUM('MV Repo'!AU2:AU99)</f>
        <v>10337217613.744543</v>
      </c>
      <c r="AT3" s="25">
        <f ca="1">SUM('MV Repo'!AV2:AV99)</f>
        <v>10337217613.744543</v>
      </c>
      <c r="AU3" s="25">
        <f ca="1">SUM('MV Repo'!AW2:AW99)</f>
        <v>10337217613.744543</v>
      </c>
      <c r="AV3" s="25">
        <f ca="1">SUM('MV Repo'!AX2:AX99)</f>
        <v>10337217613.744543</v>
      </c>
      <c r="AW3" s="25">
        <f ca="1">SUM('MV Repo'!AY2:AY99)</f>
        <v>10337217613.744543</v>
      </c>
      <c r="AX3" s="25">
        <f ca="1">SUM('MV Repo'!AZ2:AZ99)</f>
        <v>10337217613.744543</v>
      </c>
      <c r="AY3" s="25">
        <f ca="1">SUM('MV Repo'!BA2:BA99)</f>
        <v>10337217613.744543</v>
      </c>
      <c r="AZ3" s="25">
        <f ca="1">SUM('MV Repo'!BB2:BB99)</f>
        <v>10337217613.744543</v>
      </c>
      <c r="BA3" s="25">
        <f ca="1">SUM('MV Repo'!BC2:BC99)</f>
        <v>10337217613.744543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t="shared" ref="E4:AJ4" ca="1" si="1">E3+E5+E2</f>
        <v>4415563201.4145164</v>
      </c>
      <c r="F4" s="28">
        <f t="shared" ca="1" si="1"/>
        <v>4538603907.5901232</v>
      </c>
      <c r="G4" s="28">
        <f t="shared" ca="1" si="1"/>
        <v>4939444393.7001228</v>
      </c>
      <c r="H4" s="28">
        <f t="shared" ca="1" si="1"/>
        <v>4939335682.0501232</v>
      </c>
      <c r="I4" s="28">
        <f t="shared" ca="1" si="1"/>
        <v>4939156544.9208746</v>
      </c>
      <c r="J4" s="28">
        <f t="shared" ca="1" si="1"/>
        <v>4938314160.1235085</v>
      </c>
      <c r="K4" s="28">
        <f t="shared" ca="1" si="1"/>
        <v>4939311660.1235085</v>
      </c>
      <c r="L4" s="28">
        <f t="shared" ca="1" si="1"/>
        <v>4939200955.4735079</v>
      </c>
      <c r="M4" s="28">
        <f t="shared" ca="1" si="1"/>
        <v>5389050966.0427094</v>
      </c>
      <c r="N4" s="28">
        <f t="shared" ca="1" si="1"/>
        <v>5539050966.0427094</v>
      </c>
      <c r="O4" s="28">
        <f t="shared" ca="1" si="1"/>
        <v>5550237817.2145433</v>
      </c>
      <c r="P4" s="28">
        <f t="shared" ca="1" si="1"/>
        <v>5926201081.1045437</v>
      </c>
      <c r="Q4" s="28">
        <f t="shared" ca="1" si="1"/>
        <v>6076201081.1045437</v>
      </c>
      <c r="R4" s="28">
        <f t="shared" ca="1" si="1"/>
        <v>6427571181.0545425</v>
      </c>
      <c r="S4" s="28">
        <f t="shared" ca="1" si="1"/>
        <v>6727626239.364543</v>
      </c>
      <c r="T4" s="28">
        <f t="shared" ca="1" si="1"/>
        <v>7220967923.4345436</v>
      </c>
      <c r="U4" s="28">
        <f t="shared" ca="1" si="1"/>
        <v>8617423486.0645428</v>
      </c>
      <c r="V4" s="28">
        <f t="shared" ca="1" si="1"/>
        <v>8617423486.0645428</v>
      </c>
      <c r="W4" s="28">
        <f t="shared" ca="1" si="1"/>
        <v>9136269003.1245422</v>
      </c>
      <c r="X4" s="28">
        <f t="shared" ca="1" si="1"/>
        <v>9136269003.1245422</v>
      </c>
      <c r="Y4" s="28">
        <f t="shared" ca="1" si="1"/>
        <v>9441515476.2645435</v>
      </c>
      <c r="Z4" s="28">
        <f t="shared" ca="1" si="1"/>
        <v>9969285461.0845432</v>
      </c>
      <c r="AA4" s="28">
        <f t="shared" ca="1" si="1"/>
        <v>9969926086.0845432</v>
      </c>
      <c r="AB4" s="28">
        <f t="shared" ca="1" si="1"/>
        <v>10420347857.414543</v>
      </c>
      <c r="AC4" s="28">
        <f t="shared" ca="1" si="1"/>
        <v>10420347857.414543</v>
      </c>
      <c r="AD4" s="28">
        <f t="shared" ca="1" si="1"/>
        <v>10420347857.414543</v>
      </c>
      <c r="AE4" s="28">
        <f t="shared" ca="1" si="1"/>
        <v>11021651190.754543</v>
      </c>
      <c r="AF4" s="28">
        <f t="shared" ca="1" si="1"/>
        <v>11222070301.864544</v>
      </c>
      <c r="AG4" s="28">
        <f t="shared" ca="1" si="1"/>
        <v>11372392301.864544</v>
      </c>
      <c r="AH4" s="28">
        <f t="shared" ca="1" si="1"/>
        <v>11372392301.864544</v>
      </c>
      <c r="AI4" s="28">
        <f t="shared" ca="1" si="1"/>
        <v>11372392301.864544</v>
      </c>
      <c r="AJ4" s="28">
        <f t="shared" ca="1" si="1"/>
        <v>11372392301.864544</v>
      </c>
      <c r="AK4" s="28">
        <f t="shared" ref="AK4:BA4" ca="1" si="2">AK3+AK5+AK2</f>
        <v>11453669801.864544</v>
      </c>
      <c r="AL4" s="28">
        <f t="shared" ca="1" si="2"/>
        <v>11555587885.194544</v>
      </c>
      <c r="AM4" s="28">
        <f t="shared" ca="1" si="2"/>
        <v>11956446551.864544</v>
      </c>
      <c r="AN4" s="28">
        <f t="shared" ca="1" si="2"/>
        <v>12359030790.634542</v>
      </c>
      <c r="AO4" s="28">
        <f t="shared" ca="1" si="2"/>
        <v>12609612179.524544</v>
      </c>
      <c r="AP4" s="28">
        <f t="shared" ca="1" si="2"/>
        <v>12810072179.524544</v>
      </c>
      <c r="AQ4" s="28">
        <f t="shared" ca="1" si="2"/>
        <v>12810072179.524544</v>
      </c>
      <c r="AR4" s="28">
        <f t="shared" ca="1" si="2"/>
        <v>12960417179.524544</v>
      </c>
      <c r="AS4" s="28">
        <f t="shared" ca="1" si="2"/>
        <v>13050659879.524544</v>
      </c>
      <c r="AT4" s="28">
        <f t="shared" ca="1" si="2"/>
        <v>13050659879.524544</v>
      </c>
      <c r="AU4" s="28">
        <f t="shared" ca="1" si="2"/>
        <v>13050659879.524544</v>
      </c>
      <c r="AV4" s="28">
        <f t="shared" ca="1" si="2"/>
        <v>13301247657.304543</v>
      </c>
      <c r="AW4" s="28">
        <f t="shared" ca="1" si="2"/>
        <v>13651511050.614544</v>
      </c>
      <c r="AX4" s="28">
        <f t="shared" ca="1" si="2"/>
        <v>13704198550.614544</v>
      </c>
      <c r="AY4" s="28">
        <f t="shared" ca="1" si="2"/>
        <v>14085072550.614544</v>
      </c>
      <c r="AZ4" s="28">
        <f t="shared" ca="1" si="2"/>
        <v>14085072550.614544</v>
      </c>
      <c r="BA4" s="28">
        <f t="shared" ca="1" si="2"/>
        <v>14085072550.614544</v>
      </c>
      <c r="BB4" s="28">
        <f t="shared" ref="BB4:BF4" si="3">BB3+BB5+BB2</f>
        <v>3747854936.8699999</v>
      </c>
      <c r="BC4" s="28">
        <f t="shared" ca="1" si="3"/>
        <v>3747854936.8699999</v>
      </c>
      <c r="BD4" s="28">
        <f t="shared" ca="1" si="3"/>
        <v>3747854936.8699999</v>
      </c>
      <c r="BE4" s="28">
        <f t="shared" ca="1" si="3"/>
        <v>3747854936.8699999</v>
      </c>
      <c r="BF4" s="28">
        <f t="shared" ca="1" si="3"/>
        <v>3747854936.8699999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270366382.41000003</v>
      </c>
      <c r="F5" s="144">
        <f>IF(ISNA(VLOOKUP(F1,'tréso détaillée'!$A:$I,9,FALSE)),E5,VLOOKUP(F1,'tréso détaillée'!$A:$I,9,FALSE))</f>
        <v>-1076776741.25</v>
      </c>
      <c r="G5" s="144">
        <f>IF(ISNA(VLOOKUP(G1,'tréso détaillée'!$A:$I,9,FALSE)),F5,VLOOKUP(G1,'tréso détaillée'!$A:$I,9,FALSE))</f>
        <v>-675936255.13999999</v>
      </c>
      <c r="H5" s="144">
        <f>IF(ISNA(VLOOKUP(H1,'tréso détaillée'!$A:$I,9,FALSE)),G5,VLOOKUP(H1,'tréso détaillée'!$A:$I,9,FALSE))</f>
        <v>-1176082097.6400001</v>
      </c>
      <c r="I5" s="144">
        <f>IF(ISNA(VLOOKUP(I1,'tréso détaillée'!$A:$I,9,FALSE)),H5,VLOOKUP(I1,'tréso détaillée'!$A:$I,9,FALSE))</f>
        <v>-1860915941.99</v>
      </c>
      <c r="J5" s="144">
        <f>IF(ISNA(VLOOKUP(J1,'tréso détaillée'!$A:$I,9,FALSE)),I5,VLOOKUP(J1,'tréso détaillée'!$A:$I,9,FALSE))</f>
        <v>-3609368645.8099999</v>
      </c>
      <c r="K5" s="144">
        <f>IF(ISNA(VLOOKUP(K1,'tréso détaillée'!$A:$I,9,FALSE)),J5,VLOOKUP(K1,'tréso détaillée'!$A:$I,9,FALSE))</f>
        <v>-3608371145.8099999</v>
      </c>
      <c r="L5" s="144">
        <f>IF(ISNA(VLOOKUP(L1,'tréso détaillée'!$A:$I,9,FALSE)),K5,VLOOKUP(L1,'tréso détaillée'!$A:$I,9,FALSE))</f>
        <v>-3608481850.46</v>
      </c>
      <c r="M5" s="144">
        <f>IF(ISNA(VLOOKUP(M1,'tréso détaillée'!$A:$I,9,FALSE)),L5,VLOOKUP(M1,'tréso détaillée'!$A:$I,9,FALSE))</f>
        <v>-3996149410.3299999</v>
      </c>
      <c r="N5" s="144">
        <f>IF(ISNA(VLOOKUP(N1,'tréso détaillée'!$A:$I,9,FALSE)),M5,VLOOKUP(N1,'tréso détaillée'!$A:$I,9,FALSE))</f>
        <v>-3846149410.3299999</v>
      </c>
      <c r="O5" s="144">
        <f>IF(ISNA(VLOOKUP(O1,'tréso détaillée'!$A:$I,9,FALSE)),N5,VLOOKUP(O1,'tréso détaillée'!$A:$I,9,FALSE))</f>
        <v>-4516979796.5299997</v>
      </c>
      <c r="P5" s="144">
        <f>IF(ISNA(VLOOKUP(P1,'tréso détaillée'!$A:$I,9,FALSE)),O5,VLOOKUP(P1,'tréso détaillée'!$A:$I,9,FALSE))</f>
        <v>-4141016532.6399999</v>
      </c>
      <c r="Q5" s="144">
        <f>IF(ISNA(VLOOKUP(Q1,'tréso détaillée'!$A:$I,9,FALSE)),P5,VLOOKUP(Q1,'tréso détaillée'!$A:$I,9,FALSE))</f>
        <v>-3991016532.6399999</v>
      </c>
      <c r="R5" s="144">
        <f>IF(ISNA(VLOOKUP(R1,'tréso détaillée'!$A:$I,9,FALSE)),Q5,VLOOKUP(R1,'tréso détaillée'!$A:$I,9,FALSE))</f>
        <v>-3639646432.6900001</v>
      </c>
      <c r="S5" s="144">
        <f>IF(ISNA(VLOOKUP(S1,'tréso détaillée'!$A:$I,9,FALSE)),R5,VLOOKUP(S1,'tréso détaillée'!$A:$I,9,FALSE))</f>
        <v>-3339591374.3800001</v>
      </c>
      <c r="T5" s="144">
        <f>IF(ISNA(VLOOKUP(T1,'tréso détaillée'!$A:$I,9,FALSE)),S5,VLOOKUP(T1,'tréso détaillée'!$A:$I,9,FALSE))</f>
        <v>-2846249690.3099999</v>
      </c>
      <c r="U5" s="144">
        <f>IF(ISNA(VLOOKUP(U1,'tréso détaillée'!$A:$I,9,FALSE)),T5,VLOOKUP(U1,'tréso détaillée'!$A:$I,9,FALSE))</f>
        <v>-1449794127.6800001</v>
      </c>
      <c r="V5" s="144">
        <f>IF(ISNA(VLOOKUP(V1,'tréso détaillée'!$A:$I,9,FALSE)),U5,VLOOKUP(V1,'tréso détaillée'!$A:$I,9,FALSE))</f>
        <v>-1449794127.6800001</v>
      </c>
      <c r="W5" s="144">
        <f>IF(ISNA(VLOOKUP(W1,'tréso détaillée'!$A:$I,9,FALSE)),V5,VLOOKUP(W1,'tréso détaillée'!$A:$I,9,FALSE))</f>
        <v>-930948610.62</v>
      </c>
      <c r="X5" s="144">
        <f>IF(ISNA(VLOOKUP(X1,'tréso détaillée'!$A:$I,9,FALSE)),W5,VLOOKUP(X1,'tréso détaillée'!$A:$I,9,FALSE))</f>
        <v>-930948610.62</v>
      </c>
      <c r="Y5" s="144">
        <f>IF(ISNA(VLOOKUP(Y1,'tréso détaillée'!$A:$I,9,FALSE)),X5,VLOOKUP(Y1,'tréso détaillée'!$A:$I,9,FALSE))</f>
        <v>-625702137.48000002</v>
      </c>
      <c r="Z5" s="144">
        <f>IF(ISNA(VLOOKUP(Z1,'tréso détaillée'!$A:$I,9,FALSE)),Y5,VLOOKUP(Z1,'tréso détaillée'!$A:$I,9,FALSE))</f>
        <v>-97932152.659999996</v>
      </c>
      <c r="AA5" s="144">
        <f>IF(ISNA(VLOOKUP(AA1,'tréso détaillée'!$A:$I,9,FALSE)),Z5,VLOOKUP(AA1,'tréso détaillée'!$A:$I,9,FALSE))</f>
        <v>-97291527.659999996</v>
      </c>
      <c r="AB5" s="144">
        <f>IF(ISNA(VLOOKUP(AB1,'tréso détaillée'!$A:$I,9,FALSE)),AA5,VLOOKUP(AB1,'tréso détaillée'!$A:$I,9,FALSE))</f>
        <v>353130243.67000002</v>
      </c>
      <c r="AC5" s="144">
        <f>IF(ISNA(VLOOKUP(AC1,'tréso détaillée'!$A:$I,9,FALSE)),AB5,VLOOKUP(AC1,'tréso détaillée'!$A:$I,9,FALSE))</f>
        <v>353130243.67000002</v>
      </c>
      <c r="AD5" s="144">
        <f>IF(ISNA(VLOOKUP(AD1,'tréso détaillée'!$A:$I,9,FALSE)),AC5,VLOOKUP(AD1,'tréso détaillée'!$A:$I,9,FALSE))</f>
        <v>353130243.67000002</v>
      </c>
      <c r="AE5" s="144">
        <f>IF(ISNA(VLOOKUP(AE1,'tréso détaillée'!$A:$I,9,FALSE)),AD5,VLOOKUP(AE1,'tréso détaillée'!$A:$I,9,FALSE))</f>
        <v>954433577.00999999</v>
      </c>
      <c r="AF5" s="144">
        <f>IF(ISNA(VLOOKUP(AF1,'tréso détaillée'!$A:$I,9,FALSE)),AE5,VLOOKUP(AF1,'tréso détaillée'!$A:$I,9,FALSE))</f>
        <v>1154852688.1199999</v>
      </c>
      <c r="AG5" s="144">
        <f>IF(ISNA(VLOOKUP(AG1,'tréso détaillée'!$A:$I,9,FALSE)),AF5,VLOOKUP(AG1,'tréso détaillée'!$A:$I,9,FALSE))</f>
        <v>1305174688.1199999</v>
      </c>
      <c r="AH5" s="144">
        <f>IF(ISNA(VLOOKUP(AH1,'tréso détaillée'!$A:$I,9,FALSE)),AG5,VLOOKUP(AH1,'tréso détaillée'!$A:$I,9,FALSE))</f>
        <v>1305174688.1199999</v>
      </c>
      <c r="AI5" s="144">
        <f>IF(ISNA(VLOOKUP(AI1,'tréso détaillée'!$A:$I,9,FALSE)),AH5,VLOOKUP(AI1,'tréso détaillée'!$A:$I,9,FALSE))</f>
        <v>1305174688.1199999</v>
      </c>
      <c r="AJ5" s="144">
        <f>IF(ISNA(VLOOKUP(AJ1,'tréso détaillée'!$A:$I,9,FALSE)),AI5,VLOOKUP(AJ1,'tréso détaillée'!$A:$I,9,FALSE))</f>
        <v>1305174688.1199999</v>
      </c>
      <c r="AK5" s="144">
        <f>IF(ISNA(VLOOKUP(AK1,'tréso détaillée'!$A:$I,9,FALSE)),AJ5,VLOOKUP(AK1,'tréso détaillée'!$A:$I,9,FALSE))</f>
        <v>1386452188.1199999</v>
      </c>
      <c r="AL5" s="144">
        <f>IF(ISNA(VLOOKUP(AL1,'tréso détaillée'!$A:$I,9,FALSE)),AK5,VLOOKUP(AL1,'tréso détaillée'!$A:$I,9,FALSE))</f>
        <v>1488370271.45</v>
      </c>
      <c r="AM5" s="144">
        <f>IF(ISNA(VLOOKUP(AM1,'tréso détaillée'!$A:$I,9,FALSE)),AL5,VLOOKUP(AM1,'tréso détaillée'!$A:$I,9,FALSE))</f>
        <v>1889228938.1199999</v>
      </c>
      <c r="AN5" s="144">
        <f>IF(ISNA(VLOOKUP(AN1,'tréso détaillée'!$A:$I,9,FALSE)),AM5,VLOOKUP(AN1,'tréso détaillée'!$A:$I,9,FALSE))</f>
        <v>2291813176.8899999</v>
      </c>
      <c r="AO5" s="144">
        <f>IF(ISNA(VLOOKUP(AO1,'tréso détaillée'!$A:$I,9,FALSE)),AN5,VLOOKUP(AO1,'tréso détaillée'!$A:$I,9,FALSE))</f>
        <v>2542394565.7800002</v>
      </c>
      <c r="AP5" s="144">
        <f>IF(ISNA(VLOOKUP(AP1,'tréso détaillée'!$A:$I,9,FALSE)),AO5,VLOOKUP(AP1,'tréso détaillée'!$A:$I,9,FALSE))</f>
        <v>2742854565.7800002</v>
      </c>
      <c r="AQ5" s="144">
        <f>IF(ISNA(VLOOKUP(AQ1,'tréso détaillée'!$A:$I,9,FALSE)),AP5,VLOOKUP(AQ1,'tréso détaillée'!$A:$I,9,FALSE))</f>
        <v>2742854565.7800002</v>
      </c>
      <c r="AR5" s="144">
        <f>IF(ISNA(VLOOKUP(AR1,'tréso détaillée'!$A:$I,9,FALSE)),AQ5,VLOOKUP(AR1,'tréso détaillée'!$A:$I,9,FALSE))</f>
        <v>2893199565.7800002</v>
      </c>
      <c r="AS5" s="144">
        <f>IF(ISNA(VLOOKUP(AS1,'tréso détaillée'!$A:$I,9,FALSE)),AR5,VLOOKUP(AS1,'tréso détaillée'!$A:$I,9,FALSE))</f>
        <v>2983442265.7800002</v>
      </c>
      <c r="AT5" s="144">
        <f>IF(ISNA(VLOOKUP(AT1,'tréso détaillée'!$A:$I,9,FALSE)),AS5,VLOOKUP(AT1,'tréso détaillée'!$A:$I,9,FALSE))</f>
        <v>2983442265.7800002</v>
      </c>
      <c r="AU5" s="144">
        <f>IF(ISNA(VLOOKUP(AU1,'tréso détaillée'!$A:$I,9,FALSE)),AT5,VLOOKUP(AU1,'tréso détaillée'!$A:$I,9,FALSE))</f>
        <v>2983442265.7800002</v>
      </c>
      <c r="AV5" s="144">
        <f>IF(ISNA(VLOOKUP(AV1,'tréso détaillée'!$A:$I,9,FALSE)),AU5,VLOOKUP(AV1,'tréso détaillée'!$A:$I,9,FALSE))</f>
        <v>3234030043.5599999</v>
      </c>
      <c r="AW5" s="144">
        <f>IF(ISNA(VLOOKUP(AW1,'tréso détaillée'!$A:$I,9,FALSE)),AV5,VLOOKUP(AW1,'tréso détaillée'!$A:$I,9,FALSE))</f>
        <v>3584293436.8699999</v>
      </c>
      <c r="AX5" s="144">
        <f>IF(ISNA(VLOOKUP(AX1,'tréso détaillée'!$A:$I,9,FALSE)),AW5,VLOOKUP(AX1,'tréso détaillée'!$A:$I,9,FALSE))</f>
        <v>3636980936.8699999</v>
      </c>
      <c r="AY5" s="144">
        <f>IF(ISNA(VLOOKUP(AY1,'tréso détaillée'!$A:$I,9,FALSE)),AX5,VLOOKUP(AY1,'tréso détaillée'!$A:$I,9,FALSE))</f>
        <v>4017854936.8699999</v>
      </c>
      <c r="AZ5" s="144">
        <f>IF(ISNA(VLOOKUP(AZ1,'tréso détaillée'!$A:$I,9,FALSE)),AY5,VLOOKUP(AZ1,'tréso détaillée'!$A:$I,9,FALSE))</f>
        <v>4017854936.8699999</v>
      </c>
      <c r="BA5" s="144">
        <f>IF(ISNA(VLOOKUP(BA1,'tréso détaillée'!$A:$I,9,FALSE)),AZ5,VLOOKUP(BA1,'tréso détaillée'!$A:$I,9,FALSE))</f>
        <v>4017854936.8699999</v>
      </c>
      <c r="BB5" s="144">
        <f>IF(ISNA(VLOOKUP(BB1,'tréso détaillée'!$A:$I,9,FALSE)),BA5,VLOOKUP(BB1,'tréso détaillée'!$A:$I,9,FALSE))</f>
        <v>4017854936.8699999</v>
      </c>
      <c r="BC5" s="144">
        <f>IF(ISNA(VLOOKUP(BC1,'tréso détaillée'!$A:$I,9,FALSE)),BB5,VLOOKUP(BC1,'tréso détaillée'!$A:$I,9,FALSE))</f>
        <v>4017854936.8699999</v>
      </c>
      <c r="BD5" s="144">
        <f>IF(ISNA(VLOOKUP(BD1,'tréso détaillée'!$A:$I,9,FALSE)),BC5,VLOOKUP(BD1,'tréso détaillée'!$A:$I,9,FALSE))</f>
        <v>4017854936.8699999</v>
      </c>
      <c r="BE5" s="144">
        <f>IF(ISNA(VLOOKUP(BE1,'tréso détaillée'!$A:$I,9,FALSE)),BD5,VLOOKUP(BE1,'tréso détaillée'!$A:$I,9,FALSE))</f>
        <v>4017854936.8699999</v>
      </c>
      <c r="BF5" s="144">
        <f>IF(ISNA(VLOOKUP(BF1,'tréso détaillée'!$A:$I,9,FALSE)),BE5,VLOOKUP(BF1,'tréso détaillée'!$A:$I,9,FALSE))</f>
        <v>4017854936.8699999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>
        <f>IF(Stock!C2="","",Stock!C2)</f>
        <v>414000000</v>
      </c>
      <c r="G6" s="13">
        <f>IF(Stock!D2="","",Stock!D2)</f>
        <v>414000000</v>
      </c>
      <c r="H6" s="13">
        <f>IF(Stock!E2="","",Stock!E2)</f>
        <v>414000000</v>
      </c>
      <c r="I6" s="13">
        <f>IF(Stock!F2="","",Stock!F2)</f>
        <v>414000000</v>
      </c>
      <c r="J6" s="13">
        <f>IF(Stock!G2="","",Stock!G2)</f>
        <v>414000000</v>
      </c>
      <c r="K6" s="13">
        <f>IF(Stock!H2="","",Stock!H2)</f>
        <v>414000000</v>
      </c>
      <c r="L6" s="13">
        <f>IF(Stock!I2="","",Stock!I2)</f>
        <v>414000000</v>
      </c>
      <c r="M6" s="13">
        <f>IF(Stock!J2="","",Stock!J2)</f>
        <v>414000000</v>
      </c>
      <c r="N6" s="13">
        <f>IF(Stock!K2="","",Stock!K2)</f>
        <v>414000000</v>
      </c>
      <c r="O6" s="13">
        <f>IF(Stock!L2="","",Stock!L2)</f>
        <v>414000000</v>
      </c>
      <c r="P6" s="13">
        <f>IF(Stock!M2="","",Stock!M2)</f>
        <v>414000000</v>
      </c>
      <c r="Q6" s="13">
        <f>IF(Stock!N2="","",Stock!N2)</f>
        <v>414000000</v>
      </c>
      <c r="R6" s="13">
        <f>IF(Stock!O2="","",Stock!O2)</f>
        <v>414000000</v>
      </c>
      <c r="S6" s="13">
        <f>IF(Stock!P2="","",Stock!P2)</f>
        <v>414000000</v>
      </c>
      <c r="T6" s="13">
        <f>IF(Stock!Q2="","",Stock!Q2)</f>
        <v>414000000</v>
      </c>
      <c r="U6" s="13">
        <f>IF(Stock!R2="","",Stock!R2)</f>
        <v>414000000</v>
      </c>
      <c r="V6" s="13">
        <f>IF(Stock!S2="","",Stock!S2)</f>
        <v>414000000</v>
      </c>
      <c r="W6" s="13">
        <f>IF(Stock!T2="","",Stock!T2)</f>
        <v>414000000</v>
      </c>
      <c r="X6" s="13">
        <f>IF(Stock!U2="","",Stock!U2)</f>
        <v>414000000</v>
      </c>
      <c r="Y6" s="13">
        <f>IF(Stock!V2="","",Stock!V2)</f>
        <v>414000000</v>
      </c>
      <c r="Z6" s="13">
        <f>IF(Stock!W2="","",Stock!W2)</f>
        <v>414000000</v>
      </c>
      <c r="AA6" s="13">
        <f>IF(Stock!X2="","",Stock!X2)</f>
        <v>414000000</v>
      </c>
      <c r="AB6" s="13">
        <f>IF(Stock!Y2="","",Stock!Y2)</f>
        <v>414000000</v>
      </c>
      <c r="AC6" s="13">
        <f>IF(Stock!Z2="","",Stock!Z2)</f>
        <v>414000000</v>
      </c>
      <c r="AD6" s="13">
        <f>IF(Stock!AA2="","",Stock!AA2)</f>
        <v>414000000</v>
      </c>
      <c r="AE6" s="13">
        <f>IF(Stock!AB2="","",Stock!AB2)</f>
        <v>414000000</v>
      </c>
      <c r="AF6" s="13">
        <f>IF(Stock!AC2="","",Stock!AC2)</f>
        <v>414000000</v>
      </c>
      <c r="AG6" s="13">
        <f>IF(Stock!AD2="","",Stock!AD2)</f>
        <v>414000000</v>
      </c>
      <c r="AH6" s="13">
        <f>IF(Stock!AE2="","",Stock!AE2)</f>
        <v>414000000</v>
      </c>
      <c r="AI6" s="13">
        <f>IF(Stock!AF2="","",Stock!AF2)</f>
        <v>414000000</v>
      </c>
      <c r="AJ6" s="13">
        <f>IF(Stock!AG2="","",Stock!AG2)</f>
        <v>414000000</v>
      </c>
      <c r="AK6" s="13">
        <f>IF(Stock!AH2="","",Stock!AH2)</f>
        <v>414000000</v>
      </c>
      <c r="AL6" s="13">
        <f>IF(Stock!AI2="","",Stock!AI2)</f>
        <v>414000000</v>
      </c>
      <c r="AM6" s="13">
        <f>IF(Stock!AJ2="","",Stock!AJ2)</f>
        <v>414000000</v>
      </c>
      <c r="AN6" s="13">
        <f>IF(Stock!AK2="","",Stock!AK2)</f>
        <v>414000000</v>
      </c>
      <c r="AO6" s="13">
        <f>IF(Stock!AL2="","",Stock!AL2)</f>
        <v>414000000</v>
      </c>
      <c r="AP6" s="13">
        <f>IF(Stock!AM2="","",Stock!AM2)</f>
        <v>414000000</v>
      </c>
      <c r="AQ6" s="13">
        <f>IF(Stock!AN2="","",Stock!AN2)</f>
        <v>414000000</v>
      </c>
      <c r="AR6" s="13">
        <f>IF(Stock!AO2="","",Stock!AO2)</f>
        <v>414000000</v>
      </c>
      <c r="AS6" s="13">
        <f>IF(Stock!AP2="","",Stock!AP2)</f>
        <v>414000000</v>
      </c>
      <c r="AT6" s="13">
        <f>IF(Stock!AQ2="","",Stock!AQ2)</f>
        <v>414000000</v>
      </c>
      <c r="AU6" s="13">
        <f>IF(Stock!AR2="","",Stock!AR2)</f>
        <v>414000000</v>
      </c>
      <c r="AV6" s="13">
        <f>IF(Stock!AS2="","",Stock!AS2)</f>
        <v>414000000</v>
      </c>
      <c r="AW6" s="13">
        <f>IF(Stock!AT2="","",Stock!AT2)</f>
        <v>414000000</v>
      </c>
      <c r="AX6" s="13">
        <f>IF(Stock!AU2="","",Stock!AU2)</f>
        <v>414000000</v>
      </c>
      <c r="AY6" s="13">
        <f>IF(Stock!AV2="","",Stock!AV2)</f>
        <v>414000000</v>
      </c>
      <c r="AZ6" s="13">
        <f>IF(Stock!AW2="","",Stock!AW2)</f>
        <v>414000000</v>
      </c>
      <c r="BA6" s="13">
        <f>IF(Stock!AX2="","",Stock!AX2)</f>
        <v>414000000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400000000</v>
      </c>
      <c r="F7" s="13">
        <f>IF(Stock!C3="","",Stock!C3)</f>
        <v>400000000</v>
      </c>
      <c r="G7" s="13">
        <f>IF(Stock!D3="","",Stock!D3)</f>
        <v>400000000</v>
      </c>
      <c r="H7" s="13">
        <f>IF(Stock!E3="","",Stock!E3)</f>
        <v>400000000</v>
      </c>
      <c r="I7" s="13">
        <f>IF(Stock!F3="","",Stock!F3)</f>
        <v>400000000</v>
      </c>
      <c r="J7" s="13">
        <f>IF(Stock!G3="","",Stock!G3)</f>
        <v>400000000</v>
      </c>
      <c r="K7" s="13">
        <f>IF(Stock!H3="","",Stock!H3)</f>
        <v>400000000</v>
      </c>
      <c r="L7" s="13">
        <f>IF(Stock!I3="","",Stock!I3)</f>
        <v>400000000</v>
      </c>
      <c r="M7" s="13">
        <f>IF(Stock!J3="","",Stock!J3)</f>
        <v>400000000</v>
      </c>
      <c r="N7" s="13">
        <f>IF(Stock!K3="","",Stock!K3)</f>
        <v>400000000</v>
      </c>
      <c r="O7" s="13">
        <f>IF(Stock!L3="","",Stock!L3)</f>
        <v>400000000</v>
      </c>
      <c r="P7" s="13">
        <f>IF(Stock!M3="","",Stock!M3)</f>
        <v>400000000</v>
      </c>
      <c r="Q7" s="13">
        <f>IF(Stock!N3="","",Stock!N3)</f>
        <v>400000000</v>
      </c>
      <c r="R7" s="13">
        <f>IF(Stock!O3="","",Stock!O3)</f>
        <v>400000000</v>
      </c>
      <c r="S7" s="13">
        <f>IF(Stock!P3="","",Stock!P3)</f>
        <v>400000000</v>
      </c>
      <c r="T7" s="13">
        <f>IF(Stock!Q3="","",Stock!Q3)</f>
        <v>400000000</v>
      </c>
      <c r="U7" s="13">
        <f>IF(Stock!R3="","",Stock!R3)</f>
        <v>400000000</v>
      </c>
      <c r="V7" s="13">
        <f>IF(Stock!S3="","",Stock!S3)</f>
        <v>400000000</v>
      </c>
      <c r="W7" s="13">
        <f>IF(Stock!T3="","",Stock!T3)</f>
        <v>400000000</v>
      </c>
      <c r="X7" s="13">
        <f>IF(Stock!U3="","",Stock!U3)</f>
        <v>400000000</v>
      </c>
      <c r="Y7" s="13">
        <f>IF(Stock!V3="","",Stock!V3)</f>
        <v>400000000</v>
      </c>
      <c r="Z7" s="13">
        <f>IF(Stock!W3="","",Stock!W3)</f>
        <v>400000000</v>
      </c>
      <c r="AA7" s="13">
        <f>IF(Stock!X3="","",Stock!X3)</f>
        <v>400000000</v>
      </c>
      <c r="AB7" s="13">
        <f>IF(Stock!Y3="","",Stock!Y3)</f>
        <v>400000000</v>
      </c>
      <c r="AC7" s="13">
        <f>IF(Stock!Z3="","",Stock!Z3)</f>
        <v>400000000</v>
      </c>
      <c r="AD7" s="13">
        <f>IF(Stock!AA3="","",Stock!AA3)</f>
        <v>400000000</v>
      </c>
      <c r="AE7" s="13">
        <f>IF(Stock!AB3="","",Stock!AB3)</f>
        <v>400000000</v>
      </c>
      <c r="AF7" s="13">
        <f>IF(Stock!AC3="","",Stock!AC3)</f>
        <v>400000000</v>
      </c>
      <c r="AG7" s="13">
        <f>IF(Stock!AD3="","",Stock!AD3)</f>
        <v>400000000</v>
      </c>
      <c r="AH7" s="13">
        <f>IF(Stock!AE3="","",Stock!AE3)</f>
        <v>400000000</v>
      </c>
      <c r="AI7" s="13">
        <f>IF(Stock!AF3="","",Stock!AF3)</f>
        <v>400000000</v>
      </c>
      <c r="AJ7" s="13">
        <f>IF(Stock!AG3="","",Stock!AG3)</f>
        <v>400000000</v>
      </c>
      <c r="AK7" s="13">
        <f>IF(Stock!AH3="","",Stock!AH3)</f>
        <v>400000000</v>
      </c>
      <c r="AL7" s="13">
        <f>IF(Stock!AI3="","",Stock!AI3)</f>
        <v>400000000</v>
      </c>
      <c r="AM7" s="13">
        <f>IF(Stock!AJ3="","",Stock!AJ3)</f>
        <v>400000000</v>
      </c>
      <c r="AN7" s="13">
        <f>IF(Stock!AK3="","",Stock!AK3)</f>
        <v>400000000</v>
      </c>
      <c r="AO7" s="13">
        <f>IF(Stock!AL3="","",Stock!AL3)</f>
        <v>400000000</v>
      </c>
      <c r="AP7" s="13">
        <f>IF(Stock!AM3="","",Stock!AM3)</f>
        <v>400000000</v>
      </c>
      <c r="AQ7" s="13">
        <f>IF(Stock!AN3="","",Stock!AN3)</f>
        <v>400000000</v>
      </c>
      <c r="AR7" s="13">
        <f>IF(Stock!AO3="","",Stock!AO3)</f>
        <v>400000000</v>
      </c>
      <c r="AS7" s="13">
        <f>IF(Stock!AP3="","",Stock!AP3)</f>
        <v>400000000</v>
      </c>
      <c r="AT7" s="13">
        <f>IF(Stock!AQ3="","",Stock!AQ3)</f>
        <v>400000000</v>
      </c>
      <c r="AU7" s="13">
        <f>IF(Stock!AR3="","",Stock!AR3)</f>
        <v>400000000</v>
      </c>
      <c r="AV7" s="13">
        <f>IF(Stock!AS3="","",Stock!AS3)</f>
        <v>400000000</v>
      </c>
      <c r="AW7" s="13">
        <f>IF(Stock!AT3="","",Stock!AT3)</f>
        <v>400000000</v>
      </c>
      <c r="AX7" s="13">
        <f>IF(Stock!AU3="","",Stock!AU3)</f>
        <v>400000000</v>
      </c>
      <c r="AY7" s="13">
        <f>IF(Stock!AV3="","",Stock!AV3)</f>
        <v>400000000</v>
      </c>
      <c r="AZ7" s="13">
        <f>IF(Stock!AW3="","",Stock!AW3)</f>
        <v>400000000</v>
      </c>
      <c r="BA7" s="13">
        <f>IF(Stock!AX3="","",Stock!AX3)</f>
        <v>400000000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>
        <f>IF(Stock!C4="","",Stock!C4)</f>
        <v>500000000</v>
      </c>
      <c r="G8" s="13">
        <f>IF(Stock!D4="","",Stock!D4)</f>
        <v>500000000</v>
      </c>
      <c r="H8" s="13">
        <f>IF(Stock!E4="","",Stock!E4)</f>
        <v>500000000</v>
      </c>
      <c r="I8" s="13">
        <f>IF(Stock!F4="","",Stock!F4)</f>
        <v>500000000</v>
      </c>
      <c r="J8" s="13">
        <f>IF(Stock!G4="","",Stock!G4)</f>
        <v>1000000000</v>
      </c>
      <c r="K8" s="13">
        <f>IF(Stock!H4="","",Stock!H4)</f>
        <v>1000000000</v>
      </c>
      <c r="L8" s="13">
        <f>IF(Stock!I4="","",Stock!I4)</f>
        <v>1000000000</v>
      </c>
      <c r="M8" s="13">
        <f>IF(Stock!J4="","",Stock!J4)</f>
        <v>1000000000</v>
      </c>
      <c r="N8" s="13">
        <f>IF(Stock!K4="","",Stock!K4)</f>
        <v>1000000000</v>
      </c>
      <c r="O8" s="13">
        <f>IF(Stock!L4="","",Stock!L4)</f>
        <v>1000000000</v>
      </c>
      <c r="P8" s="13">
        <f>IF(Stock!M4="","",Stock!M4)</f>
        <v>1000000000</v>
      </c>
      <c r="Q8" s="13">
        <f>IF(Stock!N4="","",Stock!N4)</f>
        <v>1000000000</v>
      </c>
      <c r="R8" s="13">
        <f>IF(Stock!O4="","",Stock!O4)</f>
        <v>1000000000</v>
      </c>
      <c r="S8" s="13">
        <f>IF(Stock!P4="","",Stock!P4)</f>
        <v>1000000000</v>
      </c>
      <c r="T8" s="13">
        <f>IF(Stock!Q4="","",Stock!Q4)</f>
        <v>1000000000</v>
      </c>
      <c r="U8" s="13">
        <f>IF(Stock!R4="","",Stock!R4)</f>
        <v>1000000000</v>
      </c>
      <c r="V8" s="13">
        <f>IF(Stock!S4="","",Stock!S4)</f>
        <v>1000000000</v>
      </c>
      <c r="W8" s="13">
        <f>IF(Stock!T4="","",Stock!T4)</f>
        <v>1000000000</v>
      </c>
      <c r="X8" s="13">
        <f>IF(Stock!U4="","",Stock!U4)</f>
        <v>1000000000</v>
      </c>
      <c r="Y8" s="13">
        <f>IF(Stock!V4="","",Stock!V4)</f>
        <v>1000000000</v>
      </c>
      <c r="Z8" s="13">
        <f>IF(Stock!W4="","",Stock!W4)</f>
        <v>1000000000</v>
      </c>
      <c r="AA8" s="13">
        <f>IF(Stock!X4="","",Stock!X4)</f>
        <v>1000000000</v>
      </c>
      <c r="AB8" s="13">
        <f>IF(Stock!Y4="","",Stock!Y4)</f>
        <v>1000000000</v>
      </c>
      <c r="AC8" s="13">
        <f>IF(Stock!Z4="","",Stock!Z4)</f>
        <v>1000000000</v>
      </c>
      <c r="AD8" s="13">
        <f>IF(Stock!AA4="","",Stock!AA4)</f>
        <v>1000000000</v>
      </c>
      <c r="AE8" s="13">
        <f>IF(Stock!AB4="","",Stock!AB4)</f>
        <v>1000000000</v>
      </c>
      <c r="AF8" s="13">
        <f>IF(Stock!AC4="","",Stock!AC4)</f>
        <v>1000000000</v>
      </c>
      <c r="AG8" s="13">
        <f>IF(Stock!AD4="","",Stock!AD4)</f>
        <v>1000000000</v>
      </c>
      <c r="AH8" s="13">
        <f>IF(Stock!AE4="","",Stock!AE4)</f>
        <v>1000000000</v>
      </c>
      <c r="AI8" s="13">
        <f>IF(Stock!AF4="","",Stock!AF4)</f>
        <v>1000000000</v>
      </c>
      <c r="AJ8" s="13">
        <f>IF(Stock!AG4="","",Stock!AG4)</f>
        <v>1000000000</v>
      </c>
      <c r="AK8" s="13">
        <f>IF(Stock!AH4="","",Stock!AH4)</f>
        <v>1000000000</v>
      </c>
      <c r="AL8" s="13">
        <f>IF(Stock!AI4="","",Stock!AI4)</f>
        <v>1000000000</v>
      </c>
      <c r="AM8" s="13">
        <f>IF(Stock!AJ4="","",Stock!AJ4)</f>
        <v>1000000000</v>
      </c>
      <c r="AN8" s="13">
        <f>IF(Stock!AK4="","",Stock!AK4)</f>
        <v>1000000000</v>
      </c>
      <c r="AO8" s="13">
        <f>IF(Stock!AL4="","",Stock!AL4)</f>
        <v>1000000000</v>
      </c>
      <c r="AP8" s="13">
        <f>IF(Stock!AM4="","",Stock!AM4)</f>
        <v>1000000000</v>
      </c>
      <c r="AQ8" s="13">
        <f>IF(Stock!AN4="","",Stock!AN4)</f>
        <v>1000000000</v>
      </c>
      <c r="AR8" s="13">
        <f>IF(Stock!AO4="","",Stock!AO4)</f>
        <v>1000000000</v>
      </c>
      <c r="AS8" s="13">
        <f>IF(Stock!AP4="","",Stock!AP4)</f>
        <v>1000000000</v>
      </c>
      <c r="AT8" s="13">
        <f>IF(Stock!AQ4="","",Stock!AQ4)</f>
        <v>1000000000</v>
      </c>
      <c r="AU8" s="13">
        <f>IF(Stock!AR4="","",Stock!AR4)</f>
        <v>1000000000</v>
      </c>
      <c r="AV8" s="13">
        <f>IF(Stock!AS4="","",Stock!AS4)</f>
        <v>1000000000</v>
      </c>
      <c r="AW8" s="13">
        <f>IF(Stock!AT4="","",Stock!AT4)</f>
        <v>1000000000</v>
      </c>
      <c r="AX8" s="13">
        <f>IF(Stock!AU4="","",Stock!AU4)</f>
        <v>1000000000</v>
      </c>
      <c r="AY8" s="13">
        <f>IF(Stock!AV4="","",Stock!AV4)</f>
        <v>1000000000</v>
      </c>
      <c r="AZ8" s="13">
        <f>IF(Stock!AW4="","",Stock!AW4)</f>
        <v>1000000000</v>
      </c>
      <c r="BA8" s="13">
        <f>IF(Stock!AX4="","",Stock!AX4)</f>
        <v>1000000000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252000000</v>
      </c>
      <c r="F9" s="13">
        <f>IF(Stock!C5="","",Stock!C5)</f>
        <v>252000000</v>
      </c>
      <c r="G9" s="13">
        <f>IF(Stock!D5="","",Stock!D5)</f>
        <v>252000000</v>
      </c>
      <c r="H9" s="13">
        <f>IF(Stock!E5="","",Stock!E5)</f>
        <v>252000000</v>
      </c>
      <c r="I9" s="13">
        <f>IF(Stock!F5="","",Stock!F5)</f>
        <v>252000000</v>
      </c>
      <c r="J9" s="13">
        <f>IF(Stock!G5="","",Stock!G5)</f>
        <v>252000000</v>
      </c>
      <c r="K9" s="13">
        <f>IF(Stock!H5="","",Stock!H5)</f>
        <v>252000000</v>
      </c>
      <c r="L9" s="13">
        <f>IF(Stock!I5="","",Stock!I5)</f>
        <v>252000000</v>
      </c>
      <c r="M9" s="13">
        <f>IF(Stock!J5="","",Stock!J5)</f>
        <v>252000000</v>
      </c>
      <c r="N9" s="13">
        <f>IF(Stock!K5="","",Stock!K5)</f>
        <v>252000000</v>
      </c>
      <c r="O9" s="13">
        <f>IF(Stock!L5="","",Stock!L5)</f>
        <v>252000000</v>
      </c>
      <c r="P9" s="13">
        <f>IF(Stock!M5="","",Stock!M5)</f>
        <v>252000000</v>
      </c>
      <c r="Q9" s="13">
        <f>IF(Stock!N5="","",Stock!N5)</f>
        <v>252000000</v>
      </c>
      <c r="R9" s="13">
        <f>IF(Stock!O5="","",Stock!O5)</f>
        <v>252000000</v>
      </c>
      <c r="S9" s="13">
        <f>IF(Stock!P5="","",Stock!P5)</f>
        <v>252000000</v>
      </c>
      <c r="T9" s="13">
        <f>IF(Stock!Q5="","",Stock!Q5)</f>
        <v>252000000</v>
      </c>
      <c r="U9" s="13">
        <f>IF(Stock!R5="","",Stock!R5)</f>
        <v>252000000</v>
      </c>
      <c r="V9" s="13">
        <f>IF(Stock!S5="","",Stock!S5)</f>
        <v>252000000</v>
      </c>
      <c r="W9" s="13">
        <f>IF(Stock!T5="","",Stock!T5)</f>
        <v>252000000</v>
      </c>
      <c r="X9" s="13">
        <f>IF(Stock!U5="","",Stock!U5)</f>
        <v>252000000</v>
      </c>
      <c r="Y9" s="13">
        <f>IF(Stock!V5="","",Stock!V5)</f>
        <v>252000000</v>
      </c>
      <c r="Z9" s="13">
        <f>IF(Stock!W5="","",Stock!W5)</f>
        <v>252000000</v>
      </c>
      <c r="AA9" s="13">
        <f>IF(Stock!X5="","",Stock!X5)</f>
        <v>252000000</v>
      </c>
      <c r="AB9" s="13">
        <f>IF(Stock!Y5="","",Stock!Y5)</f>
        <v>252000000</v>
      </c>
      <c r="AC9" s="13">
        <f>IF(Stock!Z5="","",Stock!Z5)</f>
        <v>252000000</v>
      </c>
      <c r="AD9" s="13">
        <f>IF(Stock!AA5="","",Stock!AA5)</f>
        <v>252000000</v>
      </c>
      <c r="AE9" s="13">
        <f>IF(Stock!AB5="","",Stock!AB5)</f>
        <v>252000000</v>
      </c>
      <c r="AF9" s="13">
        <f>IF(Stock!AC5="","",Stock!AC5)</f>
        <v>252000000</v>
      </c>
      <c r="AG9" s="13">
        <f>IF(Stock!AD5="","",Stock!AD5)</f>
        <v>252000000</v>
      </c>
      <c r="AH9" s="13">
        <f>IF(Stock!AE5="","",Stock!AE5)</f>
        <v>252000000</v>
      </c>
      <c r="AI9" s="13">
        <f>IF(Stock!AF5="","",Stock!AF5)</f>
        <v>252000000</v>
      </c>
      <c r="AJ9" s="13">
        <f>IF(Stock!AG5="","",Stock!AG5)</f>
        <v>252000000</v>
      </c>
      <c r="AK9" s="13">
        <f>IF(Stock!AH5="","",Stock!AH5)</f>
        <v>252000000</v>
      </c>
      <c r="AL9" s="13">
        <f>IF(Stock!AI5="","",Stock!AI5)</f>
        <v>252000000</v>
      </c>
      <c r="AM9" s="13">
        <f>IF(Stock!AJ5="","",Stock!AJ5)</f>
        <v>252000000</v>
      </c>
      <c r="AN9" s="13">
        <f>IF(Stock!AK5="","",Stock!AK5)</f>
        <v>252000000</v>
      </c>
      <c r="AO9" s="13">
        <f>IF(Stock!AL5="","",Stock!AL5)</f>
        <v>252000000</v>
      </c>
      <c r="AP9" s="13">
        <f>IF(Stock!AM5="","",Stock!AM5)</f>
        <v>252000000</v>
      </c>
      <c r="AQ9" s="13">
        <f>IF(Stock!AN5="","",Stock!AN5)</f>
        <v>252000000</v>
      </c>
      <c r="AR9" s="13">
        <f>IF(Stock!AO5="","",Stock!AO5)</f>
        <v>252000000</v>
      </c>
      <c r="AS9" s="13">
        <f>IF(Stock!AP5="","",Stock!AP5)</f>
        <v>252000000</v>
      </c>
      <c r="AT9" s="13">
        <f>IF(Stock!AQ5="","",Stock!AQ5)</f>
        <v>252000000</v>
      </c>
      <c r="AU9" s="13">
        <f>IF(Stock!AR5="","",Stock!AR5)</f>
        <v>252000000</v>
      </c>
      <c r="AV9" s="13">
        <f>IF(Stock!AS5="","",Stock!AS5)</f>
        <v>252000000</v>
      </c>
      <c r="AW9" s="13">
        <f>IF(Stock!AT5="","",Stock!AT5)</f>
        <v>252000000</v>
      </c>
      <c r="AX9" s="13">
        <f>IF(Stock!AU5="","",Stock!AU5)</f>
        <v>252000000</v>
      </c>
      <c r="AY9" s="13">
        <f>IF(Stock!AV5="","",Stock!AV5)</f>
        <v>252000000</v>
      </c>
      <c r="AZ9" s="13">
        <f>IF(Stock!AW5="","",Stock!AW5)</f>
        <v>252000000</v>
      </c>
      <c r="BA9" s="13">
        <f>IF(Stock!AX5="","",Stock!AX5)</f>
        <v>252000000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267000000</v>
      </c>
      <c r="F10" s="13">
        <f>IF(Stock!C6="","",Stock!C6)</f>
        <v>267000000</v>
      </c>
      <c r="G10" s="13">
        <f>IF(Stock!D6="","",Stock!D6)</f>
        <v>267000000</v>
      </c>
      <c r="H10" s="13">
        <f>IF(Stock!E6="","",Stock!E6)</f>
        <v>267000000</v>
      </c>
      <c r="I10" s="13">
        <f>IF(Stock!F6="","",Stock!F6)</f>
        <v>267000000</v>
      </c>
      <c r="J10" s="13">
        <f>IF(Stock!G6="","",Stock!G6)</f>
        <v>267000000</v>
      </c>
      <c r="K10" s="13">
        <f>IF(Stock!H6="","",Stock!H6)</f>
        <v>267000000</v>
      </c>
      <c r="L10" s="13">
        <f>IF(Stock!I6="","",Stock!I6)</f>
        <v>267000000</v>
      </c>
      <c r="M10" s="13">
        <f>IF(Stock!J6="","",Stock!J6)</f>
        <v>267000000</v>
      </c>
      <c r="N10" s="13">
        <f>IF(Stock!K6="","",Stock!K6)</f>
        <v>267000000</v>
      </c>
      <c r="O10" s="13">
        <f>IF(Stock!L6="","",Stock!L6)</f>
        <v>478000000</v>
      </c>
      <c r="P10" s="13">
        <f>IF(Stock!M6="","",Stock!M6)</f>
        <v>478000000</v>
      </c>
      <c r="Q10" s="13">
        <f>IF(Stock!N6="","",Stock!N6)</f>
        <v>478000000</v>
      </c>
      <c r="R10" s="13">
        <f>IF(Stock!O6="","",Stock!O6)</f>
        <v>478000000</v>
      </c>
      <c r="S10" s="13">
        <f>IF(Stock!P6="","",Stock!P6)</f>
        <v>478000000</v>
      </c>
      <c r="T10" s="13">
        <f>IF(Stock!Q6="","",Stock!Q6)</f>
        <v>478000000</v>
      </c>
      <c r="U10" s="13">
        <f>IF(Stock!R6="","",Stock!R6)</f>
        <v>478000000</v>
      </c>
      <c r="V10" s="13">
        <f>IF(Stock!S6="","",Stock!S6)</f>
        <v>478000000</v>
      </c>
      <c r="W10" s="13">
        <f>IF(Stock!T6="","",Stock!T6)</f>
        <v>478000000</v>
      </c>
      <c r="X10" s="13">
        <f>IF(Stock!U6="","",Stock!U6)</f>
        <v>478000000</v>
      </c>
      <c r="Y10" s="13">
        <f>IF(Stock!V6="","",Stock!V6)</f>
        <v>478000000</v>
      </c>
      <c r="Z10" s="13">
        <f>IF(Stock!W6="","",Stock!W6)</f>
        <v>478000000</v>
      </c>
      <c r="AA10" s="13">
        <f>IF(Stock!X6="","",Stock!X6)</f>
        <v>478000000</v>
      </c>
      <c r="AB10" s="13">
        <f>IF(Stock!Y6="","",Stock!Y6)</f>
        <v>478000000</v>
      </c>
      <c r="AC10" s="13">
        <f>IF(Stock!Z6="","",Stock!Z6)</f>
        <v>478000000</v>
      </c>
      <c r="AD10" s="13">
        <f>IF(Stock!AA6="","",Stock!AA6)</f>
        <v>478000000</v>
      </c>
      <c r="AE10" s="13">
        <f>IF(Stock!AB6="","",Stock!AB6)</f>
        <v>478000000</v>
      </c>
      <c r="AF10" s="13">
        <f>IF(Stock!AC6="","",Stock!AC6)</f>
        <v>478000000</v>
      </c>
      <c r="AG10" s="13">
        <f>IF(Stock!AD6="","",Stock!AD6)</f>
        <v>478000000</v>
      </c>
      <c r="AH10" s="13">
        <f>IF(Stock!AE6="","",Stock!AE6)</f>
        <v>478000000</v>
      </c>
      <c r="AI10" s="13">
        <f>IF(Stock!AF6="","",Stock!AF6)</f>
        <v>478000000</v>
      </c>
      <c r="AJ10" s="13">
        <f>IF(Stock!AG6="","",Stock!AG6)</f>
        <v>478000000</v>
      </c>
      <c r="AK10" s="13">
        <f>IF(Stock!AH6="","",Stock!AH6)</f>
        <v>478000000</v>
      </c>
      <c r="AL10" s="13">
        <f>IF(Stock!AI6="","",Stock!AI6)</f>
        <v>478000000</v>
      </c>
      <c r="AM10" s="13">
        <f>IF(Stock!AJ6="","",Stock!AJ6)</f>
        <v>478000000</v>
      </c>
      <c r="AN10" s="13">
        <f>IF(Stock!AK6="","",Stock!AK6)</f>
        <v>478000000</v>
      </c>
      <c r="AO10" s="13">
        <f>IF(Stock!AL6="","",Stock!AL6)</f>
        <v>478000000</v>
      </c>
      <c r="AP10" s="13">
        <f>IF(Stock!AM6="","",Stock!AM6)</f>
        <v>478000000</v>
      </c>
      <c r="AQ10" s="13">
        <f>IF(Stock!AN6="","",Stock!AN6)</f>
        <v>478000000</v>
      </c>
      <c r="AR10" s="13">
        <f>IF(Stock!AO6="","",Stock!AO6)</f>
        <v>478000000</v>
      </c>
      <c r="AS10" s="13">
        <f>IF(Stock!AP6="","",Stock!AP6)</f>
        <v>478000000</v>
      </c>
      <c r="AT10" s="13">
        <f>IF(Stock!AQ6="","",Stock!AQ6)</f>
        <v>478000000</v>
      </c>
      <c r="AU10" s="13">
        <f>IF(Stock!AR6="","",Stock!AR6)</f>
        <v>478000000</v>
      </c>
      <c r="AV10" s="13">
        <f>IF(Stock!AS6="","",Stock!AS6)</f>
        <v>478000000</v>
      </c>
      <c r="AW10" s="13">
        <f>IF(Stock!AT6="","",Stock!AT6)</f>
        <v>478000000</v>
      </c>
      <c r="AX10" s="13">
        <f>IF(Stock!AU6="","",Stock!AU6)</f>
        <v>478000000</v>
      </c>
      <c r="AY10" s="13">
        <f>IF(Stock!AV6="","",Stock!AV6)</f>
        <v>478000000</v>
      </c>
      <c r="AZ10" s="13">
        <f>IF(Stock!AW6="","",Stock!AW6)</f>
        <v>478000000</v>
      </c>
      <c r="BA10" s="13">
        <f>IF(Stock!AX6="","",Stock!AX6)</f>
        <v>478000000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456000000</v>
      </c>
      <c r="F12" s="13">
        <f>IF(Stock!C8="","",Stock!C8)</f>
        <v>456000000</v>
      </c>
      <c r="G12" s="13">
        <f>IF(Stock!D8="","",Stock!D8)</f>
        <v>456000000</v>
      </c>
      <c r="H12" s="13">
        <f>IF(Stock!E8="","",Stock!E8)</f>
        <v>456000000</v>
      </c>
      <c r="I12" s="13">
        <f>IF(Stock!F8="","",Stock!F8)</f>
        <v>456000000</v>
      </c>
      <c r="J12" s="13">
        <f>IF(Stock!G8="","",Stock!G8)</f>
        <v>456000000</v>
      </c>
      <c r="K12" s="13">
        <f>IF(Stock!H8="","",Stock!H8)</f>
        <v>456000000</v>
      </c>
      <c r="L12" s="13">
        <f>IF(Stock!I8="","",Stock!I8)</f>
        <v>456000000</v>
      </c>
      <c r="M12" s="13">
        <f>IF(Stock!J8="","",Stock!J8)</f>
        <v>456000000</v>
      </c>
      <c r="N12" s="13">
        <f>IF(Stock!K8="","",Stock!K8)</f>
        <v>456000000</v>
      </c>
      <c r="O12" s="13">
        <f>IF(Stock!L8="","",Stock!L8)</f>
        <v>456000000</v>
      </c>
      <c r="P12" s="13">
        <f>IF(Stock!M8="","",Stock!M8)</f>
        <v>456000000</v>
      </c>
      <c r="Q12" s="13">
        <f>IF(Stock!N8="","",Stock!N8)</f>
        <v>456000000</v>
      </c>
      <c r="R12" s="13">
        <f>IF(Stock!O8="","",Stock!O8)</f>
        <v>456000000</v>
      </c>
      <c r="S12" s="13">
        <f>IF(Stock!P8="","",Stock!P8)</f>
        <v>456000000</v>
      </c>
      <c r="T12" s="13">
        <f>IF(Stock!Q8="","",Stock!Q8)</f>
        <v>456000000</v>
      </c>
      <c r="U12" s="13">
        <f>IF(Stock!R8="","",Stock!R8)</f>
        <v>456000000</v>
      </c>
      <c r="V12" s="13">
        <f>IF(Stock!S8="","",Stock!S8)</f>
        <v>456000000</v>
      </c>
      <c r="W12" s="13">
        <f>IF(Stock!T8="","",Stock!T8)</f>
        <v>456000000</v>
      </c>
      <c r="X12" s="13">
        <f>IF(Stock!U8="","",Stock!U8)</f>
        <v>456000000</v>
      </c>
      <c r="Y12" s="13">
        <f>IF(Stock!V8="","",Stock!V8)</f>
        <v>456000000</v>
      </c>
      <c r="Z12" s="13">
        <f>IF(Stock!W8="","",Stock!W8)</f>
        <v>456000000</v>
      </c>
      <c r="AA12" s="13">
        <f>IF(Stock!X8="","",Stock!X8)</f>
        <v>456000000</v>
      </c>
      <c r="AB12" s="13">
        <f>IF(Stock!Y8="","",Stock!Y8)</f>
        <v>456000000</v>
      </c>
      <c r="AC12" s="13">
        <f>IF(Stock!Z8="","",Stock!Z8)</f>
        <v>456000000</v>
      </c>
      <c r="AD12" s="13">
        <f>IF(Stock!AA8="","",Stock!AA8)</f>
        <v>456000000</v>
      </c>
      <c r="AE12" s="13">
        <f>IF(Stock!AB8="","",Stock!AB8)</f>
        <v>456000000</v>
      </c>
      <c r="AF12" s="13">
        <f>IF(Stock!AC8="","",Stock!AC8)</f>
        <v>456000000</v>
      </c>
      <c r="AG12" s="13">
        <f>IF(Stock!AD8="","",Stock!AD8)</f>
        <v>456000000</v>
      </c>
      <c r="AH12" s="13">
        <f>IF(Stock!AE8="","",Stock!AE8)</f>
        <v>456000000</v>
      </c>
      <c r="AI12" s="13">
        <f>IF(Stock!AF8="","",Stock!AF8)</f>
        <v>456000000</v>
      </c>
      <c r="AJ12" s="13">
        <f>IF(Stock!AG8="","",Stock!AG8)</f>
        <v>456000000</v>
      </c>
      <c r="AK12" s="13">
        <f>IF(Stock!AH8="","",Stock!AH8)</f>
        <v>456000000</v>
      </c>
      <c r="AL12" s="13">
        <f>IF(Stock!AI8="","",Stock!AI8)</f>
        <v>456000000</v>
      </c>
      <c r="AM12" s="13">
        <f>IF(Stock!AJ8="","",Stock!AJ8)</f>
        <v>456000000</v>
      </c>
      <c r="AN12" s="13">
        <f>IF(Stock!AK8="","",Stock!AK8)</f>
        <v>456000000</v>
      </c>
      <c r="AO12" s="13">
        <f>IF(Stock!AL8="","",Stock!AL8)</f>
        <v>456000000</v>
      </c>
      <c r="AP12" s="13">
        <f>IF(Stock!AM8="","",Stock!AM8)</f>
        <v>456000000</v>
      </c>
      <c r="AQ12" s="13">
        <f>IF(Stock!AN8="","",Stock!AN8)</f>
        <v>456000000</v>
      </c>
      <c r="AR12" s="13">
        <f>IF(Stock!AO8="","",Stock!AO8)</f>
        <v>456000000</v>
      </c>
      <c r="AS12" s="13">
        <f>IF(Stock!AP8="","",Stock!AP8)</f>
        <v>456000000</v>
      </c>
      <c r="AT12" s="13">
        <f>IF(Stock!AQ8="","",Stock!AQ8)</f>
        <v>456000000</v>
      </c>
      <c r="AU12" s="13">
        <f>IF(Stock!AR8="","",Stock!AR8)</f>
        <v>456000000</v>
      </c>
      <c r="AV12" s="13">
        <f>IF(Stock!AS8="","",Stock!AS8)</f>
        <v>456000000</v>
      </c>
      <c r="AW12" s="13">
        <f>IF(Stock!AT8="","",Stock!AT8)</f>
        <v>456000000</v>
      </c>
      <c r="AX12" s="13">
        <f>IF(Stock!AU8="","",Stock!AU8)</f>
        <v>456000000</v>
      </c>
      <c r="AY12" s="13">
        <f>IF(Stock!AV8="","",Stock!AV8)</f>
        <v>456000000</v>
      </c>
      <c r="AZ12" s="13">
        <f>IF(Stock!AW8="","",Stock!AW8)</f>
        <v>456000000</v>
      </c>
      <c r="BA12" s="13">
        <f>IF(Stock!AX8="","",Stock!AX8)</f>
        <v>456000000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194000000</v>
      </c>
      <c r="F14" s="13">
        <f>IF(Stock!C10="","",Stock!C10)</f>
        <v>194000000</v>
      </c>
      <c r="G14" s="13">
        <f>IF(Stock!D10="","",Stock!D10)</f>
        <v>194000000</v>
      </c>
      <c r="H14" s="13">
        <f>IF(Stock!E10="","",Stock!E10)</f>
        <v>194000000</v>
      </c>
      <c r="I14" s="13">
        <f>IF(Stock!F10="","",Stock!F10)</f>
        <v>194000000</v>
      </c>
      <c r="J14" s="13">
        <f>IF(Stock!G10="","",Stock!G10)</f>
        <v>194000000</v>
      </c>
      <c r="K14" s="13">
        <f>IF(Stock!H10="","",Stock!H10)</f>
        <v>194000000</v>
      </c>
      <c r="L14" s="13">
        <f>IF(Stock!I10="","",Stock!I10)</f>
        <v>194000000</v>
      </c>
      <c r="M14" s="13">
        <f>IF(Stock!J10="","",Stock!J10)</f>
        <v>194000000</v>
      </c>
      <c r="N14" s="13">
        <f>IF(Stock!K10="","",Stock!K10)</f>
        <v>194000000</v>
      </c>
      <c r="O14" s="13">
        <f>IF(Stock!L10="","",Stock!L10)</f>
        <v>194000000</v>
      </c>
      <c r="P14" s="13">
        <f>IF(Stock!M10="","",Stock!M10)</f>
        <v>194000000</v>
      </c>
      <c r="Q14" s="13">
        <f>IF(Stock!N10="","",Stock!N10)</f>
        <v>194000000</v>
      </c>
      <c r="R14" s="13">
        <f>IF(Stock!O10="","",Stock!O10)</f>
        <v>194000000</v>
      </c>
      <c r="S14" s="13">
        <f>IF(Stock!P10="","",Stock!P10)</f>
        <v>194000000</v>
      </c>
      <c r="T14" s="13">
        <f>IF(Stock!Q10="","",Stock!Q10)</f>
        <v>194000000</v>
      </c>
      <c r="U14" s="13">
        <f>IF(Stock!R10="","",Stock!R10)</f>
        <v>194000000</v>
      </c>
      <c r="V14" s="13">
        <f>IF(Stock!S10="","",Stock!S10)</f>
        <v>194000000</v>
      </c>
      <c r="W14" s="13">
        <f>IF(Stock!T10="","",Stock!T10)</f>
        <v>194000000</v>
      </c>
      <c r="X14" s="13">
        <f>IF(Stock!U10="","",Stock!U10)</f>
        <v>194000000</v>
      </c>
      <c r="Y14" s="13">
        <f>IF(Stock!V10="","",Stock!V10)</f>
        <v>194000000</v>
      </c>
      <c r="Z14" s="13">
        <f>IF(Stock!W10="","",Stock!W10)</f>
        <v>194000000</v>
      </c>
      <c r="AA14" s="13">
        <f>IF(Stock!X10="","",Stock!X10)</f>
        <v>194000000</v>
      </c>
      <c r="AB14" s="13">
        <f>IF(Stock!Y10="","",Stock!Y10)</f>
        <v>194000000</v>
      </c>
      <c r="AC14" s="13">
        <f>IF(Stock!Z10="","",Stock!Z10)</f>
        <v>194000000</v>
      </c>
      <c r="AD14" s="13">
        <f>IF(Stock!AA10="","",Stock!AA10)</f>
        <v>194000000</v>
      </c>
      <c r="AE14" s="13">
        <f>IF(Stock!AB10="","",Stock!AB10)</f>
        <v>194000000</v>
      </c>
      <c r="AF14" s="13">
        <f>IF(Stock!AC10="","",Stock!AC10)</f>
        <v>194000000</v>
      </c>
      <c r="AG14" s="13">
        <f>IF(Stock!AD10="","",Stock!AD10)</f>
        <v>194000000</v>
      </c>
      <c r="AH14" s="13">
        <f>IF(Stock!AE10="","",Stock!AE10)</f>
        <v>194000000</v>
      </c>
      <c r="AI14" s="13">
        <f>IF(Stock!AF10="","",Stock!AF10)</f>
        <v>194000000</v>
      </c>
      <c r="AJ14" s="13">
        <f>IF(Stock!AG10="","",Stock!AG10)</f>
        <v>194000000</v>
      </c>
      <c r="AK14" s="13">
        <f>IF(Stock!AH10="","",Stock!AH10)</f>
        <v>194000000</v>
      </c>
      <c r="AL14" s="13">
        <f>IF(Stock!AI10="","",Stock!AI10)</f>
        <v>194000000</v>
      </c>
      <c r="AM14" s="13">
        <f>IF(Stock!AJ10="","",Stock!AJ10)</f>
        <v>194000000</v>
      </c>
      <c r="AN14" s="13">
        <f>IF(Stock!AK10="","",Stock!AK10)</f>
        <v>194000000</v>
      </c>
      <c r="AO14" s="13">
        <f>IF(Stock!AL10="","",Stock!AL10)</f>
        <v>194000000</v>
      </c>
      <c r="AP14" s="13">
        <f>IF(Stock!AM10="","",Stock!AM10)</f>
        <v>194000000</v>
      </c>
      <c r="AQ14" s="13">
        <f>IF(Stock!AN10="","",Stock!AN10)</f>
        <v>194000000</v>
      </c>
      <c r="AR14" s="13">
        <f>IF(Stock!AO10="","",Stock!AO10)</f>
        <v>194000000</v>
      </c>
      <c r="AS14" s="13">
        <f>IF(Stock!AP10="","",Stock!AP10)</f>
        <v>194000000</v>
      </c>
      <c r="AT14" s="13">
        <f>IF(Stock!AQ10="","",Stock!AQ10)</f>
        <v>194000000</v>
      </c>
      <c r="AU14" s="13">
        <f>IF(Stock!AR10="","",Stock!AR10)</f>
        <v>194000000</v>
      </c>
      <c r="AV14" s="13">
        <f>IF(Stock!AS10="","",Stock!AS10)</f>
        <v>194000000</v>
      </c>
      <c r="AW14" s="13">
        <f>IF(Stock!AT10="","",Stock!AT10)</f>
        <v>194000000</v>
      </c>
      <c r="AX14" s="13">
        <f>IF(Stock!AU10="","",Stock!AU10)</f>
        <v>194000000</v>
      </c>
      <c r="AY14" s="13">
        <f>IF(Stock!AV10="","",Stock!AV10)</f>
        <v>194000000</v>
      </c>
      <c r="AZ14" s="13">
        <f>IF(Stock!AW10="","",Stock!AW10)</f>
        <v>194000000</v>
      </c>
      <c r="BA14" s="13">
        <f>IF(Stock!AX10="","",Stock!AX10)</f>
        <v>194000000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470000000</v>
      </c>
      <c r="P15" s="13">
        <f>IF(Stock!M11="","",Stock!M11)</f>
        <v>470000000</v>
      </c>
      <c r="Q15" s="13">
        <f>IF(Stock!N11="","",Stock!N11)</f>
        <v>470000000</v>
      </c>
      <c r="R15" s="13">
        <f>IF(Stock!O11="","",Stock!O11)</f>
        <v>470000000</v>
      </c>
      <c r="S15" s="13">
        <f>IF(Stock!P11="","",Stock!P11)</f>
        <v>470000000</v>
      </c>
      <c r="T15" s="13">
        <f>IF(Stock!Q11="","",Stock!Q11)</f>
        <v>470000000</v>
      </c>
      <c r="U15" s="13">
        <f>IF(Stock!R11="","",Stock!R11)</f>
        <v>470000000</v>
      </c>
      <c r="V15" s="13">
        <f>IF(Stock!S11="","",Stock!S11)</f>
        <v>470000000</v>
      </c>
      <c r="W15" s="13">
        <f>IF(Stock!T11="","",Stock!T11)</f>
        <v>470000000</v>
      </c>
      <c r="X15" s="13">
        <f>IF(Stock!U11="","",Stock!U11)</f>
        <v>470000000</v>
      </c>
      <c r="Y15" s="13">
        <f>IF(Stock!V11="","",Stock!V11)</f>
        <v>470000000</v>
      </c>
      <c r="Z15" s="13">
        <f>IF(Stock!W11="","",Stock!W11)</f>
        <v>470000000</v>
      </c>
      <c r="AA15" s="13">
        <f>IF(Stock!X11="","",Stock!X11)</f>
        <v>470000000</v>
      </c>
      <c r="AB15" s="13">
        <f>IF(Stock!Y11="","",Stock!Y11)</f>
        <v>470000000</v>
      </c>
      <c r="AC15" s="13">
        <f>IF(Stock!Z11="","",Stock!Z11)</f>
        <v>470000000</v>
      </c>
      <c r="AD15" s="13">
        <f>IF(Stock!AA11="","",Stock!AA11)</f>
        <v>470000000</v>
      </c>
      <c r="AE15" s="13">
        <f>IF(Stock!AB11="","",Stock!AB11)</f>
        <v>470000000</v>
      </c>
      <c r="AF15" s="13">
        <f>IF(Stock!AC11="","",Stock!AC11)</f>
        <v>470000000</v>
      </c>
      <c r="AG15" s="13">
        <f>IF(Stock!AD11="","",Stock!AD11)</f>
        <v>470000000</v>
      </c>
      <c r="AH15" s="13">
        <f>IF(Stock!AE11="","",Stock!AE11)</f>
        <v>470000000</v>
      </c>
      <c r="AI15" s="13">
        <f>IF(Stock!AF11="","",Stock!AF11)</f>
        <v>470000000</v>
      </c>
      <c r="AJ15" s="13">
        <f>IF(Stock!AG11="","",Stock!AG11)</f>
        <v>470000000</v>
      </c>
      <c r="AK15" s="13">
        <f>IF(Stock!AH11="","",Stock!AH11)</f>
        <v>470000000</v>
      </c>
      <c r="AL15" s="13">
        <f>IF(Stock!AI11="","",Stock!AI11)</f>
        <v>470000000</v>
      </c>
      <c r="AM15" s="13">
        <f>IF(Stock!AJ11="","",Stock!AJ11)</f>
        <v>470000000</v>
      </c>
      <c r="AN15" s="13">
        <f>IF(Stock!AK11="","",Stock!AK11)</f>
        <v>470000000</v>
      </c>
      <c r="AO15" s="13">
        <f>IF(Stock!AL11="","",Stock!AL11)</f>
        <v>470000000</v>
      </c>
      <c r="AP15" s="13">
        <f>IF(Stock!AM11="","",Stock!AM11)</f>
        <v>470000000</v>
      </c>
      <c r="AQ15" s="13">
        <f>IF(Stock!AN11="","",Stock!AN11)</f>
        <v>470000000</v>
      </c>
      <c r="AR15" s="13">
        <f>IF(Stock!AO11="","",Stock!AO11)</f>
        <v>470000000</v>
      </c>
      <c r="AS15" s="13">
        <f>IF(Stock!AP11="","",Stock!AP11)</f>
        <v>470000000</v>
      </c>
      <c r="AT15" s="13">
        <f>IF(Stock!AQ11="","",Stock!AQ11)</f>
        <v>470000000</v>
      </c>
      <c r="AU15" s="13">
        <f>IF(Stock!AR11="","",Stock!AR11)</f>
        <v>470000000</v>
      </c>
      <c r="AV15" s="13">
        <f>IF(Stock!AS11="","",Stock!AS11)</f>
        <v>470000000</v>
      </c>
      <c r="AW15" s="13">
        <f>IF(Stock!AT11="","",Stock!AT11)</f>
        <v>470000000</v>
      </c>
      <c r="AX15" s="13">
        <f>IF(Stock!AU11="","",Stock!AU11)</f>
        <v>470000000</v>
      </c>
      <c r="AY15" s="13">
        <f>IF(Stock!AV11="","",Stock!AV11)</f>
        <v>470000000</v>
      </c>
      <c r="AZ15" s="13">
        <f>IF(Stock!AW11="","",Stock!AW11)</f>
        <v>470000000</v>
      </c>
      <c r="BA15" s="13">
        <f>IF(Stock!AX11="","",Stock!AX11)</f>
        <v>470000000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505000000</v>
      </c>
      <c r="F16" s="13">
        <f>IF(Stock!C12="","",Stock!C12)</f>
        <v>505000000</v>
      </c>
      <c r="G16" s="13">
        <f>IF(Stock!D12="","",Stock!D12)</f>
        <v>505000000</v>
      </c>
      <c r="H16" s="13">
        <f>IF(Stock!E12="","",Stock!E12)</f>
        <v>505000000</v>
      </c>
      <c r="I16" s="13">
        <f>IF(Stock!F12="","",Stock!F12)</f>
        <v>505000000</v>
      </c>
      <c r="J16" s="13">
        <f>IF(Stock!G12="","",Stock!G12)</f>
        <v>1505000000</v>
      </c>
      <c r="K16" s="13">
        <f>IF(Stock!H12="","",Stock!H12)</f>
        <v>1505000000</v>
      </c>
      <c r="L16" s="13">
        <f>IF(Stock!I12="","",Stock!I12)</f>
        <v>1505000000</v>
      </c>
      <c r="M16" s="13">
        <f>IF(Stock!J12="","",Stock!J12)</f>
        <v>1505000000</v>
      </c>
      <c r="N16" s="13">
        <f>IF(Stock!K12="","",Stock!K12)</f>
        <v>1505000000</v>
      </c>
      <c r="O16" s="13">
        <f>IF(Stock!L12="","",Stock!L12)</f>
        <v>1505000000</v>
      </c>
      <c r="P16" s="13">
        <f>IF(Stock!M12="","",Stock!M12)</f>
        <v>1505000000</v>
      </c>
      <c r="Q16" s="13">
        <f>IF(Stock!N12="","",Stock!N12)</f>
        <v>1505000000</v>
      </c>
      <c r="R16" s="13">
        <f>IF(Stock!O12="","",Stock!O12)</f>
        <v>1505000000</v>
      </c>
      <c r="S16" s="13">
        <f>IF(Stock!P12="","",Stock!P12)</f>
        <v>1505000000</v>
      </c>
      <c r="T16" s="13">
        <f>IF(Stock!Q12="","",Stock!Q12)</f>
        <v>1505000000</v>
      </c>
      <c r="U16" s="13">
        <f>IF(Stock!R12="","",Stock!R12)</f>
        <v>1505000000</v>
      </c>
      <c r="V16" s="13">
        <f>IF(Stock!S12="","",Stock!S12)</f>
        <v>1505000000</v>
      </c>
      <c r="W16" s="13">
        <f>IF(Stock!T12="","",Stock!T12)</f>
        <v>1505000000</v>
      </c>
      <c r="X16" s="13">
        <f>IF(Stock!U12="","",Stock!U12)</f>
        <v>1505000000</v>
      </c>
      <c r="Y16" s="13">
        <f>IF(Stock!V12="","",Stock!V12)</f>
        <v>1505000000</v>
      </c>
      <c r="Z16" s="13">
        <f>IF(Stock!W12="","",Stock!W12)</f>
        <v>1505000000</v>
      </c>
      <c r="AA16" s="13">
        <f>IF(Stock!X12="","",Stock!X12)</f>
        <v>1505000000</v>
      </c>
      <c r="AB16" s="13">
        <f>IF(Stock!Y12="","",Stock!Y12)</f>
        <v>1505000000</v>
      </c>
      <c r="AC16" s="13">
        <f>IF(Stock!Z12="","",Stock!Z12)</f>
        <v>1505000000</v>
      </c>
      <c r="AD16" s="13">
        <f>IF(Stock!AA12="","",Stock!AA12)</f>
        <v>1505000000</v>
      </c>
      <c r="AE16" s="13">
        <f>IF(Stock!AB12="","",Stock!AB12)</f>
        <v>1505000000</v>
      </c>
      <c r="AF16" s="13">
        <f>IF(Stock!AC12="","",Stock!AC12)</f>
        <v>1505000000</v>
      </c>
      <c r="AG16" s="13">
        <f>IF(Stock!AD12="","",Stock!AD12)</f>
        <v>1505000000</v>
      </c>
      <c r="AH16" s="13">
        <f>IF(Stock!AE12="","",Stock!AE12)</f>
        <v>1505000000</v>
      </c>
      <c r="AI16" s="13">
        <f>IF(Stock!AF12="","",Stock!AF12)</f>
        <v>1505000000</v>
      </c>
      <c r="AJ16" s="13">
        <f>IF(Stock!AG12="","",Stock!AG12)</f>
        <v>1505000000</v>
      </c>
      <c r="AK16" s="13">
        <f>IF(Stock!AH12="","",Stock!AH12)</f>
        <v>1505000000</v>
      </c>
      <c r="AL16" s="13">
        <f>IF(Stock!AI12="","",Stock!AI12)</f>
        <v>1505000000</v>
      </c>
      <c r="AM16" s="13">
        <f>IF(Stock!AJ12="","",Stock!AJ12)</f>
        <v>1505000000</v>
      </c>
      <c r="AN16" s="13">
        <f>IF(Stock!AK12="","",Stock!AK12)</f>
        <v>1505000000</v>
      </c>
      <c r="AO16" s="13">
        <f>IF(Stock!AL12="","",Stock!AL12)</f>
        <v>1505000000</v>
      </c>
      <c r="AP16" s="13">
        <f>IF(Stock!AM12="","",Stock!AM12)</f>
        <v>1505000000</v>
      </c>
      <c r="AQ16" s="13">
        <f>IF(Stock!AN12="","",Stock!AN12)</f>
        <v>1505000000</v>
      </c>
      <c r="AR16" s="13">
        <f>IF(Stock!AO12="","",Stock!AO12)</f>
        <v>1505000000</v>
      </c>
      <c r="AS16" s="13">
        <f>IF(Stock!AP12="","",Stock!AP12)</f>
        <v>1505000000</v>
      </c>
      <c r="AT16" s="13">
        <f>IF(Stock!AQ12="","",Stock!AQ12)</f>
        <v>1505000000</v>
      </c>
      <c r="AU16" s="13">
        <f>IF(Stock!AR12="","",Stock!AR12)</f>
        <v>1505000000</v>
      </c>
      <c r="AV16" s="13">
        <f>IF(Stock!AS12="","",Stock!AS12)</f>
        <v>1505000000</v>
      </c>
      <c r="AW16" s="13">
        <f>IF(Stock!AT12="","",Stock!AT12)</f>
        <v>1505000000</v>
      </c>
      <c r="AX16" s="13">
        <f>IF(Stock!AU12="","",Stock!AU12)</f>
        <v>1505000000</v>
      </c>
      <c r="AY16" s="13">
        <f>IF(Stock!AV12="","",Stock!AV12)</f>
        <v>1505000000</v>
      </c>
      <c r="AZ16" s="13">
        <f>IF(Stock!AW12="","",Stock!AW12)</f>
        <v>1505000000</v>
      </c>
      <c r="BA16" s="13">
        <f>IF(Stock!AX12="","",Stock!AX12)</f>
        <v>1505000000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183000000</v>
      </c>
      <c r="F17" s="13">
        <f>IF(Stock!C13="","",Stock!C13)</f>
        <v>183000000</v>
      </c>
      <c r="G17" s="13">
        <f>IF(Stock!D13="","",Stock!D13)</f>
        <v>183000000</v>
      </c>
      <c r="H17" s="13">
        <f>IF(Stock!E13="","",Stock!E13)</f>
        <v>183000000</v>
      </c>
      <c r="I17" s="13">
        <f>IF(Stock!F13="","",Stock!F13)</f>
        <v>183000000</v>
      </c>
      <c r="J17" s="13">
        <f>IF(Stock!G13="","",Stock!G13)</f>
        <v>433000000</v>
      </c>
      <c r="K17" s="13">
        <f>IF(Stock!H13="","",Stock!H13)</f>
        <v>433000000</v>
      </c>
      <c r="L17" s="13">
        <f>IF(Stock!I13="","",Stock!I13)</f>
        <v>433000000</v>
      </c>
      <c r="M17" s="13">
        <f>IF(Stock!J13="","",Stock!J13)</f>
        <v>433000000</v>
      </c>
      <c r="N17" s="13">
        <f>IF(Stock!K13="","",Stock!K13)</f>
        <v>433000000</v>
      </c>
      <c r="O17" s="13">
        <f>IF(Stock!L13="","",Stock!L13)</f>
        <v>433000000</v>
      </c>
      <c r="P17" s="13">
        <f>IF(Stock!M13="","",Stock!M13)</f>
        <v>433000000</v>
      </c>
      <c r="Q17" s="13">
        <f>IF(Stock!N13="","",Stock!N13)</f>
        <v>433000000</v>
      </c>
      <c r="R17" s="13">
        <f>IF(Stock!O13="","",Stock!O13)</f>
        <v>433000000</v>
      </c>
      <c r="S17" s="13">
        <f>IF(Stock!P13="","",Stock!P13)</f>
        <v>433000000</v>
      </c>
      <c r="T17" s="13">
        <f>IF(Stock!Q13="","",Stock!Q13)</f>
        <v>433000000</v>
      </c>
      <c r="U17" s="13">
        <f>IF(Stock!R13="","",Stock!R13)</f>
        <v>433000000</v>
      </c>
      <c r="V17" s="13">
        <f>IF(Stock!S13="","",Stock!S13)</f>
        <v>433000000</v>
      </c>
      <c r="W17" s="13">
        <f>IF(Stock!T13="","",Stock!T13)</f>
        <v>433000000</v>
      </c>
      <c r="X17" s="13">
        <f>IF(Stock!U13="","",Stock!U13)</f>
        <v>433000000</v>
      </c>
      <c r="Y17" s="13">
        <f>IF(Stock!V13="","",Stock!V13)</f>
        <v>433000000</v>
      </c>
      <c r="Z17" s="13">
        <f>IF(Stock!W13="","",Stock!W13)</f>
        <v>433000000</v>
      </c>
      <c r="AA17" s="13">
        <f>IF(Stock!X13="","",Stock!X13)</f>
        <v>433000000</v>
      </c>
      <c r="AB17" s="13">
        <f>IF(Stock!Y13="","",Stock!Y13)</f>
        <v>433000000</v>
      </c>
      <c r="AC17" s="13">
        <f>IF(Stock!Z13="","",Stock!Z13)</f>
        <v>433000000</v>
      </c>
      <c r="AD17" s="13">
        <f>IF(Stock!AA13="","",Stock!AA13)</f>
        <v>433000000</v>
      </c>
      <c r="AE17" s="13">
        <f>IF(Stock!AB13="","",Stock!AB13)</f>
        <v>433000000</v>
      </c>
      <c r="AF17" s="13">
        <f>IF(Stock!AC13="","",Stock!AC13)</f>
        <v>433000000</v>
      </c>
      <c r="AG17" s="13">
        <f>IF(Stock!AD13="","",Stock!AD13)</f>
        <v>433000000</v>
      </c>
      <c r="AH17" s="13">
        <f>IF(Stock!AE13="","",Stock!AE13)</f>
        <v>433000000</v>
      </c>
      <c r="AI17" s="13">
        <f>IF(Stock!AF13="","",Stock!AF13)</f>
        <v>433000000</v>
      </c>
      <c r="AJ17" s="13">
        <f>IF(Stock!AG13="","",Stock!AG13)</f>
        <v>433000000</v>
      </c>
      <c r="AK17" s="13">
        <f>IF(Stock!AH13="","",Stock!AH13)</f>
        <v>433000000</v>
      </c>
      <c r="AL17" s="13">
        <f>IF(Stock!AI13="","",Stock!AI13)</f>
        <v>433000000</v>
      </c>
      <c r="AM17" s="13">
        <f>IF(Stock!AJ13="","",Stock!AJ13)</f>
        <v>433000000</v>
      </c>
      <c r="AN17" s="13">
        <f>IF(Stock!AK13="","",Stock!AK13)</f>
        <v>433000000</v>
      </c>
      <c r="AO17" s="13">
        <f>IF(Stock!AL13="","",Stock!AL13)</f>
        <v>433000000</v>
      </c>
      <c r="AP17" s="13">
        <f>IF(Stock!AM13="","",Stock!AM13)</f>
        <v>433000000</v>
      </c>
      <c r="AQ17" s="13">
        <f>IF(Stock!AN13="","",Stock!AN13)</f>
        <v>433000000</v>
      </c>
      <c r="AR17" s="13">
        <f>IF(Stock!AO13="","",Stock!AO13)</f>
        <v>433000000</v>
      </c>
      <c r="AS17" s="13">
        <f>IF(Stock!AP13="","",Stock!AP13)</f>
        <v>433000000</v>
      </c>
      <c r="AT17" s="13">
        <f>IF(Stock!AQ13="","",Stock!AQ13)</f>
        <v>433000000</v>
      </c>
      <c r="AU17" s="13">
        <f>IF(Stock!AR13="","",Stock!AR13)</f>
        <v>433000000</v>
      </c>
      <c r="AV17" s="13">
        <f>IF(Stock!AS13="","",Stock!AS13)</f>
        <v>433000000</v>
      </c>
      <c r="AW17" s="13">
        <f>IF(Stock!AT13="","",Stock!AT13)</f>
        <v>433000000</v>
      </c>
      <c r="AX17" s="13">
        <f>IF(Stock!AU13="","",Stock!AU13)</f>
        <v>433000000</v>
      </c>
      <c r="AY17" s="13">
        <f>IF(Stock!AV13="","",Stock!AV13)</f>
        <v>433000000</v>
      </c>
      <c r="AZ17" s="13">
        <f>IF(Stock!AW13="","",Stock!AW13)</f>
        <v>433000000</v>
      </c>
      <c r="BA17" s="13">
        <f>IF(Stock!AX13="","",Stock!AX13)</f>
        <v>433000000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685000000</v>
      </c>
      <c r="J18" s="13">
        <f>IF(Stock!G14="","",Stock!G14)</f>
        <v>685000000</v>
      </c>
      <c r="K18" s="13">
        <f>IF(Stock!H14="","",Stock!H14)</f>
        <v>685000000</v>
      </c>
      <c r="L18" s="13">
        <f>IF(Stock!I14="","",Stock!I14)</f>
        <v>685000000</v>
      </c>
      <c r="M18" s="13">
        <f>IF(Stock!J14="","",Stock!J14)</f>
        <v>685000000</v>
      </c>
      <c r="N18" s="13">
        <f>IF(Stock!K14="","",Stock!K14)</f>
        <v>685000000</v>
      </c>
      <c r="O18" s="13">
        <f>IF(Stock!L14="","",Stock!L14)</f>
        <v>685000000</v>
      </c>
      <c r="P18" s="13">
        <f>IF(Stock!M14="","",Stock!M14)</f>
        <v>685000000</v>
      </c>
      <c r="Q18" s="13">
        <f>IF(Stock!N14="","",Stock!N14)</f>
        <v>685000000</v>
      </c>
      <c r="R18" s="13">
        <f>IF(Stock!O14="","",Stock!O14)</f>
        <v>685000000</v>
      </c>
      <c r="S18" s="13">
        <f>IF(Stock!P14="","",Stock!P14)</f>
        <v>685000000</v>
      </c>
      <c r="T18" s="13">
        <f>IF(Stock!Q14="","",Stock!Q14)</f>
        <v>685000000</v>
      </c>
      <c r="U18" s="13">
        <f>IF(Stock!R14="","",Stock!R14)</f>
        <v>685000000</v>
      </c>
      <c r="V18" s="13">
        <f>IF(Stock!S14="","",Stock!S14)</f>
        <v>685000000</v>
      </c>
      <c r="W18" s="13">
        <f>IF(Stock!T14="","",Stock!T14)</f>
        <v>685000000</v>
      </c>
      <c r="X18" s="13">
        <f>IF(Stock!U14="","",Stock!U14)</f>
        <v>685000000</v>
      </c>
      <c r="Y18" s="13">
        <f>IF(Stock!V14="","",Stock!V14)</f>
        <v>685000000</v>
      </c>
      <c r="Z18" s="13">
        <f>IF(Stock!W14="","",Stock!W14)</f>
        <v>685000000</v>
      </c>
      <c r="AA18" s="13">
        <f>IF(Stock!X14="","",Stock!X14)</f>
        <v>685000000</v>
      </c>
      <c r="AB18" s="13">
        <f>IF(Stock!Y14="","",Stock!Y14)</f>
        <v>685000000</v>
      </c>
      <c r="AC18" s="13">
        <f>IF(Stock!Z14="","",Stock!Z14)</f>
        <v>685000000</v>
      </c>
      <c r="AD18" s="13">
        <f>IF(Stock!AA14="","",Stock!AA14)</f>
        <v>685000000</v>
      </c>
      <c r="AE18" s="13">
        <f>IF(Stock!AB14="","",Stock!AB14)</f>
        <v>685000000</v>
      </c>
      <c r="AF18" s="13">
        <f>IF(Stock!AC14="","",Stock!AC14)</f>
        <v>685000000</v>
      </c>
      <c r="AG18" s="13">
        <f>IF(Stock!AD14="","",Stock!AD14)</f>
        <v>685000000</v>
      </c>
      <c r="AH18" s="13">
        <f>IF(Stock!AE14="","",Stock!AE14)</f>
        <v>685000000</v>
      </c>
      <c r="AI18" s="13">
        <f>IF(Stock!AF14="","",Stock!AF14)</f>
        <v>685000000</v>
      </c>
      <c r="AJ18" s="13">
        <f>IF(Stock!AG14="","",Stock!AG14)</f>
        <v>685000000</v>
      </c>
      <c r="AK18" s="13">
        <f>IF(Stock!AH14="","",Stock!AH14)</f>
        <v>685000000</v>
      </c>
      <c r="AL18" s="13">
        <f>IF(Stock!AI14="","",Stock!AI14)</f>
        <v>685000000</v>
      </c>
      <c r="AM18" s="13">
        <f>IF(Stock!AJ14="","",Stock!AJ14)</f>
        <v>685000000</v>
      </c>
      <c r="AN18" s="13">
        <f>IF(Stock!AK14="","",Stock!AK14)</f>
        <v>685000000</v>
      </c>
      <c r="AO18" s="13">
        <f>IF(Stock!AL14="","",Stock!AL14)</f>
        <v>685000000</v>
      </c>
      <c r="AP18" s="13">
        <f>IF(Stock!AM14="","",Stock!AM14)</f>
        <v>685000000</v>
      </c>
      <c r="AQ18" s="13">
        <f>IF(Stock!AN14="","",Stock!AN14)</f>
        <v>685000000</v>
      </c>
      <c r="AR18" s="13">
        <f>IF(Stock!AO14="","",Stock!AO14)</f>
        <v>685000000</v>
      </c>
      <c r="AS18" s="13">
        <f>IF(Stock!AP14="","",Stock!AP14)</f>
        <v>685000000</v>
      </c>
      <c r="AT18" s="13">
        <f>IF(Stock!AQ14="","",Stock!AQ14)</f>
        <v>685000000</v>
      </c>
      <c r="AU18" s="13">
        <f>IF(Stock!AR14="","",Stock!AR14)</f>
        <v>685000000</v>
      </c>
      <c r="AV18" s="13">
        <f>IF(Stock!AS14="","",Stock!AS14)</f>
        <v>685000000</v>
      </c>
      <c r="AW18" s="13">
        <f>IF(Stock!AT14="","",Stock!AT14)</f>
        <v>685000000</v>
      </c>
      <c r="AX18" s="13">
        <f>IF(Stock!AU14="","",Stock!AU14)</f>
        <v>685000000</v>
      </c>
      <c r="AY18" s="13">
        <f>IF(Stock!AV14="","",Stock!AV14)</f>
        <v>685000000</v>
      </c>
      <c r="AZ18" s="13">
        <f>IF(Stock!AW14="","",Stock!AW14)</f>
        <v>685000000</v>
      </c>
      <c r="BA18" s="13">
        <f>IF(Stock!AX14="","",Stock!AX14)</f>
        <v>685000000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637000000</v>
      </c>
      <c r="F19" s="13">
        <f>IF(Stock!C15="","",Stock!C15)</f>
        <v>637000000</v>
      </c>
      <c r="G19" s="13">
        <f>IF(Stock!D15="","",Stock!D15)</f>
        <v>637000000</v>
      </c>
      <c r="H19" s="13">
        <f>IF(Stock!E15="","",Stock!E15)</f>
        <v>1137000000</v>
      </c>
      <c r="I19" s="13">
        <f>IF(Stock!F15="","",Stock!F15)</f>
        <v>1137000000</v>
      </c>
      <c r="J19" s="13">
        <f>IF(Stock!G15="","",Stock!G15)</f>
        <v>1137000000</v>
      </c>
      <c r="K19" s="13">
        <f>IF(Stock!H15="","",Stock!H15)</f>
        <v>1137000000</v>
      </c>
      <c r="L19" s="13">
        <f>IF(Stock!I15="","",Stock!I15)</f>
        <v>1137000000</v>
      </c>
      <c r="M19" s="13">
        <f>IF(Stock!J15="","",Stock!J15)</f>
        <v>1137000000</v>
      </c>
      <c r="N19" s="13">
        <f>IF(Stock!K15="","",Stock!K15)</f>
        <v>1137000000</v>
      </c>
      <c r="O19" s="13">
        <f>IF(Stock!L15="","",Stock!L15)</f>
        <v>1137000000</v>
      </c>
      <c r="P19" s="13">
        <f>IF(Stock!M15="","",Stock!M15)</f>
        <v>1137000000</v>
      </c>
      <c r="Q19" s="13">
        <f>IF(Stock!N15="","",Stock!N15)</f>
        <v>1137000000</v>
      </c>
      <c r="R19" s="13">
        <f>IF(Stock!O15="","",Stock!O15)</f>
        <v>1137000000</v>
      </c>
      <c r="S19" s="13">
        <f>IF(Stock!P15="","",Stock!P15)</f>
        <v>1137000000</v>
      </c>
      <c r="T19" s="13">
        <f>IF(Stock!Q15="","",Stock!Q15)</f>
        <v>1137000000</v>
      </c>
      <c r="U19" s="13">
        <f>IF(Stock!R15="","",Stock!R15)</f>
        <v>1137000000</v>
      </c>
      <c r="V19" s="13">
        <f>IF(Stock!S15="","",Stock!S15)</f>
        <v>1137000000</v>
      </c>
      <c r="W19" s="13">
        <f>IF(Stock!T15="","",Stock!T15)</f>
        <v>1137000000</v>
      </c>
      <c r="X19" s="13">
        <f>IF(Stock!U15="","",Stock!U15)</f>
        <v>1137000000</v>
      </c>
      <c r="Y19" s="13">
        <f>IF(Stock!V15="","",Stock!V15)</f>
        <v>1137000000</v>
      </c>
      <c r="Z19" s="13">
        <f>IF(Stock!W15="","",Stock!W15)</f>
        <v>1137000000</v>
      </c>
      <c r="AA19" s="13">
        <f>IF(Stock!X15="","",Stock!X15)</f>
        <v>1137000000</v>
      </c>
      <c r="AB19" s="13">
        <f>IF(Stock!Y15="","",Stock!Y15)</f>
        <v>1137000000</v>
      </c>
      <c r="AC19" s="13">
        <f>IF(Stock!Z15="","",Stock!Z15)</f>
        <v>1137000000</v>
      </c>
      <c r="AD19" s="13">
        <f>IF(Stock!AA15="","",Stock!AA15)</f>
        <v>1137000000</v>
      </c>
      <c r="AE19" s="13">
        <f>IF(Stock!AB15="","",Stock!AB15)</f>
        <v>1137000000</v>
      </c>
      <c r="AF19" s="13">
        <f>IF(Stock!AC15="","",Stock!AC15)</f>
        <v>1137000000</v>
      </c>
      <c r="AG19" s="13">
        <f>IF(Stock!AD15="","",Stock!AD15)</f>
        <v>1137000000</v>
      </c>
      <c r="AH19" s="13">
        <f>IF(Stock!AE15="","",Stock!AE15)</f>
        <v>1137000000</v>
      </c>
      <c r="AI19" s="13">
        <f>IF(Stock!AF15="","",Stock!AF15)</f>
        <v>1137000000</v>
      </c>
      <c r="AJ19" s="13">
        <f>IF(Stock!AG15="","",Stock!AG15)</f>
        <v>1137000000</v>
      </c>
      <c r="AK19" s="13">
        <f>IF(Stock!AH15="","",Stock!AH15)</f>
        <v>1137000000</v>
      </c>
      <c r="AL19" s="13">
        <f>IF(Stock!AI15="","",Stock!AI15)</f>
        <v>1137000000</v>
      </c>
      <c r="AM19" s="13">
        <f>IF(Stock!AJ15="","",Stock!AJ15)</f>
        <v>1137000000</v>
      </c>
      <c r="AN19" s="13">
        <f>IF(Stock!AK15="","",Stock!AK15)</f>
        <v>1137000000</v>
      </c>
      <c r="AO19" s="13">
        <f>IF(Stock!AL15="","",Stock!AL15)</f>
        <v>1137000000</v>
      </c>
      <c r="AP19" s="13">
        <f>IF(Stock!AM15="","",Stock!AM15)</f>
        <v>1137000000</v>
      </c>
      <c r="AQ19" s="13">
        <f>IF(Stock!AN15="","",Stock!AN15)</f>
        <v>1137000000</v>
      </c>
      <c r="AR19" s="13">
        <f>IF(Stock!AO15="","",Stock!AO15)</f>
        <v>1137000000</v>
      </c>
      <c r="AS19" s="13">
        <f>IF(Stock!AP15="","",Stock!AP15)</f>
        <v>1137000000</v>
      </c>
      <c r="AT19" s="13">
        <f>IF(Stock!AQ15="","",Stock!AQ15)</f>
        <v>1137000000</v>
      </c>
      <c r="AU19" s="13">
        <f>IF(Stock!AR15="","",Stock!AR15)</f>
        <v>1137000000</v>
      </c>
      <c r="AV19" s="13">
        <f>IF(Stock!AS15="","",Stock!AS15)</f>
        <v>1137000000</v>
      </c>
      <c r="AW19" s="13">
        <f>IF(Stock!AT15="","",Stock!AT15)</f>
        <v>1137000000</v>
      </c>
      <c r="AX19" s="13">
        <f>IF(Stock!AU15="","",Stock!AU15)</f>
        <v>1137000000</v>
      </c>
      <c r="AY19" s="13">
        <f>IF(Stock!AV15="","",Stock!AV15)</f>
        <v>1137000000</v>
      </c>
      <c r="AZ19" s="13">
        <f>IF(Stock!AW15="","",Stock!AW15)</f>
        <v>1137000000</v>
      </c>
      <c r="BA19" s="13">
        <f>IF(Stock!AX15="","",Stock!AX15)</f>
        <v>1137000000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208000000</v>
      </c>
      <c r="F20" s="13">
        <f>IF(Stock!C16="","",Stock!C16)</f>
        <v>208000000</v>
      </c>
      <c r="G20" s="13">
        <f>IF(Stock!D16="","",Stock!D16)</f>
        <v>208000000</v>
      </c>
      <c r="H20" s="13">
        <f>IF(Stock!E16="","",Stock!E16)</f>
        <v>208000000</v>
      </c>
      <c r="I20" s="13">
        <f>IF(Stock!F16="","",Stock!F16)</f>
        <v>208000000</v>
      </c>
      <c r="J20" s="13">
        <f>IF(Stock!G16="","",Stock!G16)</f>
        <v>208000000</v>
      </c>
      <c r="K20" s="13">
        <f>IF(Stock!H16="","",Stock!H16)</f>
        <v>208000000</v>
      </c>
      <c r="L20" s="13">
        <f>IF(Stock!I16="","",Stock!I16)</f>
        <v>208000000</v>
      </c>
      <c r="M20" s="13">
        <f>IF(Stock!J16="","",Stock!J16)</f>
        <v>1046000000</v>
      </c>
      <c r="N20" s="13">
        <f>IF(Stock!K16="","",Stock!K16)</f>
        <v>1046000000</v>
      </c>
      <c r="O20" s="13">
        <f>IF(Stock!L16="","",Stock!L16)</f>
        <v>1046000000</v>
      </c>
      <c r="P20" s="13">
        <f>IF(Stock!M16="","",Stock!M16)</f>
        <v>1046000000</v>
      </c>
      <c r="Q20" s="13">
        <f>IF(Stock!N16="","",Stock!N16)</f>
        <v>1046000000</v>
      </c>
      <c r="R20" s="13">
        <f>IF(Stock!O16="","",Stock!O16)</f>
        <v>1046000000</v>
      </c>
      <c r="S20" s="13">
        <f>IF(Stock!P16="","",Stock!P16)</f>
        <v>1046000000</v>
      </c>
      <c r="T20" s="13">
        <f>IF(Stock!Q16="","",Stock!Q16)</f>
        <v>1046000000</v>
      </c>
      <c r="U20" s="13">
        <f>IF(Stock!R16="","",Stock!R16)</f>
        <v>1046000000</v>
      </c>
      <c r="V20" s="13">
        <f>IF(Stock!S16="","",Stock!S16)</f>
        <v>1046000000</v>
      </c>
      <c r="W20" s="13">
        <f>IF(Stock!T16="","",Stock!T16)</f>
        <v>1046000000</v>
      </c>
      <c r="X20" s="13">
        <f>IF(Stock!U16="","",Stock!U16)</f>
        <v>1046000000</v>
      </c>
      <c r="Y20" s="13">
        <f>IF(Stock!V16="","",Stock!V16)</f>
        <v>1046000000</v>
      </c>
      <c r="Z20" s="13">
        <f>IF(Stock!W16="","",Stock!W16)</f>
        <v>1046000000</v>
      </c>
      <c r="AA20" s="13">
        <f>IF(Stock!X16="","",Stock!X16)</f>
        <v>1046000000</v>
      </c>
      <c r="AB20" s="13">
        <f>IF(Stock!Y16="","",Stock!Y16)</f>
        <v>1046000000</v>
      </c>
      <c r="AC20" s="13">
        <f>IF(Stock!Z16="","",Stock!Z16)</f>
        <v>1046000000</v>
      </c>
      <c r="AD20" s="13">
        <f>IF(Stock!AA16="","",Stock!AA16)</f>
        <v>1046000000</v>
      </c>
      <c r="AE20" s="13">
        <f>IF(Stock!AB16="","",Stock!AB16)</f>
        <v>1046000000</v>
      </c>
      <c r="AF20" s="13">
        <f>IF(Stock!AC16="","",Stock!AC16)</f>
        <v>1046000000</v>
      </c>
      <c r="AG20" s="13">
        <f>IF(Stock!AD16="","",Stock!AD16)</f>
        <v>1046000000</v>
      </c>
      <c r="AH20" s="13">
        <f>IF(Stock!AE16="","",Stock!AE16)</f>
        <v>1046000000</v>
      </c>
      <c r="AI20" s="13">
        <f>IF(Stock!AF16="","",Stock!AF16)</f>
        <v>1046000000</v>
      </c>
      <c r="AJ20" s="13">
        <f>IF(Stock!AG16="","",Stock!AG16)</f>
        <v>1046000000</v>
      </c>
      <c r="AK20" s="13">
        <f>IF(Stock!AH16="","",Stock!AH16)</f>
        <v>1046000000</v>
      </c>
      <c r="AL20" s="13">
        <f>IF(Stock!AI16="","",Stock!AI16)</f>
        <v>1046000000</v>
      </c>
      <c r="AM20" s="13">
        <f>IF(Stock!AJ16="","",Stock!AJ16)</f>
        <v>1046000000</v>
      </c>
      <c r="AN20" s="13">
        <f>IF(Stock!AK16="","",Stock!AK16)</f>
        <v>1046000000</v>
      </c>
      <c r="AO20" s="13">
        <f>IF(Stock!AL16="","",Stock!AL16)</f>
        <v>1046000000</v>
      </c>
      <c r="AP20" s="13">
        <f>IF(Stock!AM16="","",Stock!AM16)</f>
        <v>1046000000</v>
      </c>
      <c r="AQ20" s="13">
        <f>IF(Stock!AN16="","",Stock!AN16)</f>
        <v>1046000000</v>
      </c>
      <c r="AR20" s="13">
        <f>IF(Stock!AO16="","",Stock!AO16)</f>
        <v>1046000000</v>
      </c>
      <c r="AS20" s="13">
        <f>IF(Stock!AP16="","",Stock!AP16)</f>
        <v>1046000000</v>
      </c>
      <c r="AT20" s="13">
        <f>IF(Stock!AQ16="","",Stock!AQ16)</f>
        <v>1046000000</v>
      </c>
      <c r="AU20" s="13">
        <f>IF(Stock!AR16="","",Stock!AR16)</f>
        <v>1046000000</v>
      </c>
      <c r="AV20" s="13">
        <f>IF(Stock!AS16="","",Stock!AS16)</f>
        <v>1046000000</v>
      </c>
      <c r="AW20" s="13">
        <f>IF(Stock!AT16="","",Stock!AT16)</f>
        <v>1046000000</v>
      </c>
      <c r="AX20" s="13">
        <f>IF(Stock!AU16="","",Stock!AU16)</f>
        <v>1046000000</v>
      </c>
      <c r="AY20" s="13">
        <f>IF(Stock!AV16="","",Stock!AV16)</f>
        <v>1046000000</v>
      </c>
      <c r="AZ20" s="13">
        <f>IF(Stock!AW16="","",Stock!AW16)</f>
        <v>1046000000</v>
      </c>
      <c r="BA20" s="13">
        <f>IF(Stock!AX16="","",Stock!AX16)</f>
        <v>1046000000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312000000</v>
      </c>
      <c r="F21" s="13">
        <f>IF(Stock!C17="","",Stock!C17)</f>
        <v>312000000</v>
      </c>
      <c r="G21" s="13">
        <f>IF(Stock!D17="","",Stock!D17)</f>
        <v>312000000</v>
      </c>
      <c r="H21" s="13">
        <f>IF(Stock!E17="","",Stock!E17)</f>
        <v>312000000</v>
      </c>
      <c r="I21" s="13">
        <f>IF(Stock!F17="","",Stock!F17)</f>
        <v>312000000</v>
      </c>
      <c r="J21" s="13">
        <f>IF(Stock!G17="","",Stock!G17)</f>
        <v>312000000</v>
      </c>
      <c r="K21" s="13">
        <f>IF(Stock!H17="","",Stock!H17)</f>
        <v>312000000</v>
      </c>
      <c r="L21" s="13">
        <f>IF(Stock!I17="","",Stock!I17)</f>
        <v>312000000</v>
      </c>
      <c r="M21" s="13">
        <f>IF(Stock!J17="","",Stock!J17)</f>
        <v>312000000</v>
      </c>
      <c r="N21" s="13">
        <f>IF(Stock!K17="","",Stock!K17)</f>
        <v>312000000</v>
      </c>
      <c r="O21" s="13">
        <f>IF(Stock!L17="","",Stock!L17)</f>
        <v>312000000</v>
      </c>
      <c r="P21" s="13">
        <f>IF(Stock!M17="","",Stock!M17)</f>
        <v>312000000</v>
      </c>
      <c r="Q21" s="13">
        <f>IF(Stock!N17="","",Stock!N17)</f>
        <v>312000000</v>
      </c>
      <c r="R21" s="13">
        <f>IF(Stock!O17="","",Stock!O17)</f>
        <v>312000000</v>
      </c>
      <c r="S21" s="13">
        <f>IF(Stock!P17="","",Stock!P17)</f>
        <v>312000000</v>
      </c>
      <c r="T21" s="13">
        <f>IF(Stock!Q17="","",Stock!Q17)</f>
        <v>312000000</v>
      </c>
      <c r="U21" s="13">
        <f>IF(Stock!R17="","",Stock!R17)</f>
        <v>312000000</v>
      </c>
      <c r="V21" s="13">
        <f>IF(Stock!S17="","",Stock!S17)</f>
        <v>312000000</v>
      </c>
      <c r="W21" s="13">
        <f>IF(Stock!T17="","",Stock!T17)</f>
        <v>312000000</v>
      </c>
      <c r="X21" s="13">
        <f>IF(Stock!U17="","",Stock!U17)</f>
        <v>312000000</v>
      </c>
      <c r="Y21" s="13">
        <f>IF(Stock!V17="","",Stock!V17)</f>
        <v>312000000</v>
      </c>
      <c r="Z21" s="13">
        <f>IF(Stock!W17="","",Stock!W17)</f>
        <v>312000000</v>
      </c>
      <c r="AA21" s="13">
        <f>IF(Stock!X17="","",Stock!X17)</f>
        <v>312000000</v>
      </c>
      <c r="AB21" s="13">
        <f>IF(Stock!Y17="","",Stock!Y17)</f>
        <v>312000000</v>
      </c>
      <c r="AC21" s="13">
        <f>IF(Stock!Z17="","",Stock!Z17)</f>
        <v>312000000</v>
      </c>
      <c r="AD21" s="13">
        <f>IF(Stock!AA17="","",Stock!AA17)</f>
        <v>312000000</v>
      </c>
      <c r="AE21" s="13">
        <f>IF(Stock!AB17="","",Stock!AB17)</f>
        <v>312000000</v>
      </c>
      <c r="AF21" s="13">
        <f>IF(Stock!AC17="","",Stock!AC17)</f>
        <v>312000000</v>
      </c>
      <c r="AG21" s="13">
        <f>IF(Stock!AD17="","",Stock!AD17)</f>
        <v>312000000</v>
      </c>
      <c r="AH21" s="13">
        <f>IF(Stock!AE17="","",Stock!AE17)</f>
        <v>312000000</v>
      </c>
      <c r="AI21" s="13">
        <f>IF(Stock!AF17="","",Stock!AF17)</f>
        <v>312000000</v>
      </c>
      <c r="AJ21" s="13">
        <f>IF(Stock!AG17="","",Stock!AG17)</f>
        <v>312000000</v>
      </c>
      <c r="AK21" s="13">
        <f>IF(Stock!AH17="","",Stock!AH17)</f>
        <v>312000000</v>
      </c>
      <c r="AL21" s="13">
        <f>IF(Stock!AI17="","",Stock!AI17)</f>
        <v>312000000</v>
      </c>
      <c r="AM21" s="13">
        <f>IF(Stock!AJ17="","",Stock!AJ17)</f>
        <v>312000000</v>
      </c>
      <c r="AN21" s="13">
        <f>IF(Stock!AK17="","",Stock!AK17)</f>
        <v>312000000</v>
      </c>
      <c r="AO21" s="13">
        <f>IF(Stock!AL17="","",Stock!AL17)</f>
        <v>312000000</v>
      </c>
      <c r="AP21" s="13">
        <f>IF(Stock!AM17="","",Stock!AM17)</f>
        <v>312000000</v>
      </c>
      <c r="AQ21" s="13">
        <f>IF(Stock!AN17="","",Stock!AN17)</f>
        <v>312000000</v>
      </c>
      <c r="AR21" s="13">
        <f>IF(Stock!AO17="","",Stock!AO17)</f>
        <v>312000000</v>
      </c>
      <c r="AS21" s="13">
        <f>IF(Stock!AP17="","",Stock!AP17)</f>
        <v>312000000</v>
      </c>
      <c r="AT21" s="13">
        <f>IF(Stock!AQ17="","",Stock!AQ17)</f>
        <v>312000000</v>
      </c>
      <c r="AU21" s="13">
        <f>IF(Stock!AR17="","",Stock!AR17)</f>
        <v>312000000</v>
      </c>
      <c r="AV21" s="13">
        <f>IF(Stock!AS17="","",Stock!AS17)</f>
        <v>312000000</v>
      </c>
      <c r="AW21" s="13">
        <f>IF(Stock!AT17="","",Stock!AT17)</f>
        <v>312000000</v>
      </c>
      <c r="AX21" s="13">
        <f>IF(Stock!AU17="","",Stock!AU17)</f>
        <v>312000000</v>
      </c>
      <c r="AY21" s="13">
        <f>IF(Stock!AV17="","",Stock!AV17)</f>
        <v>312000000</v>
      </c>
      <c r="AZ21" s="13">
        <f>IF(Stock!AW17="","",Stock!AW17)</f>
        <v>312000000</v>
      </c>
      <c r="BA21" s="13">
        <f>IF(Stock!AX17="","",Stock!AX17)</f>
        <v>312000000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>
        <f>IF(Stock!C18="","",Stock!C18)</f>
        <v>211000000</v>
      </c>
      <c r="G22" s="13">
        <f>IF(Stock!D18="","",Stock!D18)</f>
        <v>211000000</v>
      </c>
      <c r="H22" s="13">
        <f>IF(Stock!E18="","",Stock!E18)</f>
        <v>211000000</v>
      </c>
      <c r="I22" s="13">
        <f>IF(Stock!F18="","",Stock!F18)</f>
        <v>211000000</v>
      </c>
      <c r="J22" s="13">
        <f>IF(Stock!G18="","",Stock!G18)</f>
        <v>211000000</v>
      </c>
      <c r="K22" s="13">
        <f>IF(Stock!H18="","",Stock!H18)</f>
        <v>211000000</v>
      </c>
      <c r="L22" s="13">
        <f>IF(Stock!I18="","",Stock!I18)</f>
        <v>211000000</v>
      </c>
      <c r="M22" s="13">
        <f>IF(Stock!J18="","",Stock!J18)</f>
        <v>211000000</v>
      </c>
      <c r="N22" s="13">
        <f>IF(Stock!K18="","",Stock!K18)</f>
        <v>211000000</v>
      </c>
      <c r="O22" s="13">
        <f>IF(Stock!L18="","",Stock!L18)</f>
        <v>211000000</v>
      </c>
      <c r="P22" s="13">
        <f>IF(Stock!M18="","",Stock!M18)</f>
        <v>211000000</v>
      </c>
      <c r="Q22" s="13">
        <f>IF(Stock!N18="","",Stock!N18)</f>
        <v>211000000</v>
      </c>
      <c r="R22" s="13">
        <f>IF(Stock!O18="","",Stock!O18)</f>
        <v>211000000</v>
      </c>
      <c r="S22" s="13">
        <f>IF(Stock!P18="","",Stock!P18)</f>
        <v>211000000</v>
      </c>
      <c r="T22" s="13">
        <f>IF(Stock!Q18="","",Stock!Q18)</f>
        <v>211000000</v>
      </c>
      <c r="U22" s="13">
        <f>IF(Stock!R18="","",Stock!R18)</f>
        <v>211000000</v>
      </c>
      <c r="V22" s="13">
        <f>IF(Stock!S18="","",Stock!S18)</f>
        <v>211000000</v>
      </c>
      <c r="W22" s="13">
        <f>IF(Stock!T18="","",Stock!T18)</f>
        <v>211000000</v>
      </c>
      <c r="X22" s="13">
        <f>IF(Stock!U18="","",Stock!U18)</f>
        <v>211000000</v>
      </c>
      <c r="Y22" s="13">
        <f>IF(Stock!V18="","",Stock!V18)</f>
        <v>211000000</v>
      </c>
      <c r="Z22" s="13">
        <f>IF(Stock!W18="","",Stock!W18)</f>
        <v>211000000</v>
      </c>
      <c r="AA22" s="13">
        <f>IF(Stock!X18="","",Stock!X18)</f>
        <v>211000000</v>
      </c>
      <c r="AB22" s="13">
        <f>IF(Stock!Y18="","",Stock!Y18)</f>
        <v>211000000</v>
      </c>
      <c r="AC22" s="13">
        <f>IF(Stock!Z18="","",Stock!Z18)</f>
        <v>211000000</v>
      </c>
      <c r="AD22" s="13">
        <f>IF(Stock!AA18="","",Stock!AA18)</f>
        <v>211000000</v>
      </c>
      <c r="AE22" s="13">
        <f>IF(Stock!AB18="","",Stock!AB18)</f>
        <v>211000000</v>
      </c>
      <c r="AF22" s="13">
        <f>IF(Stock!AC18="","",Stock!AC18)</f>
        <v>211000000</v>
      </c>
      <c r="AG22" s="13">
        <f>IF(Stock!AD18="","",Stock!AD18)</f>
        <v>211000000</v>
      </c>
      <c r="AH22" s="13">
        <f>IF(Stock!AE18="","",Stock!AE18)</f>
        <v>211000000</v>
      </c>
      <c r="AI22" s="13">
        <f>IF(Stock!AF18="","",Stock!AF18)</f>
        <v>211000000</v>
      </c>
      <c r="AJ22" s="13">
        <f>IF(Stock!AG18="","",Stock!AG18)</f>
        <v>211000000</v>
      </c>
      <c r="AK22" s="13">
        <f>IF(Stock!AH18="","",Stock!AH18)</f>
        <v>211000000</v>
      </c>
      <c r="AL22" s="13">
        <f>IF(Stock!AI18="","",Stock!AI18)</f>
        <v>211000000</v>
      </c>
      <c r="AM22" s="13">
        <f>IF(Stock!AJ18="","",Stock!AJ18)</f>
        <v>211000000</v>
      </c>
      <c r="AN22" s="13">
        <f>IF(Stock!AK18="","",Stock!AK18)</f>
        <v>211000000</v>
      </c>
      <c r="AO22" s="13">
        <f>IF(Stock!AL18="","",Stock!AL18)</f>
        <v>211000000</v>
      </c>
      <c r="AP22" s="13">
        <f>IF(Stock!AM18="","",Stock!AM18)</f>
        <v>211000000</v>
      </c>
      <c r="AQ22" s="13">
        <f>IF(Stock!AN18="","",Stock!AN18)</f>
        <v>211000000</v>
      </c>
      <c r="AR22" s="13">
        <f>IF(Stock!AO18="","",Stock!AO18)</f>
        <v>211000000</v>
      </c>
      <c r="AS22" s="13">
        <f>IF(Stock!AP18="","",Stock!AP18)</f>
        <v>211000000</v>
      </c>
      <c r="AT22" s="13">
        <f>IF(Stock!AQ18="","",Stock!AQ18)</f>
        <v>211000000</v>
      </c>
      <c r="AU22" s="13">
        <f>IF(Stock!AR18="","",Stock!AR18)</f>
        <v>211000000</v>
      </c>
      <c r="AV22" s="13">
        <f>IF(Stock!AS18="","",Stock!AS18)</f>
        <v>211000000</v>
      </c>
      <c r="AW22" s="13">
        <f>IF(Stock!AT18="","",Stock!AT18)</f>
        <v>211000000</v>
      </c>
      <c r="AX22" s="13">
        <f>IF(Stock!AU18="","",Stock!AU18)</f>
        <v>211000000</v>
      </c>
      <c r="AY22" s="13">
        <f>IF(Stock!AV18="","",Stock!AV18)</f>
        <v>211000000</v>
      </c>
      <c r="AZ22" s="13">
        <f>IF(Stock!AW18="","",Stock!AW18)</f>
        <v>211000000</v>
      </c>
      <c r="BA22" s="13">
        <f>IF(Stock!AX18="","",Stock!AX18)</f>
        <v>211000000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33000000</v>
      </c>
      <c r="F27" s="13">
        <f>IF(Stock!C23="","",Stock!C23)</f>
        <v>33000000</v>
      </c>
      <c r="G27" s="13">
        <f>IF(Stock!D23="","",Stock!D23)</f>
        <v>33000000</v>
      </c>
      <c r="H27" s="13">
        <f>IF(Stock!E23="","",Stock!E23)</f>
        <v>33000000</v>
      </c>
      <c r="I27" s="13">
        <f>IF(Stock!F23="","",Stock!F23)</f>
        <v>33000000</v>
      </c>
      <c r="J27" s="13">
        <f>IF(Stock!G23="","",Stock!G23)</f>
        <v>33000000</v>
      </c>
      <c r="K27" s="13">
        <f>IF(Stock!H23="","",Stock!H23)</f>
        <v>33000000</v>
      </c>
      <c r="L27" s="13">
        <f>IF(Stock!I23="","",Stock!I23)</f>
        <v>33000000</v>
      </c>
      <c r="M27" s="13">
        <f>IF(Stock!J23="","",Stock!J23)</f>
        <v>33000000</v>
      </c>
      <c r="N27" s="13">
        <f>IF(Stock!K23="","",Stock!K23)</f>
        <v>33000000</v>
      </c>
      <c r="O27" s="13">
        <f>IF(Stock!L23="","",Stock!L23)</f>
        <v>33000000</v>
      </c>
      <c r="P27" s="13">
        <f>IF(Stock!M23="","",Stock!M23)</f>
        <v>33000000</v>
      </c>
      <c r="Q27" s="13">
        <f>IF(Stock!N23="","",Stock!N23)</f>
        <v>33000000</v>
      </c>
      <c r="R27" s="13">
        <f>IF(Stock!O23="","",Stock!O23)</f>
        <v>33000000</v>
      </c>
      <c r="S27" s="13">
        <f>IF(Stock!P23="","",Stock!P23)</f>
        <v>33000000</v>
      </c>
      <c r="T27" s="13">
        <f>IF(Stock!Q23="","",Stock!Q23)</f>
        <v>33000000</v>
      </c>
      <c r="U27" s="13">
        <f>IF(Stock!R23="","",Stock!R23)</f>
        <v>33000000</v>
      </c>
      <c r="V27" s="13">
        <f>IF(Stock!S23="","",Stock!S23)</f>
        <v>33000000</v>
      </c>
      <c r="W27" s="13">
        <f>IF(Stock!T23="","",Stock!T23)</f>
        <v>33000000</v>
      </c>
      <c r="X27" s="13">
        <f>IF(Stock!U23="","",Stock!U23)</f>
        <v>33000000</v>
      </c>
      <c r="Y27" s="13">
        <f>IF(Stock!V23="","",Stock!V23)</f>
        <v>33000000</v>
      </c>
      <c r="Z27" s="13">
        <f>IF(Stock!W23="","",Stock!W23)</f>
        <v>33000000</v>
      </c>
      <c r="AA27" s="13">
        <f>IF(Stock!X23="","",Stock!X23)</f>
        <v>33000000</v>
      </c>
      <c r="AB27" s="13">
        <f>IF(Stock!Y23="","",Stock!Y23)</f>
        <v>33000000</v>
      </c>
      <c r="AC27" s="13">
        <f>IF(Stock!Z23="","",Stock!Z23)</f>
        <v>33000000</v>
      </c>
      <c r="AD27" s="13">
        <f>IF(Stock!AA23="","",Stock!AA23)</f>
        <v>33000000</v>
      </c>
      <c r="AE27" s="13">
        <f>IF(Stock!AB23="","",Stock!AB23)</f>
        <v>33000000</v>
      </c>
      <c r="AF27" s="13">
        <f>IF(Stock!AC23="","",Stock!AC23)</f>
        <v>33000000</v>
      </c>
      <c r="AG27" s="13">
        <f>IF(Stock!AD23="","",Stock!AD23)</f>
        <v>33000000</v>
      </c>
      <c r="AH27" s="13">
        <f>IF(Stock!AE23="","",Stock!AE23)</f>
        <v>33000000</v>
      </c>
      <c r="AI27" s="13">
        <f>IF(Stock!AF23="","",Stock!AF23)</f>
        <v>33000000</v>
      </c>
      <c r="AJ27" s="13">
        <f>IF(Stock!AG23="","",Stock!AG23)</f>
        <v>33000000</v>
      </c>
      <c r="AK27" s="13">
        <f>IF(Stock!AH23="","",Stock!AH23)</f>
        <v>33000000</v>
      </c>
      <c r="AL27" s="13">
        <f>IF(Stock!AI23="","",Stock!AI23)</f>
        <v>33000000</v>
      </c>
      <c r="AM27" s="13">
        <f>IF(Stock!AJ23="","",Stock!AJ23)</f>
        <v>33000000</v>
      </c>
      <c r="AN27" s="13">
        <f>IF(Stock!AK23="","",Stock!AK23)</f>
        <v>33000000</v>
      </c>
      <c r="AO27" s="13">
        <f>IF(Stock!AL23="","",Stock!AL23)</f>
        <v>33000000</v>
      </c>
      <c r="AP27" s="13">
        <f>IF(Stock!AM23="","",Stock!AM23)</f>
        <v>33000000</v>
      </c>
      <c r="AQ27" s="13">
        <f>IF(Stock!AN23="","",Stock!AN23)</f>
        <v>33000000</v>
      </c>
      <c r="AR27" s="13">
        <f>IF(Stock!AO23="","",Stock!AO23)</f>
        <v>33000000</v>
      </c>
      <c r="AS27" s="13">
        <f>IF(Stock!AP23="","",Stock!AP23)</f>
        <v>33000000</v>
      </c>
      <c r="AT27" s="13">
        <f>IF(Stock!AQ23="","",Stock!AQ23)</f>
        <v>33000000</v>
      </c>
      <c r="AU27" s="13">
        <f>IF(Stock!AR23="","",Stock!AR23)</f>
        <v>33000000</v>
      </c>
      <c r="AV27" s="13">
        <f>IF(Stock!AS23="","",Stock!AS23)</f>
        <v>33000000</v>
      </c>
      <c r="AW27" s="13">
        <f>IF(Stock!AT23="","",Stock!AT23)</f>
        <v>33000000</v>
      </c>
      <c r="AX27" s="13">
        <f>IF(Stock!AU23="","",Stock!AU23)</f>
        <v>33000000</v>
      </c>
      <c r="AY27" s="13">
        <f>IF(Stock!AV23="","",Stock!AV23)</f>
        <v>33000000</v>
      </c>
      <c r="AZ27" s="13">
        <f>IF(Stock!AW23="","",Stock!AW23)</f>
        <v>33000000</v>
      </c>
      <c r="BA27" s="13">
        <f>IF(Stock!AX23="","",Stock!AX23)</f>
        <v>33000000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477000000</v>
      </c>
      <c r="F28" s="13">
        <f>IF(Stock!C24="","",Stock!C24)</f>
        <v>477000000</v>
      </c>
      <c r="G28" s="13">
        <f>IF(Stock!D24="","",Stock!D24)</f>
        <v>477000000</v>
      </c>
      <c r="H28" s="13">
        <f>IF(Stock!E24="","",Stock!E24)</f>
        <v>477000000</v>
      </c>
      <c r="I28" s="13">
        <f>IF(Stock!F24="","",Stock!F24)</f>
        <v>477000000</v>
      </c>
      <c r="J28" s="13">
        <f>IF(Stock!G24="","",Stock!G24)</f>
        <v>477000000</v>
      </c>
      <c r="K28" s="13">
        <f>IF(Stock!H24="","",Stock!H24)</f>
        <v>477000000</v>
      </c>
      <c r="L28" s="13">
        <f>IF(Stock!I24="","",Stock!I24)</f>
        <v>477000000</v>
      </c>
      <c r="M28" s="13">
        <f>IF(Stock!J24="","",Stock!J24)</f>
        <v>477000000</v>
      </c>
      <c r="N28" s="13">
        <f>IF(Stock!K24="","",Stock!K24)</f>
        <v>477000000</v>
      </c>
      <c r="O28" s="13">
        <f>IF(Stock!L24="","",Stock!L24)</f>
        <v>477000000</v>
      </c>
      <c r="P28" s="13">
        <f>IF(Stock!M24="","",Stock!M24)</f>
        <v>477000000</v>
      </c>
      <c r="Q28" s="13">
        <f>IF(Stock!N24="","",Stock!N24)</f>
        <v>477000000</v>
      </c>
      <c r="R28" s="13">
        <f>IF(Stock!O24="","",Stock!O24)</f>
        <v>477000000</v>
      </c>
      <c r="S28" s="13">
        <f>IF(Stock!P24="","",Stock!P24)</f>
        <v>477000000</v>
      </c>
      <c r="T28" s="13">
        <f>IF(Stock!Q24="","",Stock!Q24)</f>
        <v>477000000</v>
      </c>
      <c r="U28" s="13">
        <f>IF(Stock!R24="","",Stock!R24)</f>
        <v>477000000</v>
      </c>
      <c r="V28" s="13">
        <f>IF(Stock!S24="","",Stock!S24)</f>
        <v>477000000</v>
      </c>
      <c r="W28" s="13">
        <f>IF(Stock!T24="","",Stock!T24)</f>
        <v>477000000</v>
      </c>
      <c r="X28" s="13">
        <f>IF(Stock!U24="","",Stock!U24)</f>
        <v>477000000</v>
      </c>
      <c r="Y28" s="13">
        <f>IF(Stock!V24="","",Stock!V24)</f>
        <v>477000000</v>
      </c>
      <c r="Z28" s="13">
        <f>IF(Stock!W24="","",Stock!W24)</f>
        <v>477000000</v>
      </c>
      <c r="AA28" s="13">
        <f>IF(Stock!X24="","",Stock!X24)</f>
        <v>477000000</v>
      </c>
      <c r="AB28" s="13">
        <f>IF(Stock!Y24="","",Stock!Y24)</f>
        <v>477000000</v>
      </c>
      <c r="AC28" s="13">
        <f>IF(Stock!Z24="","",Stock!Z24)</f>
        <v>477000000</v>
      </c>
      <c r="AD28" s="13">
        <f>IF(Stock!AA24="","",Stock!AA24)</f>
        <v>477000000</v>
      </c>
      <c r="AE28" s="13">
        <f>IF(Stock!AB24="","",Stock!AB24)</f>
        <v>477000000</v>
      </c>
      <c r="AF28" s="13">
        <f>IF(Stock!AC24="","",Stock!AC24)</f>
        <v>477000000</v>
      </c>
      <c r="AG28" s="13">
        <f>IF(Stock!AD24="","",Stock!AD24)</f>
        <v>477000000</v>
      </c>
      <c r="AH28" s="13">
        <f>IF(Stock!AE24="","",Stock!AE24)</f>
        <v>477000000</v>
      </c>
      <c r="AI28" s="13">
        <f>IF(Stock!AF24="","",Stock!AF24)</f>
        <v>477000000</v>
      </c>
      <c r="AJ28" s="13">
        <f>IF(Stock!AG24="","",Stock!AG24)</f>
        <v>477000000</v>
      </c>
      <c r="AK28" s="13">
        <f>IF(Stock!AH24="","",Stock!AH24)</f>
        <v>477000000</v>
      </c>
      <c r="AL28" s="13">
        <f>IF(Stock!AI24="","",Stock!AI24)</f>
        <v>477000000</v>
      </c>
      <c r="AM28" s="13">
        <f>IF(Stock!AJ24="","",Stock!AJ24)</f>
        <v>477000000</v>
      </c>
      <c r="AN28" s="13">
        <f>IF(Stock!AK24="","",Stock!AK24)</f>
        <v>477000000</v>
      </c>
      <c r="AO28" s="13">
        <f>IF(Stock!AL24="","",Stock!AL24)</f>
        <v>477000000</v>
      </c>
      <c r="AP28" s="13">
        <f>IF(Stock!AM24="","",Stock!AM24)</f>
        <v>477000000</v>
      </c>
      <c r="AQ28" s="13">
        <f>IF(Stock!AN24="","",Stock!AN24)</f>
        <v>477000000</v>
      </c>
      <c r="AR28" s="13">
        <f>IF(Stock!AO24="","",Stock!AO24)</f>
        <v>477000000</v>
      </c>
      <c r="AS28" s="13">
        <f>IF(Stock!AP24="","",Stock!AP24)</f>
        <v>477000000</v>
      </c>
      <c r="AT28" s="13">
        <f>IF(Stock!AQ24="","",Stock!AQ24)</f>
        <v>477000000</v>
      </c>
      <c r="AU28" s="13">
        <f>IF(Stock!AR24="","",Stock!AR24)</f>
        <v>477000000</v>
      </c>
      <c r="AV28" s="13">
        <f>IF(Stock!AS24="","",Stock!AS24)</f>
        <v>477000000</v>
      </c>
      <c r="AW28" s="13">
        <f>IF(Stock!AT24="","",Stock!AT24)</f>
        <v>477000000</v>
      </c>
      <c r="AX28" s="13">
        <f>IF(Stock!AU24="","",Stock!AU24)</f>
        <v>477000000</v>
      </c>
      <c r="AY28" s="13">
        <f>IF(Stock!AV24="","",Stock!AV24)</f>
        <v>477000000</v>
      </c>
      <c r="AZ28" s="13">
        <f>IF(Stock!AW24="","",Stock!AW24)</f>
        <v>477000000</v>
      </c>
      <c r="BA28" s="13">
        <f>IF(Stock!AX24="","",Stock!AX24)</f>
        <v>477000000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>
        <f>IF(Stock!C25="","",Stock!C25)</f>
        <v>346000000</v>
      </c>
      <c r="G29" s="13">
        <f>IF(Stock!D25="","",Stock!D25)</f>
        <v>346000000</v>
      </c>
      <c r="H29" s="13">
        <f>IF(Stock!E25="","",Stock!E25)</f>
        <v>346000000</v>
      </c>
      <c r="I29" s="13">
        <f>IF(Stock!F25="","",Stock!F25)</f>
        <v>346000000</v>
      </c>
      <c r="J29" s="13">
        <f>IF(Stock!G25="","",Stock!G25)</f>
        <v>346000000</v>
      </c>
      <c r="K29" s="13">
        <f>IF(Stock!H25="","",Stock!H25)</f>
        <v>346000000</v>
      </c>
      <c r="L29" s="13">
        <f>IF(Stock!I25="","",Stock!I25)</f>
        <v>346000000</v>
      </c>
      <c r="M29" s="13">
        <f>IF(Stock!J25="","",Stock!J25)</f>
        <v>346000000</v>
      </c>
      <c r="N29" s="13">
        <f>IF(Stock!K25="","",Stock!K25)</f>
        <v>346000000</v>
      </c>
      <c r="O29" s="13">
        <f>IF(Stock!L25="","",Stock!L25)</f>
        <v>346000000</v>
      </c>
      <c r="P29" s="13">
        <f>IF(Stock!M25="","",Stock!M25)</f>
        <v>346000000</v>
      </c>
      <c r="Q29" s="13">
        <f>IF(Stock!N25="","",Stock!N25)</f>
        <v>346000000</v>
      </c>
      <c r="R29" s="13">
        <f>IF(Stock!O25="","",Stock!O25)</f>
        <v>346000000</v>
      </c>
      <c r="S29" s="13">
        <f>IF(Stock!P25="","",Stock!P25)</f>
        <v>346000000</v>
      </c>
      <c r="T29" s="13">
        <f>IF(Stock!Q25="","",Stock!Q25)</f>
        <v>346000000</v>
      </c>
      <c r="U29" s="13">
        <f>IF(Stock!R25="","",Stock!R25)</f>
        <v>346000000</v>
      </c>
      <c r="V29" s="13">
        <f>IF(Stock!S25="","",Stock!S25)</f>
        <v>346000000</v>
      </c>
      <c r="W29" s="13">
        <f>IF(Stock!T25="","",Stock!T25)</f>
        <v>346000000</v>
      </c>
      <c r="X29" s="13">
        <f>IF(Stock!U25="","",Stock!U25)</f>
        <v>346000000</v>
      </c>
      <c r="Y29" s="13">
        <f>IF(Stock!V25="","",Stock!V25)</f>
        <v>346000000</v>
      </c>
      <c r="Z29" s="13">
        <f>IF(Stock!W25="","",Stock!W25)</f>
        <v>346000000</v>
      </c>
      <c r="AA29" s="13">
        <f>IF(Stock!X25="","",Stock!X25)</f>
        <v>346000000</v>
      </c>
      <c r="AB29" s="13">
        <f>IF(Stock!Y25="","",Stock!Y25)</f>
        <v>346000000</v>
      </c>
      <c r="AC29" s="13">
        <f>IF(Stock!Z25="","",Stock!Z25)</f>
        <v>346000000</v>
      </c>
      <c r="AD29" s="13">
        <f>IF(Stock!AA25="","",Stock!AA25)</f>
        <v>346000000</v>
      </c>
      <c r="AE29" s="13">
        <f>IF(Stock!AB25="","",Stock!AB25)</f>
        <v>346000000</v>
      </c>
      <c r="AF29" s="13">
        <f>IF(Stock!AC25="","",Stock!AC25)</f>
        <v>346000000</v>
      </c>
      <c r="AG29" s="13">
        <f>IF(Stock!AD25="","",Stock!AD25)</f>
        <v>346000000</v>
      </c>
      <c r="AH29" s="13">
        <f>IF(Stock!AE25="","",Stock!AE25)</f>
        <v>346000000</v>
      </c>
      <c r="AI29" s="13">
        <f>IF(Stock!AF25="","",Stock!AF25)</f>
        <v>346000000</v>
      </c>
      <c r="AJ29" s="13">
        <f>IF(Stock!AG25="","",Stock!AG25)</f>
        <v>346000000</v>
      </c>
      <c r="AK29" s="13">
        <f>IF(Stock!AH25="","",Stock!AH25)</f>
        <v>346000000</v>
      </c>
      <c r="AL29" s="13">
        <f>IF(Stock!AI25="","",Stock!AI25)</f>
        <v>346000000</v>
      </c>
      <c r="AM29" s="13">
        <f>IF(Stock!AJ25="","",Stock!AJ25)</f>
        <v>346000000</v>
      </c>
      <c r="AN29" s="13">
        <f>IF(Stock!AK25="","",Stock!AK25)</f>
        <v>346000000</v>
      </c>
      <c r="AO29" s="13">
        <f>IF(Stock!AL25="","",Stock!AL25)</f>
        <v>346000000</v>
      </c>
      <c r="AP29" s="13">
        <f>IF(Stock!AM25="","",Stock!AM25)</f>
        <v>346000000</v>
      </c>
      <c r="AQ29" s="13">
        <f>IF(Stock!AN25="","",Stock!AN25)</f>
        <v>346000000</v>
      </c>
      <c r="AR29" s="13">
        <f>IF(Stock!AO25="","",Stock!AO25)</f>
        <v>346000000</v>
      </c>
      <c r="AS29" s="13">
        <f>IF(Stock!AP25="","",Stock!AP25)</f>
        <v>346000000</v>
      </c>
      <c r="AT29" s="13">
        <f>IF(Stock!AQ25="","",Stock!AQ25)</f>
        <v>346000000</v>
      </c>
      <c r="AU29" s="13">
        <f>IF(Stock!AR25="","",Stock!AR25)</f>
        <v>346000000</v>
      </c>
      <c r="AV29" s="13">
        <f>IF(Stock!AS25="","",Stock!AS25)</f>
        <v>346000000</v>
      </c>
      <c r="AW29" s="13">
        <f>IF(Stock!AT25="","",Stock!AT25)</f>
        <v>346000000</v>
      </c>
      <c r="AX29" s="13">
        <f>IF(Stock!AU25="","",Stock!AU25)</f>
        <v>346000000</v>
      </c>
      <c r="AY29" s="13">
        <f>IF(Stock!AV25="","",Stock!AV25)</f>
        <v>346000000</v>
      </c>
      <c r="AZ29" s="13">
        <f>IF(Stock!AW25="","",Stock!AW25)</f>
        <v>346000000</v>
      </c>
      <c r="BA29" s="13">
        <f>IF(Stock!AX25="","",Stock!AX25)</f>
        <v>346000000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212000000</v>
      </c>
      <c r="F31" s="13">
        <f>IF(Stock!C27="","",Stock!C27)</f>
        <v>212000000</v>
      </c>
      <c r="G31" s="13">
        <f>IF(Stock!D27="","",Stock!D27)</f>
        <v>212000000</v>
      </c>
      <c r="H31" s="13">
        <f>IF(Stock!E27="","",Stock!E27)</f>
        <v>212000000</v>
      </c>
      <c r="I31" s="13">
        <f>IF(Stock!F27="","",Stock!F27)</f>
        <v>212000000</v>
      </c>
      <c r="J31" s="13">
        <f>IF(Stock!G27="","",Stock!G27)</f>
        <v>212000000</v>
      </c>
      <c r="K31" s="13">
        <f>IF(Stock!H27="","",Stock!H27)</f>
        <v>212000000</v>
      </c>
      <c r="L31" s="13">
        <f>IF(Stock!I27="","",Stock!I27)</f>
        <v>212000000</v>
      </c>
      <c r="M31" s="13">
        <f>IF(Stock!J27="","",Stock!J27)</f>
        <v>212000000</v>
      </c>
      <c r="N31" s="13">
        <f>IF(Stock!K27="","",Stock!K27)</f>
        <v>212000000</v>
      </c>
      <c r="O31" s="13">
        <f>IF(Stock!L27="","",Stock!L27)</f>
        <v>212000000</v>
      </c>
      <c r="P31" s="13">
        <f>IF(Stock!M27="","",Stock!M27)</f>
        <v>212000000</v>
      </c>
      <c r="Q31" s="13">
        <f>IF(Stock!N27="","",Stock!N27)</f>
        <v>212000000</v>
      </c>
      <c r="R31" s="13">
        <f>IF(Stock!O27="","",Stock!O27)</f>
        <v>212000000</v>
      </c>
      <c r="S31" s="13">
        <f>IF(Stock!P27="","",Stock!P27)</f>
        <v>212000000</v>
      </c>
      <c r="T31" s="13">
        <f>IF(Stock!Q27="","",Stock!Q27)</f>
        <v>212000000</v>
      </c>
      <c r="U31" s="13">
        <f>IF(Stock!R27="","",Stock!R27)</f>
        <v>212000000</v>
      </c>
      <c r="V31" s="13">
        <f>IF(Stock!S27="","",Stock!S27)</f>
        <v>212000000</v>
      </c>
      <c r="W31" s="13">
        <f>IF(Stock!T27="","",Stock!T27)</f>
        <v>212000000</v>
      </c>
      <c r="X31" s="13">
        <f>IF(Stock!U27="","",Stock!U27)</f>
        <v>212000000</v>
      </c>
      <c r="Y31" s="13">
        <f>IF(Stock!V27="","",Stock!V27)</f>
        <v>212000000</v>
      </c>
      <c r="Z31" s="13">
        <f>IF(Stock!W27="","",Stock!W27)</f>
        <v>212000000</v>
      </c>
      <c r="AA31" s="13">
        <f>IF(Stock!X27="","",Stock!X27)</f>
        <v>212000000</v>
      </c>
      <c r="AB31" s="13">
        <f>IF(Stock!Y27="","",Stock!Y27)</f>
        <v>212000000</v>
      </c>
      <c r="AC31" s="13">
        <f>IF(Stock!Z27="","",Stock!Z27)</f>
        <v>212000000</v>
      </c>
      <c r="AD31" s="13">
        <f>IF(Stock!AA27="","",Stock!AA27)</f>
        <v>212000000</v>
      </c>
      <c r="AE31" s="13">
        <f>IF(Stock!AB27="","",Stock!AB27)</f>
        <v>212000000</v>
      </c>
      <c r="AF31" s="13">
        <f>IF(Stock!AC27="","",Stock!AC27)</f>
        <v>212000000</v>
      </c>
      <c r="AG31" s="13">
        <f>IF(Stock!AD27="","",Stock!AD27)</f>
        <v>212000000</v>
      </c>
      <c r="AH31" s="13">
        <f>IF(Stock!AE27="","",Stock!AE27)</f>
        <v>212000000</v>
      </c>
      <c r="AI31" s="13">
        <f>IF(Stock!AF27="","",Stock!AF27)</f>
        <v>212000000</v>
      </c>
      <c r="AJ31" s="13">
        <f>IF(Stock!AG27="","",Stock!AG27)</f>
        <v>212000000</v>
      </c>
      <c r="AK31" s="13">
        <f>IF(Stock!AH27="","",Stock!AH27)</f>
        <v>212000000</v>
      </c>
      <c r="AL31" s="13">
        <f>IF(Stock!AI27="","",Stock!AI27)</f>
        <v>212000000</v>
      </c>
      <c r="AM31" s="13">
        <f>IF(Stock!AJ27="","",Stock!AJ27)</f>
        <v>212000000</v>
      </c>
      <c r="AN31" s="13">
        <f>IF(Stock!AK27="","",Stock!AK27)</f>
        <v>212000000</v>
      </c>
      <c r="AO31" s="13">
        <f>IF(Stock!AL27="","",Stock!AL27)</f>
        <v>212000000</v>
      </c>
      <c r="AP31" s="13">
        <f>IF(Stock!AM27="","",Stock!AM27)</f>
        <v>212000000</v>
      </c>
      <c r="AQ31" s="13">
        <f>IF(Stock!AN27="","",Stock!AN27)</f>
        <v>212000000</v>
      </c>
      <c r="AR31" s="13">
        <f>IF(Stock!AO27="","",Stock!AO27)</f>
        <v>212000000</v>
      </c>
      <c r="AS31" s="13">
        <f>IF(Stock!AP27="","",Stock!AP27)</f>
        <v>212000000</v>
      </c>
      <c r="AT31" s="13">
        <f>IF(Stock!AQ27="","",Stock!AQ27)</f>
        <v>212000000</v>
      </c>
      <c r="AU31" s="13">
        <f>IF(Stock!AR27="","",Stock!AR27)</f>
        <v>212000000</v>
      </c>
      <c r="AV31" s="13">
        <f>IF(Stock!AS27="","",Stock!AS27)</f>
        <v>212000000</v>
      </c>
      <c r="AW31" s="13">
        <f>IF(Stock!AT27="","",Stock!AT27)</f>
        <v>212000000</v>
      </c>
      <c r="AX31" s="13">
        <f>IF(Stock!AU27="","",Stock!AU27)</f>
        <v>212000000</v>
      </c>
      <c r="AY31" s="13">
        <f>IF(Stock!AV27="","",Stock!AV27)</f>
        <v>212000000</v>
      </c>
      <c r="AZ31" s="13">
        <f>IF(Stock!AW27="","",Stock!AW27)</f>
        <v>212000000</v>
      </c>
      <c r="BA31" s="13">
        <f>IF(Stock!AX27="","",Stock!AX27)</f>
        <v>212000000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268000000</v>
      </c>
      <c r="F32" s="13">
        <f>IF(Stock!C28="","",Stock!C28)</f>
        <v>268000000</v>
      </c>
      <c r="G32" s="13">
        <f>IF(Stock!D28="","",Stock!D28)</f>
        <v>268000000</v>
      </c>
      <c r="H32" s="13">
        <f>IF(Stock!E28="","",Stock!E28)</f>
        <v>268000000</v>
      </c>
      <c r="I32" s="13">
        <f>IF(Stock!F28="","",Stock!F28)</f>
        <v>268000000</v>
      </c>
      <c r="J32" s="13">
        <f>IF(Stock!G28="","",Stock!G28)</f>
        <v>268000000</v>
      </c>
      <c r="K32" s="13">
        <f>IF(Stock!H28="","",Stock!H28)</f>
        <v>268000000</v>
      </c>
      <c r="L32" s="13">
        <f>IF(Stock!I28="","",Stock!I28)</f>
        <v>268000000</v>
      </c>
      <c r="M32" s="13">
        <f>IF(Stock!J28="","",Stock!J28)</f>
        <v>268000000</v>
      </c>
      <c r="N32" s="13">
        <f>IF(Stock!K28="","",Stock!K28)</f>
        <v>268000000</v>
      </c>
      <c r="O32" s="13">
        <f>IF(Stock!L28="","",Stock!L28)</f>
        <v>268000000</v>
      </c>
      <c r="P32" s="13">
        <f>IF(Stock!M28="","",Stock!M28)</f>
        <v>268000000</v>
      </c>
      <c r="Q32" s="13">
        <f>IF(Stock!N28="","",Stock!N28)</f>
        <v>268000000</v>
      </c>
      <c r="R32" s="13">
        <f>IF(Stock!O28="","",Stock!O28)</f>
        <v>268000000</v>
      </c>
      <c r="S32" s="13">
        <f>IF(Stock!P28="","",Stock!P28)</f>
        <v>268000000</v>
      </c>
      <c r="T32" s="13">
        <f>IF(Stock!Q28="","",Stock!Q28)</f>
        <v>268000000</v>
      </c>
      <c r="U32" s="13">
        <f>IF(Stock!R28="","",Stock!R28)</f>
        <v>268000000</v>
      </c>
      <c r="V32" s="13">
        <f>IF(Stock!S28="","",Stock!S28)</f>
        <v>268000000</v>
      </c>
      <c r="W32" s="13">
        <f>IF(Stock!T28="","",Stock!T28)</f>
        <v>268000000</v>
      </c>
      <c r="X32" s="13">
        <f>IF(Stock!U28="","",Stock!U28)</f>
        <v>268000000</v>
      </c>
      <c r="Y32" s="13">
        <f>IF(Stock!V28="","",Stock!V28)</f>
        <v>268000000</v>
      </c>
      <c r="Z32" s="13">
        <f>IF(Stock!W28="","",Stock!W28)</f>
        <v>268000000</v>
      </c>
      <c r="AA32" s="13">
        <f>IF(Stock!X28="","",Stock!X28)</f>
        <v>268000000</v>
      </c>
      <c r="AB32" s="13">
        <f>IF(Stock!Y28="","",Stock!Y28)</f>
        <v>268000000</v>
      </c>
      <c r="AC32" s="13">
        <f>IF(Stock!Z28="","",Stock!Z28)</f>
        <v>268000000</v>
      </c>
      <c r="AD32" s="13">
        <f>IF(Stock!AA28="","",Stock!AA28)</f>
        <v>268000000</v>
      </c>
      <c r="AE32" s="13">
        <f>IF(Stock!AB28="","",Stock!AB28)</f>
        <v>268000000</v>
      </c>
      <c r="AF32" s="13">
        <f>IF(Stock!AC28="","",Stock!AC28)</f>
        <v>268000000</v>
      </c>
      <c r="AG32" s="13">
        <f>IF(Stock!AD28="","",Stock!AD28)</f>
        <v>268000000</v>
      </c>
      <c r="AH32" s="13">
        <f>IF(Stock!AE28="","",Stock!AE28)</f>
        <v>268000000</v>
      </c>
      <c r="AI32" s="13">
        <f>IF(Stock!AF28="","",Stock!AF28)</f>
        <v>268000000</v>
      </c>
      <c r="AJ32" s="13">
        <f>IF(Stock!AG28="","",Stock!AG28)</f>
        <v>268000000</v>
      </c>
      <c r="AK32" s="13">
        <f>IF(Stock!AH28="","",Stock!AH28)</f>
        <v>268000000</v>
      </c>
      <c r="AL32" s="13">
        <f>IF(Stock!AI28="","",Stock!AI28)</f>
        <v>268000000</v>
      </c>
      <c r="AM32" s="13">
        <f>IF(Stock!AJ28="","",Stock!AJ28)</f>
        <v>268000000</v>
      </c>
      <c r="AN32" s="13">
        <f>IF(Stock!AK28="","",Stock!AK28)</f>
        <v>268000000</v>
      </c>
      <c r="AO32" s="13">
        <f>IF(Stock!AL28="","",Stock!AL28)</f>
        <v>268000000</v>
      </c>
      <c r="AP32" s="13">
        <f>IF(Stock!AM28="","",Stock!AM28)</f>
        <v>268000000</v>
      </c>
      <c r="AQ32" s="13">
        <f>IF(Stock!AN28="","",Stock!AN28)</f>
        <v>268000000</v>
      </c>
      <c r="AR32" s="13">
        <f>IF(Stock!AO28="","",Stock!AO28)</f>
        <v>268000000</v>
      </c>
      <c r="AS32" s="13">
        <f>IF(Stock!AP28="","",Stock!AP28)</f>
        <v>268000000</v>
      </c>
      <c r="AT32" s="13">
        <f>IF(Stock!AQ28="","",Stock!AQ28)</f>
        <v>268000000</v>
      </c>
      <c r="AU32" s="13">
        <f>IF(Stock!AR28="","",Stock!AR28)</f>
        <v>268000000</v>
      </c>
      <c r="AV32" s="13">
        <f>IF(Stock!AS28="","",Stock!AS28)</f>
        <v>268000000</v>
      </c>
      <c r="AW32" s="13">
        <f>IF(Stock!AT28="","",Stock!AT28)</f>
        <v>268000000</v>
      </c>
      <c r="AX32" s="13">
        <f>IF(Stock!AU28="","",Stock!AU28)</f>
        <v>268000000</v>
      </c>
      <c r="AY32" s="13">
        <f>IF(Stock!AV28="","",Stock!AV28)</f>
        <v>268000000</v>
      </c>
      <c r="AZ32" s="13">
        <f>IF(Stock!AW28="","",Stock!AW28)</f>
        <v>268000000</v>
      </c>
      <c r="BA32" s="13">
        <f>IF(Stock!AX28="","",Stock!AX28)</f>
        <v>268000000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42578125" defaultRowHeight="11.25" x14ac:dyDescent="0.2"/>
  <cols>
    <col min="1" max="1" width="1.42578125" style="1" customWidth="1"/>
    <col min="2" max="2" width="11.28515625" style="1" customWidth="1"/>
    <col min="3" max="7" width="6.5703125" style="1" customWidth="1"/>
    <col min="8" max="8" width="1.28515625" style="1" customWidth="1"/>
    <col min="9" max="9" width="13.7109375" style="88" customWidth="1"/>
    <col min="10" max="11" width="13.140625" style="88" bestFit="1" customWidth="1"/>
    <col min="12" max="12" width="7.28515625" style="88" customWidth="1"/>
    <col min="13" max="13" width="9.7109375" style="413" customWidth="1"/>
    <col min="14" max="14" width="10" style="414" customWidth="1"/>
    <col min="15" max="15" width="8.28515625" style="387" customWidth="1"/>
    <col min="16" max="16" width="8.140625" style="386" customWidth="1"/>
    <col min="17" max="17" width="10" style="417" customWidth="1"/>
    <col min="18" max="18" width="10" style="420" customWidth="1"/>
    <col min="19" max="19" width="8.28515625" style="405" customWidth="1"/>
    <col min="20" max="20" width="9" style="408" customWidth="1"/>
    <col min="21" max="21" width="11.42578125" style="396" customWidth="1"/>
    <col min="22" max="22" width="10.7109375" style="88" customWidth="1"/>
    <col min="23" max="23" width="10.7109375" style="402" customWidth="1"/>
    <col min="24" max="24" width="8.85546875" style="1" customWidth="1"/>
    <col min="25" max="16384" width="7.42578125" style="1"/>
  </cols>
  <sheetData>
    <row r="1" spans="2:24" ht="42.75" customHeight="1" thickBot="1" x14ac:dyDescent="0.25">
      <c r="I1" s="99" t="s">
        <v>955</v>
      </c>
      <c r="J1" s="100" t="s">
        <v>752</v>
      </c>
      <c r="K1" s="100" t="s">
        <v>2</v>
      </c>
      <c r="L1" s="100" t="s">
        <v>944</v>
      </c>
      <c r="M1" s="409" t="s">
        <v>945</v>
      </c>
      <c r="N1" s="410" t="s">
        <v>950</v>
      </c>
      <c r="O1" s="390" t="s">
        <v>947</v>
      </c>
      <c r="P1" s="389" t="s">
        <v>948</v>
      </c>
      <c r="Q1" s="415" t="s">
        <v>949</v>
      </c>
      <c r="R1" s="418" t="s">
        <v>956</v>
      </c>
      <c r="S1" s="403" t="s">
        <v>946</v>
      </c>
      <c r="T1" s="406" t="s">
        <v>959</v>
      </c>
      <c r="U1" s="394" t="s">
        <v>957</v>
      </c>
      <c r="V1" s="208" t="s">
        <v>954</v>
      </c>
      <c r="W1" s="399" t="s">
        <v>780</v>
      </c>
    </row>
    <row r="2" spans="2:24" ht="12" thickBot="1" x14ac:dyDescent="0.25">
      <c r="B2" s="7" t="s">
        <v>615</v>
      </c>
      <c r="C2" s="7"/>
      <c r="D2" s="7"/>
      <c r="E2" s="7"/>
      <c r="F2" s="7"/>
      <c r="G2" s="7"/>
      <c r="I2" s="131" t="s">
        <v>958</v>
      </c>
      <c r="J2" s="388" t="s">
        <v>942</v>
      </c>
      <c r="K2" s="388" t="str">
        <f ca="1">VLOOKUP(J2,treasuries!A:B,2,FALSE)</f>
        <v>T 0 1/4 06/30/14</v>
      </c>
      <c r="L2" s="388">
        <v>-200</v>
      </c>
      <c r="M2" s="411">
        <f>99.874829</f>
        <v>99.874829000000005</v>
      </c>
      <c r="N2" s="412">
        <f>M2+_xll.INSTRUMENT.COUPON.COURU(J2,O2)</f>
        <v>99.876187695652163</v>
      </c>
      <c r="O2" s="392">
        <v>41092</v>
      </c>
      <c r="P2" s="391">
        <f ca="1">_xll.INSTRUMENT.TAUX(J2,M2,O2,cTrueYield)</f>
        <v>3.1322026236516192E-3</v>
      </c>
      <c r="Q2" s="416">
        <f ca="1">_xll.BDP(J2 &amp; " Govt",IF(L2&lt;0,"ask","bid"))</f>
        <v>99.8828125</v>
      </c>
      <c r="R2" s="419">
        <f ca="1">Q2+5000*VLOOKUP(J2,treasuries!A:AA,27,FALSE)*_xll.CALENDRIER.FRAC.ANNEE(O2,S2,"ACT/ACT")</f>
        <v>99.8828125</v>
      </c>
      <c r="S2" s="404">
        <f>_xll.INSTRUMENT.DATE.REGLEMENT(J2)</f>
        <v>41092</v>
      </c>
      <c r="T2" s="407">
        <f ca="1">_xll.INSTRUMENT.TAUX(J2,Q2,S2,cTrueYield)</f>
        <v>3.0919624235757857E-3</v>
      </c>
      <c r="U2" s="395">
        <v>1.6999999999999999E-3</v>
      </c>
      <c r="V2" s="397">
        <f>-L2*N2*10000*U2*_xll.CALENDRIER.FRAC.ANNEE(O2,S2,"ACT/360")</f>
        <v>0</v>
      </c>
      <c r="W2" s="400">
        <f ca="1">L2*10000*(R2-N2)+V2</f>
        <v>-13249.608695673487</v>
      </c>
      <c r="X2" s="9"/>
    </row>
    <row r="3" spans="2:24" ht="12" thickBot="1" x14ac:dyDescent="0.25">
      <c r="B3" s="185"/>
      <c r="C3" s="185" t="s">
        <v>601</v>
      </c>
      <c r="D3" s="186" t="s">
        <v>910</v>
      </c>
      <c r="E3" s="186" t="s">
        <v>607</v>
      </c>
      <c r="F3" s="186" t="s">
        <v>608</v>
      </c>
      <c r="G3" s="186" t="s">
        <v>609</v>
      </c>
      <c r="I3" s="421">
        <f ca="1">SUM(W2:W3)</f>
        <v>2731.9280915228337</v>
      </c>
      <c r="J3" s="388" t="s">
        <v>867</v>
      </c>
      <c r="K3" s="388" t="str">
        <f ca="1">VLOOKUP(J3,treasuries!A:B,2,FALSE)</f>
        <v>T 1 3/4 05/15/22</v>
      </c>
      <c r="L3" s="388">
        <v>43</v>
      </c>
      <c r="M3" s="411">
        <v>101.0234375</v>
      </c>
      <c r="N3" s="412">
        <f>M3+_xll.INSTRUMENT.COUPON.COURU(J3,O3)</f>
        <v>101.23267663043478</v>
      </c>
      <c r="O3" s="392">
        <v>41088</v>
      </c>
      <c r="P3" s="391">
        <f ca="1">_xll.INSTRUMENT.TAUX(J3,M3,O3,cTrueYield)</f>
        <v>1.6371439252075237E-2</v>
      </c>
      <c r="Q3" s="416">
        <f ca="1">_xll.BDP(J3 &amp; " Govt",IF(L3&lt;0,"ask","bid"))</f>
        <v>101.03125</v>
      </c>
      <c r="R3" s="419">
        <f ca="1">Q3+5000*VLOOKUP(J3,treasuries!A:AA,27,FALSE)*_xll.CALENDRIER.FRAC.ANNEE(O3,S3,"ACT/ACT")</f>
        <v>101.27032103825137</v>
      </c>
      <c r="S3" s="404">
        <f>_xll.INSTRUMENT.DATE.REGLEMENT(J3)</f>
        <v>41089</v>
      </c>
      <c r="T3" s="407">
        <f ca="1">_xll.INSTRUMENT.TAUX(J3,Q3,S3,cTrueYield)</f>
        <v>1.6362612228528216E-2</v>
      </c>
      <c r="U3" s="395">
        <v>1.6999999999999999E-3</v>
      </c>
      <c r="V3" s="397">
        <f ca="1">-L3*N3*10000*U3*_xll.CALENDRIER.FRAC.ANNEE(O3,S3,"ACT/360")</f>
        <v>-205.5585739356884</v>
      </c>
      <c r="W3" s="400">
        <f ca="1">L3*10000*(R3-N3)+V3</f>
        <v>15981.536787196321</v>
      </c>
      <c r="X3" s="9"/>
    </row>
    <row r="4" spans="2:24" x14ac:dyDescent="0.2">
      <c r="B4" s="187" t="s">
        <v>80</v>
      </c>
      <c r="C4" s="188">
        <f>'pivot table'!C43-'pivot table'!M43</f>
        <v>-0.84539015061681977</v>
      </c>
      <c r="D4" s="189">
        <f>'pivot table'!D43-'pivot table'!N43</f>
        <v>1.3775466797989977</v>
      </c>
      <c r="E4" s="188">
        <f>'pivot table'!E43-'pivot table'!O43</f>
        <v>0</v>
      </c>
      <c r="F4" s="188">
        <f>'pivot table'!F43-'pivot table'!P43</f>
        <v>0.9553032688207308</v>
      </c>
      <c r="G4" s="188">
        <f>SUM(C4:F4)</f>
        <v>1.4874597980029087</v>
      </c>
      <c r="I4" s="131"/>
      <c r="J4" s="388"/>
      <c r="K4" s="388"/>
      <c r="L4" s="388"/>
      <c r="M4" s="411"/>
      <c r="N4" s="412"/>
      <c r="O4" s="392"/>
      <c r="P4" s="391"/>
      <c r="Q4" s="416"/>
      <c r="R4" s="419"/>
      <c r="S4" s="404"/>
      <c r="T4" s="407"/>
      <c r="U4" s="395"/>
      <c r="V4" s="397"/>
      <c r="W4" s="400"/>
      <c r="X4" s="9"/>
    </row>
    <row r="5" spans="2:24" x14ac:dyDescent="0.2">
      <c r="B5" s="190" t="s">
        <v>20</v>
      </c>
      <c r="C5" s="191">
        <f>'pivot table'!C44-'pivot table'!M44</f>
        <v>-10.355493086269627</v>
      </c>
      <c r="D5" s="192">
        <f>'pivot table'!D44-'pivot table'!N44</f>
        <v>0.70356295149243286</v>
      </c>
      <c r="E5" s="191">
        <f>'pivot table'!E44-'pivot table'!O44</f>
        <v>0</v>
      </c>
      <c r="F5" s="191">
        <f>'pivot table'!F44-'pivot table'!P44</f>
        <v>20.269904161904837</v>
      </c>
      <c r="G5" s="191">
        <f>SUM(C5:F5)</f>
        <v>10.617974027127643</v>
      </c>
      <c r="I5" s="131" t="s">
        <v>960</v>
      </c>
      <c r="J5" s="388" t="s">
        <v>867</v>
      </c>
      <c r="K5" s="388" t="str">
        <f ca="1">VLOOKUP(J5,treasuries!A:B,2,FALSE)</f>
        <v>T 1 3/4 05/15/22</v>
      </c>
      <c r="L5" s="388">
        <v>43</v>
      </c>
      <c r="M5" s="411">
        <v>101.0234375</v>
      </c>
      <c r="N5" s="412">
        <f>M5+_xll.INSTRUMENT.COUPON.COURU(J5,O5)</f>
        <v>101.2421875</v>
      </c>
      <c r="O5" s="392">
        <v>41090</v>
      </c>
      <c r="P5" s="391">
        <f ca="1">_xll.INSTRUMENT.TAUX(J5,M5,O5,cTrueYield)</f>
        <v>1.6370881074270899E-2</v>
      </c>
      <c r="Q5" s="416">
        <f ca="1">_xll.BDP(J5 &amp; " Govt",IF(L5&lt;0,"ask","bid"))</f>
        <v>101.03125</v>
      </c>
      <c r="R5" s="419">
        <f ca="1">Q5+100*VLOOKUP(J5,treasuries!A:AA,27,FALSE)*_xll.CALENDRIER.FRAC.ANNEE(O5,S5,"ACT/ACT")</f>
        <v>101.04081284153006</v>
      </c>
      <c r="S5" s="404">
        <f>_xll.INSTRUMENT.DATE.REGLEMENT(J5)</f>
        <v>41092</v>
      </c>
      <c r="T5" s="407">
        <f ca="1">_xll.INSTRUMENT.TAUX(J5,Q5,S5,cTrueYield)</f>
        <v>1.6361769834889885E-2</v>
      </c>
      <c r="U5" s="395">
        <v>1.0017</v>
      </c>
      <c r="V5" s="397">
        <f>-L5*N5*10000*U5*_xll.CALENDRIER.FRAC.ANNEE(O5,S5,"ACT/360")</f>
        <v>-242267.49257812501</v>
      </c>
      <c r="W5" s="400">
        <f t="shared" ref="W5" ca="1" si="0">L5*10000*(R5-N5)+V5</f>
        <v>-328858.59572020127</v>
      </c>
    </row>
    <row r="6" spans="2:24" x14ac:dyDescent="0.2">
      <c r="B6" s="187" t="s">
        <v>21</v>
      </c>
      <c r="C6" s="188">
        <f>'pivot table'!C45-'pivot table'!M45</f>
        <v>-27.91367679598666</v>
      </c>
      <c r="D6" s="189">
        <f>'pivot table'!D45-'pivot table'!N45</f>
        <v>1.7687797434507317</v>
      </c>
      <c r="E6" s="188">
        <f>'pivot table'!E45-'pivot table'!O45</f>
        <v>-6.2313497071258368</v>
      </c>
      <c r="F6" s="188">
        <f>'pivot table'!F45-'pivot table'!P45</f>
        <v>1.0414278412357023</v>
      </c>
      <c r="G6" s="188">
        <f t="shared" ref="G6:G14" si="1">SUM(C6:F6)</f>
        <v>-31.334818918426066</v>
      </c>
      <c r="I6" s="131"/>
      <c r="J6" s="388"/>
      <c r="K6" s="388"/>
      <c r="L6" s="388"/>
      <c r="M6" s="411"/>
      <c r="N6" s="412"/>
      <c r="O6" s="392"/>
      <c r="P6" s="391"/>
      <c r="Q6" s="416"/>
      <c r="R6" s="419"/>
      <c r="S6" s="404"/>
      <c r="T6" s="407"/>
      <c r="U6" s="395"/>
      <c r="V6" s="397"/>
      <c r="W6" s="400"/>
    </row>
    <row r="7" spans="2:24" x14ac:dyDescent="0.2">
      <c r="B7" s="190" t="s">
        <v>177</v>
      </c>
      <c r="C7" s="191">
        <f>'pivot table'!C46-'pivot table'!M46</f>
        <v>-15.220425858506353</v>
      </c>
      <c r="D7" s="192">
        <f>'pivot table'!D46-'pivot table'!N46</f>
        <v>4.8131614935829141</v>
      </c>
      <c r="E7" s="191">
        <f>'pivot table'!E46-'pivot table'!O46</f>
        <v>-5.7126668665906273</v>
      </c>
      <c r="F7" s="191">
        <f>'pivot table'!F46-'pivot table'!P46</f>
        <v>0</v>
      </c>
      <c r="G7" s="191">
        <f t="shared" si="1"/>
        <v>-16.119931231514066</v>
      </c>
      <c r="I7" s="131"/>
      <c r="J7" s="388"/>
      <c r="K7" s="388"/>
      <c r="L7" s="388"/>
      <c r="M7" s="411"/>
      <c r="N7" s="412"/>
      <c r="O7" s="392"/>
      <c r="P7" s="391"/>
      <c r="Q7" s="416"/>
      <c r="R7" s="419"/>
      <c r="S7" s="404"/>
      <c r="T7" s="407"/>
      <c r="U7" s="395"/>
      <c r="V7" s="397"/>
      <c r="W7" s="400"/>
    </row>
    <row r="8" spans="2:24" x14ac:dyDescent="0.2">
      <c r="B8" s="187" t="s">
        <v>184</v>
      </c>
      <c r="C8" s="188">
        <f>'pivot table'!C47-'pivot table'!M47</f>
        <v>18.425190681874565</v>
      </c>
      <c r="D8" s="189">
        <f>'pivot table'!D47-'pivot table'!N47</f>
        <v>3.692898245645901</v>
      </c>
      <c r="E8" s="188">
        <f>'pivot table'!E47-'pivot table'!O47</f>
        <v>-6.1044779608841342</v>
      </c>
      <c r="F8" s="188">
        <f>'pivot table'!F47-'pivot table'!P47</f>
        <v>0</v>
      </c>
      <c r="G8" s="188">
        <f t="shared" si="1"/>
        <v>16.013610966636328</v>
      </c>
      <c r="I8" s="131"/>
      <c r="J8" s="388"/>
      <c r="K8" s="388"/>
      <c r="L8" s="388"/>
      <c r="M8" s="411"/>
      <c r="N8" s="412"/>
      <c r="O8" s="392"/>
      <c r="P8" s="391"/>
      <c r="Q8" s="416"/>
      <c r="R8" s="419"/>
      <c r="S8" s="404"/>
      <c r="T8" s="407"/>
      <c r="U8" s="395"/>
      <c r="V8" s="397"/>
      <c r="W8" s="400"/>
    </row>
    <row r="9" spans="2:24" x14ac:dyDescent="0.2">
      <c r="B9" s="190" t="s">
        <v>83</v>
      </c>
      <c r="C9" s="191">
        <f>'pivot table'!C48-'pivot table'!M48</f>
        <v>14.558534542886889</v>
      </c>
      <c r="D9" s="192">
        <f>'pivot table'!D48-'pivot table'!N48</f>
        <v>20.506472171491168</v>
      </c>
      <c r="E9" s="191">
        <f>'pivot table'!E48-'pivot table'!O48</f>
        <v>-22.362458799903354</v>
      </c>
      <c r="F9" s="191">
        <f>'pivot table'!F48-'pivot table'!P48</f>
        <v>0</v>
      </c>
      <c r="G9" s="191">
        <f t="shared" si="1"/>
        <v>12.702547914474703</v>
      </c>
      <c r="I9" s="131"/>
      <c r="J9" s="388"/>
      <c r="K9" s="388"/>
      <c r="L9" s="388"/>
      <c r="M9" s="411"/>
      <c r="N9" s="412"/>
      <c r="O9" s="392"/>
      <c r="P9" s="391"/>
      <c r="Q9" s="416"/>
      <c r="R9" s="419"/>
      <c r="S9" s="404"/>
      <c r="T9" s="407"/>
      <c r="U9" s="395"/>
      <c r="V9" s="397"/>
      <c r="W9" s="400"/>
    </row>
    <row r="10" spans="2:24" x14ac:dyDescent="0.2">
      <c r="B10" s="187" t="s">
        <v>84</v>
      </c>
      <c r="C10" s="188">
        <f>'pivot table'!C49-'pivot table'!M49</f>
        <v>-9.6917610466362234</v>
      </c>
      <c r="D10" s="189">
        <f>'pivot table'!D49-'pivot table'!N49</f>
        <v>16.652715971076457</v>
      </c>
      <c r="E10" s="188">
        <f>'pivot table'!E49-'pivot table'!O49</f>
        <v>-5.471594204416693</v>
      </c>
      <c r="F10" s="188">
        <f>'pivot table'!F49-'pivot table'!P49</f>
        <v>0</v>
      </c>
      <c r="G10" s="188">
        <f t="shared" si="1"/>
        <v>1.4893607200235408</v>
      </c>
      <c r="I10" s="131"/>
      <c r="J10" s="388"/>
      <c r="K10" s="388"/>
      <c r="L10" s="388"/>
      <c r="M10" s="411"/>
      <c r="N10" s="412"/>
      <c r="O10" s="392"/>
      <c r="P10" s="391"/>
      <c r="Q10" s="416"/>
      <c r="R10" s="419"/>
      <c r="S10" s="404"/>
      <c r="T10" s="407"/>
      <c r="U10" s="395"/>
      <c r="V10" s="397"/>
      <c r="W10" s="400"/>
    </row>
    <row r="11" spans="2:24" x14ac:dyDescent="0.2">
      <c r="B11" s="190" t="s">
        <v>86</v>
      </c>
      <c r="C11" s="191">
        <f>'pivot table'!C50-'pivot table'!M50</f>
        <v>6.5460217396510529</v>
      </c>
      <c r="D11" s="192">
        <f>'pivot table'!D50-'pivot table'!N50</f>
        <v>12.313457882173379</v>
      </c>
      <c r="E11" s="191">
        <f>'pivot table'!E50-'pivot table'!O50</f>
        <v>-27.995146157763788</v>
      </c>
      <c r="F11" s="191">
        <f>'pivot table'!F50-'pivot table'!P50</f>
        <v>0</v>
      </c>
      <c r="G11" s="191">
        <f t="shared" si="1"/>
        <v>-9.1356665359393538</v>
      </c>
      <c r="I11" s="131"/>
      <c r="J11" s="388"/>
      <c r="K11" s="388"/>
      <c r="L11" s="388"/>
      <c r="M11" s="411"/>
      <c r="N11" s="412"/>
      <c r="O11" s="392"/>
      <c r="P11" s="391"/>
      <c r="Q11" s="416"/>
      <c r="R11" s="419"/>
      <c r="S11" s="404"/>
      <c r="T11" s="407"/>
      <c r="U11" s="395"/>
      <c r="V11" s="398"/>
      <c r="W11" s="401"/>
    </row>
    <row r="12" spans="2:24" x14ac:dyDescent="0.2">
      <c r="B12" s="187" t="s">
        <v>88</v>
      </c>
      <c r="C12" s="188">
        <f>'pivot table'!C51-'pivot table'!M51</f>
        <v>12.248901982863799</v>
      </c>
      <c r="D12" s="189">
        <f>'pivot table'!D51-'pivot table'!N51</f>
        <v>0</v>
      </c>
      <c r="E12" s="188">
        <f>'pivot table'!E51-'pivot table'!O51</f>
        <v>0</v>
      </c>
      <c r="F12" s="188">
        <f>'pivot table'!F51-'pivot table'!P51</f>
        <v>0</v>
      </c>
      <c r="G12" s="188">
        <f t="shared" si="1"/>
        <v>12.248901982863799</v>
      </c>
      <c r="I12" s="131"/>
      <c r="J12" s="388"/>
      <c r="K12" s="388"/>
      <c r="L12" s="388"/>
      <c r="M12" s="411"/>
      <c r="N12" s="412"/>
      <c r="O12" s="392"/>
      <c r="P12" s="391"/>
      <c r="Q12" s="416"/>
      <c r="R12" s="419"/>
      <c r="S12" s="404"/>
      <c r="T12" s="407"/>
      <c r="U12" s="395"/>
      <c r="V12" s="398"/>
      <c r="W12" s="401"/>
    </row>
    <row r="13" spans="2:24" x14ac:dyDescent="0.2">
      <c r="B13" s="190" t="s">
        <v>91</v>
      </c>
      <c r="C13" s="191">
        <f>'pivot table'!C52-'pivot table'!M52</f>
        <v>22.192938334954576</v>
      </c>
      <c r="D13" s="192">
        <f>'pivot table'!D52-'pivot table'!N52</f>
        <v>0</v>
      </c>
      <c r="E13" s="191">
        <f>'pivot table'!E52-'pivot table'!O52</f>
        <v>0</v>
      </c>
      <c r="F13" s="191">
        <f>'pivot table'!F52-'pivot table'!P52</f>
        <v>0</v>
      </c>
      <c r="G13" s="191">
        <f t="shared" si="1"/>
        <v>22.192938334954576</v>
      </c>
      <c r="I13" s="131"/>
      <c r="J13" s="388"/>
      <c r="K13" s="388"/>
      <c r="L13" s="388"/>
      <c r="M13" s="411"/>
      <c r="N13" s="412"/>
      <c r="O13" s="392"/>
      <c r="P13" s="391"/>
      <c r="Q13" s="416"/>
      <c r="R13" s="419"/>
      <c r="S13" s="404"/>
      <c r="T13" s="407"/>
      <c r="U13" s="395"/>
      <c r="V13" s="398"/>
      <c r="W13" s="401"/>
    </row>
    <row r="14" spans="2:24" x14ac:dyDescent="0.2">
      <c r="B14" s="193" t="s">
        <v>606</v>
      </c>
      <c r="C14" s="194">
        <f>'pivot table'!C53-'pivot table'!M53</f>
        <v>0</v>
      </c>
      <c r="D14" s="195">
        <f>'pivot table'!D53-'pivot table'!N53</f>
        <v>0</v>
      </c>
      <c r="E14" s="194">
        <f>'pivot table'!E53-'pivot table'!O53</f>
        <v>0</v>
      </c>
      <c r="F14" s="194">
        <f>'pivot table'!F53-'pivot table'!P53</f>
        <v>0</v>
      </c>
      <c r="G14" s="194">
        <f t="shared" si="1"/>
        <v>0</v>
      </c>
      <c r="I14" s="131"/>
      <c r="J14" s="388"/>
      <c r="K14" s="388"/>
      <c r="L14" s="388"/>
      <c r="M14" s="411"/>
      <c r="N14" s="412"/>
      <c r="O14" s="392"/>
      <c r="P14" s="391"/>
      <c r="Q14" s="416"/>
      <c r="R14" s="419"/>
      <c r="S14" s="404"/>
      <c r="T14" s="407"/>
      <c r="U14" s="395"/>
      <c r="V14" s="398"/>
      <c r="W14" s="401"/>
    </row>
    <row r="15" spans="2:24" x14ac:dyDescent="0.2">
      <c r="B15" s="190" t="s">
        <v>609</v>
      </c>
      <c r="C15" s="191">
        <f>SUM(C4:C14)</f>
        <v>9.9448403442152014</v>
      </c>
      <c r="D15" s="192">
        <f t="shared" ref="D15:F15" si="2">SUM(D4:D14)</f>
        <v>61.828595138711989</v>
      </c>
      <c r="E15" s="191">
        <f t="shared" si="2"/>
        <v>-73.877693696684432</v>
      </c>
      <c r="F15" s="191">
        <f t="shared" si="2"/>
        <v>22.26663527196127</v>
      </c>
      <c r="G15" s="191">
        <f>SUM(G4:G14)</f>
        <v>20.162377058204015</v>
      </c>
      <c r="I15" s="131"/>
      <c r="J15" s="388"/>
      <c r="K15" s="388"/>
      <c r="L15" s="388"/>
      <c r="M15" s="411"/>
      <c r="N15" s="412"/>
      <c r="O15" s="392"/>
      <c r="P15" s="391"/>
      <c r="Q15" s="416"/>
      <c r="R15" s="419"/>
      <c r="S15" s="404"/>
      <c r="T15" s="407"/>
      <c r="U15" s="395"/>
      <c r="V15" s="398"/>
      <c r="W15" s="401"/>
    </row>
    <row r="16" spans="2:24" x14ac:dyDescent="0.2">
      <c r="I16" s="131"/>
      <c r="J16" s="388"/>
      <c r="K16" s="388"/>
      <c r="L16" s="388"/>
      <c r="M16" s="411"/>
      <c r="N16" s="412"/>
      <c r="O16" s="392"/>
      <c r="P16" s="391"/>
      <c r="Q16" s="416"/>
      <c r="R16" s="419"/>
      <c r="S16" s="404"/>
      <c r="T16" s="407"/>
      <c r="U16" s="395"/>
      <c r="V16" s="398"/>
      <c r="W16" s="401"/>
    </row>
    <row r="17" spans="9:23" x14ac:dyDescent="0.2">
      <c r="I17" s="131"/>
      <c r="J17" s="388"/>
      <c r="K17" s="388"/>
      <c r="L17" s="388"/>
      <c r="M17" s="411"/>
      <c r="N17" s="412"/>
      <c r="O17" s="392"/>
      <c r="P17" s="391"/>
      <c r="Q17" s="416"/>
      <c r="R17" s="419"/>
      <c r="S17" s="404"/>
      <c r="T17" s="407"/>
      <c r="U17" s="395"/>
      <c r="V17" s="398"/>
      <c r="W17" s="401"/>
    </row>
    <row r="18" spans="9:23" x14ac:dyDescent="0.2">
      <c r="I18" s="131"/>
      <c r="J18" s="388"/>
      <c r="K18" s="388"/>
      <c r="L18" s="388"/>
      <c r="M18" s="411"/>
      <c r="N18" s="412"/>
      <c r="O18" s="392"/>
      <c r="P18" s="391"/>
      <c r="Q18" s="416"/>
      <c r="R18" s="419"/>
      <c r="S18" s="404"/>
      <c r="T18" s="407"/>
      <c r="U18" s="395"/>
      <c r="V18" s="398"/>
      <c r="W18" s="401"/>
    </row>
    <row r="19" spans="9:23" x14ac:dyDescent="0.2">
      <c r="I19" s="131"/>
      <c r="J19" s="388"/>
      <c r="K19" s="388"/>
      <c r="L19" s="388"/>
      <c r="M19" s="411"/>
      <c r="N19" s="412"/>
      <c r="O19" s="392"/>
      <c r="P19" s="391"/>
      <c r="Q19" s="416"/>
      <c r="R19" s="419"/>
      <c r="S19" s="404"/>
      <c r="T19" s="407"/>
      <c r="U19" s="395"/>
      <c r="V19" s="398"/>
      <c r="W19" s="401"/>
    </row>
    <row r="20" spans="9:23" x14ac:dyDescent="0.2">
      <c r="I20" s="131"/>
      <c r="J20" s="388"/>
      <c r="K20" s="388"/>
      <c r="L20" s="388"/>
      <c r="M20" s="411"/>
      <c r="N20" s="412"/>
      <c r="O20" s="392"/>
      <c r="P20" s="391"/>
      <c r="Q20" s="416"/>
      <c r="R20" s="419"/>
      <c r="S20" s="404"/>
      <c r="T20" s="407"/>
      <c r="U20" s="395"/>
      <c r="V20" s="398"/>
      <c r="W20" s="401"/>
    </row>
    <row r="21" spans="9:23" x14ac:dyDescent="0.2">
      <c r="I21" s="131"/>
      <c r="J21" s="388"/>
      <c r="K21" s="388"/>
      <c r="L21" s="388"/>
      <c r="M21" s="411"/>
      <c r="N21" s="412"/>
      <c r="O21" s="392"/>
      <c r="P21" s="391"/>
      <c r="Q21" s="416"/>
      <c r="R21" s="419"/>
      <c r="S21" s="404"/>
      <c r="T21" s="407"/>
      <c r="U21" s="395"/>
      <c r="V21" s="398"/>
      <c r="W21" s="401"/>
    </row>
    <row r="22" spans="9:23" x14ac:dyDescent="0.2">
      <c r="I22" s="131"/>
      <c r="J22" s="388"/>
      <c r="K22" s="388"/>
      <c r="L22" s="388"/>
      <c r="M22" s="411"/>
      <c r="N22" s="412"/>
      <c r="O22" s="392"/>
      <c r="P22" s="391"/>
      <c r="Q22" s="416"/>
      <c r="R22" s="419"/>
      <c r="S22" s="404"/>
      <c r="T22" s="407"/>
      <c r="U22" s="395"/>
      <c r="V22" s="398"/>
      <c r="W22" s="401"/>
    </row>
    <row r="23" spans="9:23" x14ac:dyDescent="0.2">
      <c r="I23" s="131"/>
      <c r="J23" s="388"/>
      <c r="K23" s="388"/>
      <c r="L23" s="388"/>
      <c r="M23" s="411"/>
      <c r="N23" s="412"/>
      <c r="O23" s="392"/>
      <c r="P23" s="391"/>
      <c r="Q23" s="416"/>
      <c r="R23" s="419"/>
      <c r="S23" s="404"/>
      <c r="T23" s="407"/>
      <c r="U23" s="395"/>
      <c r="V23" s="398"/>
      <c r="W23" s="401"/>
    </row>
    <row r="24" spans="9:23" x14ac:dyDescent="0.2">
      <c r="I24" s="131"/>
      <c r="J24" s="388"/>
      <c r="K24" s="388"/>
      <c r="L24" s="388"/>
      <c r="M24" s="411"/>
      <c r="N24" s="412"/>
      <c r="O24" s="392"/>
      <c r="P24" s="391"/>
      <c r="Q24" s="416"/>
      <c r="R24" s="419"/>
      <c r="S24" s="404"/>
      <c r="T24" s="407"/>
      <c r="U24" s="395"/>
      <c r="V24" s="398"/>
      <c r="W24" s="401"/>
    </row>
    <row r="25" spans="9:23" x14ac:dyDescent="0.2">
      <c r="I25" s="131"/>
      <c r="J25" s="388"/>
      <c r="K25" s="388"/>
      <c r="L25" s="388"/>
      <c r="M25" s="411"/>
      <c r="N25" s="412"/>
      <c r="O25" s="392"/>
      <c r="P25" s="391"/>
      <c r="Q25" s="416"/>
      <c r="R25" s="419"/>
      <c r="S25" s="404"/>
      <c r="T25" s="407"/>
      <c r="U25" s="395"/>
      <c r="V25" s="398"/>
      <c r="W25" s="401"/>
    </row>
    <row r="26" spans="9:23" x14ac:dyDescent="0.2">
      <c r="I26" s="131"/>
      <c r="J26" s="388"/>
      <c r="K26" s="388"/>
      <c r="L26" s="388"/>
      <c r="M26" s="411"/>
      <c r="N26" s="412"/>
      <c r="O26" s="392"/>
      <c r="P26" s="391"/>
      <c r="Q26" s="416"/>
      <c r="R26" s="419"/>
      <c r="S26" s="404"/>
      <c r="T26" s="407"/>
      <c r="U26" s="395"/>
      <c r="V26" s="398"/>
      <c r="W26" s="401"/>
    </row>
    <row r="27" spans="9:23" x14ac:dyDescent="0.2">
      <c r="I27" s="131"/>
      <c r="J27" s="388"/>
      <c r="K27" s="388"/>
      <c r="L27" s="388"/>
      <c r="M27" s="411"/>
      <c r="N27" s="412"/>
      <c r="O27" s="392"/>
      <c r="P27" s="391"/>
      <c r="Q27" s="416"/>
      <c r="R27" s="419"/>
      <c r="S27" s="404"/>
      <c r="T27" s="407"/>
      <c r="U27" s="395"/>
      <c r="V27" s="398"/>
      <c r="W27" s="401"/>
    </row>
    <row r="28" spans="9:23" x14ac:dyDescent="0.2">
      <c r="I28" s="131"/>
      <c r="J28" s="388"/>
      <c r="K28" s="388"/>
      <c r="L28" s="388"/>
      <c r="M28" s="411"/>
      <c r="N28" s="412"/>
      <c r="O28" s="392"/>
      <c r="P28" s="391"/>
      <c r="Q28" s="416"/>
      <c r="R28" s="419"/>
      <c r="S28" s="404"/>
      <c r="T28" s="407"/>
      <c r="U28" s="395"/>
      <c r="V28" s="398"/>
      <c r="W28" s="401"/>
    </row>
    <row r="29" spans="9:23" x14ac:dyDescent="0.2">
      <c r="I29" s="131"/>
      <c r="J29" s="388"/>
      <c r="K29" s="388"/>
      <c r="L29" s="388"/>
      <c r="M29" s="411"/>
      <c r="N29" s="412"/>
      <c r="O29" s="392"/>
      <c r="P29" s="391"/>
      <c r="Q29" s="416"/>
      <c r="R29" s="419"/>
      <c r="S29" s="404"/>
      <c r="T29" s="407"/>
      <c r="U29" s="395"/>
      <c r="V29" s="398"/>
      <c r="W29" s="401"/>
    </row>
    <row r="30" spans="9:23" x14ac:dyDescent="0.2">
      <c r="I30" s="131"/>
      <c r="J30" s="388"/>
      <c r="K30" s="388"/>
      <c r="L30" s="388"/>
      <c r="M30" s="411"/>
      <c r="N30" s="412"/>
      <c r="O30" s="392"/>
      <c r="P30" s="391"/>
      <c r="Q30" s="416"/>
      <c r="R30" s="419"/>
      <c r="S30" s="404"/>
      <c r="T30" s="407"/>
      <c r="U30" s="395"/>
      <c r="V30" s="398"/>
      <c r="W30" s="401"/>
    </row>
    <row r="31" spans="9:23" x14ac:dyDescent="0.2">
      <c r="I31" s="131"/>
      <c r="J31" s="388"/>
      <c r="K31" s="388"/>
      <c r="L31" s="388"/>
      <c r="M31" s="411"/>
      <c r="N31" s="412"/>
      <c r="O31" s="392"/>
      <c r="P31" s="391"/>
      <c r="Q31" s="416"/>
      <c r="R31" s="419"/>
      <c r="S31" s="404"/>
      <c r="T31" s="407"/>
      <c r="U31" s="395"/>
      <c r="V31" s="398"/>
      <c r="W31" s="401"/>
    </row>
    <row r="32" spans="9:23" x14ac:dyDescent="0.2">
      <c r="I32" s="131"/>
      <c r="J32" s="388"/>
      <c r="K32" s="388"/>
      <c r="L32" s="388"/>
      <c r="M32" s="411"/>
      <c r="N32" s="412"/>
      <c r="O32" s="392"/>
      <c r="P32" s="391"/>
      <c r="Q32" s="416"/>
      <c r="R32" s="419"/>
      <c r="S32" s="404"/>
      <c r="T32" s="407"/>
      <c r="U32" s="395"/>
      <c r="V32" s="398"/>
      <c r="W32" s="401"/>
    </row>
    <row r="33" spans="9:23" x14ac:dyDescent="0.2">
      <c r="I33" s="131"/>
      <c r="J33" s="388"/>
      <c r="K33" s="388"/>
      <c r="L33" s="388"/>
      <c r="M33" s="411"/>
      <c r="N33" s="412"/>
      <c r="O33" s="392"/>
      <c r="P33" s="391"/>
      <c r="Q33" s="416"/>
      <c r="R33" s="419"/>
      <c r="S33" s="404"/>
      <c r="T33" s="407"/>
      <c r="U33" s="395"/>
      <c r="V33" s="398"/>
      <c r="W33" s="401"/>
    </row>
    <row r="34" spans="9:23" x14ac:dyDescent="0.2">
      <c r="I34" s="131"/>
      <c r="J34" s="388"/>
      <c r="K34" s="388"/>
      <c r="L34" s="388"/>
      <c r="M34" s="411"/>
      <c r="N34" s="412"/>
      <c r="O34" s="392"/>
      <c r="P34" s="391"/>
      <c r="Q34" s="416"/>
      <c r="R34" s="419"/>
      <c r="S34" s="404"/>
      <c r="T34" s="407"/>
      <c r="U34" s="395"/>
      <c r="V34" s="398"/>
      <c r="W34" s="401"/>
    </row>
    <row r="35" spans="9:23" x14ac:dyDescent="0.2">
      <c r="I35" s="131"/>
      <c r="J35" s="388"/>
      <c r="K35" s="388"/>
      <c r="L35" s="388"/>
      <c r="M35" s="411"/>
      <c r="N35" s="412"/>
      <c r="O35" s="392"/>
      <c r="P35" s="391"/>
      <c r="Q35" s="416"/>
      <c r="R35" s="419"/>
      <c r="S35" s="404"/>
      <c r="T35" s="407"/>
      <c r="U35" s="395"/>
      <c r="V35" s="398"/>
      <c r="W35" s="401"/>
    </row>
    <row r="36" spans="9:23" x14ac:dyDescent="0.2">
      <c r="I36" s="131"/>
      <c r="J36" s="388"/>
      <c r="K36" s="388"/>
      <c r="L36" s="388"/>
      <c r="M36" s="411"/>
      <c r="N36" s="412"/>
      <c r="O36" s="392"/>
      <c r="P36" s="391"/>
      <c r="Q36" s="416"/>
      <c r="R36" s="419"/>
      <c r="S36" s="404"/>
      <c r="T36" s="407"/>
      <c r="U36" s="395"/>
      <c r="V36" s="398"/>
      <c r="W36" s="401"/>
    </row>
    <row r="37" spans="9:23" x14ac:dyDescent="0.2">
      <c r="I37" s="131"/>
      <c r="J37" s="388"/>
      <c r="K37" s="388"/>
      <c r="L37" s="388"/>
      <c r="M37" s="411"/>
      <c r="N37" s="412"/>
      <c r="O37" s="392"/>
      <c r="P37" s="391"/>
      <c r="Q37" s="416"/>
      <c r="R37" s="419"/>
      <c r="S37" s="404"/>
      <c r="T37" s="407"/>
      <c r="U37" s="395"/>
      <c r="V37" s="398"/>
      <c r="W37" s="401"/>
    </row>
    <row r="38" spans="9:23" x14ac:dyDescent="0.2">
      <c r="I38" s="131"/>
      <c r="J38" s="388"/>
      <c r="K38" s="388"/>
      <c r="L38" s="388"/>
      <c r="M38" s="411"/>
      <c r="N38" s="412"/>
      <c r="O38" s="392"/>
      <c r="P38" s="391"/>
      <c r="Q38" s="416"/>
      <c r="R38" s="419"/>
      <c r="S38" s="404"/>
      <c r="T38" s="407"/>
      <c r="U38" s="395"/>
      <c r="V38" s="398"/>
      <c r="W38" s="401"/>
    </row>
    <row r="39" spans="9:23" x14ac:dyDescent="0.2">
      <c r="I39" s="131"/>
      <c r="J39" s="388"/>
      <c r="K39" s="388"/>
      <c r="L39" s="388"/>
      <c r="M39" s="411"/>
      <c r="N39" s="412"/>
      <c r="O39" s="392"/>
      <c r="P39" s="391"/>
      <c r="Q39" s="416"/>
      <c r="R39" s="419"/>
      <c r="S39" s="404"/>
      <c r="T39" s="407"/>
      <c r="U39" s="395"/>
      <c r="V39" s="398"/>
      <c r="W39" s="401"/>
    </row>
    <row r="40" spans="9:23" x14ac:dyDescent="0.2">
      <c r="I40" s="131"/>
      <c r="J40" s="388"/>
      <c r="K40" s="388"/>
      <c r="L40" s="388"/>
      <c r="M40" s="411"/>
      <c r="N40" s="412"/>
      <c r="O40" s="392"/>
      <c r="P40" s="391"/>
      <c r="Q40" s="416"/>
      <c r="R40" s="419"/>
      <c r="S40" s="404"/>
      <c r="T40" s="407"/>
      <c r="U40" s="395"/>
      <c r="V40" s="398"/>
      <c r="W40" s="401"/>
    </row>
    <row r="41" spans="9:23" x14ac:dyDescent="0.2">
      <c r="I41" s="131"/>
      <c r="J41" s="388"/>
      <c r="K41" s="388"/>
      <c r="L41" s="388"/>
      <c r="M41" s="411"/>
      <c r="N41" s="412"/>
      <c r="O41" s="392"/>
      <c r="P41" s="391"/>
      <c r="Q41" s="416"/>
      <c r="R41" s="419"/>
      <c r="S41" s="404"/>
      <c r="T41" s="407"/>
      <c r="U41" s="395"/>
      <c r="V41" s="398"/>
      <c r="W41" s="401"/>
    </row>
    <row r="42" spans="9:23" x14ac:dyDescent="0.2">
      <c r="I42" s="131"/>
      <c r="J42" s="388"/>
      <c r="K42" s="388"/>
      <c r="L42" s="388"/>
      <c r="M42" s="411"/>
      <c r="N42" s="412"/>
      <c r="O42" s="392"/>
      <c r="P42" s="391"/>
      <c r="Q42" s="416"/>
      <c r="R42" s="419"/>
      <c r="S42" s="404"/>
      <c r="T42" s="407"/>
      <c r="U42" s="395"/>
      <c r="V42" s="398"/>
      <c r="W42" s="401"/>
    </row>
    <row r="43" spans="9:23" x14ac:dyDescent="0.2">
      <c r="I43" s="131"/>
      <c r="J43" s="388"/>
      <c r="K43" s="388"/>
      <c r="L43" s="388"/>
      <c r="M43" s="411"/>
      <c r="N43" s="412"/>
      <c r="O43" s="392"/>
      <c r="P43" s="391"/>
      <c r="Q43" s="416"/>
      <c r="R43" s="419"/>
      <c r="S43" s="404"/>
      <c r="T43" s="407"/>
      <c r="U43" s="395"/>
      <c r="V43" s="398"/>
      <c r="W43" s="401"/>
    </row>
    <row r="44" spans="9:23" x14ac:dyDescent="0.2">
      <c r="I44" s="131"/>
      <c r="J44" s="388"/>
      <c r="K44" s="388"/>
      <c r="L44" s="388"/>
      <c r="M44" s="411"/>
      <c r="N44" s="412"/>
      <c r="O44" s="392"/>
      <c r="P44" s="391"/>
      <c r="Q44" s="416"/>
      <c r="R44" s="419"/>
      <c r="S44" s="404"/>
      <c r="T44" s="407"/>
      <c r="U44" s="395"/>
      <c r="V44" s="398"/>
      <c r="W44" s="401"/>
    </row>
    <row r="45" spans="9:23" x14ac:dyDescent="0.2">
      <c r="I45" s="131"/>
      <c r="J45" s="388"/>
      <c r="K45" s="388"/>
      <c r="L45" s="388"/>
      <c r="M45" s="411"/>
      <c r="N45" s="412"/>
      <c r="O45" s="392"/>
      <c r="P45" s="391"/>
      <c r="Q45" s="416"/>
      <c r="R45" s="419"/>
      <c r="S45" s="404"/>
      <c r="T45" s="407"/>
      <c r="U45" s="395"/>
      <c r="V45" s="398"/>
      <c r="W45" s="401"/>
    </row>
    <row r="46" spans="9:23" x14ac:dyDescent="0.2">
      <c r="I46" s="131"/>
      <c r="J46" s="388"/>
      <c r="K46" s="388"/>
      <c r="L46" s="388"/>
      <c r="M46" s="411"/>
      <c r="N46" s="412"/>
      <c r="O46" s="392"/>
      <c r="P46" s="391"/>
      <c r="Q46" s="416"/>
      <c r="R46" s="419"/>
      <c r="S46" s="404"/>
      <c r="T46" s="407"/>
      <c r="U46" s="395"/>
      <c r="V46" s="398"/>
      <c r="W46" s="401"/>
    </row>
    <row r="47" spans="9:23" x14ac:dyDescent="0.2">
      <c r="I47" s="131"/>
      <c r="J47" s="388"/>
      <c r="K47" s="388"/>
      <c r="L47" s="388"/>
      <c r="M47" s="411"/>
      <c r="N47" s="412"/>
      <c r="O47" s="392"/>
      <c r="P47" s="391"/>
      <c r="Q47" s="416"/>
      <c r="R47" s="419"/>
      <c r="S47" s="404"/>
      <c r="T47" s="407"/>
      <c r="U47" s="395"/>
      <c r="V47" s="398"/>
      <c r="W47" s="401"/>
    </row>
    <row r="48" spans="9:23" x14ac:dyDescent="0.2">
      <c r="I48" s="131"/>
      <c r="J48" s="388"/>
      <c r="K48" s="388"/>
      <c r="L48" s="388"/>
      <c r="M48" s="411"/>
      <c r="N48" s="412"/>
      <c r="O48" s="392"/>
      <c r="P48" s="391"/>
      <c r="Q48" s="416"/>
      <c r="R48" s="419"/>
      <c r="S48" s="404"/>
      <c r="T48" s="407"/>
      <c r="U48" s="395"/>
      <c r="V48" s="398"/>
      <c r="W48" s="401"/>
    </row>
    <row r="49" spans="2:23" x14ac:dyDescent="0.2">
      <c r="I49" s="131"/>
      <c r="J49" s="388"/>
      <c r="K49" s="388"/>
      <c r="L49" s="388"/>
      <c r="M49" s="411"/>
      <c r="N49" s="412"/>
      <c r="O49" s="392"/>
      <c r="P49" s="391"/>
      <c r="Q49" s="416"/>
      <c r="R49" s="419"/>
      <c r="S49" s="404"/>
      <c r="T49" s="407"/>
      <c r="U49" s="395"/>
      <c r="V49" s="398"/>
      <c r="W49" s="401"/>
    </row>
    <row r="50" spans="2:23" x14ac:dyDescent="0.2">
      <c r="I50" s="131"/>
      <c r="J50" s="388"/>
      <c r="K50" s="388"/>
      <c r="L50" s="388"/>
      <c r="M50" s="411"/>
      <c r="N50" s="412"/>
      <c r="O50" s="392"/>
      <c r="P50" s="391"/>
      <c r="Q50" s="416"/>
      <c r="R50" s="419"/>
      <c r="S50" s="404"/>
      <c r="T50" s="407"/>
      <c r="U50" s="395"/>
      <c r="V50" s="398"/>
      <c r="W50" s="401"/>
    </row>
    <row r="51" spans="2:23" x14ac:dyDescent="0.2">
      <c r="B51" s="196" t="s">
        <v>687</v>
      </c>
      <c r="C51" s="196" t="s">
        <v>925</v>
      </c>
      <c r="D51" s="196" t="s">
        <v>388</v>
      </c>
      <c r="I51" s="131"/>
      <c r="J51" s="388"/>
      <c r="K51" s="388"/>
      <c r="L51" s="388"/>
      <c r="M51" s="411"/>
      <c r="N51" s="412"/>
      <c r="O51" s="392"/>
      <c r="P51" s="391"/>
      <c r="Q51" s="416"/>
      <c r="R51" s="419"/>
      <c r="S51" s="404"/>
      <c r="T51" s="407"/>
      <c r="U51" s="395"/>
      <c r="V51" s="398"/>
      <c r="W51" s="401"/>
    </row>
    <row r="52" spans="2:23" x14ac:dyDescent="0.2">
      <c r="B52" s="384" t="s">
        <v>632</v>
      </c>
      <c r="C52" s="383">
        <f>SUMIF('bench Comparison'!M:M,B52,'bench Comparison'!H:H)</f>
        <v>37570.03</v>
      </c>
      <c r="D52" s="197">
        <f>3650000*C52/(SUMIF('bench Comparison'!$A:$A,"RESINV1USD",'bench Comparison'!$G:$G)+SUMIF('bench Comparison'!$A:$A,"RESSWAPORUSD",'bench Comparison'!$G:$G))</f>
        <v>7.4884926042436533</v>
      </c>
      <c r="I52" s="131"/>
      <c r="J52" s="388"/>
      <c r="K52" s="388"/>
      <c r="L52" s="388"/>
      <c r="M52" s="411"/>
      <c r="N52" s="412"/>
      <c r="O52" s="392"/>
      <c r="P52" s="391"/>
      <c r="Q52" s="416"/>
      <c r="R52" s="419"/>
      <c r="S52" s="404"/>
      <c r="T52" s="407"/>
      <c r="U52" s="395"/>
      <c r="V52" s="398"/>
      <c r="W52" s="401"/>
    </row>
    <row r="53" spans="2:23" x14ac:dyDescent="0.2">
      <c r="B53" s="384" t="s">
        <v>620</v>
      </c>
      <c r="C53" s="383">
        <f>SUMIF('bench Comparison'!M:M,B53,'bench Comparison'!H:H)</f>
        <v>53451.25</v>
      </c>
      <c r="D53" s="197">
        <f>3650000*C53/(SUMIF('bench Comparison'!$A:$A,"RESINV1USD",'bench Comparison'!$G:$G)+SUMIF('bench Comparison'!$A:$A,"RESSWAPORUSD",'bench Comparison'!$G:$G))</f>
        <v>10.653951841736047</v>
      </c>
      <c r="I53" s="131"/>
      <c r="J53" s="388"/>
      <c r="K53" s="388"/>
      <c r="L53" s="388"/>
      <c r="M53" s="411"/>
      <c r="N53" s="412"/>
      <c r="O53" s="392"/>
      <c r="P53" s="391"/>
      <c r="Q53" s="416"/>
      <c r="R53" s="419"/>
      <c r="S53" s="404"/>
      <c r="T53" s="407"/>
      <c r="U53" s="395"/>
      <c r="V53" s="398"/>
      <c r="W53" s="401"/>
    </row>
    <row r="54" spans="2:23" x14ac:dyDescent="0.2">
      <c r="B54" s="384" t="s">
        <v>618</v>
      </c>
      <c r="C54" s="383">
        <f>SUMIF('bench Comparison'!M:M,B54,'bench Comparison'!H:H)</f>
        <v>24521.15</v>
      </c>
      <c r="D54" s="197">
        <f>3650000*C54/(SUMIF('bench Comparison'!$A:$A,"RESINV1USD",'bench Comparison'!$G:$G)+SUMIF('bench Comparison'!$A:$A,"RESSWAPORUSD",'bench Comparison'!$G:$G))</f>
        <v>4.8875779556883305</v>
      </c>
      <c r="I54" s="131"/>
      <c r="J54" s="388"/>
      <c r="K54" s="388"/>
      <c r="L54" s="388"/>
      <c r="M54" s="411"/>
      <c r="N54" s="412"/>
      <c r="O54" s="392"/>
      <c r="P54" s="391"/>
      <c r="Q54" s="416"/>
      <c r="R54" s="419"/>
      <c r="S54" s="404"/>
      <c r="T54" s="407"/>
      <c r="U54" s="395"/>
      <c r="V54" s="398"/>
      <c r="W54" s="401"/>
    </row>
    <row r="55" spans="2:23" x14ac:dyDescent="0.2">
      <c r="B55" s="384" t="s">
        <v>633</v>
      </c>
      <c r="C55" s="383">
        <f>SUMIF('bench Comparison'!M:M,B55,'bench Comparison'!H:H)</f>
        <v>5080.42</v>
      </c>
      <c r="D55" s="197">
        <f>3650000*C55/(SUMIF('bench Comparison'!$A:$A,"RESINV1USD",'bench Comparison'!$G:$G)+SUMIF('bench Comparison'!$A:$A,"RESSWAPORUSD",'bench Comparison'!$G:$G))</f>
        <v>1.012633942439001</v>
      </c>
      <c r="I55" s="131"/>
      <c r="J55" s="388"/>
      <c r="K55" s="388"/>
      <c r="L55" s="388"/>
      <c r="M55" s="411"/>
      <c r="N55" s="412"/>
      <c r="O55" s="392"/>
      <c r="P55" s="391"/>
      <c r="Q55" s="416"/>
      <c r="R55" s="419"/>
      <c r="S55" s="404"/>
      <c r="T55" s="407"/>
      <c r="U55" s="395"/>
      <c r="V55" s="398"/>
      <c r="W55" s="401"/>
    </row>
    <row r="56" spans="2:23" x14ac:dyDescent="0.2">
      <c r="B56" s="384" t="s">
        <v>622</v>
      </c>
      <c r="C56" s="383">
        <f>SUMIF('bench Comparison'!M:M,B56,'bench Comparison'!H:H)</f>
        <v>38399.47</v>
      </c>
      <c r="D56" s="197">
        <f>3650000*C56/(SUMIF('bench Comparison'!$A:$A,"RESINV1USD",'bench Comparison'!$G:$G)+SUMIF('bench Comparison'!$A:$A,"RESSWAPORUSD",'bench Comparison'!$G:$G))</f>
        <v>7.6538173406269845</v>
      </c>
      <c r="I56" s="131"/>
      <c r="J56" s="388"/>
      <c r="K56" s="388"/>
      <c r="L56" s="388"/>
      <c r="M56" s="411"/>
      <c r="N56" s="412"/>
      <c r="O56" s="392"/>
      <c r="P56" s="391"/>
      <c r="Q56" s="416"/>
      <c r="R56" s="419"/>
      <c r="S56" s="404"/>
      <c r="T56" s="407"/>
      <c r="U56" s="395"/>
      <c r="V56" s="398"/>
      <c r="W56" s="401"/>
    </row>
    <row r="57" spans="2:23" x14ac:dyDescent="0.2">
      <c r="B57" s="384" t="s">
        <v>624</v>
      </c>
      <c r="C57" s="383">
        <f>SUMIF('bench Comparison'!M:M,B57,'bench Comparison'!H:H)</f>
        <v>26751.140000000003</v>
      </c>
      <c r="D57" s="197">
        <f>3650000*C57/(SUMIF('bench Comparison'!$A:$A,"RESINV1USD",'bench Comparison'!$G:$G)+SUMIF('bench Comparison'!$A:$A,"RESSWAPORUSD",'bench Comparison'!$G:$G))</f>
        <v>5.3320615939110665</v>
      </c>
      <c r="I57" s="131"/>
      <c r="J57" s="388"/>
      <c r="K57" s="388"/>
      <c r="L57" s="388"/>
      <c r="M57" s="411"/>
      <c r="N57" s="412"/>
      <c r="O57" s="392"/>
      <c r="P57" s="391"/>
      <c r="Q57" s="416"/>
      <c r="R57" s="419"/>
      <c r="S57" s="404"/>
      <c r="T57" s="407"/>
      <c r="U57" s="395"/>
      <c r="V57" s="398"/>
      <c r="W57" s="401"/>
    </row>
    <row r="58" spans="2:23" x14ac:dyDescent="0.2">
      <c r="B58" s="384" t="s">
        <v>635</v>
      </c>
      <c r="C58" s="383">
        <f>SUMIF('bench Comparison'!M:M,B58,'bench Comparison'!H:H)</f>
        <v>7256.14</v>
      </c>
      <c r="D58" s="197">
        <f>3650000*C58/(SUMIF('bench Comparison'!$A:$A,"RESINV1USD",'bench Comparison'!$G:$G)+SUMIF('bench Comparison'!$A:$A,"RESSWAPORUSD",'bench Comparison'!$G:$G))</f>
        <v>1.4463004348241548</v>
      </c>
      <c r="I58" s="131"/>
      <c r="J58" s="388"/>
      <c r="K58" s="388"/>
      <c r="L58" s="388"/>
      <c r="M58" s="411"/>
      <c r="N58" s="412"/>
      <c r="O58" s="392"/>
      <c r="P58" s="391"/>
      <c r="Q58" s="416"/>
      <c r="R58" s="419"/>
      <c r="S58" s="404"/>
      <c r="T58" s="407"/>
      <c r="U58" s="395"/>
      <c r="V58" s="398"/>
      <c r="W58" s="401"/>
    </row>
    <row r="59" spans="2:23" x14ac:dyDescent="0.2">
      <c r="B59" s="384" t="s">
        <v>626</v>
      </c>
      <c r="C59" s="383">
        <f>SUMIF('bench Comparison'!M:M,B59,'bench Comparison'!H:H)</f>
        <v>958.71</v>
      </c>
      <c r="D59" s="197">
        <f>3650000*C59/(SUMIF('bench Comparison'!$A:$A,"RESINV1USD",'bench Comparison'!$G:$G)+SUMIF('bench Comparison'!$A:$A,"RESSWAPORUSD",'bench Comparison'!$G:$G))</f>
        <v>0.19109095054261155</v>
      </c>
      <c r="I59" s="131"/>
      <c r="J59" s="388"/>
      <c r="K59" s="388"/>
      <c r="L59" s="388"/>
      <c r="M59" s="411"/>
      <c r="N59" s="412"/>
      <c r="O59" s="392"/>
      <c r="P59" s="391"/>
      <c r="Q59" s="416"/>
      <c r="R59" s="419"/>
      <c r="S59" s="404"/>
      <c r="T59" s="407"/>
      <c r="U59" s="395"/>
      <c r="V59" s="398"/>
      <c r="W59" s="401"/>
    </row>
    <row r="60" spans="2:23" x14ac:dyDescent="0.2">
      <c r="B60" s="384" t="s">
        <v>629</v>
      </c>
      <c r="C60" s="383">
        <f>SUMIF('bench Comparison'!M:M,B60,'bench Comparison'!H:H)</f>
        <v>2152.23</v>
      </c>
      <c r="D60" s="197">
        <f>3650000*C60/(SUMIF('bench Comparison'!$A:$A,"RESINV1USD",'bench Comparison'!$G:$G)+SUMIF('bench Comparison'!$A:$A,"RESSWAPORUSD",'bench Comparison'!$G:$G))</f>
        <v>0.42898444418679776</v>
      </c>
      <c r="I60" s="131"/>
      <c r="J60" s="388"/>
      <c r="K60" s="388"/>
      <c r="L60" s="388"/>
      <c r="M60" s="411"/>
      <c r="N60" s="412"/>
      <c r="O60" s="392"/>
      <c r="P60" s="391"/>
      <c r="Q60" s="416"/>
      <c r="R60" s="419"/>
      <c r="S60" s="404"/>
      <c r="T60" s="407"/>
      <c r="U60" s="395"/>
      <c r="V60" s="398"/>
      <c r="W60" s="401"/>
    </row>
    <row r="61" spans="2:23" x14ac:dyDescent="0.2">
      <c r="B61" s="384" t="s">
        <v>623</v>
      </c>
      <c r="C61" s="383">
        <f>SUMIF('bench Comparison'!M:M,B61,'bench Comparison'!H:H)</f>
        <v>1724.1200000000001</v>
      </c>
      <c r="D61" s="197">
        <f>3650000*C61/(SUMIF('bench Comparison'!$A:$A,"RESINV1USD",'bench Comparison'!$G:$G)+SUMIF('bench Comparison'!$A:$A,"RESSWAPORUSD",'bench Comparison'!$G:$G))</f>
        <v>0.34365316899743137</v>
      </c>
      <c r="I61" s="131"/>
      <c r="J61" s="388"/>
      <c r="K61" s="388"/>
      <c r="L61" s="388"/>
      <c r="M61" s="411"/>
      <c r="N61" s="412"/>
      <c r="O61" s="392"/>
      <c r="P61" s="391"/>
      <c r="Q61" s="416"/>
      <c r="R61" s="419"/>
      <c r="S61" s="404"/>
      <c r="T61" s="407"/>
      <c r="U61" s="395"/>
      <c r="V61" s="398"/>
      <c r="W61" s="401"/>
    </row>
    <row r="62" spans="2:23" x14ac:dyDescent="0.2">
      <c r="B62" s="384" t="s">
        <v>621</v>
      </c>
      <c r="C62" s="383">
        <f>SUMIF('bench Comparison'!M:M,B62,'bench Comparison'!H:H)</f>
        <v>23127.64</v>
      </c>
      <c r="D62" s="197">
        <f>3650000*C62/(SUMIF('bench Comparison'!$A:$A,"RESINV1USD",'bench Comparison'!$G:$G)+SUMIF('bench Comparison'!$A:$A,"RESSWAPORUSD",'bench Comparison'!$G:$G))</f>
        <v>4.6098222730620568</v>
      </c>
      <c r="I62" s="131"/>
      <c r="J62" s="388"/>
      <c r="K62" s="388"/>
      <c r="L62" s="388"/>
      <c r="M62" s="411"/>
      <c r="N62" s="412"/>
      <c r="O62" s="392"/>
      <c r="P62" s="391"/>
      <c r="Q62" s="416"/>
      <c r="R62" s="419"/>
      <c r="S62" s="404"/>
      <c r="T62" s="407"/>
      <c r="U62" s="395"/>
      <c r="V62" s="398"/>
      <c r="W62" s="401"/>
    </row>
    <row r="63" spans="2:23" x14ac:dyDescent="0.2">
      <c r="B63" s="384" t="s">
        <v>634</v>
      </c>
      <c r="C63" s="383">
        <f>SUMIF('bench Comparison'!M:M,B63,'bench Comparison'!H:H)</f>
        <v>6110.51</v>
      </c>
      <c r="D63" s="197">
        <f>3650000*C63/(SUMIF('bench Comparison'!$A:$A,"RESINV1USD",'bench Comparison'!$G:$G)+SUMIF('bench Comparison'!$A:$A,"RESSWAPORUSD",'bench Comparison'!$G:$G))</f>
        <v>1.2179524196056506</v>
      </c>
      <c r="I63" s="131"/>
      <c r="J63" s="388"/>
      <c r="K63" s="388"/>
      <c r="L63" s="388"/>
      <c r="M63" s="411"/>
      <c r="N63" s="412"/>
      <c r="O63" s="392"/>
      <c r="P63" s="391"/>
      <c r="Q63" s="416"/>
      <c r="R63" s="419"/>
      <c r="S63" s="404"/>
      <c r="T63" s="407"/>
      <c r="U63" s="395"/>
      <c r="V63" s="398"/>
      <c r="W63" s="401"/>
    </row>
    <row r="64" spans="2:23" x14ac:dyDescent="0.2">
      <c r="B64" s="384" t="s">
        <v>637</v>
      </c>
      <c r="C64" s="383">
        <f>SUMIF('bench Comparison'!M:M,B64,'bench Comparison'!H:H)</f>
        <v>19534.990000000002</v>
      </c>
      <c r="D64" s="197">
        <f>3650000*C64/(SUMIF('bench Comparison'!$A:$A,"RESINV1USD",'bench Comparison'!$G:$G)+SUMIF('bench Comparison'!$A:$A,"RESSWAPORUSD",'bench Comparison'!$G:$G))</f>
        <v>3.8937320023160407</v>
      </c>
      <c r="I64" s="131"/>
      <c r="J64" s="388"/>
      <c r="K64" s="388"/>
      <c r="L64" s="388"/>
      <c r="M64" s="411"/>
      <c r="N64" s="412"/>
      <c r="O64" s="392"/>
      <c r="P64" s="391"/>
      <c r="Q64" s="416"/>
      <c r="R64" s="419"/>
      <c r="S64" s="404"/>
      <c r="T64" s="407"/>
      <c r="U64" s="395"/>
      <c r="V64" s="398"/>
      <c r="W64" s="401"/>
    </row>
    <row r="65" spans="2:23" x14ac:dyDescent="0.2">
      <c r="B65" s="384" t="s">
        <v>631</v>
      </c>
      <c r="C65" s="383">
        <f>SUMIF('bench Comparison'!M:M,B65,'bench Comparison'!H:H)</f>
        <v>2604.0100000000002</v>
      </c>
      <c r="D65" s="197">
        <f>3650000*C65/(SUMIF('bench Comparison'!$A:$A,"RESINV1USD",'bench Comparison'!$G:$G)+SUMIF('bench Comparison'!$A:$A,"RESSWAPORUSD",'bench Comparison'!$G:$G))</f>
        <v>0.51903364533849228</v>
      </c>
      <c r="I65" s="131"/>
      <c r="J65" s="388"/>
      <c r="K65" s="388"/>
      <c r="L65" s="388"/>
      <c r="M65" s="411"/>
      <c r="N65" s="412"/>
      <c r="O65" s="392"/>
      <c r="P65" s="391"/>
      <c r="Q65" s="416"/>
      <c r="R65" s="419"/>
      <c r="S65" s="404"/>
      <c r="T65" s="407"/>
      <c r="U65" s="395"/>
      <c r="V65" s="398"/>
      <c r="W65" s="401"/>
    </row>
    <row r="66" spans="2:23" x14ac:dyDescent="0.2">
      <c r="B66" s="384" t="s">
        <v>619</v>
      </c>
      <c r="C66" s="383">
        <f>SUMIF('bench Comparison'!M:M,B66,'bench Comparison'!H:H)</f>
        <v>4943.34</v>
      </c>
      <c r="D66" s="197">
        <f>3650000*C66/(SUMIF('bench Comparison'!$A:$A,"RESINV1USD",'bench Comparison'!$G:$G)+SUMIF('bench Comparison'!$A:$A,"RESSWAPORUSD",'bench Comparison'!$G:$G))</f>
        <v>0.98531103196515468</v>
      </c>
      <c r="I66" s="131"/>
      <c r="J66" s="388"/>
      <c r="K66" s="388"/>
      <c r="L66" s="388"/>
      <c r="M66" s="411"/>
      <c r="N66" s="412"/>
      <c r="O66" s="392"/>
      <c r="P66" s="391"/>
      <c r="Q66" s="416"/>
      <c r="R66" s="419"/>
      <c r="S66" s="404"/>
      <c r="T66" s="407"/>
      <c r="U66" s="395"/>
      <c r="V66" s="398"/>
      <c r="W66" s="401"/>
    </row>
    <row r="67" spans="2:23" x14ac:dyDescent="0.2">
      <c r="B67" s="384" t="s">
        <v>625</v>
      </c>
      <c r="C67" s="383">
        <f>SUMIF('bench Comparison'!M:M,B67,'bench Comparison'!H:H)</f>
        <v>30248.129999999997</v>
      </c>
      <c r="D67" s="197">
        <f>3650000*C67/(SUMIF('bench Comparison'!$A:$A,"RESINV1USD",'bench Comparison'!$G:$G)+SUMIF('bench Comparison'!$A:$A,"RESSWAPORUSD",'bench Comparison'!$G:$G))</f>
        <v>6.0290848263150316</v>
      </c>
      <c r="I67" s="131"/>
      <c r="J67" s="388"/>
      <c r="K67" s="388"/>
      <c r="L67" s="388"/>
      <c r="M67" s="411"/>
      <c r="N67" s="412"/>
      <c r="O67" s="392"/>
      <c r="P67" s="391"/>
      <c r="Q67" s="416"/>
      <c r="R67" s="419"/>
      <c r="S67" s="404"/>
      <c r="T67" s="407"/>
      <c r="U67" s="395"/>
      <c r="V67" s="398"/>
      <c r="W67" s="401"/>
    </row>
    <row r="68" spans="2:23" x14ac:dyDescent="0.2">
      <c r="B68" s="384" t="s">
        <v>627</v>
      </c>
      <c r="C68" s="383">
        <f>SUMIF('bench Comparison'!M:M,B68,'bench Comparison'!H:H)</f>
        <v>2954.56</v>
      </c>
      <c r="D68" s="197">
        <f>3650000*C68/(SUMIF('bench Comparison'!$A:$A,"RESINV1USD",'bench Comparison'!$G:$G)+SUMIF('bench Comparison'!$A:$A,"RESSWAPORUSD",'bench Comparison'!$G:$G))</f>
        <v>0.58890559067411252</v>
      </c>
      <c r="I68" s="131"/>
      <c r="J68" s="388"/>
      <c r="K68" s="388"/>
      <c r="L68" s="388"/>
      <c r="M68" s="411"/>
      <c r="N68" s="412"/>
      <c r="O68" s="392"/>
      <c r="P68" s="391"/>
      <c r="Q68" s="416"/>
      <c r="R68" s="419"/>
      <c r="S68" s="404"/>
      <c r="T68" s="407"/>
      <c r="U68" s="395"/>
      <c r="V68" s="398"/>
      <c r="W68" s="401"/>
    </row>
    <row r="69" spans="2:23" x14ac:dyDescent="0.2">
      <c r="B69" s="384" t="s">
        <v>636</v>
      </c>
      <c r="C69" s="383">
        <f>SUMIF('bench Comparison'!M:M,B69,'bench Comparison'!H:H)</f>
        <v>9370.82</v>
      </c>
      <c r="D69" s="197">
        <f>3650000*C69/(SUMIF('bench Comparison'!$A:$A,"RESINV1USD",'bench Comparison'!$G:$G)+SUMIF('bench Comparison'!$A:$A,"RESSWAPORUSD",'bench Comparison'!$G:$G))</f>
        <v>1.8678003788045554</v>
      </c>
      <c r="I69" s="131"/>
      <c r="J69" s="388"/>
      <c r="K69" s="388"/>
      <c r="L69" s="388"/>
      <c r="M69" s="411"/>
      <c r="N69" s="412"/>
      <c r="O69" s="392"/>
      <c r="P69" s="391"/>
      <c r="Q69" s="416"/>
      <c r="R69" s="419"/>
      <c r="S69" s="404"/>
      <c r="T69" s="407"/>
      <c r="U69" s="395"/>
      <c r="V69" s="398"/>
      <c r="W69" s="401"/>
    </row>
    <row r="70" spans="2:23" x14ac:dyDescent="0.2">
      <c r="B70" s="384" t="s">
        <v>630</v>
      </c>
      <c r="C70" s="383">
        <f>SUMIF('bench Comparison'!M:M,B70,'bench Comparison'!H:H)</f>
        <v>1354.32</v>
      </c>
      <c r="D70" s="197">
        <f>3650000*C70/(SUMIF('bench Comparison'!$A:$A,"RESINV1USD",'bench Comparison'!$G:$G)+SUMIF('bench Comparison'!$A:$A,"RESSWAPORUSD",'bench Comparison'!$G:$G))</f>
        <v>0.26994429612590842</v>
      </c>
      <c r="I70" s="131"/>
      <c r="J70" s="388"/>
      <c r="K70" s="388"/>
      <c r="L70" s="388"/>
      <c r="M70" s="411"/>
      <c r="N70" s="412"/>
      <c r="O70" s="392"/>
      <c r="P70" s="391"/>
      <c r="Q70" s="416"/>
      <c r="R70" s="419"/>
      <c r="S70" s="404"/>
      <c r="T70" s="407"/>
      <c r="U70" s="395"/>
      <c r="V70" s="398"/>
      <c r="W70" s="401"/>
    </row>
    <row r="71" spans="2:23" x14ac:dyDescent="0.2">
      <c r="B71" s="384" t="s">
        <v>628</v>
      </c>
      <c r="C71" s="383">
        <f>SUMIF('bench Comparison'!M:M,B71,'bench Comparison'!H:H)</f>
        <v>12083.25</v>
      </c>
      <c r="D71" s="197">
        <f>3650000*C71/(SUMIF('bench Comparison'!$A:$A,"RESINV1USD",'bench Comparison'!$G:$G)+SUMIF('bench Comparison'!$A:$A,"RESSWAPORUSD",'bench Comparison'!$G:$G))</f>
        <v>2.4084443973088954</v>
      </c>
      <c r="I71" s="131"/>
      <c r="J71" s="388"/>
      <c r="K71" s="388"/>
      <c r="L71" s="388"/>
      <c r="M71" s="411"/>
      <c r="N71" s="412"/>
      <c r="O71" s="392"/>
      <c r="P71" s="391"/>
      <c r="Q71" s="416"/>
      <c r="R71" s="419"/>
      <c r="S71" s="404"/>
      <c r="T71" s="407"/>
      <c r="U71" s="395"/>
      <c r="V71" s="398"/>
      <c r="W71" s="401"/>
    </row>
    <row r="72" spans="2:23" x14ac:dyDescent="0.2">
      <c r="B72" s="384" t="s">
        <v>639</v>
      </c>
      <c r="C72" s="382"/>
      <c r="D72" s="198">
        <f>SUM(D52:D71)</f>
        <v>61.828595138711968</v>
      </c>
      <c r="I72" s="131"/>
      <c r="J72" s="388"/>
      <c r="K72" s="388"/>
      <c r="L72" s="388"/>
      <c r="M72" s="411"/>
      <c r="N72" s="412"/>
      <c r="O72" s="392"/>
      <c r="P72" s="391"/>
      <c r="Q72" s="416"/>
      <c r="R72" s="419"/>
      <c r="S72" s="404"/>
      <c r="T72" s="407"/>
      <c r="U72" s="395"/>
      <c r="V72" s="398"/>
      <c r="W72" s="401"/>
    </row>
    <row r="73" spans="2:23" x14ac:dyDescent="0.2">
      <c r="I73" s="131"/>
      <c r="J73" s="388"/>
      <c r="K73" s="388"/>
      <c r="L73" s="388"/>
      <c r="M73" s="411"/>
      <c r="N73" s="412"/>
      <c r="O73" s="392"/>
      <c r="P73" s="391"/>
      <c r="Q73" s="416"/>
      <c r="R73" s="419"/>
      <c r="S73" s="404"/>
      <c r="T73" s="407"/>
      <c r="U73" s="395"/>
      <c r="V73" s="398"/>
      <c r="W73" s="401"/>
    </row>
    <row r="74" spans="2:23" x14ac:dyDescent="0.2">
      <c r="I74" s="131"/>
      <c r="J74" s="388"/>
      <c r="K74" s="388"/>
      <c r="L74" s="388"/>
      <c r="M74" s="411"/>
      <c r="N74" s="412"/>
      <c r="O74" s="392"/>
      <c r="P74" s="391"/>
      <c r="Q74" s="416"/>
      <c r="R74" s="419"/>
      <c r="S74" s="404"/>
      <c r="T74" s="407"/>
      <c r="U74" s="395"/>
      <c r="V74" s="398"/>
      <c r="W74" s="401"/>
    </row>
    <row r="75" spans="2:23" x14ac:dyDescent="0.2">
      <c r="I75" s="131"/>
      <c r="J75" s="388"/>
      <c r="K75" s="388"/>
      <c r="L75" s="388"/>
      <c r="M75" s="411"/>
      <c r="N75" s="412"/>
      <c r="O75" s="392"/>
      <c r="P75" s="391"/>
      <c r="Q75" s="416"/>
      <c r="R75" s="419"/>
      <c r="S75" s="404"/>
      <c r="T75" s="407"/>
      <c r="U75" s="395"/>
      <c r="V75" s="398"/>
      <c r="W75" s="401"/>
    </row>
    <row r="76" spans="2:23" x14ac:dyDescent="0.2">
      <c r="I76" s="131"/>
      <c r="J76" s="388"/>
      <c r="K76" s="388"/>
      <c r="L76" s="388"/>
      <c r="M76" s="411"/>
      <c r="N76" s="412"/>
      <c r="O76" s="392"/>
      <c r="P76" s="391"/>
      <c r="Q76" s="416"/>
      <c r="R76" s="419"/>
      <c r="S76" s="404"/>
      <c r="T76" s="407"/>
      <c r="U76" s="395"/>
      <c r="V76" s="398"/>
      <c r="W76" s="401"/>
    </row>
    <row r="77" spans="2:23" x14ac:dyDescent="0.2">
      <c r="I77" s="131"/>
      <c r="J77" s="388"/>
      <c r="K77" s="388"/>
      <c r="L77" s="388"/>
      <c r="M77" s="411"/>
      <c r="N77" s="412"/>
      <c r="O77" s="392"/>
      <c r="P77" s="391"/>
      <c r="Q77" s="416"/>
      <c r="R77" s="419"/>
      <c r="S77" s="404"/>
      <c r="T77" s="407"/>
      <c r="U77" s="395"/>
      <c r="V77" s="398"/>
      <c r="W77" s="401"/>
    </row>
    <row r="78" spans="2:23" x14ac:dyDescent="0.2">
      <c r="I78" s="131"/>
      <c r="J78" s="388"/>
      <c r="K78" s="388"/>
      <c r="L78" s="388"/>
      <c r="M78" s="411"/>
      <c r="N78" s="412"/>
      <c r="O78" s="392"/>
      <c r="P78" s="391"/>
      <c r="Q78" s="416"/>
      <c r="R78" s="419"/>
      <c r="S78" s="404"/>
      <c r="T78" s="407"/>
      <c r="U78" s="395"/>
      <c r="V78" s="398"/>
      <c r="W78" s="401"/>
    </row>
    <row r="79" spans="2:23" x14ac:dyDescent="0.2">
      <c r="I79" s="131"/>
      <c r="J79" s="388"/>
      <c r="K79" s="388"/>
      <c r="L79" s="388"/>
      <c r="M79" s="411"/>
      <c r="N79" s="412"/>
      <c r="O79" s="392"/>
      <c r="P79" s="391"/>
      <c r="Q79" s="416"/>
      <c r="R79" s="419"/>
      <c r="S79" s="404"/>
      <c r="T79" s="407"/>
      <c r="U79" s="395"/>
      <c r="V79" s="398"/>
      <c r="W79" s="401"/>
    </row>
    <row r="80" spans="2:23" x14ac:dyDescent="0.2">
      <c r="I80" s="131"/>
      <c r="J80" s="388"/>
      <c r="K80" s="388"/>
      <c r="L80" s="388"/>
      <c r="M80" s="411"/>
      <c r="N80" s="412"/>
      <c r="O80" s="392"/>
      <c r="P80" s="391"/>
      <c r="Q80" s="416"/>
      <c r="R80" s="419"/>
      <c r="S80" s="404"/>
      <c r="T80" s="407"/>
      <c r="U80" s="395"/>
      <c r="V80" s="398"/>
      <c r="W80" s="401"/>
    </row>
    <row r="81" spans="9:23" x14ac:dyDescent="0.2">
      <c r="I81" s="131"/>
      <c r="J81" s="388"/>
      <c r="K81" s="388"/>
      <c r="L81" s="388"/>
      <c r="M81" s="411"/>
      <c r="N81" s="412"/>
      <c r="O81" s="392"/>
      <c r="P81" s="391"/>
      <c r="Q81" s="416"/>
      <c r="R81" s="419"/>
      <c r="S81" s="404"/>
      <c r="T81" s="407"/>
      <c r="U81" s="395"/>
      <c r="V81" s="398"/>
      <c r="W81" s="401"/>
    </row>
    <row r="82" spans="9:23" x14ac:dyDescent="0.2">
      <c r="I82" s="131"/>
      <c r="J82" s="388"/>
      <c r="K82" s="388"/>
      <c r="L82" s="388"/>
      <c r="M82" s="411"/>
      <c r="N82" s="412"/>
      <c r="O82" s="392"/>
      <c r="P82" s="391"/>
      <c r="Q82" s="416"/>
      <c r="R82" s="419"/>
      <c r="S82" s="404"/>
      <c r="T82" s="407"/>
      <c r="U82" s="395"/>
      <c r="V82" s="398"/>
      <c r="W82" s="401"/>
    </row>
    <row r="83" spans="9:23" x14ac:dyDescent="0.2">
      <c r="I83" s="131"/>
      <c r="J83" s="388"/>
      <c r="K83" s="388"/>
      <c r="L83" s="388"/>
      <c r="M83" s="411"/>
      <c r="N83" s="412"/>
      <c r="O83" s="392"/>
      <c r="P83" s="391"/>
      <c r="Q83" s="416"/>
      <c r="R83" s="419"/>
      <c r="S83" s="404"/>
      <c r="T83" s="407"/>
      <c r="U83" s="395"/>
      <c r="V83" s="398"/>
      <c r="W83" s="401"/>
    </row>
    <row r="84" spans="9:23" x14ac:dyDescent="0.2">
      <c r="I84" s="131"/>
      <c r="J84" s="388"/>
      <c r="K84" s="388"/>
      <c r="L84" s="388"/>
      <c r="M84" s="411"/>
      <c r="N84" s="412"/>
      <c r="O84" s="392"/>
      <c r="P84" s="391"/>
      <c r="Q84" s="416"/>
      <c r="R84" s="419"/>
      <c r="S84" s="404"/>
      <c r="T84" s="407"/>
      <c r="U84" s="395"/>
      <c r="V84" s="398"/>
      <c r="W84" s="401"/>
    </row>
    <row r="85" spans="9:23" x14ac:dyDescent="0.2">
      <c r="I85" s="131"/>
      <c r="J85" s="388"/>
      <c r="K85" s="388"/>
      <c r="L85" s="388"/>
      <c r="M85" s="411"/>
      <c r="N85" s="412"/>
      <c r="O85" s="392"/>
      <c r="P85" s="391"/>
      <c r="Q85" s="416"/>
      <c r="R85" s="419"/>
      <c r="S85" s="404"/>
      <c r="T85" s="407"/>
      <c r="U85" s="395"/>
      <c r="V85" s="398"/>
      <c r="W85" s="401"/>
    </row>
    <row r="86" spans="9:23" x14ac:dyDescent="0.2">
      <c r="I86" s="131"/>
      <c r="J86" s="388"/>
      <c r="K86" s="388"/>
      <c r="L86" s="388"/>
      <c r="M86" s="411"/>
      <c r="N86" s="412"/>
      <c r="O86" s="392"/>
      <c r="P86" s="391"/>
      <c r="Q86" s="416"/>
      <c r="R86" s="419"/>
      <c r="S86" s="404"/>
      <c r="T86" s="407"/>
      <c r="U86" s="395"/>
      <c r="V86" s="398"/>
      <c r="W86" s="401"/>
    </row>
    <row r="87" spans="9:23" x14ac:dyDescent="0.2">
      <c r="I87" s="131"/>
      <c r="J87" s="388"/>
      <c r="K87" s="388"/>
      <c r="L87" s="388"/>
      <c r="M87" s="411"/>
      <c r="N87" s="412"/>
      <c r="O87" s="392"/>
      <c r="P87" s="391"/>
      <c r="Q87" s="416"/>
      <c r="R87" s="419"/>
      <c r="S87" s="404"/>
      <c r="T87" s="407"/>
      <c r="U87" s="395"/>
      <c r="V87" s="398"/>
      <c r="W87" s="401"/>
    </row>
    <row r="88" spans="9:23" x14ac:dyDescent="0.2">
      <c r="I88" s="131"/>
      <c r="J88" s="388"/>
      <c r="K88" s="388"/>
      <c r="L88" s="388"/>
      <c r="M88" s="411"/>
      <c r="N88" s="412"/>
      <c r="O88" s="392"/>
      <c r="P88" s="391"/>
      <c r="Q88" s="416"/>
      <c r="R88" s="419"/>
      <c r="S88" s="404"/>
      <c r="T88" s="407"/>
      <c r="U88" s="395"/>
      <c r="V88" s="398"/>
      <c r="W88" s="401"/>
    </row>
    <row r="89" spans="9:23" x14ac:dyDescent="0.2">
      <c r="I89" s="131"/>
      <c r="J89" s="388"/>
      <c r="K89" s="388"/>
      <c r="L89" s="388"/>
      <c r="M89" s="411"/>
      <c r="N89" s="412"/>
      <c r="O89" s="392"/>
      <c r="P89" s="391"/>
      <c r="Q89" s="416"/>
      <c r="R89" s="419"/>
      <c r="S89" s="404"/>
      <c r="T89" s="407"/>
      <c r="U89" s="395"/>
      <c r="V89" s="398"/>
      <c r="W89" s="401"/>
    </row>
    <row r="90" spans="9:23" x14ac:dyDescent="0.2">
      <c r="I90" s="131"/>
      <c r="J90" s="388"/>
      <c r="K90" s="388"/>
      <c r="L90" s="388"/>
      <c r="M90" s="411"/>
      <c r="N90" s="412"/>
      <c r="O90" s="392"/>
      <c r="P90" s="391"/>
      <c r="Q90" s="416"/>
      <c r="R90" s="419"/>
      <c r="S90" s="404"/>
      <c r="T90" s="407"/>
      <c r="U90" s="395"/>
      <c r="V90" s="398"/>
      <c r="W90" s="401"/>
    </row>
    <row r="91" spans="9:23" x14ac:dyDescent="0.2">
      <c r="I91" s="131"/>
      <c r="J91" s="388"/>
      <c r="K91" s="388"/>
      <c r="L91" s="388"/>
      <c r="M91" s="411"/>
      <c r="N91" s="412"/>
      <c r="O91" s="392"/>
      <c r="P91" s="391"/>
      <c r="Q91" s="416"/>
      <c r="R91" s="419"/>
      <c r="S91" s="404"/>
      <c r="T91" s="407"/>
      <c r="U91" s="395"/>
      <c r="V91" s="398"/>
      <c r="W91" s="401"/>
    </row>
    <row r="92" spans="9:23" x14ac:dyDescent="0.2">
      <c r="I92" s="131"/>
      <c r="J92" s="388"/>
      <c r="K92" s="388"/>
      <c r="L92" s="388"/>
      <c r="M92" s="411"/>
      <c r="N92" s="412"/>
      <c r="O92" s="392"/>
      <c r="P92" s="391"/>
      <c r="Q92" s="416"/>
      <c r="R92" s="419"/>
      <c r="S92" s="404"/>
      <c r="T92" s="407"/>
      <c r="U92" s="395"/>
      <c r="V92" s="398"/>
      <c r="W92" s="401"/>
    </row>
    <row r="93" spans="9:23" x14ac:dyDescent="0.2">
      <c r="I93" s="131"/>
      <c r="J93" s="388"/>
      <c r="K93" s="388"/>
      <c r="L93" s="388"/>
      <c r="M93" s="411"/>
      <c r="N93" s="412"/>
      <c r="O93" s="392"/>
      <c r="P93" s="391"/>
      <c r="Q93" s="416"/>
      <c r="R93" s="419"/>
      <c r="S93" s="404"/>
      <c r="T93" s="407"/>
      <c r="U93" s="395"/>
      <c r="V93" s="398"/>
      <c r="W93" s="401"/>
    </row>
    <row r="94" spans="9:23" x14ac:dyDescent="0.2">
      <c r="I94" s="131"/>
      <c r="J94" s="388"/>
      <c r="K94" s="388"/>
      <c r="L94" s="388"/>
      <c r="M94" s="411"/>
      <c r="N94" s="412"/>
      <c r="O94" s="392"/>
      <c r="P94" s="391"/>
      <c r="Q94" s="416"/>
      <c r="R94" s="419"/>
      <c r="S94" s="404"/>
      <c r="T94" s="407"/>
      <c r="U94" s="395"/>
      <c r="V94" s="398"/>
      <c r="W94" s="401"/>
    </row>
    <row r="95" spans="9:23" x14ac:dyDescent="0.2">
      <c r="I95" s="131"/>
      <c r="J95" s="388"/>
      <c r="K95" s="388"/>
      <c r="L95" s="388"/>
      <c r="M95" s="411"/>
      <c r="N95" s="412"/>
      <c r="O95" s="392"/>
      <c r="P95" s="391"/>
      <c r="Q95" s="416"/>
      <c r="R95" s="419"/>
      <c r="S95" s="404"/>
      <c r="T95" s="407"/>
      <c r="U95" s="395"/>
      <c r="V95" s="398"/>
      <c r="W95" s="401"/>
    </row>
    <row r="96" spans="9:23" x14ac:dyDescent="0.2">
      <c r="I96" s="131"/>
      <c r="J96" s="388"/>
      <c r="K96" s="388"/>
      <c r="L96" s="388"/>
      <c r="M96" s="411"/>
      <c r="N96" s="412"/>
      <c r="O96" s="392"/>
      <c r="P96" s="391"/>
      <c r="Q96" s="416"/>
      <c r="R96" s="419"/>
      <c r="S96" s="404"/>
      <c r="T96" s="407"/>
      <c r="U96" s="395"/>
      <c r="V96" s="398"/>
      <c r="W96" s="401"/>
    </row>
    <row r="97" spans="9:23" x14ac:dyDescent="0.2">
      <c r="I97" s="131"/>
      <c r="J97" s="388"/>
      <c r="K97" s="388"/>
      <c r="L97" s="388"/>
      <c r="M97" s="411"/>
      <c r="N97" s="412"/>
      <c r="O97" s="392"/>
      <c r="P97" s="391"/>
      <c r="Q97" s="416"/>
      <c r="R97" s="419"/>
      <c r="S97" s="404"/>
      <c r="T97" s="407"/>
      <c r="U97" s="395"/>
      <c r="V97" s="398"/>
      <c r="W97" s="401"/>
    </row>
    <row r="98" spans="9:23" x14ac:dyDescent="0.2">
      <c r="I98" s="131"/>
      <c r="J98" s="388"/>
      <c r="K98" s="388"/>
      <c r="L98" s="388"/>
      <c r="M98" s="411"/>
      <c r="N98" s="412"/>
      <c r="O98" s="392"/>
      <c r="P98" s="391"/>
      <c r="Q98" s="416"/>
      <c r="R98" s="419"/>
      <c r="S98" s="404"/>
      <c r="T98" s="407"/>
      <c r="U98" s="395"/>
      <c r="V98" s="398"/>
      <c r="W98" s="401"/>
    </row>
    <row r="99" spans="9:23" x14ac:dyDescent="0.2">
      <c r="I99" s="131"/>
      <c r="J99" s="388"/>
      <c r="K99" s="388"/>
      <c r="L99" s="388"/>
      <c r="M99" s="411"/>
      <c r="N99" s="412"/>
      <c r="O99" s="392"/>
      <c r="P99" s="391"/>
      <c r="Q99" s="416"/>
      <c r="R99" s="419"/>
      <c r="S99" s="404"/>
      <c r="T99" s="407"/>
      <c r="U99" s="395"/>
      <c r="V99" s="398"/>
      <c r="W99" s="401"/>
    </row>
    <row r="100" spans="9:23" x14ac:dyDescent="0.2">
      <c r="I100" s="131"/>
      <c r="J100" s="388"/>
      <c r="K100" s="388"/>
      <c r="L100" s="388"/>
      <c r="M100" s="411"/>
      <c r="N100" s="412"/>
      <c r="O100" s="392"/>
      <c r="P100" s="391"/>
      <c r="Q100" s="416"/>
      <c r="R100" s="419"/>
      <c r="S100" s="404"/>
      <c r="T100" s="407"/>
      <c r="U100" s="395"/>
      <c r="V100" s="398"/>
      <c r="W100" s="401"/>
    </row>
    <row r="101" spans="9:23" x14ac:dyDescent="0.2">
      <c r="I101" s="131"/>
      <c r="J101" s="388"/>
      <c r="K101" s="388"/>
      <c r="L101" s="388"/>
      <c r="M101" s="411"/>
      <c r="N101" s="412"/>
      <c r="O101" s="392"/>
      <c r="P101" s="391"/>
      <c r="Q101" s="416"/>
      <c r="R101" s="419"/>
      <c r="S101" s="404"/>
      <c r="T101" s="407"/>
      <c r="U101" s="395"/>
      <c r="V101" s="398"/>
      <c r="W101" s="401"/>
    </row>
    <row r="102" spans="9:23" x14ac:dyDescent="0.2">
      <c r="I102" s="131"/>
      <c r="J102" s="388"/>
      <c r="K102" s="388"/>
      <c r="L102" s="388"/>
      <c r="M102" s="411"/>
      <c r="N102" s="412"/>
      <c r="O102" s="392"/>
      <c r="P102" s="391"/>
      <c r="Q102" s="416"/>
      <c r="R102" s="419"/>
      <c r="S102" s="404"/>
      <c r="T102" s="407"/>
      <c r="U102" s="395"/>
      <c r="V102" s="398"/>
      <c r="W102" s="401"/>
    </row>
    <row r="103" spans="9:23" x14ac:dyDescent="0.2">
      <c r="I103" s="131"/>
      <c r="J103" s="388"/>
      <c r="K103" s="388"/>
      <c r="L103" s="388"/>
      <c r="M103" s="411"/>
      <c r="N103" s="412"/>
      <c r="O103" s="392"/>
      <c r="P103" s="391"/>
      <c r="Q103" s="416"/>
      <c r="R103" s="419"/>
      <c r="S103" s="404"/>
      <c r="T103" s="407"/>
      <c r="U103" s="395"/>
      <c r="V103" s="398"/>
      <c r="W103" s="401"/>
    </row>
    <row r="104" spans="9:23" x14ac:dyDescent="0.2">
      <c r="I104" s="131"/>
      <c r="J104" s="388"/>
      <c r="K104" s="388"/>
      <c r="L104" s="388"/>
      <c r="M104" s="411"/>
      <c r="N104" s="412"/>
      <c r="O104" s="392"/>
      <c r="P104" s="391"/>
      <c r="Q104" s="416"/>
      <c r="R104" s="419"/>
      <c r="S104" s="404"/>
      <c r="T104" s="407"/>
      <c r="U104" s="395"/>
      <c r="V104" s="398"/>
      <c r="W104" s="401"/>
    </row>
    <row r="105" spans="9:23" x14ac:dyDescent="0.2">
      <c r="I105" s="131"/>
      <c r="J105" s="388"/>
      <c r="K105" s="388"/>
      <c r="L105" s="388"/>
      <c r="M105" s="411"/>
      <c r="N105" s="412"/>
      <c r="O105" s="392"/>
      <c r="P105" s="391"/>
      <c r="Q105" s="416"/>
      <c r="R105" s="419"/>
      <c r="S105" s="404"/>
      <c r="T105" s="407"/>
      <c r="U105" s="395"/>
      <c r="V105" s="398"/>
      <c r="W105" s="401"/>
    </row>
    <row r="106" spans="9:23" x14ac:dyDescent="0.2">
      <c r="I106" s="131"/>
      <c r="J106" s="388"/>
      <c r="K106" s="388"/>
      <c r="L106" s="388"/>
      <c r="M106" s="411"/>
      <c r="N106" s="412"/>
      <c r="O106" s="392"/>
      <c r="P106" s="391"/>
      <c r="Q106" s="416"/>
      <c r="R106" s="419"/>
      <c r="S106" s="404"/>
      <c r="T106" s="407"/>
      <c r="U106" s="395"/>
      <c r="V106" s="398"/>
      <c r="W106" s="401"/>
    </row>
    <row r="107" spans="9:23" x14ac:dyDescent="0.2">
      <c r="I107" s="131"/>
      <c r="J107" s="388"/>
      <c r="K107" s="388"/>
      <c r="L107" s="388"/>
      <c r="M107" s="411"/>
      <c r="N107" s="412"/>
      <c r="O107" s="392"/>
      <c r="P107" s="391"/>
      <c r="Q107" s="416"/>
      <c r="R107" s="419"/>
      <c r="S107" s="404"/>
      <c r="T107" s="407"/>
      <c r="U107" s="395"/>
      <c r="V107" s="398"/>
      <c r="W107" s="401"/>
    </row>
    <row r="108" spans="9:23" x14ac:dyDescent="0.2">
      <c r="I108" s="131"/>
      <c r="J108" s="388"/>
      <c r="K108" s="388"/>
      <c r="L108" s="388"/>
      <c r="M108" s="411"/>
      <c r="N108" s="412"/>
      <c r="O108" s="392"/>
      <c r="P108" s="391"/>
      <c r="Q108" s="416"/>
      <c r="R108" s="419"/>
      <c r="S108" s="404"/>
      <c r="T108" s="407"/>
      <c r="U108" s="395"/>
      <c r="V108" s="398"/>
      <c r="W108" s="401"/>
    </row>
    <row r="109" spans="9:23" x14ac:dyDescent="0.2">
      <c r="I109" s="131"/>
      <c r="J109" s="388"/>
      <c r="K109" s="388"/>
      <c r="L109" s="388"/>
      <c r="M109" s="411"/>
      <c r="N109" s="412"/>
      <c r="O109" s="392"/>
      <c r="P109" s="391"/>
      <c r="Q109" s="416"/>
      <c r="R109" s="419"/>
      <c r="S109" s="404"/>
      <c r="T109" s="407"/>
      <c r="U109" s="395"/>
      <c r="V109" s="398"/>
      <c r="W109" s="401"/>
    </row>
    <row r="110" spans="9:23" x14ac:dyDescent="0.2">
      <c r="I110" s="131"/>
      <c r="J110" s="388"/>
      <c r="K110" s="388"/>
      <c r="L110" s="388"/>
      <c r="M110" s="411"/>
      <c r="N110" s="412"/>
      <c r="O110" s="392"/>
      <c r="P110" s="391"/>
      <c r="Q110" s="416"/>
      <c r="R110" s="419"/>
      <c r="S110" s="404"/>
      <c r="T110" s="407"/>
      <c r="U110" s="395"/>
      <c r="V110" s="398"/>
      <c r="W110" s="401"/>
    </row>
    <row r="111" spans="9:23" x14ac:dyDescent="0.2">
      <c r="I111" s="131"/>
      <c r="J111" s="388"/>
      <c r="K111" s="388"/>
      <c r="L111" s="388"/>
      <c r="M111" s="411"/>
      <c r="N111" s="412"/>
      <c r="O111" s="392"/>
      <c r="P111" s="391"/>
      <c r="Q111" s="416"/>
      <c r="R111" s="419"/>
      <c r="S111" s="404"/>
      <c r="T111" s="407"/>
      <c r="U111" s="395"/>
      <c r="V111" s="398"/>
      <c r="W111" s="401"/>
    </row>
    <row r="112" spans="9:23" x14ac:dyDescent="0.2">
      <c r="I112" s="131"/>
      <c r="J112" s="388"/>
      <c r="K112" s="388"/>
      <c r="L112" s="388"/>
      <c r="M112" s="411"/>
      <c r="N112" s="412"/>
      <c r="O112" s="392"/>
      <c r="P112" s="391"/>
      <c r="Q112" s="416"/>
      <c r="R112" s="419"/>
      <c r="S112" s="404"/>
      <c r="T112" s="407"/>
      <c r="U112" s="395"/>
      <c r="V112" s="398"/>
      <c r="W112" s="401"/>
    </row>
    <row r="113" spans="9:23" x14ac:dyDescent="0.2">
      <c r="I113" s="131"/>
      <c r="J113" s="388"/>
      <c r="K113" s="388"/>
      <c r="L113" s="388"/>
      <c r="M113" s="411"/>
      <c r="N113" s="412"/>
      <c r="O113" s="392"/>
      <c r="P113" s="391"/>
      <c r="Q113" s="416"/>
      <c r="R113" s="419"/>
      <c r="S113" s="404"/>
      <c r="T113" s="407"/>
      <c r="U113" s="395"/>
      <c r="V113" s="398"/>
      <c r="W113" s="401"/>
    </row>
    <row r="114" spans="9:23" x14ac:dyDescent="0.2">
      <c r="I114" s="131"/>
      <c r="J114" s="388"/>
      <c r="K114" s="388"/>
      <c r="L114" s="388"/>
      <c r="M114" s="411"/>
      <c r="N114" s="412"/>
      <c r="O114" s="392"/>
      <c r="P114" s="391"/>
      <c r="Q114" s="416"/>
      <c r="R114" s="419"/>
      <c r="S114" s="404"/>
      <c r="T114" s="407"/>
      <c r="U114" s="395"/>
      <c r="V114" s="398"/>
      <c r="W114" s="401"/>
    </row>
    <row r="115" spans="9:23" x14ac:dyDescent="0.2">
      <c r="I115" s="131"/>
      <c r="J115" s="388"/>
      <c r="K115" s="388"/>
      <c r="L115" s="388"/>
      <c r="M115" s="411"/>
      <c r="N115" s="412"/>
      <c r="O115" s="392"/>
      <c r="P115" s="391"/>
      <c r="Q115" s="416"/>
      <c r="R115" s="419"/>
      <c r="S115" s="404"/>
      <c r="T115" s="407"/>
      <c r="U115" s="395"/>
      <c r="V115" s="398"/>
      <c r="W115" s="401"/>
    </row>
    <row r="116" spans="9:23" x14ac:dyDescent="0.2">
      <c r="I116" s="131"/>
      <c r="J116" s="388"/>
      <c r="K116" s="388"/>
      <c r="L116" s="388"/>
      <c r="M116" s="411"/>
      <c r="N116" s="412"/>
      <c r="O116" s="392"/>
      <c r="P116" s="391"/>
      <c r="Q116" s="416"/>
      <c r="R116" s="419"/>
      <c r="S116" s="404"/>
      <c r="T116" s="407"/>
      <c r="U116" s="395"/>
      <c r="V116" s="398"/>
      <c r="W116" s="401"/>
    </row>
    <row r="117" spans="9:23" x14ac:dyDescent="0.2">
      <c r="I117" s="131"/>
      <c r="J117" s="388"/>
      <c r="K117" s="388"/>
      <c r="L117" s="388"/>
      <c r="M117" s="411"/>
      <c r="N117" s="412"/>
      <c r="O117" s="392"/>
      <c r="P117" s="391"/>
      <c r="Q117" s="416"/>
      <c r="R117" s="419"/>
      <c r="S117" s="404"/>
      <c r="T117" s="407"/>
      <c r="U117" s="395"/>
      <c r="V117" s="398"/>
      <c r="W117" s="401"/>
    </row>
    <row r="118" spans="9:23" x14ac:dyDescent="0.2">
      <c r="I118" s="131"/>
      <c r="J118" s="388"/>
      <c r="K118" s="388"/>
      <c r="L118" s="388"/>
      <c r="M118" s="411"/>
      <c r="N118" s="412"/>
      <c r="O118" s="392"/>
      <c r="P118" s="391"/>
      <c r="Q118" s="416"/>
      <c r="R118" s="419"/>
      <c r="S118" s="404"/>
      <c r="T118" s="407"/>
      <c r="U118" s="395"/>
      <c r="V118" s="398"/>
      <c r="W118" s="401"/>
    </row>
    <row r="119" spans="9:23" x14ac:dyDescent="0.2">
      <c r="I119" s="131"/>
      <c r="J119" s="388"/>
      <c r="K119" s="388"/>
      <c r="L119" s="388"/>
      <c r="M119" s="411"/>
      <c r="N119" s="412"/>
      <c r="O119" s="392"/>
      <c r="P119" s="391"/>
      <c r="Q119" s="416"/>
      <c r="R119" s="419"/>
      <c r="S119" s="404"/>
      <c r="T119" s="407"/>
      <c r="U119" s="395"/>
      <c r="V119" s="398"/>
      <c r="W119" s="401"/>
    </row>
    <row r="120" spans="9:23" x14ac:dyDescent="0.2">
      <c r="I120" s="131"/>
      <c r="J120" s="388"/>
      <c r="K120" s="388"/>
      <c r="L120" s="388"/>
      <c r="M120" s="411"/>
      <c r="N120" s="412"/>
      <c r="O120" s="392"/>
      <c r="P120" s="391"/>
      <c r="Q120" s="416"/>
      <c r="R120" s="419"/>
      <c r="S120" s="404"/>
      <c r="T120" s="407"/>
      <c r="U120" s="395"/>
      <c r="V120" s="398"/>
      <c r="W120" s="401"/>
    </row>
    <row r="121" spans="9:23" x14ac:dyDescent="0.2">
      <c r="I121" s="131"/>
      <c r="J121" s="388"/>
      <c r="K121" s="388"/>
      <c r="L121" s="388"/>
      <c r="M121" s="411"/>
      <c r="N121" s="412"/>
      <c r="O121" s="392"/>
      <c r="P121" s="391"/>
      <c r="Q121" s="416"/>
      <c r="R121" s="419"/>
      <c r="S121" s="404"/>
      <c r="T121" s="407"/>
      <c r="U121" s="395"/>
      <c r="V121" s="398"/>
      <c r="W121" s="401"/>
    </row>
    <row r="122" spans="9:23" x14ac:dyDescent="0.2">
      <c r="I122" s="131"/>
      <c r="J122" s="388"/>
      <c r="K122" s="388"/>
      <c r="L122" s="388"/>
      <c r="M122" s="411"/>
      <c r="N122" s="412"/>
      <c r="O122" s="392"/>
      <c r="P122" s="391"/>
      <c r="Q122" s="416"/>
      <c r="R122" s="419"/>
      <c r="S122" s="404"/>
      <c r="T122" s="407"/>
      <c r="U122" s="395"/>
      <c r="V122" s="398"/>
      <c r="W122" s="401"/>
    </row>
    <row r="123" spans="9:23" x14ac:dyDescent="0.2">
      <c r="I123" s="131"/>
      <c r="J123" s="388"/>
      <c r="K123" s="388"/>
      <c r="L123" s="388"/>
      <c r="M123" s="411"/>
      <c r="N123" s="412"/>
      <c r="O123" s="392"/>
      <c r="P123" s="391"/>
      <c r="Q123" s="416"/>
      <c r="R123" s="419"/>
      <c r="S123" s="404"/>
      <c r="T123" s="407"/>
      <c r="U123" s="395"/>
      <c r="V123" s="398"/>
      <c r="W123" s="401"/>
    </row>
    <row r="124" spans="9:23" x14ac:dyDescent="0.2">
      <c r="I124" s="131"/>
      <c r="J124" s="388"/>
      <c r="K124" s="388"/>
      <c r="L124" s="388"/>
      <c r="M124" s="411"/>
      <c r="N124" s="412"/>
      <c r="O124" s="392"/>
      <c r="P124" s="391"/>
      <c r="Q124" s="416"/>
      <c r="R124" s="419"/>
      <c r="S124" s="404"/>
      <c r="T124" s="407"/>
      <c r="U124" s="395"/>
      <c r="V124" s="398"/>
      <c r="W124" s="401"/>
    </row>
    <row r="125" spans="9:23" x14ac:dyDescent="0.2">
      <c r="I125" s="131"/>
      <c r="J125" s="388"/>
      <c r="K125" s="388"/>
      <c r="L125" s="388"/>
      <c r="M125" s="411"/>
      <c r="N125" s="412"/>
      <c r="O125" s="392"/>
      <c r="P125" s="391"/>
      <c r="Q125" s="416"/>
      <c r="R125" s="419"/>
      <c r="S125" s="404"/>
      <c r="T125" s="407"/>
      <c r="U125" s="395"/>
      <c r="V125" s="398"/>
      <c r="W125" s="401"/>
    </row>
    <row r="126" spans="9:23" x14ac:dyDescent="0.2">
      <c r="I126" s="131"/>
      <c r="J126" s="388"/>
      <c r="K126" s="388"/>
      <c r="L126" s="388"/>
      <c r="M126" s="411"/>
      <c r="N126" s="412"/>
      <c r="O126" s="392"/>
      <c r="P126" s="391"/>
      <c r="Q126" s="416"/>
      <c r="R126" s="419"/>
      <c r="S126" s="404"/>
      <c r="T126" s="407"/>
      <c r="U126" s="395"/>
      <c r="V126" s="398"/>
      <c r="W126" s="401"/>
    </row>
    <row r="127" spans="9:23" x14ac:dyDescent="0.2">
      <c r="I127" s="131"/>
      <c r="J127" s="388"/>
      <c r="K127" s="388"/>
      <c r="L127" s="388"/>
      <c r="M127" s="411"/>
      <c r="N127" s="412"/>
      <c r="O127" s="392"/>
      <c r="P127" s="391"/>
      <c r="Q127" s="416"/>
      <c r="R127" s="419"/>
      <c r="S127" s="404"/>
      <c r="T127" s="407"/>
      <c r="U127" s="395"/>
      <c r="V127" s="398"/>
      <c r="W127" s="401"/>
    </row>
    <row r="128" spans="9:23" x14ac:dyDescent="0.2">
      <c r="I128" s="131"/>
      <c r="J128" s="388"/>
      <c r="K128" s="388"/>
      <c r="L128" s="388"/>
      <c r="M128" s="411"/>
      <c r="N128" s="412"/>
      <c r="O128" s="392"/>
      <c r="P128" s="391"/>
      <c r="Q128" s="416"/>
      <c r="R128" s="419"/>
      <c r="S128" s="404"/>
      <c r="T128" s="407"/>
      <c r="U128" s="395"/>
      <c r="V128" s="398"/>
      <c r="W128" s="401"/>
    </row>
    <row r="129" spans="9:23" x14ac:dyDescent="0.2">
      <c r="I129" s="131"/>
      <c r="J129" s="388"/>
      <c r="K129" s="388"/>
      <c r="L129" s="388"/>
      <c r="M129" s="411"/>
      <c r="N129" s="412"/>
      <c r="O129" s="392"/>
      <c r="P129" s="391"/>
      <c r="Q129" s="416"/>
      <c r="R129" s="419"/>
      <c r="S129" s="404"/>
      <c r="T129" s="407"/>
      <c r="U129" s="395"/>
      <c r="V129" s="398"/>
      <c r="W129" s="401"/>
    </row>
    <row r="130" spans="9:23" x14ac:dyDescent="0.2">
      <c r="I130" s="131"/>
      <c r="J130" s="388"/>
      <c r="K130" s="388"/>
      <c r="L130" s="388"/>
      <c r="M130" s="411"/>
      <c r="N130" s="412"/>
      <c r="O130" s="392"/>
      <c r="P130" s="391"/>
      <c r="Q130" s="416"/>
      <c r="R130" s="419"/>
      <c r="S130" s="404"/>
      <c r="T130" s="407"/>
      <c r="U130" s="395"/>
      <c r="V130" s="398"/>
      <c r="W130" s="401"/>
    </row>
    <row r="131" spans="9:23" x14ac:dyDescent="0.2">
      <c r="I131" s="131"/>
      <c r="J131" s="388"/>
      <c r="K131" s="388"/>
      <c r="L131" s="388"/>
      <c r="M131" s="411"/>
      <c r="N131" s="412"/>
      <c r="O131" s="392"/>
      <c r="P131" s="391"/>
      <c r="Q131" s="416"/>
      <c r="R131" s="419"/>
      <c r="S131" s="404"/>
      <c r="T131" s="407"/>
      <c r="U131" s="395"/>
      <c r="V131" s="398"/>
      <c r="W131" s="401"/>
    </row>
    <row r="132" spans="9:23" x14ac:dyDescent="0.2">
      <c r="I132" s="131"/>
      <c r="J132" s="388"/>
      <c r="K132" s="388"/>
      <c r="L132" s="388"/>
      <c r="M132" s="411"/>
      <c r="N132" s="412"/>
      <c r="O132" s="392"/>
      <c r="P132" s="391"/>
      <c r="Q132" s="416"/>
      <c r="R132" s="419"/>
      <c r="S132" s="404"/>
      <c r="T132" s="407"/>
      <c r="U132" s="395"/>
      <c r="V132" s="398"/>
      <c r="W132" s="401"/>
    </row>
    <row r="133" spans="9:23" x14ac:dyDescent="0.2">
      <c r="I133" s="131"/>
      <c r="J133" s="388"/>
      <c r="K133" s="388"/>
      <c r="L133" s="388"/>
      <c r="M133" s="411"/>
      <c r="N133" s="412"/>
      <c r="O133" s="392"/>
      <c r="P133" s="391"/>
      <c r="Q133" s="416"/>
      <c r="R133" s="419"/>
      <c r="S133" s="404"/>
      <c r="T133" s="407"/>
      <c r="U133" s="395"/>
      <c r="V133" s="398"/>
      <c r="W133" s="401"/>
    </row>
    <row r="134" spans="9:23" x14ac:dyDescent="0.2">
      <c r="I134" s="131"/>
      <c r="J134" s="388"/>
      <c r="K134" s="388"/>
      <c r="L134" s="388"/>
      <c r="M134" s="411"/>
      <c r="N134" s="412"/>
      <c r="O134" s="392"/>
      <c r="P134" s="391"/>
      <c r="Q134" s="416"/>
      <c r="R134" s="419"/>
      <c r="S134" s="404"/>
      <c r="T134" s="407"/>
      <c r="U134" s="395"/>
      <c r="V134" s="398"/>
      <c r="W134" s="401"/>
    </row>
    <row r="135" spans="9:23" x14ac:dyDescent="0.2">
      <c r="I135" s="131"/>
      <c r="J135" s="388"/>
      <c r="K135" s="388"/>
      <c r="L135" s="388"/>
      <c r="M135" s="411"/>
      <c r="N135" s="412"/>
      <c r="O135" s="392"/>
      <c r="P135" s="391"/>
      <c r="Q135" s="416"/>
      <c r="R135" s="419"/>
      <c r="S135" s="404"/>
      <c r="T135" s="407"/>
      <c r="U135" s="395"/>
      <c r="V135" s="398"/>
      <c r="W135" s="401"/>
    </row>
    <row r="136" spans="9:23" x14ac:dyDescent="0.2">
      <c r="I136" s="131"/>
      <c r="J136" s="388"/>
      <c r="K136" s="388"/>
      <c r="L136" s="388"/>
      <c r="M136" s="411"/>
      <c r="N136" s="412"/>
      <c r="O136" s="392"/>
      <c r="P136" s="391"/>
      <c r="Q136" s="416"/>
      <c r="R136" s="419"/>
      <c r="S136" s="404"/>
      <c r="T136" s="407"/>
      <c r="U136" s="395"/>
      <c r="V136" s="398"/>
      <c r="W136" s="401"/>
    </row>
    <row r="137" spans="9:23" x14ac:dyDescent="0.2">
      <c r="I137" s="131"/>
      <c r="J137" s="388"/>
      <c r="K137" s="388"/>
      <c r="L137" s="388"/>
      <c r="M137" s="411"/>
      <c r="N137" s="412"/>
      <c r="O137" s="392"/>
      <c r="P137" s="391"/>
      <c r="Q137" s="416"/>
      <c r="R137" s="419"/>
      <c r="S137" s="404"/>
      <c r="T137" s="407"/>
      <c r="U137" s="395"/>
      <c r="V137" s="398"/>
      <c r="W137" s="401"/>
    </row>
    <row r="138" spans="9:23" x14ac:dyDescent="0.2">
      <c r="I138" s="131"/>
      <c r="J138" s="388"/>
      <c r="K138" s="388"/>
      <c r="L138" s="388"/>
      <c r="M138" s="411"/>
      <c r="N138" s="412"/>
      <c r="O138" s="392"/>
      <c r="P138" s="391"/>
      <c r="Q138" s="416"/>
      <c r="R138" s="419"/>
      <c r="S138" s="404"/>
      <c r="T138" s="407"/>
      <c r="U138" s="395"/>
      <c r="V138" s="398"/>
      <c r="W138" s="401"/>
    </row>
    <row r="139" spans="9:23" x14ac:dyDescent="0.2">
      <c r="I139" s="131"/>
      <c r="J139" s="388"/>
      <c r="K139" s="388"/>
      <c r="L139" s="388"/>
      <c r="M139" s="411"/>
      <c r="N139" s="412"/>
      <c r="O139" s="392"/>
      <c r="P139" s="391"/>
      <c r="Q139" s="416"/>
      <c r="R139" s="419"/>
      <c r="S139" s="404"/>
      <c r="T139" s="407"/>
      <c r="U139" s="395"/>
      <c r="V139" s="398"/>
      <c r="W139" s="401"/>
    </row>
    <row r="140" spans="9:23" x14ac:dyDescent="0.2">
      <c r="I140" s="131"/>
      <c r="J140" s="388"/>
      <c r="K140" s="388"/>
      <c r="L140" s="388"/>
      <c r="M140" s="411"/>
      <c r="N140" s="412"/>
      <c r="O140" s="392"/>
      <c r="P140" s="391"/>
      <c r="Q140" s="416"/>
      <c r="R140" s="419"/>
      <c r="S140" s="404"/>
      <c r="T140" s="407"/>
      <c r="U140" s="395"/>
      <c r="V140" s="398"/>
      <c r="W140" s="401"/>
    </row>
    <row r="141" spans="9:23" x14ac:dyDescent="0.2">
      <c r="I141" s="131"/>
      <c r="J141" s="388"/>
      <c r="K141" s="388"/>
      <c r="L141" s="388"/>
      <c r="M141" s="411"/>
      <c r="N141" s="412"/>
      <c r="O141" s="392"/>
      <c r="P141" s="391"/>
      <c r="Q141" s="416"/>
      <c r="R141" s="419"/>
      <c r="S141" s="404"/>
      <c r="T141" s="407"/>
      <c r="U141" s="395"/>
      <c r="V141" s="398"/>
      <c r="W141" s="401"/>
    </row>
    <row r="142" spans="9:23" x14ac:dyDescent="0.2">
      <c r="I142" s="131"/>
      <c r="J142" s="388"/>
      <c r="K142" s="388"/>
      <c r="L142" s="388"/>
      <c r="M142" s="411"/>
      <c r="N142" s="412"/>
      <c r="O142" s="392"/>
      <c r="P142" s="391"/>
      <c r="Q142" s="416"/>
      <c r="R142" s="419"/>
      <c r="S142" s="404"/>
      <c r="T142" s="407"/>
      <c r="U142" s="395"/>
      <c r="V142" s="398"/>
      <c r="W142" s="401"/>
    </row>
    <row r="143" spans="9:23" x14ac:dyDescent="0.2">
      <c r="I143" s="131"/>
      <c r="J143" s="388"/>
      <c r="K143" s="388"/>
      <c r="L143" s="388"/>
      <c r="M143" s="411"/>
      <c r="N143" s="412"/>
      <c r="O143" s="392"/>
      <c r="P143" s="391"/>
      <c r="Q143" s="416"/>
      <c r="R143" s="419"/>
      <c r="S143" s="404"/>
      <c r="T143" s="407"/>
      <c r="U143" s="395"/>
      <c r="V143" s="398"/>
      <c r="W143" s="401"/>
    </row>
    <row r="144" spans="9:23" x14ac:dyDescent="0.2">
      <c r="I144" s="131"/>
      <c r="J144" s="388"/>
      <c r="K144" s="388"/>
      <c r="L144" s="388"/>
      <c r="M144" s="411"/>
      <c r="N144" s="412"/>
      <c r="O144" s="392"/>
      <c r="P144" s="391"/>
      <c r="Q144" s="416"/>
      <c r="R144" s="419"/>
      <c r="S144" s="404"/>
      <c r="T144" s="407"/>
      <c r="U144" s="395"/>
      <c r="V144" s="398"/>
      <c r="W144" s="401"/>
    </row>
    <row r="145" spans="9:23" x14ac:dyDescent="0.2">
      <c r="I145" s="131"/>
      <c r="J145" s="388"/>
      <c r="K145" s="388"/>
      <c r="L145" s="388"/>
      <c r="M145" s="411"/>
      <c r="N145" s="412"/>
      <c r="O145" s="392"/>
      <c r="P145" s="391"/>
      <c r="Q145" s="416"/>
      <c r="R145" s="419"/>
      <c r="S145" s="404"/>
      <c r="T145" s="407"/>
      <c r="U145" s="395"/>
      <c r="V145" s="398"/>
      <c r="W145" s="401"/>
    </row>
    <row r="146" spans="9:23" x14ac:dyDescent="0.2">
      <c r="I146" s="131"/>
      <c r="J146" s="388"/>
      <c r="K146" s="388"/>
      <c r="L146" s="388"/>
      <c r="M146" s="411"/>
      <c r="N146" s="412"/>
      <c r="O146" s="392"/>
      <c r="P146" s="391"/>
      <c r="Q146" s="416"/>
      <c r="R146" s="419"/>
      <c r="S146" s="404"/>
      <c r="T146" s="407"/>
      <c r="U146" s="395"/>
      <c r="V146" s="398"/>
      <c r="W146" s="401"/>
    </row>
    <row r="147" spans="9:23" x14ac:dyDescent="0.2">
      <c r="I147" s="131"/>
      <c r="J147" s="388"/>
      <c r="K147" s="388"/>
      <c r="L147" s="388"/>
      <c r="M147" s="411"/>
      <c r="N147" s="412"/>
      <c r="O147" s="392"/>
      <c r="P147" s="391"/>
      <c r="Q147" s="416"/>
      <c r="R147" s="419"/>
      <c r="S147" s="404"/>
      <c r="T147" s="407"/>
      <c r="U147" s="395"/>
      <c r="V147" s="398"/>
      <c r="W147" s="401"/>
    </row>
    <row r="148" spans="9:23" x14ac:dyDescent="0.2">
      <c r="I148" s="131"/>
      <c r="J148" s="388"/>
      <c r="K148" s="388"/>
      <c r="L148" s="388"/>
      <c r="M148" s="411"/>
      <c r="N148" s="412"/>
      <c r="O148" s="392"/>
      <c r="P148" s="391"/>
      <c r="Q148" s="416"/>
      <c r="R148" s="419"/>
      <c r="S148" s="404"/>
      <c r="T148" s="407"/>
      <c r="U148" s="395"/>
      <c r="V148" s="398"/>
      <c r="W148" s="401"/>
    </row>
    <row r="149" spans="9:23" x14ac:dyDescent="0.2">
      <c r="I149" s="131"/>
      <c r="J149" s="388"/>
      <c r="K149" s="388"/>
      <c r="L149" s="388"/>
      <c r="M149" s="411"/>
      <c r="N149" s="412"/>
      <c r="O149" s="392"/>
      <c r="P149" s="391"/>
      <c r="Q149" s="416"/>
      <c r="R149" s="419"/>
      <c r="S149" s="404"/>
      <c r="T149" s="407"/>
      <c r="U149" s="395"/>
      <c r="V149" s="398"/>
      <c r="W149" s="401"/>
    </row>
    <row r="150" spans="9:23" x14ac:dyDescent="0.2">
      <c r="I150" s="131"/>
      <c r="J150" s="388"/>
      <c r="K150" s="388"/>
      <c r="L150" s="388"/>
      <c r="M150" s="411"/>
      <c r="N150" s="412"/>
      <c r="O150" s="392"/>
      <c r="P150" s="391"/>
      <c r="Q150" s="416"/>
      <c r="R150" s="419"/>
      <c r="S150" s="404"/>
      <c r="T150" s="407"/>
      <c r="U150" s="395"/>
      <c r="V150" s="398"/>
      <c r="W150" s="401"/>
    </row>
    <row r="151" spans="9:23" x14ac:dyDescent="0.2">
      <c r="I151" s="131"/>
      <c r="J151" s="388"/>
      <c r="K151" s="388"/>
      <c r="L151" s="388"/>
      <c r="M151" s="411"/>
      <c r="N151" s="412"/>
      <c r="O151" s="392"/>
      <c r="P151" s="391"/>
      <c r="Q151" s="416"/>
      <c r="R151" s="419"/>
      <c r="S151" s="404"/>
      <c r="T151" s="407"/>
      <c r="U151" s="395"/>
      <c r="V151" s="398"/>
      <c r="W151" s="401"/>
    </row>
    <row r="152" spans="9:23" x14ac:dyDescent="0.2">
      <c r="I152" s="131"/>
      <c r="J152" s="388"/>
      <c r="K152" s="388"/>
      <c r="L152" s="388"/>
      <c r="M152" s="411"/>
      <c r="N152" s="412"/>
      <c r="O152" s="392"/>
      <c r="P152" s="391"/>
      <c r="Q152" s="416"/>
      <c r="R152" s="419"/>
      <c r="S152" s="404"/>
      <c r="T152" s="407"/>
      <c r="U152" s="395"/>
      <c r="V152" s="398"/>
      <c r="W152" s="401"/>
    </row>
    <row r="153" spans="9:23" x14ac:dyDescent="0.2">
      <c r="I153" s="131"/>
      <c r="J153" s="388"/>
      <c r="K153" s="388"/>
      <c r="L153" s="388"/>
      <c r="M153" s="411"/>
      <c r="N153" s="412"/>
      <c r="O153" s="392"/>
      <c r="P153" s="391"/>
      <c r="Q153" s="416"/>
      <c r="R153" s="419"/>
      <c r="S153" s="404"/>
      <c r="T153" s="407"/>
      <c r="U153" s="395"/>
      <c r="V153" s="398"/>
      <c r="W153" s="401"/>
    </row>
    <row r="154" spans="9:23" x14ac:dyDescent="0.2">
      <c r="I154" s="131"/>
      <c r="J154" s="388"/>
      <c r="K154" s="388"/>
      <c r="L154" s="388"/>
      <c r="M154" s="411"/>
      <c r="N154" s="412"/>
      <c r="O154" s="392"/>
      <c r="P154" s="391"/>
      <c r="Q154" s="416"/>
      <c r="R154" s="419"/>
      <c r="S154" s="404"/>
      <c r="T154" s="407"/>
      <c r="U154" s="395"/>
      <c r="V154" s="398"/>
      <c r="W154" s="401"/>
    </row>
    <row r="155" spans="9:23" x14ac:dyDescent="0.2">
      <c r="I155" s="131"/>
      <c r="J155" s="388"/>
      <c r="K155" s="388"/>
      <c r="L155" s="388"/>
      <c r="M155" s="411"/>
      <c r="N155" s="412"/>
      <c r="O155" s="392"/>
      <c r="P155" s="391"/>
      <c r="Q155" s="416"/>
      <c r="R155" s="419"/>
      <c r="S155" s="404"/>
      <c r="T155" s="407"/>
      <c r="U155" s="395"/>
      <c r="V155" s="398"/>
      <c r="W155" s="401"/>
    </row>
    <row r="156" spans="9:23" x14ac:dyDescent="0.2">
      <c r="I156" s="131"/>
      <c r="J156" s="388"/>
      <c r="K156" s="388"/>
      <c r="L156" s="388"/>
      <c r="M156" s="411"/>
      <c r="N156" s="412"/>
      <c r="O156" s="392"/>
      <c r="P156" s="391"/>
      <c r="Q156" s="416"/>
      <c r="R156" s="419"/>
      <c r="S156" s="404"/>
      <c r="T156" s="407"/>
      <c r="U156" s="395"/>
      <c r="V156" s="398"/>
      <c r="W156" s="401"/>
    </row>
    <row r="157" spans="9:23" x14ac:dyDescent="0.2">
      <c r="I157" s="131"/>
      <c r="J157" s="388"/>
      <c r="K157" s="388"/>
      <c r="L157" s="388"/>
      <c r="M157" s="411"/>
      <c r="N157" s="412"/>
      <c r="O157" s="392"/>
      <c r="P157" s="391"/>
      <c r="Q157" s="416"/>
      <c r="R157" s="419"/>
      <c r="S157" s="404"/>
      <c r="T157" s="407"/>
      <c r="U157" s="395"/>
      <c r="V157" s="398"/>
      <c r="W157" s="401"/>
    </row>
    <row r="158" spans="9:23" x14ac:dyDescent="0.2">
      <c r="I158" s="131"/>
      <c r="J158" s="388"/>
      <c r="K158" s="388"/>
      <c r="L158" s="388"/>
      <c r="M158" s="411"/>
      <c r="N158" s="412"/>
      <c r="O158" s="392"/>
      <c r="P158" s="391"/>
      <c r="Q158" s="416"/>
      <c r="R158" s="419"/>
      <c r="S158" s="404"/>
      <c r="T158" s="407"/>
      <c r="U158" s="395"/>
      <c r="V158" s="398"/>
      <c r="W158" s="401"/>
    </row>
    <row r="159" spans="9:23" x14ac:dyDescent="0.2">
      <c r="I159" s="131"/>
      <c r="J159" s="388"/>
      <c r="K159" s="388"/>
      <c r="L159" s="388"/>
      <c r="M159" s="411"/>
      <c r="N159" s="412"/>
      <c r="O159" s="392"/>
      <c r="P159" s="391"/>
      <c r="Q159" s="416"/>
      <c r="R159" s="419"/>
      <c r="S159" s="404"/>
      <c r="T159" s="407"/>
      <c r="U159" s="395"/>
      <c r="V159" s="398"/>
      <c r="W159" s="401"/>
    </row>
    <row r="160" spans="9:23" x14ac:dyDescent="0.2">
      <c r="I160" s="131"/>
      <c r="J160" s="388"/>
      <c r="K160" s="388"/>
      <c r="L160" s="388"/>
      <c r="M160" s="411"/>
      <c r="N160" s="412"/>
      <c r="O160" s="392"/>
      <c r="P160" s="391"/>
      <c r="Q160" s="416"/>
      <c r="R160" s="419"/>
      <c r="S160" s="404"/>
      <c r="T160" s="407"/>
      <c r="U160" s="395"/>
      <c r="V160" s="398"/>
      <c r="W160" s="401"/>
    </row>
    <row r="161" spans="9:23" x14ac:dyDescent="0.2">
      <c r="I161" s="131"/>
      <c r="J161" s="388"/>
      <c r="K161" s="388"/>
      <c r="L161" s="388"/>
      <c r="M161" s="411"/>
      <c r="N161" s="412"/>
      <c r="O161" s="392"/>
      <c r="P161" s="391"/>
      <c r="Q161" s="416"/>
      <c r="R161" s="419"/>
      <c r="S161" s="404"/>
      <c r="T161" s="407"/>
      <c r="U161" s="395"/>
      <c r="V161" s="398"/>
      <c r="W161" s="401"/>
    </row>
    <row r="162" spans="9:23" x14ac:dyDescent="0.2">
      <c r="I162" s="131"/>
      <c r="J162" s="388"/>
      <c r="K162" s="388"/>
      <c r="L162" s="388"/>
      <c r="M162" s="411"/>
      <c r="N162" s="412"/>
      <c r="O162" s="392"/>
      <c r="P162" s="391"/>
      <c r="Q162" s="416"/>
      <c r="R162" s="419"/>
      <c r="S162" s="404"/>
      <c r="T162" s="407"/>
      <c r="U162" s="395"/>
      <c r="V162" s="398"/>
      <c r="W162" s="401"/>
    </row>
    <row r="163" spans="9:23" x14ac:dyDescent="0.2">
      <c r="I163" s="131"/>
      <c r="J163" s="388"/>
      <c r="K163" s="388"/>
      <c r="L163" s="388"/>
      <c r="M163" s="411"/>
      <c r="N163" s="412"/>
      <c r="O163" s="392"/>
      <c r="P163" s="391"/>
      <c r="Q163" s="416"/>
      <c r="R163" s="419"/>
      <c r="S163" s="404"/>
      <c r="T163" s="407"/>
      <c r="U163" s="395"/>
      <c r="V163" s="398"/>
      <c r="W163" s="401"/>
    </row>
    <row r="164" spans="9:23" x14ac:dyDescent="0.2">
      <c r="I164" s="131"/>
      <c r="J164" s="388"/>
      <c r="K164" s="388"/>
      <c r="L164" s="388"/>
      <c r="M164" s="411"/>
      <c r="N164" s="412"/>
      <c r="O164" s="392"/>
      <c r="P164" s="391"/>
      <c r="Q164" s="416"/>
      <c r="R164" s="419"/>
      <c r="S164" s="404"/>
      <c r="T164" s="407"/>
      <c r="U164" s="395"/>
      <c r="V164" s="398"/>
      <c r="W164" s="401"/>
    </row>
    <row r="165" spans="9:23" x14ac:dyDescent="0.2">
      <c r="I165" s="131"/>
      <c r="J165" s="388"/>
      <c r="K165" s="388"/>
      <c r="L165" s="388"/>
      <c r="M165" s="411"/>
      <c r="N165" s="412"/>
      <c r="O165" s="392"/>
      <c r="P165" s="391"/>
      <c r="Q165" s="416"/>
      <c r="R165" s="419"/>
      <c r="S165" s="404"/>
      <c r="T165" s="407"/>
      <c r="U165" s="395"/>
      <c r="V165" s="398"/>
      <c r="W165" s="401"/>
    </row>
    <row r="166" spans="9:23" x14ac:dyDescent="0.2">
      <c r="I166" s="131"/>
      <c r="J166" s="388"/>
      <c r="K166" s="388"/>
      <c r="L166" s="388"/>
      <c r="M166" s="411"/>
      <c r="N166" s="412"/>
      <c r="O166" s="392"/>
      <c r="P166" s="391"/>
      <c r="Q166" s="416"/>
      <c r="R166" s="419"/>
      <c r="S166" s="404"/>
      <c r="T166" s="407"/>
      <c r="U166" s="395"/>
      <c r="V166" s="398"/>
      <c r="W166" s="401"/>
    </row>
    <row r="167" spans="9:23" x14ac:dyDescent="0.2">
      <c r="I167" s="131"/>
      <c r="J167" s="388"/>
      <c r="K167" s="388"/>
      <c r="L167" s="388"/>
      <c r="M167" s="411"/>
      <c r="N167" s="412"/>
      <c r="O167" s="392"/>
      <c r="P167" s="391"/>
      <c r="Q167" s="416"/>
      <c r="R167" s="419"/>
      <c r="S167" s="404"/>
      <c r="T167" s="407"/>
      <c r="U167" s="395"/>
      <c r="V167" s="398"/>
      <c r="W167" s="401"/>
    </row>
    <row r="168" spans="9:23" x14ac:dyDescent="0.2">
      <c r="I168" s="131"/>
      <c r="J168" s="388"/>
      <c r="K168" s="388"/>
      <c r="L168" s="388"/>
      <c r="M168" s="411"/>
      <c r="N168" s="412"/>
      <c r="O168" s="392"/>
      <c r="P168" s="391"/>
      <c r="Q168" s="416"/>
      <c r="R168" s="419"/>
      <c r="S168" s="404"/>
      <c r="T168" s="407"/>
      <c r="U168" s="395"/>
      <c r="V168" s="398"/>
      <c r="W168" s="401"/>
    </row>
    <row r="169" spans="9:23" x14ac:dyDescent="0.2">
      <c r="I169" s="131"/>
      <c r="J169" s="388"/>
      <c r="K169" s="388"/>
      <c r="L169" s="388"/>
      <c r="M169" s="411"/>
      <c r="N169" s="412"/>
      <c r="O169" s="392"/>
      <c r="P169" s="391"/>
      <c r="Q169" s="416"/>
      <c r="R169" s="419"/>
      <c r="S169" s="404"/>
      <c r="T169" s="407"/>
      <c r="U169" s="395"/>
      <c r="V169" s="398"/>
      <c r="W169" s="401"/>
    </row>
    <row r="170" spans="9:23" x14ac:dyDescent="0.2">
      <c r="I170" s="131"/>
      <c r="J170" s="388"/>
      <c r="K170" s="388"/>
      <c r="L170" s="388"/>
      <c r="M170" s="411"/>
      <c r="N170" s="412"/>
      <c r="O170" s="392"/>
      <c r="P170" s="391"/>
      <c r="Q170" s="416"/>
      <c r="R170" s="419"/>
      <c r="S170" s="404"/>
      <c r="T170" s="407"/>
      <c r="U170" s="395"/>
      <c r="V170" s="398"/>
      <c r="W170" s="401"/>
    </row>
    <row r="171" spans="9:23" x14ac:dyDescent="0.2">
      <c r="I171" s="131"/>
      <c r="J171" s="388"/>
      <c r="K171" s="388"/>
      <c r="L171" s="388"/>
      <c r="M171" s="411"/>
      <c r="N171" s="412"/>
      <c r="O171" s="392"/>
      <c r="P171" s="391"/>
      <c r="Q171" s="416"/>
      <c r="R171" s="419"/>
      <c r="S171" s="404"/>
      <c r="T171" s="407"/>
      <c r="U171" s="395"/>
      <c r="V171" s="398"/>
      <c r="W171" s="401"/>
    </row>
    <row r="172" spans="9:23" x14ac:dyDescent="0.2">
      <c r="I172" s="131"/>
      <c r="J172" s="388"/>
      <c r="K172" s="388"/>
      <c r="L172" s="388"/>
      <c r="M172" s="411"/>
      <c r="N172" s="412"/>
      <c r="O172" s="392"/>
      <c r="P172" s="391"/>
      <c r="Q172" s="416"/>
      <c r="R172" s="419"/>
      <c r="S172" s="404"/>
      <c r="T172" s="407"/>
      <c r="U172" s="395"/>
      <c r="V172" s="398"/>
      <c r="W172" s="401"/>
    </row>
    <row r="173" spans="9:23" x14ac:dyDescent="0.2">
      <c r="I173" s="131"/>
      <c r="J173" s="388"/>
      <c r="K173" s="388"/>
      <c r="L173" s="388"/>
      <c r="M173" s="411"/>
      <c r="N173" s="412"/>
      <c r="O173" s="392"/>
      <c r="P173" s="391"/>
      <c r="Q173" s="416"/>
      <c r="R173" s="419"/>
      <c r="S173" s="404"/>
      <c r="T173" s="407"/>
      <c r="U173" s="395"/>
      <c r="V173" s="398"/>
      <c r="W173" s="401"/>
    </row>
    <row r="174" spans="9:23" x14ac:dyDescent="0.2">
      <c r="I174" s="131"/>
      <c r="J174" s="388"/>
      <c r="K174" s="388"/>
      <c r="L174" s="388"/>
      <c r="M174" s="411"/>
      <c r="N174" s="412"/>
      <c r="O174" s="392"/>
      <c r="P174" s="391"/>
      <c r="Q174" s="416"/>
      <c r="R174" s="419"/>
      <c r="S174" s="404"/>
      <c r="T174" s="407"/>
      <c r="U174" s="395"/>
      <c r="V174" s="398"/>
      <c r="W174" s="401"/>
    </row>
    <row r="175" spans="9:23" x14ac:dyDescent="0.2">
      <c r="I175" s="131"/>
      <c r="J175" s="388"/>
      <c r="K175" s="388"/>
      <c r="L175" s="388"/>
      <c r="M175" s="411"/>
      <c r="N175" s="412"/>
      <c r="O175" s="392"/>
      <c r="P175" s="391"/>
      <c r="Q175" s="416"/>
      <c r="R175" s="419"/>
      <c r="S175" s="404"/>
      <c r="T175" s="407"/>
      <c r="U175" s="395"/>
      <c r="V175" s="398"/>
      <c r="W175" s="401"/>
    </row>
    <row r="176" spans="9:23" x14ac:dyDescent="0.2">
      <c r="I176" s="131"/>
      <c r="J176" s="388"/>
      <c r="K176" s="388"/>
      <c r="L176" s="388"/>
      <c r="M176" s="411"/>
      <c r="N176" s="412"/>
      <c r="O176" s="392"/>
      <c r="P176" s="391"/>
      <c r="Q176" s="416"/>
      <c r="R176" s="419"/>
      <c r="S176" s="404"/>
      <c r="T176" s="407"/>
      <c r="U176" s="395"/>
      <c r="V176" s="398"/>
      <c r="W176" s="401"/>
    </row>
    <row r="177" spans="9:23" x14ac:dyDescent="0.2">
      <c r="I177" s="131"/>
      <c r="J177" s="388"/>
      <c r="K177" s="388"/>
      <c r="L177" s="388"/>
      <c r="M177" s="411"/>
      <c r="N177" s="412"/>
      <c r="O177" s="392"/>
      <c r="P177" s="391"/>
      <c r="Q177" s="416"/>
      <c r="R177" s="419"/>
      <c r="S177" s="404"/>
      <c r="T177" s="407"/>
      <c r="U177" s="395"/>
      <c r="V177" s="398"/>
      <c r="W177" s="401"/>
    </row>
    <row r="178" spans="9:23" x14ac:dyDescent="0.2">
      <c r="I178" s="131"/>
      <c r="J178" s="388"/>
      <c r="K178" s="388"/>
      <c r="L178" s="388"/>
      <c r="M178" s="411"/>
      <c r="N178" s="412"/>
      <c r="O178" s="392"/>
      <c r="P178" s="391"/>
      <c r="Q178" s="416"/>
      <c r="R178" s="419"/>
      <c r="S178" s="404"/>
      <c r="T178" s="407"/>
      <c r="U178" s="395"/>
      <c r="V178" s="398"/>
      <c r="W178" s="401"/>
    </row>
    <row r="179" spans="9:23" x14ac:dyDescent="0.2">
      <c r="I179" s="131"/>
      <c r="J179" s="388"/>
      <c r="K179" s="388"/>
      <c r="L179" s="388"/>
      <c r="M179" s="411"/>
      <c r="N179" s="412"/>
      <c r="O179" s="392"/>
      <c r="P179" s="391"/>
      <c r="Q179" s="416"/>
      <c r="R179" s="419"/>
      <c r="S179" s="404"/>
      <c r="T179" s="407"/>
      <c r="U179" s="395"/>
      <c r="V179" s="398"/>
      <c r="W179" s="401"/>
    </row>
    <row r="180" spans="9:23" x14ac:dyDescent="0.2">
      <c r="I180" s="131"/>
      <c r="J180" s="388"/>
      <c r="K180" s="388"/>
      <c r="L180" s="388"/>
      <c r="M180" s="411"/>
      <c r="N180" s="412"/>
      <c r="O180" s="392"/>
      <c r="P180" s="391"/>
      <c r="Q180" s="416"/>
      <c r="R180" s="419"/>
      <c r="S180" s="404"/>
      <c r="T180" s="407"/>
      <c r="U180" s="395"/>
      <c r="V180" s="398"/>
      <c r="W180" s="401"/>
    </row>
    <row r="181" spans="9:23" x14ac:dyDescent="0.2">
      <c r="I181" s="131"/>
      <c r="J181" s="388"/>
      <c r="K181" s="388"/>
      <c r="L181" s="388"/>
      <c r="M181" s="411"/>
      <c r="N181" s="412"/>
      <c r="O181" s="392"/>
      <c r="P181" s="391"/>
      <c r="Q181" s="416"/>
      <c r="R181" s="419"/>
      <c r="S181" s="404"/>
      <c r="T181" s="407"/>
      <c r="U181" s="395"/>
      <c r="V181" s="398"/>
      <c r="W181" s="401"/>
    </row>
    <row r="182" spans="9:23" x14ac:dyDescent="0.2">
      <c r="I182" s="131"/>
      <c r="J182" s="388"/>
      <c r="K182" s="388"/>
      <c r="L182" s="388"/>
      <c r="M182" s="411"/>
      <c r="N182" s="412"/>
      <c r="O182" s="392"/>
      <c r="P182" s="391"/>
      <c r="Q182" s="416"/>
      <c r="R182" s="419"/>
      <c r="S182" s="404"/>
      <c r="T182" s="407"/>
      <c r="U182" s="395"/>
      <c r="V182" s="398"/>
      <c r="W182" s="401"/>
    </row>
    <row r="183" spans="9:23" x14ac:dyDescent="0.2">
      <c r="I183" s="131"/>
      <c r="J183" s="388"/>
      <c r="K183" s="388"/>
      <c r="L183" s="388"/>
      <c r="M183" s="411"/>
      <c r="N183" s="412"/>
      <c r="O183" s="392"/>
      <c r="P183" s="391"/>
      <c r="Q183" s="416"/>
      <c r="R183" s="419"/>
      <c r="S183" s="404"/>
      <c r="T183" s="407"/>
      <c r="U183" s="395"/>
      <c r="V183" s="398"/>
      <c r="W183" s="401"/>
    </row>
    <row r="184" spans="9:23" x14ac:dyDescent="0.2">
      <c r="I184" s="131"/>
      <c r="J184" s="388"/>
      <c r="K184" s="388"/>
      <c r="L184" s="388"/>
      <c r="M184" s="411"/>
      <c r="N184" s="412"/>
      <c r="O184" s="392"/>
      <c r="P184" s="391"/>
      <c r="Q184" s="416"/>
      <c r="R184" s="419"/>
      <c r="S184" s="404"/>
      <c r="T184" s="407"/>
      <c r="U184" s="395"/>
      <c r="V184" s="398"/>
      <c r="W184" s="401"/>
    </row>
    <row r="185" spans="9:23" x14ac:dyDescent="0.2">
      <c r="I185" s="131"/>
      <c r="J185" s="388"/>
      <c r="K185" s="388"/>
      <c r="L185" s="388"/>
      <c r="M185" s="411"/>
      <c r="N185" s="412"/>
      <c r="O185" s="392"/>
      <c r="P185" s="391"/>
      <c r="Q185" s="416"/>
      <c r="R185" s="419"/>
      <c r="S185" s="404"/>
      <c r="T185" s="407"/>
      <c r="U185" s="395"/>
      <c r="V185" s="398"/>
      <c r="W185" s="401"/>
    </row>
    <row r="186" spans="9:23" x14ac:dyDescent="0.2">
      <c r="I186" s="131"/>
      <c r="J186" s="388"/>
      <c r="K186" s="388"/>
      <c r="L186" s="388"/>
      <c r="M186" s="411"/>
      <c r="N186" s="412"/>
      <c r="O186" s="392"/>
      <c r="P186" s="391"/>
      <c r="Q186" s="416"/>
      <c r="R186" s="419"/>
      <c r="S186" s="404"/>
      <c r="T186" s="407"/>
      <c r="U186" s="395"/>
      <c r="V186" s="398"/>
      <c r="W186" s="401"/>
    </row>
    <row r="187" spans="9:23" x14ac:dyDescent="0.2">
      <c r="I187" s="131"/>
      <c r="J187" s="388"/>
      <c r="K187" s="388"/>
      <c r="L187" s="388"/>
      <c r="M187" s="411"/>
      <c r="N187" s="412"/>
      <c r="O187" s="392"/>
      <c r="P187" s="391"/>
      <c r="Q187" s="416"/>
      <c r="R187" s="419"/>
      <c r="S187" s="404"/>
      <c r="T187" s="407"/>
      <c r="U187" s="395"/>
      <c r="V187" s="398"/>
      <c r="W187" s="401"/>
    </row>
    <row r="188" spans="9:23" x14ac:dyDescent="0.2">
      <c r="I188" s="131"/>
      <c r="J188" s="388"/>
      <c r="K188" s="388"/>
      <c r="L188" s="388"/>
      <c r="M188" s="411"/>
      <c r="N188" s="412"/>
      <c r="O188" s="392"/>
      <c r="P188" s="391"/>
      <c r="Q188" s="416"/>
      <c r="R188" s="419"/>
      <c r="S188" s="404"/>
      <c r="T188" s="407"/>
      <c r="U188" s="395"/>
      <c r="V188" s="398"/>
      <c r="W188" s="401"/>
    </row>
    <row r="189" spans="9:23" x14ac:dyDescent="0.2">
      <c r="I189" s="131"/>
      <c r="J189" s="388"/>
      <c r="K189" s="388"/>
      <c r="L189" s="388"/>
      <c r="M189" s="411"/>
      <c r="N189" s="412"/>
      <c r="O189" s="392"/>
      <c r="P189" s="391"/>
      <c r="Q189" s="416"/>
      <c r="R189" s="419"/>
      <c r="S189" s="404"/>
      <c r="T189" s="407"/>
      <c r="U189" s="395"/>
      <c r="V189" s="398"/>
      <c r="W189" s="401"/>
    </row>
    <row r="190" spans="9:23" x14ac:dyDescent="0.2">
      <c r="I190" s="131"/>
      <c r="J190" s="388"/>
      <c r="K190" s="388"/>
      <c r="L190" s="388"/>
      <c r="M190" s="411"/>
      <c r="N190" s="412"/>
      <c r="O190" s="392"/>
      <c r="P190" s="391"/>
      <c r="Q190" s="416"/>
      <c r="R190" s="419"/>
      <c r="S190" s="404"/>
      <c r="T190" s="407"/>
      <c r="U190" s="395"/>
      <c r="V190" s="398"/>
      <c r="W190" s="401"/>
    </row>
    <row r="191" spans="9:23" x14ac:dyDescent="0.2">
      <c r="I191" s="131"/>
      <c r="J191" s="388"/>
      <c r="K191" s="388"/>
      <c r="L191" s="388"/>
      <c r="M191" s="411"/>
      <c r="N191" s="412"/>
      <c r="O191" s="392"/>
      <c r="P191" s="391"/>
      <c r="Q191" s="416"/>
      <c r="R191" s="419"/>
      <c r="S191" s="404"/>
      <c r="T191" s="407"/>
      <c r="U191" s="395"/>
      <c r="V191" s="398"/>
      <c r="W191" s="401"/>
    </row>
    <row r="192" spans="9:23" x14ac:dyDescent="0.2">
      <c r="I192" s="131"/>
      <c r="J192" s="388"/>
      <c r="K192" s="388"/>
      <c r="L192" s="388"/>
      <c r="M192" s="411"/>
      <c r="N192" s="412"/>
      <c r="O192" s="392"/>
      <c r="P192" s="391"/>
      <c r="Q192" s="416"/>
      <c r="R192" s="419"/>
      <c r="S192" s="404"/>
      <c r="T192" s="407"/>
      <c r="U192" s="395"/>
      <c r="V192" s="398"/>
      <c r="W192" s="401"/>
    </row>
    <row r="193" spans="9:23" x14ac:dyDescent="0.2">
      <c r="I193" s="131"/>
      <c r="J193" s="388"/>
      <c r="K193" s="388"/>
      <c r="L193" s="388"/>
      <c r="M193" s="411"/>
      <c r="N193" s="412"/>
      <c r="O193" s="392"/>
      <c r="P193" s="391"/>
      <c r="Q193" s="416"/>
      <c r="R193" s="419"/>
      <c r="S193" s="404"/>
      <c r="T193" s="407"/>
      <c r="U193" s="395"/>
      <c r="V193" s="398"/>
      <c r="W193" s="401"/>
    </row>
    <row r="194" spans="9:23" x14ac:dyDescent="0.2">
      <c r="I194" s="131"/>
      <c r="J194" s="388"/>
      <c r="K194" s="388"/>
      <c r="L194" s="388"/>
      <c r="M194" s="411"/>
      <c r="N194" s="412"/>
      <c r="O194" s="392"/>
      <c r="P194" s="391"/>
      <c r="Q194" s="416"/>
      <c r="R194" s="419"/>
      <c r="S194" s="404"/>
      <c r="T194" s="407"/>
      <c r="U194" s="395"/>
      <c r="V194" s="398"/>
      <c r="W194" s="401"/>
    </row>
    <row r="195" spans="9:23" x14ac:dyDescent="0.2">
      <c r="I195" s="131"/>
      <c r="J195" s="388"/>
      <c r="K195" s="388"/>
      <c r="L195" s="388"/>
      <c r="M195" s="411"/>
      <c r="N195" s="412"/>
      <c r="O195" s="392"/>
      <c r="P195" s="391"/>
      <c r="Q195" s="416"/>
      <c r="R195" s="419"/>
      <c r="S195" s="404"/>
      <c r="T195" s="407"/>
      <c r="U195" s="395"/>
      <c r="V195" s="398"/>
      <c r="W195" s="401"/>
    </row>
    <row r="196" spans="9:23" x14ac:dyDescent="0.2">
      <c r="I196" s="131"/>
      <c r="J196" s="388"/>
      <c r="K196" s="388"/>
      <c r="L196" s="388"/>
      <c r="M196" s="411"/>
      <c r="N196" s="412"/>
      <c r="O196" s="392"/>
      <c r="P196" s="391"/>
      <c r="Q196" s="416"/>
      <c r="R196" s="419"/>
      <c r="S196" s="404"/>
      <c r="T196" s="407"/>
      <c r="U196" s="395"/>
      <c r="V196" s="398"/>
      <c r="W196" s="401"/>
    </row>
    <row r="197" spans="9:23" x14ac:dyDescent="0.2">
      <c r="I197" s="131"/>
      <c r="J197" s="388"/>
      <c r="K197" s="388"/>
      <c r="L197" s="388"/>
      <c r="M197" s="411"/>
      <c r="N197" s="412"/>
      <c r="O197" s="392"/>
      <c r="P197" s="391"/>
      <c r="Q197" s="416"/>
      <c r="R197" s="419"/>
      <c r="S197" s="404"/>
      <c r="T197" s="407"/>
      <c r="U197" s="395"/>
      <c r="V197" s="398"/>
      <c r="W197" s="401"/>
    </row>
    <row r="198" spans="9:23" x14ac:dyDescent="0.2">
      <c r="I198" s="131"/>
      <c r="J198" s="388"/>
      <c r="K198" s="388"/>
      <c r="L198" s="388"/>
      <c r="M198" s="411"/>
      <c r="N198" s="412"/>
      <c r="O198" s="392"/>
      <c r="P198" s="391"/>
      <c r="Q198" s="416"/>
      <c r="R198" s="419"/>
      <c r="S198" s="404"/>
      <c r="T198" s="407"/>
      <c r="U198" s="395"/>
      <c r="V198" s="398"/>
      <c r="W198" s="401"/>
    </row>
    <row r="199" spans="9:23" x14ac:dyDescent="0.2">
      <c r="I199" s="131"/>
      <c r="J199" s="388"/>
      <c r="K199" s="388"/>
      <c r="L199" s="388"/>
      <c r="M199" s="411"/>
      <c r="N199" s="412"/>
      <c r="O199" s="392"/>
      <c r="P199" s="391"/>
      <c r="Q199" s="416"/>
      <c r="R199" s="419"/>
      <c r="S199" s="404"/>
      <c r="T199" s="407"/>
      <c r="U199" s="395"/>
      <c r="V199" s="398"/>
      <c r="W199" s="401"/>
    </row>
    <row r="200" spans="9:23" x14ac:dyDescent="0.2">
      <c r="I200" s="131"/>
      <c r="J200" s="388"/>
      <c r="K200" s="388"/>
      <c r="L200" s="388"/>
      <c r="M200" s="411"/>
      <c r="N200" s="412"/>
      <c r="O200" s="392"/>
      <c r="P200" s="391"/>
      <c r="Q200" s="416"/>
      <c r="R200" s="419"/>
      <c r="S200" s="404"/>
      <c r="T200" s="407"/>
      <c r="U200" s="395"/>
      <c r="V200" s="398"/>
      <c r="W200" s="401"/>
    </row>
    <row r="201" spans="9:23" x14ac:dyDescent="0.2">
      <c r="I201" s="131"/>
      <c r="J201" s="388"/>
      <c r="K201" s="388"/>
      <c r="L201" s="388"/>
      <c r="M201" s="411"/>
      <c r="N201" s="412"/>
      <c r="O201" s="392"/>
      <c r="P201" s="391"/>
      <c r="Q201" s="416"/>
      <c r="R201" s="419"/>
      <c r="S201" s="404"/>
      <c r="T201" s="407"/>
      <c r="U201" s="395"/>
      <c r="V201" s="398"/>
      <c r="W201" s="401"/>
    </row>
    <row r="202" spans="9:23" x14ac:dyDescent="0.2">
      <c r="I202" s="131"/>
      <c r="J202" s="388"/>
      <c r="K202" s="388"/>
      <c r="L202" s="388"/>
      <c r="M202" s="411"/>
      <c r="N202" s="412"/>
      <c r="O202" s="392"/>
      <c r="P202" s="391"/>
      <c r="Q202" s="416"/>
      <c r="R202" s="419"/>
      <c r="S202" s="404"/>
      <c r="T202" s="407"/>
      <c r="U202" s="395"/>
      <c r="V202" s="398"/>
      <c r="W202" s="401"/>
    </row>
    <row r="203" spans="9:23" x14ac:dyDescent="0.2">
      <c r="I203" s="131"/>
      <c r="J203" s="388"/>
      <c r="K203" s="388"/>
      <c r="L203" s="388"/>
      <c r="M203" s="411"/>
      <c r="N203" s="412"/>
      <c r="O203" s="392"/>
      <c r="P203" s="391"/>
      <c r="Q203" s="416"/>
      <c r="R203" s="419"/>
      <c r="S203" s="404"/>
      <c r="T203" s="407"/>
      <c r="U203" s="395"/>
      <c r="V203" s="398"/>
      <c r="W203" s="401"/>
    </row>
    <row r="204" spans="9:23" x14ac:dyDescent="0.2">
      <c r="I204" s="131"/>
      <c r="J204" s="388"/>
      <c r="K204" s="388"/>
      <c r="L204" s="388"/>
      <c r="M204" s="411"/>
      <c r="N204" s="412"/>
      <c r="O204" s="392"/>
      <c r="P204" s="391"/>
      <c r="Q204" s="416"/>
      <c r="R204" s="419"/>
      <c r="S204" s="404"/>
      <c r="T204" s="407"/>
      <c r="U204" s="395"/>
      <c r="V204" s="398"/>
      <c r="W204" s="401"/>
    </row>
    <row r="205" spans="9:23" x14ac:dyDescent="0.2">
      <c r="I205" s="131"/>
      <c r="J205" s="388"/>
      <c r="K205" s="388"/>
      <c r="L205" s="388"/>
      <c r="M205" s="411"/>
      <c r="N205" s="412"/>
      <c r="O205" s="392"/>
      <c r="P205" s="391"/>
      <c r="Q205" s="416"/>
      <c r="R205" s="419"/>
      <c r="S205" s="404"/>
      <c r="T205" s="407"/>
      <c r="U205" s="395"/>
      <c r="V205" s="398"/>
      <c r="W205" s="401"/>
    </row>
    <row r="206" spans="9:23" x14ac:dyDescent="0.2">
      <c r="I206" s="131"/>
      <c r="J206" s="388"/>
      <c r="K206" s="388"/>
      <c r="L206" s="388"/>
      <c r="M206" s="411"/>
      <c r="N206" s="412"/>
      <c r="O206" s="392"/>
      <c r="P206" s="391"/>
      <c r="Q206" s="416"/>
      <c r="R206" s="419"/>
      <c r="S206" s="404"/>
      <c r="T206" s="407"/>
      <c r="U206" s="395"/>
      <c r="V206" s="398"/>
      <c r="W206" s="401"/>
    </row>
    <row r="207" spans="9:23" x14ac:dyDescent="0.2">
      <c r="I207" s="131"/>
      <c r="J207" s="388"/>
      <c r="K207" s="388"/>
      <c r="L207" s="388"/>
      <c r="M207" s="411"/>
      <c r="N207" s="412"/>
      <c r="O207" s="392"/>
      <c r="P207" s="391"/>
      <c r="Q207" s="416"/>
      <c r="R207" s="419"/>
      <c r="S207" s="404"/>
      <c r="T207" s="407"/>
      <c r="U207" s="395"/>
      <c r="V207" s="398"/>
      <c r="W207" s="401"/>
    </row>
    <row r="208" spans="9:23" x14ac:dyDescent="0.2">
      <c r="I208" s="131"/>
      <c r="J208" s="388"/>
      <c r="K208" s="388"/>
      <c r="L208" s="388"/>
      <c r="M208" s="411"/>
      <c r="N208" s="412"/>
      <c r="O208" s="392"/>
      <c r="P208" s="391"/>
      <c r="Q208" s="416"/>
      <c r="R208" s="419"/>
      <c r="S208" s="404"/>
      <c r="T208" s="407"/>
      <c r="U208" s="395"/>
      <c r="V208" s="398"/>
      <c r="W208" s="401"/>
    </row>
    <row r="209" spans="9:23" x14ac:dyDescent="0.2">
      <c r="I209" s="131"/>
      <c r="J209" s="388"/>
      <c r="K209" s="388"/>
      <c r="L209" s="388"/>
      <c r="M209" s="411"/>
      <c r="N209" s="412"/>
      <c r="O209" s="392"/>
      <c r="P209" s="391"/>
      <c r="Q209" s="416"/>
      <c r="R209" s="419"/>
      <c r="S209" s="404"/>
      <c r="T209" s="407"/>
      <c r="U209" s="395"/>
      <c r="V209" s="398"/>
      <c r="W209" s="401"/>
    </row>
    <row r="210" spans="9:23" x14ac:dyDescent="0.2">
      <c r="I210" s="131"/>
      <c r="J210" s="388"/>
      <c r="K210" s="388"/>
      <c r="L210" s="388"/>
      <c r="M210" s="411"/>
      <c r="N210" s="412"/>
      <c r="O210" s="392"/>
      <c r="P210" s="391"/>
      <c r="Q210" s="416"/>
      <c r="R210" s="419"/>
      <c r="S210" s="404"/>
      <c r="T210" s="407"/>
      <c r="U210" s="395"/>
      <c r="V210" s="398"/>
      <c r="W210" s="401"/>
    </row>
    <row r="211" spans="9:23" x14ac:dyDescent="0.2">
      <c r="I211" s="131"/>
      <c r="J211" s="388"/>
      <c r="K211" s="388"/>
      <c r="L211" s="388"/>
      <c r="M211" s="411"/>
      <c r="N211" s="412"/>
      <c r="O211" s="392"/>
      <c r="P211" s="391"/>
      <c r="Q211" s="416"/>
      <c r="R211" s="419"/>
      <c r="S211" s="404"/>
      <c r="T211" s="407"/>
      <c r="U211" s="395"/>
      <c r="V211" s="398"/>
      <c r="W211" s="401"/>
    </row>
    <row r="212" spans="9:23" x14ac:dyDescent="0.2">
      <c r="I212" s="131"/>
      <c r="J212" s="388"/>
      <c r="K212" s="388"/>
      <c r="L212" s="388"/>
      <c r="M212" s="411"/>
      <c r="N212" s="412"/>
      <c r="O212" s="392"/>
      <c r="P212" s="391"/>
      <c r="Q212" s="416"/>
      <c r="R212" s="419"/>
      <c r="S212" s="404"/>
      <c r="T212" s="407"/>
      <c r="U212" s="395"/>
      <c r="V212" s="398"/>
      <c r="W212" s="401"/>
    </row>
    <row r="213" spans="9:23" x14ac:dyDescent="0.2">
      <c r="I213" s="131"/>
      <c r="J213" s="388"/>
      <c r="K213" s="388"/>
      <c r="L213" s="388"/>
      <c r="M213" s="411"/>
      <c r="N213" s="412"/>
      <c r="O213" s="392"/>
      <c r="P213" s="391"/>
      <c r="Q213" s="416"/>
      <c r="R213" s="419"/>
      <c r="S213" s="404"/>
      <c r="T213" s="407"/>
      <c r="U213" s="395"/>
      <c r="V213" s="398"/>
      <c r="W213" s="401"/>
    </row>
    <row r="214" spans="9:23" x14ac:dyDescent="0.2">
      <c r="I214" s="131"/>
      <c r="J214" s="388"/>
      <c r="K214" s="388"/>
      <c r="L214" s="388"/>
      <c r="M214" s="411"/>
      <c r="N214" s="412"/>
      <c r="O214" s="392"/>
      <c r="P214" s="391"/>
      <c r="Q214" s="416"/>
      <c r="R214" s="419"/>
      <c r="S214" s="404"/>
      <c r="T214" s="407"/>
      <c r="U214" s="395"/>
      <c r="V214" s="398"/>
      <c r="W214" s="401"/>
    </row>
    <row r="215" spans="9:23" x14ac:dyDescent="0.2">
      <c r="I215" s="131"/>
      <c r="J215" s="388"/>
      <c r="K215" s="388"/>
      <c r="L215" s="388"/>
      <c r="M215" s="411"/>
      <c r="N215" s="412"/>
      <c r="O215" s="392"/>
      <c r="P215" s="391"/>
      <c r="Q215" s="416"/>
      <c r="R215" s="419"/>
      <c r="S215" s="404"/>
      <c r="T215" s="407"/>
      <c r="U215" s="395"/>
      <c r="V215" s="398"/>
      <c r="W215" s="401"/>
    </row>
    <row r="216" spans="9:23" x14ac:dyDescent="0.2">
      <c r="I216" s="131"/>
      <c r="J216" s="388"/>
      <c r="K216" s="388"/>
      <c r="L216" s="388"/>
      <c r="M216" s="411"/>
      <c r="N216" s="412"/>
      <c r="O216" s="392"/>
      <c r="P216" s="391"/>
      <c r="Q216" s="416"/>
      <c r="R216" s="419"/>
      <c r="S216" s="404"/>
      <c r="T216" s="407"/>
      <c r="U216" s="395"/>
      <c r="V216" s="398"/>
      <c r="W216" s="401"/>
    </row>
    <row r="217" spans="9:23" x14ac:dyDescent="0.2">
      <c r="I217" s="131"/>
      <c r="J217" s="388"/>
      <c r="K217" s="388"/>
      <c r="L217" s="388"/>
      <c r="M217" s="411"/>
      <c r="N217" s="412"/>
      <c r="O217" s="392"/>
      <c r="P217" s="391"/>
      <c r="Q217" s="416"/>
      <c r="R217" s="419"/>
      <c r="S217" s="404"/>
      <c r="T217" s="407"/>
      <c r="U217" s="395"/>
      <c r="V217" s="398"/>
      <c r="W217" s="401"/>
    </row>
    <row r="218" spans="9:23" x14ac:dyDescent="0.2">
      <c r="I218" s="131"/>
      <c r="J218" s="388"/>
      <c r="K218" s="388"/>
      <c r="L218" s="388"/>
      <c r="M218" s="411"/>
      <c r="N218" s="412"/>
      <c r="O218" s="392"/>
      <c r="P218" s="391"/>
      <c r="Q218" s="416"/>
      <c r="R218" s="419"/>
      <c r="S218" s="404"/>
      <c r="T218" s="407"/>
      <c r="U218" s="395"/>
      <c r="V218" s="398"/>
      <c r="W218" s="401"/>
    </row>
    <row r="219" spans="9:23" x14ac:dyDescent="0.2">
      <c r="I219" s="131"/>
      <c r="J219" s="388"/>
      <c r="K219" s="388"/>
      <c r="L219" s="388"/>
      <c r="M219" s="411"/>
      <c r="N219" s="412"/>
      <c r="O219" s="392"/>
      <c r="P219" s="391"/>
      <c r="Q219" s="416"/>
      <c r="R219" s="419"/>
      <c r="S219" s="404"/>
      <c r="T219" s="407"/>
      <c r="U219" s="395"/>
      <c r="V219" s="398"/>
      <c r="W219" s="401"/>
    </row>
    <row r="220" spans="9:23" x14ac:dyDescent="0.2">
      <c r="I220" s="131"/>
      <c r="J220" s="388"/>
      <c r="K220" s="388"/>
      <c r="L220" s="388"/>
      <c r="M220" s="411"/>
      <c r="N220" s="412"/>
      <c r="O220" s="392"/>
      <c r="P220" s="391"/>
      <c r="Q220" s="416"/>
      <c r="R220" s="419"/>
      <c r="S220" s="404"/>
      <c r="T220" s="407"/>
      <c r="U220" s="395"/>
      <c r="V220" s="398"/>
      <c r="W220" s="401"/>
    </row>
    <row r="221" spans="9:23" x14ac:dyDescent="0.2">
      <c r="I221" s="131"/>
      <c r="J221" s="388"/>
      <c r="K221" s="388"/>
      <c r="L221" s="388"/>
      <c r="M221" s="411"/>
      <c r="N221" s="412"/>
      <c r="O221" s="392"/>
      <c r="P221" s="391"/>
      <c r="Q221" s="416"/>
      <c r="R221" s="419"/>
      <c r="S221" s="404"/>
      <c r="T221" s="407"/>
      <c r="U221" s="395"/>
      <c r="V221" s="398"/>
      <c r="W221" s="401"/>
    </row>
    <row r="222" spans="9:23" x14ac:dyDescent="0.2">
      <c r="I222" s="131"/>
      <c r="J222" s="388"/>
      <c r="K222" s="388"/>
      <c r="L222" s="388"/>
      <c r="M222" s="411"/>
      <c r="N222" s="412"/>
      <c r="O222" s="392"/>
      <c r="P222" s="391"/>
      <c r="Q222" s="416"/>
      <c r="R222" s="419"/>
      <c r="S222" s="404"/>
      <c r="T222" s="407"/>
      <c r="U222" s="395"/>
      <c r="V222" s="398"/>
      <c r="W222" s="401"/>
    </row>
    <row r="223" spans="9:23" x14ac:dyDescent="0.2">
      <c r="I223" s="131"/>
      <c r="J223" s="388"/>
      <c r="K223" s="388"/>
      <c r="L223" s="388"/>
      <c r="M223" s="411"/>
      <c r="N223" s="412"/>
      <c r="O223" s="392"/>
      <c r="P223" s="391"/>
      <c r="Q223" s="416"/>
      <c r="R223" s="419"/>
      <c r="S223" s="404"/>
      <c r="T223" s="407"/>
      <c r="U223" s="395"/>
      <c r="V223" s="398"/>
      <c r="W223" s="401"/>
    </row>
    <row r="224" spans="9:23" x14ac:dyDescent="0.2">
      <c r="I224" s="131"/>
      <c r="J224" s="388"/>
      <c r="K224" s="388"/>
      <c r="L224" s="388"/>
      <c r="M224" s="411"/>
      <c r="N224" s="412"/>
      <c r="O224" s="392"/>
      <c r="P224" s="391"/>
      <c r="Q224" s="416"/>
      <c r="R224" s="419"/>
      <c r="S224" s="404"/>
      <c r="T224" s="407"/>
      <c r="U224" s="395"/>
      <c r="V224" s="398"/>
      <c r="W224" s="401"/>
    </row>
    <row r="225" spans="9:23" x14ac:dyDescent="0.2">
      <c r="I225" s="131"/>
      <c r="J225" s="388"/>
      <c r="K225" s="388"/>
      <c r="L225" s="388"/>
      <c r="M225" s="411"/>
      <c r="N225" s="412"/>
      <c r="O225" s="392"/>
      <c r="P225" s="391"/>
      <c r="Q225" s="416"/>
      <c r="R225" s="419"/>
      <c r="S225" s="404"/>
      <c r="T225" s="407"/>
      <c r="U225" s="395"/>
      <c r="V225" s="398"/>
      <c r="W225" s="401"/>
    </row>
    <row r="226" spans="9:23" x14ac:dyDescent="0.2">
      <c r="I226" s="131"/>
      <c r="J226" s="388"/>
      <c r="K226" s="388"/>
      <c r="L226" s="388"/>
      <c r="M226" s="411"/>
      <c r="N226" s="412"/>
      <c r="O226" s="392"/>
      <c r="P226" s="391"/>
      <c r="Q226" s="416"/>
      <c r="R226" s="419"/>
      <c r="S226" s="404"/>
      <c r="T226" s="407"/>
      <c r="U226" s="395"/>
      <c r="V226" s="398"/>
      <c r="W226" s="401"/>
    </row>
    <row r="227" spans="9:23" x14ac:dyDescent="0.2">
      <c r="I227" s="131"/>
      <c r="J227" s="388"/>
      <c r="K227" s="388"/>
      <c r="L227" s="388"/>
      <c r="M227" s="411"/>
      <c r="N227" s="412"/>
      <c r="O227" s="392"/>
      <c r="P227" s="391"/>
      <c r="Q227" s="416"/>
      <c r="R227" s="419"/>
      <c r="S227" s="404"/>
      <c r="T227" s="407"/>
      <c r="U227" s="395"/>
      <c r="V227" s="398"/>
      <c r="W227" s="401"/>
    </row>
    <row r="228" spans="9:23" x14ac:dyDescent="0.2">
      <c r="I228" s="131"/>
      <c r="J228" s="388"/>
      <c r="K228" s="388"/>
      <c r="L228" s="388"/>
      <c r="M228" s="411"/>
      <c r="N228" s="412"/>
      <c r="O228" s="392"/>
      <c r="P228" s="391"/>
      <c r="Q228" s="416"/>
      <c r="R228" s="419"/>
      <c r="S228" s="404"/>
      <c r="T228" s="407"/>
      <c r="U228" s="395"/>
      <c r="V228" s="398"/>
      <c r="W228" s="401"/>
    </row>
    <row r="229" spans="9:23" x14ac:dyDescent="0.2">
      <c r="I229" s="131"/>
      <c r="J229" s="388"/>
      <c r="K229" s="388"/>
      <c r="L229" s="388"/>
      <c r="M229" s="411"/>
      <c r="N229" s="412"/>
      <c r="O229" s="392"/>
      <c r="P229" s="391"/>
      <c r="Q229" s="416"/>
      <c r="R229" s="419"/>
      <c r="S229" s="404"/>
      <c r="T229" s="407"/>
      <c r="U229" s="395"/>
      <c r="V229" s="398"/>
      <c r="W229" s="401"/>
    </row>
    <row r="230" spans="9:23" x14ac:dyDescent="0.2">
      <c r="I230" s="131"/>
      <c r="J230" s="388"/>
      <c r="K230" s="388"/>
      <c r="L230" s="388"/>
      <c r="M230" s="411"/>
      <c r="N230" s="412"/>
      <c r="O230" s="392"/>
      <c r="P230" s="391"/>
      <c r="Q230" s="416"/>
      <c r="R230" s="419"/>
      <c r="S230" s="404"/>
      <c r="T230" s="407"/>
      <c r="U230" s="395"/>
      <c r="V230" s="398"/>
      <c r="W230" s="401"/>
    </row>
    <row r="231" spans="9:23" x14ac:dyDescent="0.2">
      <c r="I231" s="131"/>
      <c r="J231" s="388"/>
      <c r="K231" s="388"/>
      <c r="L231" s="388"/>
      <c r="M231" s="411"/>
      <c r="N231" s="412"/>
      <c r="O231" s="392"/>
      <c r="P231" s="391"/>
      <c r="Q231" s="416"/>
      <c r="R231" s="419"/>
      <c r="S231" s="404"/>
      <c r="T231" s="407"/>
      <c r="U231" s="395"/>
      <c r="V231" s="398"/>
      <c r="W231" s="401"/>
    </row>
    <row r="232" spans="9:23" x14ac:dyDescent="0.2">
      <c r="I232" s="131"/>
      <c r="J232" s="388"/>
      <c r="K232" s="388"/>
      <c r="L232" s="388"/>
      <c r="M232" s="411"/>
      <c r="N232" s="412"/>
      <c r="O232" s="392"/>
      <c r="P232" s="391"/>
      <c r="Q232" s="416"/>
      <c r="R232" s="419"/>
      <c r="S232" s="404"/>
      <c r="T232" s="407"/>
      <c r="U232" s="395"/>
      <c r="V232" s="398"/>
      <c r="W232" s="401"/>
    </row>
    <row r="233" spans="9:23" x14ac:dyDescent="0.2">
      <c r="I233" s="131"/>
      <c r="J233" s="388"/>
      <c r="K233" s="388"/>
      <c r="L233" s="388"/>
      <c r="M233" s="411"/>
      <c r="N233" s="412"/>
      <c r="O233" s="392"/>
      <c r="P233" s="391"/>
      <c r="Q233" s="416"/>
      <c r="R233" s="419"/>
      <c r="S233" s="404"/>
      <c r="T233" s="407"/>
      <c r="U233" s="395"/>
      <c r="V233" s="398"/>
      <c r="W233" s="401"/>
    </row>
    <row r="234" spans="9:23" x14ac:dyDescent="0.2">
      <c r="I234" s="131"/>
      <c r="J234" s="388"/>
      <c r="K234" s="388"/>
      <c r="L234" s="388"/>
      <c r="M234" s="411"/>
      <c r="N234" s="412"/>
      <c r="O234" s="392"/>
      <c r="P234" s="391"/>
      <c r="Q234" s="416"/>
      <c r="R234" s="419"/>
      <c r="S234" s="404"/>
      <c r="T234" s="407"/>
      <c r="U234" s="395"/>
      <c r="V234" s="398"/>
      <c r="W234" s="401"/>
    </row>
    <row r="235" spans="9:23" x14ac:dyDescent="0.2">
      <c r="I235" s="131"/>
      <c r="J235" s="388"/>
      <c r="K235" s="388"/>
      <c r="L235" s="388"/>
      <c r="M235" s="411"/>
      <c r="N235" s="412"/>
      <c r="O235" s="392"/>
      <c r="P235" s="391"/>
      <c r="Q235" s="416"/>
      <c r="R235" s="419"/>
      <c r="S235" s="404"/>
      <c r="T235" s="407"/>
      <c r="U235" s="395"/>
      <c r="V235" s="398"/>
      <c r="W235" s="401"/>
    </row>
    <row r="236" spans="9:23" x14ac:dyDescent="0.2">
      <c r="I236" s="131"/>
      <c r="J236" s="388"/>
      <c r="K236" s="388"/>
      <c r="L236" s="388"/>
      <c r="M236" s="411"/>
      <c r="N236" s="412"/>
      <c r="O236" s="392"/>
      <c r="P236" s="391"/>
      <c r="Q236" s="416"/>
      <c r="R236" s="419"/>
      <c r="S236" s="404"/>
      <c r="T236" s="407"/>
      <c r="U236" s="395"/>
      <c r="V236" s="398"/>
      <c r="W236" s="401"/>
    </row>
    <row r="237" spans="9:23" x14ac:dyDescent="0.2">
      <c r="I237" s="131"/>
      <c r="J237" s="388"/>
      <c r="K237" s="388"/>
      <c r="L237" s="388"/>
      <c r="M237" s="411"/>
      <c r="N237" s="412"/>
      <c r="O237" s="392"/>
      <c r="P237" s="391"/>
      <c r="Q237" s="416"/>
      <c r="R237" s="419"/>
      <c r="S237" s="404"/>
      <c r="T237" s="407"/>
      <c r="U237" s="395"/>
      <c r="V237" s="398"/>
      <c r="W237" s="401"/>
    </row>
    <row r="238" spans="9:23" x14ac:dyDescent="0.2">
      <c r="I238" s="131"/>
      <c r="J238" s="388"/>
      <c r="K238" s="388"/>
      <c r="L238" s="388"/>
      <c r="M238" s="411"/>
      <c r="N238" s="412"/>
      <c r="O238" s="392"/>
      <c r="P238" s="391"/>
      <c r="Q238" s="416"/>
      <c r="R238" s="419"/>
      <c r="S238" s="404"/>
      <c r="T238" s="407"/>
      <c r="U238" s="395"/>
      <c r="V238" s="398"/>
      <c r="W238" s="401"/>
    </row>
    <row r="239" spans="9:23" x14ac:dyDescent="0.2">
      <c r="I239" s="131"/>
      <c r="J239" s="388"/>
      <c r="K239" s="388"/>
      <c r="L239" s="388"/>
      <c r="M239" s="411"/>
      <c r="N239" s="412"/>
      <c r="O239" s="392"/>
      <c r="P239" s="391"/>
      <c r="Q239" s="416"/>
      <c r="R239" s="419"/>
      <c r="S239" s="404"/>
      <c r="T239" s="407"/>
      <c r="U239" s="395"/>
      <c r="V239" s="398"/>
      <c r="W239" s="401"/>
    </row>
    <row r="240" spans="9:23" x14ac:dyDescent="0.2">
      <c r="I240" s="131"/>
      <c r="J240" s="388"/>
      <c r="K240" s="388"/>
      <c r="L240" s="388"/>
      <c r="M240" s="411"/>
      <c r="N240" s="412"/>
      <c r="O240" s="392"/>
      <c r="P240" s="391"/>
      <c r="Q240" s="416"/>
      <c r="R240" s="419"/>
      <c r="S240" s="404"/>
      <c r="T240" s="407"/>
      <c r="U240" s="395"/>
      <c r="V240" s="398"/>
      <c r="W240" s="401"/>
    </row>
    <row r="241" spans="9:23" x14ac:dyDescent="0.2">
      <c r="I241" s="131"/>
      <c r="J241" s="388"/>
      <c r="K241" s="388"/>
      <c r="L241" s="388"/>
      <c r="M241" s="411"/>
      <c r="N241" s="412"/>
      <c r="O241" s="392"/>
      <c r="P241" s="391"/>
      <c r="Q241" s="416"/>
      <c r="R241" s="419"/>
      <c r="S241" s="404"/>
      <c r="T241" s="407"/>
      <c r="U241" s="395"/>
      <c r="V241" s="398"/>
      <c r="W241" s="401"/>
    </row>
    <row r="242" spans="9:23" x14ac:dyDescent="0.2">
      <c r="I242" s="131"/>
      <c r="J242" s="388"/>
      <c r="K242" s="388"/>
      <c r="L242" s="388"/>
      <c r="M242" s="411"/>
      <c r="N242" s="412"/>
      <c r="O242" s="392"/>
      <c r="P242" s="391"/>
      <c r="Q242" s="416"/>
      <c r="R242" s="419"/>
      <c r="S242" s="404"/>
      <c r="T242" s="407"/>
      <c r="U242" s="395"/>
      <c r="V242" s="398"/>
      <c r="W242" s="401"/>
    </row>
    <row r="243" spans="9:23" x14ac:dyDescent="0.2">
      <c r="I243" s="131"/>
      <c r="J243" s="388"/>
      <c r="K243" s="388"/>
      <c r="L243" s="388"/>
      <c r="M243" s="411"/>
      <c r="N243" s="412"/>
      <c r="O243" s="392"/>
      <c r="P243" s="391"/>
      <c r="Q243" s="416"/>
      <c r="R243" s="419"/>
      <c r="S243" s="404"/>
      <c r="T243" s="407"/>
      <c r="U243" s="395"/>
      <c r="V243" s="398"/>
      <c r="W243" s="401"/>
    </row>
    <row r="244" spans="9:23" x14ac:dyDescent="0.2">
      <c r="I244" s="131"/>
      <c r="J244" s="388"/>
      <c r="K244" s="388"/>
      <c r="L244" s="388"/>
      <c r="M244" s="411"/>
      <c r="N244" s="412"/>
      <c r="O244" s="392"/>
      <c r="P244" s="391"/>
      <c r="Q244" s="416"/>
      <c r="R244" s="419"/>
      <c r="S244" s="404"/>
      <c r="T244" s="407"/>
      <c r="U244" s="395"/>
      <c r="V244" s="398"/>
      <c r="W244" s="401"/>
    </row>
    <row r="245" spans="9:23" x14ac:dyDescent="0.2">
      <c r="I245" s="131"/>
      <c r="J245" s="388"/>
      <c r="K245" s="388"/>
      <c r="L245" s="388"/>
      <c r="M245" s="411"/>
      <c r="N245" s="412"/>
      <c r="O245" s="392"/>
      <c r="P245" s="391"/>
      <c r="Q245" s="416"/>
      <c r="R245" s="419"/>
      <c r="S245" s="404"/>
      <c r="T245" s="407"/>
      <c r="U245" s="395"/>
      <c r="V245" s="398"/>
      <c r="W245" s="401"/>
    </row>
    <row r="246" spans="9:23" x14ac:dyDescent="0.2">
      <c r="I246" s="131"/>
      <c r="J246" s="388"/>
      <c r="K246" s="388"/>
      <c r="L246" s="388"/>
      <c r="M246" s="411"/>
      <c r="N246" s="412"/>
      <c r="O246" s="392"/>
      <c r="P246" s="391"/>
      <c r="Q246" s="416"/>
      <c r="R246" s="419"/>
      <c r="S246" s="404"/>
      <c r="T246" s="407"/>
      <c r="U246" s="395"/>
      <c r="V246" s="398"/>
      <c r="W246" s="401"/>
    </row>
    <row r="247" spans="9:23" x14ac:dyDescent="0.2">
      <c r="I247" s="131"/>
      <c r="J247" s="388"/>
      <c r="K247" s="388"/>
      <c r="L247" s="388"/>
      <c r="M247" s="411"/>
      <c r="N247" s="412"/>
      <c r="O247" s="392"/>
      <c r="P247" s="391"/>
      <c r="Q247" s="416"/>
      <c r="R247" s="419"/>
      <c r="S247" s="404"/>
      <c r="T247" s="407"/>
      <c r="U247" s="395"/>
      <c r="V247" s="398"/>
      <c r="W247" s="401"/>
    </row>
    <row r="248" spans="9:23" x14ac:dyDescent="0.2">
      <c r="I248" s="131"/>
      <c r="J248" s="388"/>
      <c r="K248" s="388"/>
      <c r="L248" s="388"/>
      <c r="M248" s="411"/>
      <c r="N248" s="412"/>
      <c r="O248" s="392"/>
      <c r="P248" s="391"/>
      <c r="Q248" s="416"/>
      <c r="R248" s="419"/>
      <c r="S248" s="404"/>
      <c r="T248" s="407"/>
      <c r="U248" s="395"/>
      <c r="V248" s="398"/>
      <c r="W248" s="401"/>
    </row>
    <row r="249" spans="9:23" x14ac:dyDescent="0.2">
      <c r="I249" s="131"/>
      <c r="J249" s="388"/>
      <c r="K249" s="388"/>
      <c r="L249" s="388"/>
      <c r="M249" s="411"/>
      <c r="N249" s="412"/>
      <c r="O249" s="392"/>
      <c r="P249" s="391"/>
      <c r="Q249" s="416"/>
      <c r="R249" s="419"/>
      <c r="S249" s="404"/>
      <c r="T249" s="407"/>
      <c r="U249" s="395"/>
      <c r="V249" s="398"/>
      <c r="W249" s="401"/>
    </row>
    <row r="250" spans="9:23" x14ac:dyDescent="0.2">
      <c r="I250" s="131"/>
      <c r="J250" s="388"/>
      <c r="K250" s="388"/>
      <c r="L250" s="388"/>
      <c r="M250" s="411"/>
      <c r="N250" s="412"/>
      <c r="O250" s="392"/>
      <c r="P250" s="391"/>
      <c r="Q250" s="416"/>
      <c r="R250" s="419"/>
      <c r="S250" s="404"/>
      <c r="T250" s="407"/>
      <c r="U250" s="395"/>
      <c r="V250" s="398"/>
      <c r="W250" s="401"/>
    </row>
    <row r="251" spans="9:23" x14ac:dyDescent="0.2">
      <c r="I251" s="131"/>
      <c r="J251" s="388"/>
      <c r="K251" s="388"/>
      <c r="L251" s="388"/>
      <c r="M251" s="411"/>
      <c r="N251" s="412"/>
      <c r="O251" s="392"/>
      <c r="P251" s="391"/>
      <c r="Q251" s="416"/>
      <c r="R251" s="419"/>
      <c r="S251" s="404"/>
      <c r="T251" s="407"/>
      <c r="U251" s="395"/>
      <c r="V251" s="398"/>
      <c r="W251" s="401"/>
    </row>
    <row r="252" spans="9:23" x14ac:dyDescent="0.2">
      <c r="I252" s="131"/>
      <c r="J252" s="388"/>
      <c r="K252" s="388"/>
      <c r="L252" s="388"/>
      <c r="M252" s="411"/>
      <c r="N252" s="412"/>
      <c r="O252" s="392"/>
      <c r="P252" s="391"/>
      <c r="Q252" s="416"/>
      <c r="R252" s="419"/>
      <c r="S252" s="404"/>
      <c r="T252" s="407"/>
      <c r="U252" s="395"/>
      <c r="V252" s="398"/>
      <c r="W252" s="401"/>
    </row>
    <row r="253" spans="9:23" x14ac:dyDescent="0.2">
      <c r="I253" s="131"/>
      <c r="J253" s="388"/>
      <c r="K253" s="388"/>
      <c r="L253" s="388"/>
      <c r="M253" s="411"/>
      <c r="N253" s="412"/>
      <c r="O253" s="392"/>
      <c r="P253" s="391"/>
      <c r="Q253" s="416"/>
      <c r="R253" s="419"/>
      <c r="S253" s="404"/>
      <c r="T253" s="407"/>
      <c r="U253" s="395"/>
      <c r="V253" s="398"/>
      <c r="W253" s="401"/>
    </row>
    <row r="254" spans="9:23" x14ac:dyDescent="0.2">
      <c r="I254" s="131"/>
      <c r="J254" s="388"/>
      <c r="K254" s="388"/>
      <c r="L254" s="388"/>
      <c r="M254" s="411"/>
      <c r="N254" s="412"/>
      <c r="O254" s="392"/>
      <c r="P254" s="391"/>
      <c r="Q254" s="416"/>
      <c r="R254" s="419"/>
      <c r="S254" s="404"/>
      <c r="T254" s="407"/>
      <c r="U254" s="395"/>
      <c r="V254" s="398"/>
      <c r="W254" s="401"/>
    </row>
    <row r="255" spans="9:23" x14ac:dyDescent="0.2">
      <c r="I255" s="131"/>
      <c r="J255" s="388"/>
      <c r="K255" s="388"/>
      <c r="L255" s="388"/>
      <c r="M255" s="411"/>
      <c r="N255" s="412"/>
      <c r="O255" s="392"/>
      <c r="P255" s="391"/>
      <c r="Q255" s="416"/>
      <c r="R255" s="419"/>
      <c r="S255" s="404"/>
      <c r="T255" s="407"/>
      <c r="U255" s="395"/>
      <c r="V255" s="398"/>
      <c r="W255" s="401"/>
    </row>
    <row r="256" spans="9:23" x14ac:dyDescent="0.2">
      <c r="I256" s="131"/>
      <c r="J256" s="388"/>
      <c r="K256" s="388"/>
      <c r="L256" s="388"/>
      <c r="M256" s="411"/>
      <c r="N256" s="412"/>
      <c r="O256" s="392"/>
      <c r="P256" s="391"/>
      <c r="Q256" s="416"/>
      <c r="R256" s="419"/>
      <c r="S256" s="404"/>
      <c r="T256" s="407"/>
      <c r="U256" s="395"/>
      <c r="V256" s="398"/>
      <c r="W256" s="401"/>
    </row>
    <row r="257" spans="9:23" x14ac:dyDescent="0.2">
      <c r="I257" s="131"/>
      <c r="J257" s="388"/>
      <c r="K257" s="388"/>
      <c r="L257" s="388"/>
      <c r="M257" s="411"/>
      <c r="N257" s="412"/>
      <c r="O257" s="392"/>
      <c r="P257" s="391"/>
      <c r="Q257" s="416"/>
      <c r="R257" s="419"/>
      <c r="S257" s="404"/>
      <c r="T257" s="407"/>
      <c r="U257" s="395"/>
      <c r="V257" s="398"/>
      <c r="W257" s="401"/>
    </row>
    <row r="258" spans="9:23" x14ac:dyDescent="0.2">
      <c r="I258" s="131"/>
      <c r="J258" s="388"/>
      <c r="K258" s="388"/>
      <c r="L258" s="388"/>
      <c r="M258" s="411"/>
      <c r="N258" s="412"/>
      <c r="O258" s="392"/>
      <c r="P258" s="391"/>
      <c r="Q258" s="416"/>
      <c r="R258" s="419"/>
      <c r="S258" s="404"/>
      <c r="T258" s="407"/>
      <c r="U258" s="395"/>
      <c r="V258" s="398"/>
      <c r="W258" s="401"/>
    </row>
    <row r="259" spans="9:23" x14ac:dyDescent="0.2">
      <c r="I259" s="131"/>
      <c r="J259" s="388"/>
      <c r="K259" s="388"/>
      <c r="L259" s="388"/>
      <c r="M259" s="411"/>
      <c r="N259" s="412"/>
      <c r="O259" s="392"/>
      <c r="P259" s="391"/>
      <c r="Q259" s="416"/>
      <c r="R259" s="419"/>
      <c r="S259" s="404"/>
      <c r="T259" s="407"/>
      <c r="U259" s="395"/>
      <c r="V259" s="398"/>
      <c r="W259" s="401"/>
    </row>
    <row r="260" spans="9:23" x14ac:dyDescent="0.2">
      <c r="I260" s="131"/>
      <c r="J260" s="388"/>
      <c r="K260" s="388"/>
      <c r="L260" s="388"/>
      <c r="M260" s="411"/>
      <c r="N260" s="412"/>
      <c r="O260" s="392"/>
      <c r="P260" s="391"/>
      <c r="Q260" s="416"/>
      <c r="R260" s="419"/>
      <c r="S260" s="404"/>
      <c r="T260" s="407"/>
      <c r="U260" s="395"/>
      <c r="V260" s="398"/>
      <c r="W260" s="401"/>
    </row>
    <row r="261" spans="9:23" x14ac:dyDescent="0.2">
      <c r="I261" s="131"/>
      <c r="J261" s="388"/>
      <c r="K261" s="388"/>
      <c r="L261" s="388"/>
      <c r="M261" s="411"/>
      <c r="N261" s="412"/>
      <c r="O261" s="392"/>
      <c r="P261" s="391"/>
      <c r="Q261" s="416"/>
      <c r="R261" s="419"/>
      <c r="S261" s="404"/>
      <c r="T261" s="407"/>
      <c r="U261" s="395"/>
      <c r="V261" s="398"/>
      <c r="W261" s="401"/>
    </row>
    <row r="262" spans="9:23" x14ac:dyDescent="0.2">
      <c r="I262" s="131"/>
      <c r="J262" s="388"/>
      <c r="K262" s="388"/>
      <c r="L262" s="388"/>
      <c r="M262" s="411"/>
      <c r="N262" s="412"/>
      <c r="O262" s="392"/>
      <c r="P262" s="391"/>
      <c r="Q262" s="416"/>
      <c r="R262" s="419"/>
      <c r="S262" s="404"/>
      <c r="T262" s="407"/>
      <c r="U262" s="395"/>
      <c r="V262" s="398"/>
      <c r="W262" s="401"/>
    </row>
    <row r="263" spans="9:23" x14ac:dyDescent="0.2">
      <c r="I263" s="131"/>
      <c r="J263" s="388"/>
      <c r="K263" s="388"/>
      <c r="L263" s="388"/>
      <c r="M263" s="411"/>
      <c r="N263" s="412"/>
      <c r="O263" s="392"/>
      <c r="P263" s="391"/>
      <c r="Q263" s="416"/>
      <c r="R263" s="419"/>
      <c r="S263" s="404"/>
      <c r="T263" s="407"/>
      <c r="U263" s="395"/>
      <c r="V263" s="398"/>
      <c r="W263" s="401"/>
    </row>
    <row r="264" spans="9:23" x14ac:dyDescent="0.2">
      <c r="I264" s="131"/>
      <c r="J264" s="388"/>
      <c r="K264" s="388"/>
      <c r="L264" s="388"/>
      <c r="M264" s="411"/>
      <c r="N264" s="412"/>
      <c r="O264" s="392"/>
      <c r="P264" s="391"/>
      <c r="Q264" s="416"/>
      <c r="R264" s="419"/>
      <c r="S264" s="404"/>
      <c r="T264" s="407"/>
      <c r="U264" s="395"/>
      <c r="V264" s="398"/>
      <c r="W264" s="401"/>
    </row>
    <row r="265" spans="9:23" x14ac:dyDescent="0.2">
      <c r="I265" s="131"/>
      <c r="J265" s="388"/>
      <c r="K265" s="388"/>
      <c r="L265" s="388"/>
      <c r="M265" s="411"/>
      <c r="N265" s="412"/>
      <c r="O265" s="392"/>
      <c r="P265" s="391"/>
      <c r="Q265" s="416"/>
      <c r="R265" s="419"/>
      <c r="S265" s="404"/>
      <c r="T265" s="407"/>
      <c r="U265" s="395"/>
      <c r="V265" s="398"/>
      <c r="W265" s="401"/>
    </row>
    <row r="266" spans="9:23" x14ac:dyDescent="0.2">
      <c r="I266" s="131"/>
      <c r="J266" s="388"/>
      <c r="K266" s="388"/>
      <c r="L266" s="388"/>
      <c r="M266" s="411"/>
      <c r="N266" s="412"/>
      <c r="O266" s="392"/>
      <c r="P266" s="391"/>
      <c r="Q266" s="416"/>
      <c r="R266" s="419"/>
      <c r="S266" s="404"/>
      <c r="T266" s="407"/>
      <c r="U266" s="395"/>
      <c r="V266" s="398"/>
      <c r="W266" s="401"/>
    </row>
    <row r="267" spans="9:23" x14ac:dyDescent="0.2">
      <c r="I267" s="131"/>
      <c r="J267" s="388"/>
      <c r="K267" s="388"/>
      <c r="L267" s="388"/>
      <c r="M267" s="411"/>
      <c r="N267" s="412"/>
      <c r="O267" s="392"/>
      <c r="P267" s="391"/>
      <c r="Q267" s="416"/>
      <c r="R267" s="419"/>
      <c r="S267" s="404"/>
      <c r="T267" s="407"/>
      <c r="U267" s="395"/>
      <c r="V267" s="398"/>
      <c r="W267" s="401"/>
    </row>
    <row r="268" spans="9:23" x14ac:dyDescent="0.2">
      <c r="I268" s="131"/>
      <c r="J268" s="388"/>
      <c r="K268" s="388"/>
      <c r="L268" s="388"/>
      <c r="M268" s="411"/>
      <c r="N268" s="412"/>
      <c r="O268" s="392"/>
      <c r="P268" s="391"/>
      <c r="Q268" s="416"/>
      <c r="R268" s="419"/>
      <c r="S268" s="404"/>
      <c r="T268" s="407"/>
      <c r="U268" s="395"/>
      <c r="V268" s="398"/>
      <c r="W268" s="401"/>
    </row>
    <row r="269" spans="9:23" x14ac:dyDescent="0.2">
      <c r="I269" s="131"/>
      <c r="J269" s="388"/>
      <c r="K269" s="388"/>
      <c r="L269" s="388"/>
      <c r="M269" s="411"/>
      <c r="N269" s="412"/>
      <c r="O269" s="392"/>
      <c r="P269" s="391"/>
      <c r="Q269" s="416"/>
      <c r="R269" s="419"/>
      <c r="S269" s="404"/>
      <c r="T269" s="407"/>
      <c r="U269" s="395"/>
      <c r="V269" s="398"/>
      <c r="W269" s="401"/>
    </row>
    <row r="270" spans="9:23" x14ac:dyDescent="0.2">
      <c r="I270" s="131"/>
      <c r="J270" s="388"/>
      <c r="K270" s="388"/>
      <c r="L270" s="388"/>
      <c r="M270" s="411"/>
      <c r="N270" s="412"/>
      <c r="O270" s="392"/>
      <c r="P270" s="391"/>
      <c r="Q270" s="416"/>
      <c r="R270" s="419"/>
      <c r="S270" s="404"/>
      <c r="T270" s="407"/>
      <c r="U270" s="395"/>
      <c r="V270" s="398"/>
      <c r="W270" s="401"/>
    </row>
    <row r="271" spans="9:23" x14ac:dyDescent="0.2">
      <c r="I271" s="131"/>
      <c r="J271" s="388"/>
      <c r="K271" s="388"/>
      <c r="L271" s="388"/>
      <c r="M271" s="411"/>
      <c r="N271" s="412"/>
      <c r="O271" s="392"/>
      <c r="P271" s="391"/>
      <c r="Q271" s="416"/>
      <c r="R271" s="419"/>
      <c r="S271" s="404"/>
      <c r="T271" s="407"/>
      <c r="U271" s="395"/>
      <c r="V271" s="398"/>
      <c r="W271" s="401"/>
    </row>
    <row r="272" spans="9:23" x14ac:dyDescent="0.2">
      <c r="I272" s="131"/>
      <c r="J272" s="388"/>
      <c r="K272" s="388"/>
      <c r="L272" s="388"/>
      <c r="M272" s="411"/>
      <c r="N272" s="412"/>
      <c r="O272" s="392"/>
      <c r="P272" s="391"/>
      <c r="Q272" s="416"/>
      <c r="R272" s="419"/>
      <c r="S272" s="404"/>
      <c r="T272" s="407"/>
      <c r="U272" s="395"/>
      <c r="V272" s="398"/>
      <c r="W272" s="401"/>
    </row>
    <row r="273" spans="9:23" x14ac:dyDescent="0.2">
      <c r="I273" s="131"/>
      <c r="J273" s="388"/>
      <c r="K273" s="388"/>
      <c r="L273" s="388"/>
      <c r="M273" s="411"/>
      <c r="N273" s="412"/>
      <c r="O273" s="392"/>
      <c r="P273" s="391"/>
      <c r="Q273" s="416"/>
      <c r="R273" s="419"/>
      <c r="S273" s="404"/>
      <c r="T273" s="407"/>
      <c r="U273" s="395"/>
      <c r="V273" s="398"/>
      <c r="W273" s="401"/>
    </row>
    <row r="274" spans="9:23" x14ac:dyDescent="0.2">
      <c r="I274" s="131"/>
      <c r="J274" s="388"/>
      <c r="K274" s="388"/>
      <c r="L274" s="388"/>
      <c r="M274" s="411"/>
      <c r="N274" s="412"/>
      <c r="O274" s="392"/>
      <c r="P274" s="391"/>
      <c r="Q274" s="416"/>
      <c r="R274" s="419"/>
      <c r="S274" s="404"/>
      <c r="T274" s="407"/>
      <c r="U274" s="395"/>
      <c r="V274" s="398"/>
      <c r="W274" s="401"/>
    </row>
    <row r="275" spans="9:23" x14ac:dyDescent="0.2">
      <c r="I275" s="131"/>
      <c r="J275" s="388"/>
      <c r="K275" s="388"/>
      <c r="L275" s="388"/>
      <c r="M275" s="411"/>
      <c r="N275" s="412"/>
      <c r="O275" s="392"/>
      <c r="P275" s="391"/>
      <c r="Q275" s="416"/>
      <c r="R275" s="419"/>
      <c r="S275" s="404"/>
      <c r="T275" s="407"/>
      <c r="U275" s="395"/>
      <c r="V275" s="398"/>
      <c r="W275" s="401"/>
    </row>
    <row r="276" spans="9:23" x14ac:dyDescent="0.2">
      <c r="I276" s="131"/>
      <c r="J276" s="388"/>
      <c r="K276" s="388"/>
      <c r="L276" s="388"/>
      <c r="M276" s="411"/>
      <c r="N276" s="412"/>
      <c r="O276" s="392"/>
      <c r="P276" s="391"/>
      <c r="Q276" s="416"/>
      <c r="R276" s="419"/>
      <c r="S276" s="404"/>
      <c r="T276" s="407"/>
      <c r="U276" s="395"/>
      <c r="V276" s="398"/>
      <c r="W276" s="401"/>
    </row>
    <row r="277" spans="9:23" x14ac:dyDescent="0.2">
      <c r="I277" s="131"/>
      <c r="J277" s="388"/>
      <c r="K277" s="388"/>
      <c r="L277" s="388"/>
      <c r="M277" s="411"/>
      <c r="N277" s="412"/>
      <c r="O277" s="392"/>
      <c r="P277" s="391"/>
      <c r="Q277" s="416"/>
      <c r="R277" s="419"/>
      <c r="S277" s="404"/>
      <c r="T277" s="407"/>
      <c r="U277" s="395"/>
      <c r="V277" s="398"/>
      <c r="W277" s="401"/>
    </row>
    <row r="278" spans="9:23" x14ac:dyDescent="0.2">
      <c r="I278" s="131"/>
      <c r="J278" s="388"/>
      <c r="K278" s="388"/>
      <c r="L278" s="388"/>
      <c r="M278" s="411"/>
      <c r="N278" s="412"/>
      <c r="O278" s="392"/>
      <c r="P278" s="391"/>
      <c r="Q278" s="416"/>
      <c r="R278" s="419"/>
      <c r="S278" s="404"/>
      <c r="T278" s="407"/>
      <c r="U278" s="395"/>
      <c r="V278" s="398"/>
      <c r="W278" s="401"/>
    </row>
    <row r="279" spans="9:23" x14ac:dyDescent="0.2">
      <c r="I279" s="131"/>
      <c r="J279" s="388"/>
      <c r="K279" s="388"/>
      <c r="L279" s="388"/>
      <c r="M279" s="411"/>
      <c r="N279" s="412"/>
      <c r="O279" s="392"/>
      <c r="P279" s="391"/>
      <c r="Q279" s="416"/>
      <c r="R279" s="419"/>
      <c r="S279" s="404"/>
      <c r="T279" s="407"/>
      <c r="U279" s="395"/>
      <c r="V279" s="398"/>
      <c r="W279" s="401"/>
    </row>
    <row r="280" spans="9:23" x14ac:dyDescent="0.2">
      <c r="I280" s="131"/>
      <c r="J280" s="388"/>
      <c r="K280" s="388"/>
      <c r="L280" s="388"/>
      <c r="M280" s="411"/>
      <c r="N280" s="412"/>
      <c r="O280" s="392"/>
      <c r="P280" s="391"/>
      <c r="Q280" s="416"/>
      <c r="R280" s="419"/>
      <c r="S280" s="404"/>
      <c r="T280" s="407"/>
      <c r="U280" s="395"/>
      <c r="V280" s="398"/>
      <c r="W280" s="401"/>
    </row>
    <row r="281" spans="9:23" x14ac:dyDescent="0.2">
      <c r="I281" s="131"/>
      <c r="J281" s="388"/>
      <c r="K281" s="388"/>
      <c r="L281" s="388"/>
      <c r="M281" s="411"/>
      <c r="N281" s="412"/>
      <c r="O281" s="392"/>
      <c r="P281" s="391"/>
      <c r="Q281" s="416"/>
      <c r="R281" s="419"/>
      <c r="S281" s="404"/>
      <c r="T281" s="407"/>
      <c r="U281" s="395"/>
      <c r="V281" s="398"/>
      <c r="W281" s="401"/>
    </row>
    <row r="282" spans="9:23" x14ac:dyDescent="0.2">
      <c r="I282" s="131"/>
      <c r="J282" s="388"/>
      <c r="K282" s="388"/>
      <c r="L282" s="388"/>
      <c r="M282" s="411"/>
      <c r="N282" s="412"/>
      <c r="O282" s="392"/>
      <c r="P282" s="391"/>
      <c r="Q282" s="416"/>
      <c r="R282" s="419"/>
      <c r="S282" s="404"/>
      <c r="T282" s="407"/>
      <c r="U282" s="395"/>
      <c r="V282" s="398"/>
      <c r="W282" s="401"/>
    </row>
    <row r="283" spans="9:23" x14ac:dyDescent="0.2">
      <c r="I283" s="131"/>
      <c r="J283" s="388"/>
      <c r="K283" s="388"/>
      <c r="L283" s="388"/>
      <c r="M283" s="411"/>
      <c r="N283" s="412"/>
      <c r="O283" s="392"/>
      <c r="P283" s="391"/>
      <c r="Q283" s="416"/>
      <c r="R283" s="419"/>
      <c r="S283" s="404"/>
      <c r="T283" s="407"/>
      <c r="U283" s="395"/>
      <c r="V283" s="398"/>
      <c r="W283" s="401"/>
    </row>
    <row r="284" spans="9:23" x14ac:dyDescent="0.2">
      <c r="I284" s="131"/>
      <c r="J284" s="388"/>
      <c r="K284" s="388"/>
      <c r="L284" s="388"/>
      <c r="M284" s="411"/>
      <c r="N284" s="412"/>
      <c r="O284" s="392"/>
      <c r="P284" s="391"/>
      <c r="Q284" s="416"/>
      <c r="R284" s="419"/>
      <c r="S284" s="404"/>
      <c r="T284" s="407"/>
      <c r="U284" s="395"/>
      <c r="V284" s="398"/>
      <c r="W284" s="401"/>
    </row>
    <row r="285" spans="9:23" x14ac:dyDescent="0.2">
      <c r="I285" s="131"/>
      <c r="J285" s="388"/>
      <c r="K285" s="388"/>
      <c r="L285" s="388"/>
      <c r="M285" s="411"/>
      <c r="N285" s="412"/>
      <c r="O285" s="392"/>
      <c r="P285" s="391"/>
      <c r="Q285" s="416"/>
      <c r="R285" s="419"/>
      <c r="S285" s="404"/>
      <c r="T285" s="407"/>
      <c r="U285" s="395"/>
      <c r="V285" s="398"/>
      <c r="W285" s="401"/>
    </row>
    <row r="286" spans="9:23" x14ac:dyDescent="0.2">
      <c r="I286" s="131"/>
      <c r="J286" s="388"/>
      <c r="K286" s="388"/>
      <c r="L286" s="388"/>
      <c r="M286" s="411"/>
      <c r="N286" s="412"/>
      <c r="O286" s="392"/>
      <c r="P286" s="391"/>
      <c r="Q286" s="416"/>
      <c r="R286" s="419"/>
      <c r="S286" s="404"/>
      <c r="T286" s="407"/>
      <c r="U286" s="395"/>
      <c r="V286" s="398"/>
      <c r="W286" s="401"/>
    </row>
    <row r="287" spans="9:23" x14ac:dyDescent="0.2">
      <c r="I287" s="131"/>
      <c r="J287" s="388"/>
      <c r="K287" s="388"/>
      <c r="L287" s="388"/>
      <c r="M287" s="411"/>
      <c r="N287" s="412"/>
      <c r="O287" s="392"/>
      <c r="P287" s="391"/>
      <c r="Q287" s="416"/>
      <c r="R287" s="419"/>
      <c r="S287" s="404"/>
      <c r="T287" s="407"/>
      <c r="U287" s="395"/>
      <c r="V287" s="398"/>
      <c r="W287" s="401"/>
    </row>
    <row r="288" spans="9:23" x14ac:dyDescent="0.2">
      <c r="I288" s="131"/>
      <c r="J288" s="388"/>
      <c r="K288" s="388"/>
      <c r="L288" s="388"/>
      <c r="M288" s="411"/>
      <c r="N288" s="412"/>
      <c r="O288" s="392"/>
      <c r="P288" s="391"/>
      <c r="Q288" s="416"/>
      <c r="R288" s="419"/>
      <c r="S288" s="404"/>
      <c r="T288" s="407"/>
      <c r="U288" s="395"/>
      <c r="V288" s="398"/>
      <c r="W288" s="401"/>
    </row>
    <row r="289" spans="9:23" x14ac:dyDescent="0.2">
      <c r="I289" s="131"/>
      <c r="J289" s="388"/>
      <c r="K289" s="388"/>
      <c r="L289" s="388"/>
      <c r="M289" s="411"/>
      <c r="N289" s="412"/>
      <c r="O289" s="392"/>
      <c r="P289" s="391"/>
      <c r="Q289" s="416"/>
      <c r="R289" s="419"/>
      <c r="S289" s="404"/>
      <c r="T289" s="407"/>
      <c r="U289" s="395"/>
      <c r="V289" s="398"/>
      <c r="W289" s="401"/>
    </row>
    <row r="290" spans="9:23" x14ac:dyDescent="0.2">
      <c r="I290" s="131"/>
      <c r="J290" s="388"/>
      <c r="K290" s="388"/>
      <c r="L290" s="388"/>
      <c r="M290" s="411"/>
      <c r="N290" s="412"/>
      <c r="O290" s="392"/>
      <c r="P290" s="391"/>
      <c r="Q290" s="416"/>
      <c r="R290" s="419"/>
      <c r="S290" s="404"/>
      <c r="T290" s="407"/>
      <c r="U290" s="395"/>
      <c r="V290" s="398"/>
      <c r="W290" s="401"/>
    </row>
    <row r="291" spans="9:23" x14ac:dyDescent="0.2">
      <c r="I291" s="131"/>
      <c r="J291" s="388"/>
      <c r="K291" s="388"/>
      <c r="L291" s="388"/>
      <c r="M291" s="411"/>
      <c r="N291" s="412"/>
      <c r="O291" s="392"/>
      <c r="P291" s="391"/>
      <c r="Q291" s="416"/>
      <c r="R291" s="419"/>
      <c r="S291" s="404"/>
      <c r="T291" s="407"/>
      <c r="U291" s="395"/>
      <c r="V291" s="398"/>
      <c r="W291" s="401"/>
    </row>
    <row r="292" spans="9:23" x14ac:dyDescent="0.2">
      <c r="I292" s="131"/>
      <c r="J292" s="388"/>
      <c r="K292" s="388"/>
      <c r="L292" s="388"/>
      <c r="M292" s="411"/>
      <c r="N292" s="412"/>
      <c r="O292" s="392"/>
      <c r="P292" s="391"/>
      <c r="Q292" s="416"/>
      <c r="R292" s="419"/>
      <c r="S292" s="404"/>
      <c r="T292" s="407"/>
      <c r="U292" s="395"/>
      <c r="V292" s="398"/>
      <c r="W292" s="401"/>
    </row>
    <row r="293" spans="9:23" x14ac:dyDescent="0.2">
      <c r="I293" s="131"/>
      <c r="J293" s="388"/>
      <c r="K293" s="388"/>
      <c r="L293" s="388"/>
      <c r="M293" s="411"/>
      <c r="N293" s="412"/>
      <c r="O293" s="392"/>
      <c r="P293" s="391"/>
      <c r="Q293" s="416"/>
      <c r="R293" s="419"/>
      <c r="S293" s="404"/>
      <c r="T293" s="407"/>
      <c r="U293" s="395"/>
      <c r="V293" s="398"/>
      <c r="W293" s="401"/>
    </row>
    <row r="294" spans="9:23" x14ac:dyDescent="0.2">
      <c r="I294" s="131"/>
      <c r="J294" s="388"/>
      <c r="K294" s="388"/>
      <c r="L294" s="388"/>
      <c r="M294" s="411"/>
      <c r="N294" s="412"/>
      <c r="O294" s="392"/>
      <c r="P294" s="391"/>
      <c r="Q294" s="416"/>
      <c r="R294" s="419"/>
      <c r="S294" s="404"/>
      <c r="T294" s="407"/>
      <c r="U294" s="395"/>
      <c r="V294" s="398"/>
      <c r="W294" s="401"/>
    </row>
    <row r="295" spans="9:23" x14ac:dyDescent="0.2">
      <c r="I295" s="131"/>
      <c r="J295" s="388"/>
      <c r="K295" s="388"/>
      <c r="L295" s="388"/>
      <c r="M295" s="411"/>
      <c r="N295" s="412"/>
      <c r="O295" s="392"/>
      <c r="P295" s="391"/>
      <c r="Q295" s="416"/>
      <c r="R295" s="419"/>
      <c r="S295" s="404"/>
      <c r="T295" s="407"/>
      <c r="U295" s="395"/>
      <c r="V295" s="398"/>
      <c r="W295" s="401"/>
    </row>
    <row r="296" spans="9:23" x14ac:dyDescent="0.2">
      <c r="I296" s="131"/>
      <c r="J296" s="388"/>
      <c r="K296" s="388"/>
      <c r="L296" s="388"/>
      <c r="M296" s="411"/>
      <c r="N296" s="412"/>
      <c r="O296" s="392"/>
      <c r="P296" s="391"/>
      <c r="Q296" s="416"/>
      <c r="R296" s="419"/>
      <c r="S296" s="404"/>
      <c r="T296" s="407"/>
      <c r="U296" s="395"/>
      <c r="V296" s="398"/>
      <c r="W296" s="401"/>
    </row>
    <row r="297" spans="9:23" x14ac:dyDescent="0.2">
      <c r="I297" s="131"/>
      <c r="J297" s="388"/>
      <c r="K297" s="388"/>
      <c r="L297" s="388"/>
      <c r="M297" s="411"/>
      <c r="N297" s="412"/>
      <c r="O297" s="392"/>
      <c r="P297" s="391"/>
      <c r="Q297" s="416"/>
      <c r="R297" s="419"/>
      <c r="S297" s="404"/>
      <c r="T297" s="407"/>
      <c r="U297" s="395"/>
      <c r="V297" s="398"/>
      <c r="W297" s="401"/>
    </row>
    <row r="298" spans="9:23" x14ac:dyDescent="0.2">
      <c r="I298" s="131"/>
      <c r="J298" s="388"/>
      <c r="K298" s="388"/>
      <c r="L298" s="388"/>
      <c r="M298" s="411"/>
      <c r="N298" s="412"/>
      <c r="O298" s="392"/>
      <c r="P298" s="391"/>
      <c r="Q298" s="416"/>
      <c r="R298" s="419"/>
      <c r="S298" s="404"/>
      <c r="T298" s="407"/>
      <c r="U298" s="395"/>
      <c r="V298" s="398"/>
      <c r="W298" s="401"/>
    </row>
    <row r="299" spans="9:23" x14ac:dyDescent="0.2">
      <c r="I299" s="131"/>
      <c r="J299" s="388"/>
      <c r="K299" s="388"/>
      <c r="L299" s="388"/>
      <c r="M299" s="411"/>
      <c r="N299" s="412"/>
      <c r="O299" s="392"/>
      <c r="P299" s="391"/>
      <c r="Q299" s="416"/>
      <c r="R299" s="419"/>
      <c r="S299" s="404"/>
      <c r="T299" s="407"/>
      <c r="U299" s="395"/>
      <c r="V299" s="398"/>
      <c r="W299" s="401"/>
    </row>
    <row r="300" spans="9:23" x14ac:dyDescent="0.2">
      <c r="I300" s="131"/>
      <c r="J300" s="388"/>
      <c r="K300" s="388"/>
      <c r="L300" s="388"/>
      <c r="M300" s="411"/>
      <c r="N300" s="412"/>
      <c r="O300" s="392"/>
      <c r="P300" s="391"/>
      <c r="Q300" s="416"/>
      <c r="R300" s="419"/>
      <c r="S300" s="404"/>
      <c r="T300" s="407"/>
      <c r="U300" s="395"/>
      <c r="V300" s="398"/>
      <c r="W300" s="401"/>
    </row>
    <row r="301" spans="9:23" x14ac:dyDescent="0.2">
      <c r="I301" s="131"/>
      <c r="J301" s="388"/>
      <c r="K301" s="388"/>
      <c r="L301" s="388"/>
      <c r="M301" s="411"/>
      <c r="N301" s="412"/>
      <c r="O301" s="392"/>
      <c r="P301" s="391"/>
      <c r="Q301" s="416"/>
      <c r="R301" s="419"/>
      <c r="S301" s="404"/>
      <c r="T301" s="407"/>
      <c r="U301" s="395"/>
      <c r="V301" s="398"/>
      <c r="W301" s="401"/>
    </row>
    <row r="302" spans="9:23" x14ac:dyDescent="0.2">
      <c r="I302" s="131"/>
      <c r="J302" s="388"/>
      <c r="K302" s="388"/>
      <c r="L302" s="388"/>
      <c r="M302" s="411"/>
      <c r="N302" s="412"/>
      <c r="O302" s="392"/>
      <c r="P302" s="391"/>
      <c r="Q302" s="416"/>
      <c r="R302" s="419"/>
      <c r="S302" s="404"/>
      <c r="T302" s="407"/>
      <c r="U302" s="395"/>
      <c r="V302" s="398"/>
      <c r="W302" s="401"/>
    </row>
    <row r="303" spans="9:23" x14ac:dyDescent="0.2">
      <c r="I303" s="131"/>
      <c r="J303" s="388"/>
      <c r="K303" s="388"/>
      <c r="L303" s="388"/>
      <c r="M303" s="411"/>
      <c r="N303" s="412"/>
      <c r="O303" s="392"/>
      <c r="P303" s="391"/>
      <c r="Q303" s="416"/>
      <c r="R303" s="419"/>
      <c r="S303" s="404"/>
      <c r="T303" s="407"/>
      <c r="U303" s="395"/>
      <c r="V303" s="398"/>
      <c r="W303" s="401"/>
    </row>
    <row r="304" spans="9:23" x14ac:dyDescent="0.2">
      <c r="I304" s="131"/>
      <c r="J304" s="388"/>
      <c r="K304" s="388"/>
      <c r="L304" s="388"/>
      <c r="M304" s="411"/>
      <c r="N304" s="412"/>
      <c r="O304" s="392"/>
      <c r="P304" s="391"/>
      <c r="Q304" s="416"/>
      <c r="R304" s="419"/>
      <c r="S304" s="404"/>
      <c r="T304" s="407"/>
      <c r="U304" s="395"/>
      <c r="V304" s="398"/>
      <c r="W304" s="401"/>
    </row>
    <row r="305" spans="9:23" x14ac:dyDescent="0.2">
      <c r="I305" s="131"/>
      <c r="J305" s="388"/>
      <c r="K305" s="388"/>
      <c r="L305" s="388"/>
      <c r="M305" s="411"/>
      <c r="N305" s="412"/>
      <c r="O305" s="392"/>
      <c r="P305" s="391"/>
      <c r="Q305" s="416"/>
      <c r="R305" s="419"/>
      <c r="S305" s="404"/>
      <c r="T305" s="407"/>
      <c r="U305" s="395"/>
      <c r="V305" s="398"/>
      <c r="W305" s="401"/>
    </row>
    <row r="306" spans="9:23" x14ac:dyDescent="0.2">
      <c r="I306" s="131"/>
      <c r="J306" s="388"/>
      <c r="K306" s="388"/>
      <c r="L306" s="388"/>
      <c r="M306" s="411"/>
      <c r="N306" s="412"/>
      <c r="O306" s="392"/>
      <c r="P306" s="391"/>
      <c r="Q306" s="416"/>
      <c r="R306" s="419"/>
      <c r="S306" s="404"/>
      <c r="T306" s="407"/>
      <c r="U306" s="395"/>
      <c r="V306" s="398"/>
      <c r="W306" s="401"/>
    </row>
    <row r="307" spans="9:23" x14ac:dyDescent="0.2">
      <c r="I307" s="131"/>
      <c r="J307" s="388"/>
      <c r="K307" s="388"/>
      <c r="L307" s="388"/>
      <c r="M307" s="411"/>
      <c r="N307" s="412"/>
      <c r="O307" s="392"/>
      <c r="P307" s="391"/>
      <c r="Q307" s="416"/>
      <c r="R307" s="419"/>
      <c r="S307" s="404"/>
      <c r="T307" s="407"/>
      <c r="U307" s="395"/>
      <c r="V307" s="398"/>
      <c r="W307" s="401"/>
    </row>
    <row r="308" spans="9:23" x14ac:dyDescent="0.2">
      <c r="I308" s="131"/>
      <c r="J308" s="388"/>
      <c r="K308" s="388"/>
      <c r="L308" s="388"/>
      <c r="M308" s="411"/>
      <c r="N308" s="412"/>
      <c r="O308" s="392"/>
      <c r="P308" s="391"/>
      <c r="Q308" s="416"/>
      <c r="R308" s="419"/>
      <c r="S308" s="404"/>
      <c r="T308" s="407"/>
      <c r="U308" s="395"/>
      <c r="V308" s="398"/>
      <c r="W308" s="401"/>
    </row>
    <row r="309" spans="9:23" x14ac:dyDescent="0.2">
      <c r="I309" s="131"/>
      <c r="J309" s="388"/>
      <c r="K309" s="388"/>
      <c r="L309" s="388"/>
      <c r="M309" s="411"/>
      <c r="N309" s="412"/>
      <c r="O309" s="392"/>
      <c r="P309" s="391"/>
      <c r="Q309" s="416"/>
      <c r="R309" s="419"/>
      <c r="S309" s="404"/>
      <c r="T309" s="407"/>
      <c r="U309" s="395"/>
      <c r="V309" s="398"/>
      <c r="W309" s="401"/>
    </row>
    <row r="310" spans="9:23" x14ac:dyDescent="0.2">
      <c r="I310" s="131"/>
      <c r="J310" s="388"/>
      <c r="K310" s="388"/>
      <c r="L310" s="388"/>
      <c r="M310" s="411"/>
      <c r="N310" s="412"/>
      <c r="O310" s="392"/>
      <c r="P310" s="391"/>
      <c r="Q310" s="416"/>
      <c r="R310" s="419"/>
      <c r="S310" s="404"/>
      <c r="T310" s="407"/>
      <c r="U310" s="395"/>
      <c r="V310" s="398"/>
      <c r="W310" s="401"/>
    </row>
    <row r="311" spans="9:23" x14ac:dyDescent="0.2">
      <c r="I311" s="131"/>
      <c r="J311" s="388"/>
      <c r="K311" s="388"/>
      <c r="L311" s="388"/>
      <c r="M311" s="411"/>
      <c r="N311" s="412"/>
      <c r="O311" s="392"/>
      <c r="P311" s="391"/>
      <c r="Q311" s="416"/>
      <c r="R311" s="419"/>
      <c r="S311" s="404"/>
      <c r="T311" s="407"/>
      <c r="U311" s="395"/>
      <c r="V311" s="398"/>
      <c r="W311" s="401"/>
    </row>
    <row r="312" spans="9:23" x14ac:dyDescent="0.2">
      <c r="I312" s="131"/>
      <c r="J312" s="388"/>
      <c r="K312" s="388"/>
      <c r="L312" s="388"/>
      <c r="M312" s="411"/>
      <c r="N312" s="412"/>
      <c r="O312" s="392"/>
      <c r="P312" s="391"/>
      <c r="Q312" s="416"/>
      <c r="R312" s="419"/>
      <c r="S312" s="404"/>
      <c r="T312" s="407"/>
      <c r="U312" s="395"/>
      <c r="V312" s="398"/>
      <c r="W312" s="401"/>
    </row>
    <row r="313" spans="9:23" x14ac:dyDescent="0.2">
      <c r="I313" s="131"/>
      <c r="J313" s="388"/>
      <c r="K313" s="388"/>
      <c r="L313" s="388"/>
      <c r="M313" s="411"/>
      <c r="N313" s="412"/>
      <c r="O313" s="392"/>
      <c r="P313" s="391"/>
      <c r="Q313" s="416"/>
      <c r="R313" s="419"/>
      <c r="S313" s="404"/>
      <c r="T313" s="407"/>
      <c r="U313" s="395"/>
      <c r="V313" s="398"/>
      <c r="W313" s="401"/>
    </row>
    <row r="314" spans="9:23" x14ac:dyDescent="0.2">
      <c r="I314" s="131"/>
      <c r="J314" s="388"/>
      <c r="K314" s="388"/>
      <c r="L314" s="388"/>
      <c r="M314" s="411"/>
      <c r="N314" s="412"/>
      <c r="O314" s="392"/>
      <c r="P314" s="391"/>
      <c r="Q314" s="416"/>
      <c r="R314" s="419"/>
      <c r="S314" s="404"/>
      <c r="T314" s="407"/>
      <c r="U314" s="395"/>
      <c r="V314" s="398"/>
      <c r="W314" s="401"/>
    </row>
    <row r="315" spans="9:23" x14ac:dyDescent="0.2">
      <c r="I315" s="131"/>
      <c r="J315" s="388"/>
      <c r="K315" s="388"/>
      <c r="L315" s="388"/>
      <c r="M315" s="411"/>
      <c r="N315" s="412"/>
      <c r="O315" s="392"/>
      <c r="P315" s="391"/>
      <c r="Q315" s="416"/>
      <c r="R315" s="419"/>
      <c r="S315" s="404"/>
      <c r="T315" s="407"/>
      <c r="U315" s="395"/>
      <c r="V315" s="398"/>
      <c r="W315" s="401"/>
    </row>
    <row r="316" spans="9:23" x14ac:dyDescent="0.2">
      <c r="I316" s="131"/>
      <c r="J316" s="388"/>
      <c r="K316" s="388"/>
      <c r="L316" s="388"/>
      <c r="M316" s="411"/>
      <c r="N316" s="412"/>
      <c r="O316" s="392"/>
      <c r="P316" s="391"/>
      <c r="Q316" s="416"/>
      <c r="R316" s="419"/>
      <c r="S316" s="404"/>
      <c r="T316" s="407"/>
      <c r="U316" s="395"/>
      <c r="V316" s="398"/>
      <c r="W316" s="401"/>
    </row>
    <row r="317" spans="9:23" x14ac:dyDescent="0.2">
      <c r="I317" s="131"/>
      <c r="J317" s="388"/>
      <c r="K317" s="388"/>
      <c r="L317" s="388"/>
      <c r="M317" s="411"/>
      <c r="N317" s="412"/>
      <c r="O317" s="392"/>
      <c r="P317" s="391"/>
      <c r="Q317" s="416"/>
      <c r="R317" s="419"/>
      <c r="S317" s="404"/>
      <c r="T317" s="407"/>
      <c r="U317" s="395"/>
      <c r="V317" s="398"/>
      <c r="W317" s="401"/>
    </row>
    <row r="318" spans="9:23" x14ac:dyDescent="0.2">
      <c r="I318" s="131"/>
      <c r="J318" s="388"/>
      <c r="K318" s="388"/>
      <c r="L318" s="388"/>
      <c r="M318" s="411"/>
      <c r="N318" s="412"/>
      <c r="O318" s="392"/>
      <c r="P318" s="391"/>
      <c r="Q318" s="416"/>
      <c r="R318" s="419"/>
      <c r="S318" s="404"/>
      <c r="T318" s="407"/>
      <c r="U318" s="395"/>
      <c r="V318" s="398"/>
      <c r="W318" s="401"/>
    </row>
    <row r="319" spans="9:23" x14ac:dyDescent="0.2">
      <c r="I319" s="131"/>
      <c r="J319" s="388"/>
      <c r="K319" s="388"/>
      <c r="L319" s="388"/>
      <c r="M319" s="411"/>
      <c r="N319" s="412"/>
      <c r="O319" s="392"/>
      <c r="P319" s="391"/>
      <c r="Q319" s="416"/>
      <c r="R319" s="419"/>
      <c r="S319" s="404"/>
      <c r="T319" s="407"/>
      <c r="U319" s="395"/>
      <c r="V319" s="398"/>
      <c r="W319" s="401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48" sqref="N48"/>
    </sheetView>
  </sheetViews>
  <sheetFormatPr baseColWidth="10" defaultColWidth="11.140625" defaultRowHeight="11.25" x14ac:dyDescent="0.2"/>
  <cols>
    <col min="1" max="1" width="1.140625" style="214" customWidth="1"/>
    <col min="2" max="2" width="6.140625" style="214" customWidth="1"/>
    <col min="3" max="3" width="10.5703125" style="214" customWidth="1"/>
    <col min="4" max="4" width="11" style="214" customWidth="1"/>
    <col min="5" max="5" width="9.28515625" style="214" customWidth="1"/>
    <col min="6" max="8" width="0.7109375" style="214" customWidth="1"/>
    <col min="9" max="9" width="9.85546875" style="214" customWidth="1"/>
    <col min="10" max="10" width="10.5703125" style="214" customWidth="1"/>
    <col min="11" max="11" width="11" style="214" customWidth="1"/>
    <col min="12" max="12" width="6.140625" style="214" customWidth="1"/>
    <col min="13" max="13" width="1.140625" style="214" customWidth="1"/>
    <col min="14" max="15" width="9.28515625" style="214" customWidth="1"/>
    <col min="16" max="16" width="9.5703125" style="214" customWidth="1"/>
    <col min="17" max="17" width="9.28515625" style="214" customWidth="1"/>
    <col min="18" max="18" width="1.140625" style="214" customWidth="1"/>
    <col min="19" max="22" width="11.5703125" style="214" customWidth="1"/>
    <col min="23" max="23" width="9.140625" style="214" customWidth="1"/>
    <col min="24" max="24" width="4.140625" style="214" customWidth="1"/>
    <col min="25" max="25" width="11.140625" style="214"/>
    <col min="26" max="28" width="9.85546875" style="214" customWidth="1"/>
    <col min="29" max="16384" width="11.140625" style="214"/>
  </cols>
  <sheetData>
    <row r="1" spans="2:21" ht="6" customHeight="1" thickBot="1" x14ac:dyDescent="0.25"/>
    <row r="2" spans="2:21" ht="6" customHeight="1" x14ac:dyDescent="0.2">
      <c r="B2" s="429" t="str">
        <f>"Sell " &amp; titre2</f>
        <v>Sell T1,75 08/12</v>
      </c>
      <c r="C2" s="430"/>
      <c r="D2" s="430"/>
      <c r="E2" s="431"/>
      <c r="I2" s="429" t="str">
        <f>"Buy " &amp; titre1</f>
        <v>Buy T0,75 05/12</v>
      </c>
      <c r="J2" s="430"/>
      <c r="K2" s="430"/>
      <c r="L2" s="431"/>
      <c r="N2" s="423" t="str">
        <f>"Reverse " &amp; titre2</f>
        <v>Reverse T1,75 08/12</v>
      </c>
      <c r="O2" s="424"/>
      <c r="P2" s="424"/>
      <c r="Q2" s="425"/>
    </row>
    <row r="3" spans="2:21" ht="6" customHeight="1" x14ac:dyDescent="0.2">
      <c r="B3" s="432"/>
      <c r="C3" s="433"/>
      <c r="D3" s="433"/>
      <c r="E3" s="434"/>
      <c r="I3" s="432"/>
      <c r="J3" s="433"/>
      <c r="K3" s="433"/>
      <c r="L3" s="434"/>
      <c r="N3" s="438"/>
      <c r="O3" s="439"/>
      <c r="P3" s="439"/>
      <c r="Q3" s="440"/>
    </row>
    <row r="4" spans="2:21" ht="6" customHeight="1" thickBot="1" x14ac:dyDescent="0.25">
      <c r="B4" s="435"/>
      <c r="C4" s="436"/>
      <c r="D4" s="436"/>
      <c r="E4" s="437"/>
      <c r="I4" s="435"/>
      <c r="J4" s="436"/>
      <c r="K4" s="436"/>
      <c r="L4" s="437"/>
      <c r="N4" s="426"/>
      <c r="O4" s="427"/>
      <c r="P4" s="427"/>
      <c r="Q4" s="428"/>
      <c r="S4" s="215"/>
    </row>
    <row r="5" spans="2:21" ht="8.25" customHeight="1" x14ac:dyDescent="0.2">
      <c r="B5" s="347"/>
      <c r="C5" s="348"/>
      <c r="D5" s="348"/>
      <c r="E5" s="349"/>
      <c r="I5" s="216"/>
      <c r="J5" s="217"/>
      <c r="K5" s="217"/>
      <c r="L5" s="218"/>
      <c r="N5" s="283"/>
      <c r="O5" s="284"/>
      <c r="P5" s="284"/>
      <c r="Q5" s="285"/>
    </row>
    <row r="6" spans="2:21" ht="11.25" customHeight="1" x14ac:dyDescent="0.2">
      <c r="B6" s="350"/>
      <c r="C6" s="302" t="s">
        <v>756</v>
      </c>
      <c r="D6" s="334" t="s">
        <v>757</v>
      </c>
      <c r="E6" s="351"/>
      <c r="I6" s="219"/>
      <c r="J6" s="220" t="s">
        <v>756</v>
      </c>
      <c r="K6" s="221" t="s">
        <v>758</v>
      </c>
      <c r="L6" s="222"/>
      <c r="N6" s="286" t="str">
        <f>[1]contrôles!L2</f>
        <v>O/N</v>
      </c>
      <c r="O6" s="303">
        <f ca="1">_xll.COURBE.TAUX.ZERO(oisCurve,_xll.CALENDRIER.GAP.FINANCE(pricingDate,N6,"USD","Unadjusted",TRUE),cMmkt)+P6/10000</f>
        <v>1.663793562283189E-3</v>
      </c>
      <c r="P6" s="309"/>
      <c r="Q6" s="301" t="s">
        <v>759</v>
      </c>
      <c r="U6" s="215"/>
    </row>
    <row r="7" spans="2:21" ht="11.25" customHeight="1" x14ac:dyDescent="0.2">
      <c r="B7" s="350"/>
      <c r="C7" s="352" t="s">
        <v>760</v>
      </c>
      <c r="D7" s="353" t="str">
        <f>VLOOKUP(titre2,'[1]Quote TWEB'!$A:$C,3,FALSE)</f>
        <v>US912828LH12</v>
      </c>
      <c r="E7" s="354"/>
      <c r="I7" s="219"/>
      <c r="J7" s="223" t="s">
        <v>760</v>
      </c>
      <c r="K7" s="224" t="str">
        <f>VLOOKUP(titre1,'[1]Quote TWEB'!$A:$C,3,FALSE)</f>
        <v>US912828NE62</v>
      </c>
      <c r="L7" s="225"/>
      <c r="N7" s="286" t="str">
        <f>[1]contrôles!L3</f>
        <v>1W</v>
      </c>
      <c r="O7" s="303">
        <f ca="1">_xll.COURBE.TAUX.ZERO(oisCurve,_xll.CALENDRIER.GAP.FINANCE(pricingDate,N7,"USD","Unadjusted",TRUE),cMmkt)+P7/10000</f>
        <v>1.6900000122761177E-3</v>
      </c>
      <c r="P7" s="309"/>
      <c r="Q7" s="301" t="s">
        <v>759</v>
      </c>
    </row>
    <row r="8" spans="2:21" ht="11.25" customHeight="1" x14ac:dyDescent="0.2">
      <c r="B8" s="350"/>
      <c r="C8" s="302"/>
      <c r="D8" s="299"/>
      <c r="E8" s="351"/>
      <c r="I8" s="219"/>
      <c r="J8" s="220"/>
      <c r="K8" s="226"/>
      <c r="L8" s="222"/>
      <c r="N8" s="286" t="str">
        <f>[1]contrôles!L4</f>
        <v>2W</v>
      </c>
      <c r="O8" s="303">
        <f ca="1">_xll.COURBE.TAUX.ZERO(oisCurve,_xll.CALENDRIER.GAP.FINANCE(pricingDate,N8,"USD","Unadjusted",TRUE),cMmkt)+P8/10000</f>
        <v>1.6900000061781384E-3</v>
      </c>
      <c r="P8" s="309"/>
      <c r="Q8" s="301" t="s">
        <v>759</v>
      </c>
    </row>
    <row r="9" spans="2:21" ht="11.25" customHeight="1" x14ac:dyDescent="0.2">
      <c r="B9" s="350"/>
      <c r="C9" s="302" t="s">
        <v>761</v>
      </c>
      <c r="D9" s="297" t="e">
        <f>IF(D10&lt;&gt;"",D10,IF(OR(LEFT(titre2,1)="T",MID(titre2,3,1)="T"),VLOOKUP(cusip2,'[1]Quote TWEB'!$B:$N,12,FALSE),VLOOKUP(cusip2,'[1]Quote TWEB'!$B:$N,10,FALSE)))</f>
        <v>#NAME?</v>
      </c>
      <c r="E9" s="355"/>
      <c r="I9" s="219"/>
      <c r="J9" s="220" t="s">
        <v>762</v>
      </c>
      <c r="K9" s="227" t="e">
        <f>IF(K10&lt;&gt;"",K10,IF(OR(LEFT(titre1,1)="T",MID(titre1,3,1)="T"),VLOOKUP(cusip1,'[1]Quote TWEB'!$B:$N,13,FALSE),VLOOKUP(cusip1,'[1]Quote TWEB'!$B:$N,11,FALSE)))</f>
        <v>#NAME?</v>
      </c>
      <c r="L9" s="228"/>
      <c r="N9" s="286" t="str">
        <f>[1]contrôles!L5</f>
        <v>3W</v>
      </c>
      <c r="O9" s="303">
        <f ca="1">_xll.COURBE.TAUX.ZERO(oisCurve,_xll.CALENDRIER.GAP.FINANCE(pricingDate,N9,"USD","Unadjusted",TRUE),cMmkt)+P9/10000</f>
        <v>1.5800000041567483E-3</v>
      </c>
      <c r="P9" s="309"/>
      <c r="Q9" s="301" t="s">
        <v>759</v>
      </c>
    </row>
    <row r="10" spans="2:21" ht="11.25" customHeight="1" x14ac:dyDescent="0.2">
      <c r="B10" s="350"/>
      <c r="C10" s="302" t="s">
        <v>763</v>
      </c>
      <c r="D10" s="335"/>
      <c r="E10" s="355"/>
      <c r="I10" s="219"/>
      <c r="J10" s="220" t="s">
        <v>763</v>
      </c>
      <c r="K10" s="229"/>
      <c r="L10" s="228"/>
      <c r="N10" s="286" t="str">
        <f>[1]contrôles!L6</f>
        <v>1M</v>
      </c>
      <c r="O10" s="303">
        <f ca="1">_xll.COURBE.TAUX.ZERO(oisCurve,_xll.CALENDRIER.GAP.FINANCE(pricingDate,N10,"USD","Unadjusted",TRUE),cMmkt)+P10/10000</f>
        <v>1.7006594084414961E-3</v>
      </c>
      <c r="P10" s="309"/>
      <c r="Q10" s="301" t="s">
        <v>759</v>
      </c>
    </row>
    <row r="11" spans="2:21" ht="11.25" customHeight="1" x14ac:dyDescent="0.2">
      <c r="B11" s="350"/>
      <c r="C11" s="302"/>
      <c r="D11" s="299" t="e">
        <f ca="1">_xll.INSTRUMENT.Z.SPREAD(isin2,curve_name,prix_titre2,cTrueYield,settlement2,[1]contrôles!$B$10)</f>
        <v>#VALUE!</v>
      </c>
      <c r="E11" s="351"/>
      <c r="I11" s="219"/>
      <c r="J11" s="220"/>
      <c r="K11" s="226" t="e">
        <f ca="1">_xll.INSTRUMENT.Z.SPREAD(isin1,curve_name,prix_titre1,cTrueYield,settlement1,[1]contrôles!$B$10)</f>
        <v>#VALUE!</v>
      </c>
      <c r="L11" s="222"/>
      <c r="N11" s="286" t="str">
        <f>[1]contrôles!L7</f>
        <v>2M</v>
      </c>
      <c r="O11" s="303">
        <f ca="1">_xll.COURBE.TAUX.ZERO(oisCurve,_xll.CALENDRIER.GAP.FINANCE(pricingDate,N11,"USD","Unadjusted",TRUE),cMmkt)+P11/10000</f>
        <v>1.738953767588417E-3</v>
      </c>
      <c r="P11" s="309"/>
      <c r="Q11" s="301" t="s">
        <v>759</v>
      </c>
      <c r="S11" s="215"/>
    </row>
    <row r="12" spans="2:21" ht="11.25" customHeight="1" x14ac:dyDescent="0.2">
      <c r="B12" s="350"/>
      <c r="C12" s="302" t="s">
        <v>389</v>
      </c>
      <c r="D12" s="356" t="e">
        <f ca="1">IF(LEFT(titre2,1)="T",_xll.INSTRUMENT.PRIX(isin2,settlement2,yld_titre2,cTreasury,yld_titre2),_xll.INSTRUMENT.PRIX(isin2,settlement2,yld_titre2,cdiscount,yld_titre2))</f>
        <v>#VALUE!</v>
      </c>
      <c r="E12" s="351"/>
      <c r="I12" s="219"/>
      <c r="J12" s="220" t="s">
        <v>389</v>
      </c>
      <c r="K12" s="230" t="e">
        <f ca="1">IF(LEFT(titre1,1)="T",_xll.INSTRUMENT.PRIX(isin1,settlement1,yld_titre1,cTreasury,yld_titre1),_xll.INSTRUMENT.PRIX(isin1,settlement1,yld_titre1,cdiscount,yld_titre1))</f>
        <v>#VALUE!</v>
      </c>
      <c r="L12" s="222"/>
      <c r="N12" s="286" t="str">
        <f>[1]contrôles!L8</f>
        <v>3M</v>
      </c>
      <c r="O12" s="303">
        <f ca="1">_xll.COURBE.TAUX.ZERO(oisCurve,_xll.CALENDRIER.GAP.FINANCE(pricingDate,N12,"USD","Unadjusted",TRUE),cMmkt)+P12/10000</f>
        <v>1.7478168408949011E-3</v>
      </c>
      <c r="P12" s="309"/>
      <c r="Q12" s="301" t="s">
        <v>759</v>
      </c>
    </row>
    <row r="13" spans="2:21" ht="10.5" customHeight="1" x14ac:dyDescent="0.2">
      <c r="B13" s="350"/>
      <c r="C13" s="299" t="s">
        <v>765</v>
      </c>
      <c r="D13" s="357" t="e">
        <f ca="1">_xll.INSTRUMENT.TAUX(isin2,prix_titre2,settlement2,cTrueYield,prix_titre2)</f>
        <v>#VALUE!</v>
      </c>
      <c r="E13" s="351"/>
      <c r="I13" s="219"/>
      <c r="J13" s="226" t="s">
        <v>765</v>
      </c>
      <c r="K13" s="231" t="e">
        <f ca="1">_xll.INSTRUMENT.TAUX(isin1,prix_titre1,settlement1,cTrueYield,prix_titre1)</f>
        <v>#VALUE!</v>
      </c>
      <c r="L13" s="222"/>
      <c r="N13" s="295"/>
      <c r="O13" s="287"/>
      <c r="P13" s="308" t="s">
        <v>764</v>
      </c>
      <c r="Q13" s="289"/>
      <c r="U13" s="215"/>
    </row>
    <row r="14" spans="2:21" ht="12" thickBot="1" x14ac:dyDescent="0.25">
      <c r="B14" s="350"/>
      <c r="C14" s="358" t="s">
        <v>766</v>
      </c>
      <c r="D14" s="359" t="e">
        <f ca="1"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60" t="s">
        <v>759</v>
      </c>
      <c r="I14" s="219"/>
      <c r="J14" s="232" t="s">
        <v>766</v>
      </c>
      <c r="K14" s="233" t="e">
        <f ca="1"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34" t="s">
        <v>759</v>
      </c>
      <c r="N14" s="304"/>
      <c r="O14" s="307"/>
      <c r="P14" s="307"/>
      <c r="Q14" s="306"/>
    </row>
    <row r="15" spans="2:21" ht="12.75" customHeight="1" thickBot="1" x14ac:dyDescent="0.25">
      <c r="B15" s="350"/>
      <c r="C15" s="302" t="s">
        <v>767</v>
      </c>
      <c r="D15" s="361" t="e">
        <f ca="1">_xll.INSTRUMENT.Z.SPREAD(isin2,swap_curve,prix_titre2,cTrueYield,settlement2,[1]contrôles!$B$32)</f>
        <v>#VALUE!</v>
      </c>
      <c r="E15" s="362" t="s">
        <v>759</v>
      </c>
      <c r="I15" s="219"/>
      <c r="J15" s="220" t="s">
        <v>767</v>
      </c>
      <c r="K15" s="235" t="e">
        <f ca="1">_xll.INSTRUMENT.Z.SPREAD(isin1,swap_curve,prix_titre1,cTrueYield,settlement1,[1]contrôles!$B$32)</f>
        <v>#VALUE!</v>
      </c>
      <c r="L15" s="236" t="s">
        <v>759</v>
      </c>
    </row>
    <row r="16" spans="2:21" ht="12.75" customHeight="1" x14ac:dyDescent="0.2">
      <c r="B16" s="350"/>
      <c r="C16" s="302" t="s">
        <v>768</v>
      </c>
      <c r="D16" s="361" t="e">
        <f ca="1">IF((maturity2-today)/365&lt;1,_xll.INSTRUMENT.Z.SPREAD(isin2,ois_curve,prix_titre2,cTrueYield,settlement2,[1]contrôles!$B$43),"-")</f>
        <v>#NAME?</v>
      </c>
      <c r="E16" s="362" t="s">
        <v>759</v>
      </c>
      <c r="I16" s="219"/>
      <c r="J16" s="220" t="s">
        <v>768</v>
      </c>
      <c r="K16" s="235" t="e">
        <f ca="1">IF((maturity1-today)/365&lt;1,_xll.INSTRUMENT.Z.SPREAD(isin1,ois_curve,prix_titre1,cTrueYield,settlement1,[1]contrôles!$B$43),"-")</f>
        <v>#NAME?</v>
      </c>
      <c r="L16" s="236" t="s">
        <v>759</v>
      </c>
      <c r="N16" s="423" t="str">
        <f>"Repo " &amp; titre1</f>
        <v>Repo T0,75 05/12</v>
      </c>
      <c r="O16" s="424"/>
      <c r="P16" s="424"/>
      <c r="Q16" s="425"/>
    </row>
    <row r="17" spans="2:21" ht="12.75" customHeight="1" thickBot="1" x14ac:dyDescent="0.25">
      <c r="B17" s="350"/>
      <c r="C17" s="302" t="s">
        <v>769</v>
      </c>
      <c r="D17" s="361" t="e">
        <f ca="1">_xll.INSTRUMENT.Z.SPREAD(isin2,curve_name,prix_titre2,cTrueYield,settlement2,[1]contrôles!$B$32)</f>
        <v>#VALUE!</v>
      </c>
      <c r="E17" s="362" t="s">
        <v>759</v>
      </c>
      <c r="I17" s="219"/>
      <c r="J17" s="220" t="s">
        <v>769</v>
      </c>
      <c r="K17" s="235" t="e">
        <f ca="1">_xll.INSTRUMENT.Z.SPREAD(isin1,curve_name,prix_titre1,cTrueYield,settlement1,[1]contrôles!$B$32)</f>
        <v>#VALUE!</v>
      </c>
      <c r="L17" s="236" t="s">
        <v>759</v>
      </c>
      <c r="N17" s="426"/>
      <c r="O17" s="427"/>
      <c r="P17" s="427"/>
      <c r="Q17" s="428"/>
    </row>
    <row r="18" spans="2:21" ht="12.75" customHeight="1" x14ac:dyDescent="0.2">
      <c r="B18" s="350"/>
      <c r="C18" s="302" t="s">
        <v>770</v>
      </c>
      <c r="D18" s="363" t="e">
        <f>VLOOKUP(cusip2,'[1]Quote TWEB'!$B:$H,7,FALSE)</f>
        <v>#NAME?</v>
      </c>
      <c r="E18" s="364" t="e">
        <f ca="1">IF(_xll.JOURS.OUVRES.FINANCE(maturity2,"USD",0)=maturity2,"","Bad Date !")</f>
        <v>#NAME?</v>
      </c>
      <c r="I18" s="219"/>
      <c r="J18" s="220" t="s">
        <v>770</v>
      </c>
      <c r="K18" s="237" t="e">
        <f>VLOOKUP(cusip1,'[1]Quote TWEB'!$B:$H,7,FALSE)</f>
        <v>#NAME?</v>
      </c>
      <c r="L18" s="238" t="e">
        <f ca="1">IF(_xll.JOURS.OUVRES.FINANCE(maturity1,"USD",0)=maturity1,"","Bad Date !")</f>
        <v>#NAME?</v>
      </c>
      <c r="N18" s="283"/>
      <c r="O18" s="284"/>
      <c r="P18" s="284"/>
      <c r="Q18" s="285"/>
    </row>
    <row r="19" spans="2:21" ht="12.75" customHeight="1" x14ac:dyDescent="0.2">
      <c r="B19" s="350"/>
      <c r="C19" s="302" t="s">
        <v>771</v>
      </c>
      <c r="D19" s="363" t="e">
        <f>IF(D21="",_xll.INSTRUMENT.DATE.REGLEMENT(isin2,today,isin2),D21)</f>
        <v>#VALUE!</v>
      </c>
      <c r="E19" s="365" t="e">
        <f ca="1">IF(E18="","","(" &amp; TEXT(_xll.JOURS.OUVRES.FINANCE(maturity2,"USD",0),"jj/mm/aaaa") &amp; ")")</f>
        <v>#NAME?</v>
      </c>
      <c r="I19" s="219"/>
      <c r="J19" s="220" t="s">
        <v>771</v>
      </c>
      <c r="K19" s="237" t="e">
        <f>IF(K21="",_xll.INSTRUMENT.DATE.REGLEMENT(isin1,today,isin1),K21)</f>
        <v>#VALUE!</v>
      </c>
      <c r="L19" s="239" t="e">
        <f ca="1">IF(L18="","","(" &amp; TEXT(_xll.JOURS.OUVRES.FINANCE(maturity1,"USD",0),"jj/mm/aaaa") &amp; ")")</f>
        <v>#NAME?</v>
      </c>
      <c r="N19" s="286" t="str">
        <f>[1]contrôles!L2</f>
        <v>O/N</v>
      </c>
      <c r="O19" s="303">
        <f ca="1">_xll.COURBE.TAUX.ZERO(oisCurve,_xll.CALENDRIER.GAP.FINANCE(pricingDate,N19,"USD","Unadjusted",TRUE),cMmkt)+P19/10000</f>
        <v>2.163793562283189E-3</v>
      </c>
      <c r="P19" s="309">
        <v>5</v>
      </c>
      <c r="Q19" s="301" t="s">
        <v>759</v>
      </c>
    </row>
    <row r="20" spans="2:21" ht="11.25" customHeight="1" x14ac:dyDescent="0.2">
      <c r="B20" s="350"/>
      <c r="C20" s="302" t="s">
        <v>772</v>
      </c>
      <c r="D20" s="366" t="e">
        <f ca="1">_xll.FRAC.ANNEE.FINANCE(settlement2,maturity2,"ACT/ACT ISMA")</f>
        <v>#NAME?</v>
      </c>
      <c r="E20" s="365"/>
      <c r="I20" s="219"/>
      <c r="J20" s="220" t="s">
        <v>773</v>
      </c>
      <c r="K20" s="240" t="e">
        <f ca="1">_xll.FRAC.ANNEE.FINANCE(settlement1,maturity1,"ACT/ACT ISMA")</f>
        <v>#NAME?</v>
      </c>
      <c r="L20" s="239"/>
      <c r="N20" s="286" t="str">
        <f>[1]contrôles!L3</f>
        <v>1W</v>
      </c>
      <c r="O20" s="303">
        <f ca="1">_xll.COURBE.TAUX.ZERO(oisCurve,_xll.CALENDRIER.GAP.FINANCE(pricingDate,N20,"USD","Unadjusted",TRUE),cMmkt)+P20/10000</f>
        <v>2.1900000122761177E-3</v>
      </c>
      <c r="P20" s="309">
        <v>5</v>
      </c>
      <c r="Q20" s="301" t="s">
        <v>759</v>
      </c>
    </row>
    <row r="21" spans="2:21" ht="11.25" customHeight="1" x14ac:dyDescent="0.2">
      <c r="B21" s="350"/>
      <c r="C21" s="302" t="s">
        <v>763</v>
      </c>
      <c r="D21" s="371"/>
      <c r="E21" s="351"/>
      <c r="I21" s="219"/>
      <c r="J21" s="220" t="s">
        <v>763</v>
      </c>
      <c r="K21" s="241"/>
      <c r="L21" s="222"/>
      <c r="N21" s="286" t="str">
        <f>[1]contrôles!L4</f>
        <v>2W</v>
      </c>
      <c r="O21" s="303">
        <f ca="1">_xll.COURBE.TAUX.ZERO(oisCurve,_xll.CALENDRIER.GAP.FINANCE(pricingDate,N21,"USD","Unadjusted",TRUE),cMmkt)+P21/10000</f>
        <v>2.1900000061781384E-3</v>
      </c>
      <c r="P21" s="309">
        <v>5</v>
      </c>
      <c r="Q21" s="301" t="s">
        <v>759</v>
      </c>
    </row>
    <row r="22" spans="2:21" ht="11.25" customHeight="1" x14ac:dyDescent="0.2">
      <c r="B22" s="350"/>
      <c r="C22" s="302" t="s">
        <v>774</v>
      </c>
      <c r="D22" s="367" t="e">
        <f ca="1">_xll.INSTRUMENT.DURATION(isin2,today,settlement2,prix_titre2,"Modified",cTrueYield,prix_titre2)*(prix_titre2+_xll.INSTRUMENT.COUPON.COURU(isin2,settlement2,isin2))/100</f>
        <v>#VALUE!</v>
      </c>
      <c r="E22" s="360" t="s">
        <v>775</v>
      </c>
      <c r="I22" s="219"/>
      <c r="J22" s="220" t="s">
        <v>774</v>
      </c>
      <c r="K22" s="230" t="e">
        <f ca="1">_xll.INSTRUMENT.DURATION(isin1,today,settlement1,prix_titre1,"Modified",cTrueYield,prix_titre1)*(prix_titre1+_xll.INSTRUMENT.COUPON.COURU(isin1,settlement1,isin1))/100</f>
        <v>#VALUE!</v>
      </c>
      <c r="L22" s="234" t="s">
        <v>775</v>
      </c>
      <c r="N22" s="286" t="str">
        <f>[1]contrôles!L5</f>
        <v>3W</v>
      </c>
      <c r="O22" s="303">
        <f ca="1">_xll.COURBE.TAUX.ZERO(oisCurve,_xll.CALENDRIER.GAP.FINANCE(pricingDate,N22,"USD","Unadjusted",TRUE),cMmkt)+P22/10000</f>
        <v>2.0800000041567481E-3</v>
      </c>
      <c r="P22" s="309">
        <v>5</v>
      </c>
      <c r="Q22" s="301" t="s">
        <v>759</v>
      </c>
      <c r="U22" s="215"/>
    </row>
    <row r="23" spans="2:21" ht="11.25" customHeight="1" thickBot="1" x14ac:dyDescent="0.25">
      <c r="B23" s="368"/>
      <c r="C23" s="369"/>
      <c r="D23" s="369"/>
      <c r="E23" s="370"/>
      <c r="I23" s="242"/>
      <c r="J23" s="243"/>
      <c r="K23" s="243"/>
      <c r="L23" s="244"/>
      <c r="N23" s="286" t="str">
        <f>[1]contrôles!L6</f>
        <v>1M</v>
      </c>
      <c r="O23" s="303">
        <f ca="1">_xll.COURBE.TAUX.ZERO(oisCurve,_xll.CALENDRIER.GAP.FINANCE(pricingDate,N23,"USD","Unadjusted",TRUE),cMmkt)+P23/10000</f>
        <v>2.2006594084414961E-3</v>
      </c>
      <c r="P23" s="309">
        <v>5</v>
      </c>
      <c r="Q23" s="301" t="s">
        <v>759</v>
      </c>
    </row>
    <row r="24" spans="2:21" ht="11.25" customHeight="1" thickBot="1" x14ac:dyDescent="0.25">
      <c r="N24" s="286" t="str">
        <f>[1]contrôles!L7</f>
        <v>2M</v>
      </c>
      <c r="O24" s="303">
        <f ca="1">_xll.COURBE.TAUX.ZERO(oisCurve,_xll.CALENDRIER.GAP.FINANCE(pricingDate,N24,"USD","Unadjusted",TRUE),cMmkt)+P24/10000</f>
        <v>2.238953767588417E-3</v>
      </c>
      <c r="P24" s="309">
        <v>5</v>
      </c>
      <c r="Q24" s="301" t="s">
        <v>759</v>
      </c>
      <c r="S24" s="215"/>
    </row>
    <row r="25" spans="2:21" ht="11.25" customHeight="1" x14ac:dyDescent="0.2">
      <c r="B25" s="423" t="s">
        <v>776</v>
      </c>
      <c r="C25" s="424"/>
      <c r="D25" s="424"/>
      <c r="E25" s="424"/>
      <c r="F25" s="424"/>
      <c r="G25" s="424"/>
      <c r="H25" s="424"/>
      <c r="I25" s="424"/>
      <c r="J25" s="424"/>
      <c r="K25" s="424"/>
      <c r="L25" s="425"/>
      <c r="N25" s="286" t="str">
        <f>[1]contrôles!L8</f>
        <v>3M</v>
      </c>
      <c r="O25" s="303">
        <f ca="1">_xll.COURBE.TAUX.ZERO(oisCurve,_xll.CALENDRIER.GAP.FINANCE(pricingDate,N25,"USD","Unadjusted",TRUE),cMmkt)+P25/10000</f>
        <v>2.2478168408949012E-3</v>
      </c>
      <c r="P25" s="309">
        <v>5</v>
      </c>
      <c r="Q25" s="301" t="s">
        <v>759</v>
      </c>
    </row>
    <row r="26" spans="2:21" ht="11.25" customHeight="1" thickBot="1" x14ac:dyDescent="0.25">
      <c r="B26" s="426"/>
      <c r="C26" s="427"/>
      <c r="D26" s="427"/>
      <c r="E26" s="427"/>
      <c r="F26" s="427"/>
      <c r="G26" s="427"/>
      <c r="H26" s="427"/>
      <c r="I26" s="427"/>
      <c r="J26" s="427"/>
      <c r="K26" s="427"/>
      <c r="L26" s="428"/>
      <c r="N26" s="295"/>
      <c r="O26" s="290"/>
      <c r="P26" s="308" t="s">
        <v>764</v>
      </c>
      <c r="Q26" s="289"/>
    </row>
    <row r="27" spans="2:21" ht="11.25" customHeight="1" thickBot="1" x14ac:dyDescent="0.25">
      <c r="B27" s="295"/>
      <c r="C27" s="287"/>
      <c r="D27" s="287"/>
      <c r="E27" s="299"/>
      <c r="F27" s="287"/>
      <c r="G27" s="287"/>
      <c r="H27" s="287"/>
      <c r="I27" s="310"/>
      <c r="J27" s="290"/>
      <c r="K27" s="290"/>
      <c r="L27" s="298"/>
      <c r="N27" s="304"/>
      <c r="O27" s="307"/>
      <c r="P27" s="307"/>
      <c r="Q27" s="306"/>
      <c r="U27" s="215"/>
    </row>
    <row r="28" spans="2:21" ht="11.25" customHeight="1" thickBot="1" x14ac:dyDescent="0.25">
      <c r="B28" s="295"/>
      <c r="C28" s="287" t="s">
        <v>777</v>
      </c>
      <c r="D28" s="311" t="s">
        <v>778</v>
      </c>
      <c r="E28" s="312" t="s">
        <v>779</v>
      </c>
      <c r="F28" s="311"/>
      <c r="G28" s="311"/>
      <c r="H28" s="311"/>
      <c r="I28" s="311" t="s">
        <v>780</v>
      </c>
      <c r="J28" s="311" t="s">
        <v>780</v>
      </c>
      <c r="K28" s="312" t="s">
        <v>779</v>
      </c>
      <c r="L28" s="313"/>
    </row>
    <row r="29" spans="2:21" ht="11.25" customHeight="1" x14ac:dyDescent="0.2">
      <c r="B29" s="295"/>
      <c r="C29" s="334">
        <v>90</v>
      </c>
      <c r="D29" s="311" t="s">
        <v>782</v>
      </c>
      <c r="E29" s="314" t="s">
        <v>783</v>
      </c>
      <c r="F29" s="311"/>
      <c r="G29" s="311"/>
      <c r="H29" s="311"/>
      <c r="I29" s="311" t="s">
        <v>784</v>
      </c>
      <c r="J29" s="311" t="s">
        <v>785</v>
      </c>
      <c r="K29" s="314" t="s">
        <v>786</v>
      </c>
      <c r="L29" s="298"/>
      <c r="N29" s="423" t="s">
        <v>781</v>
      </c>
      <c r="O29" s="424"/>
      <c r="P29" s="424"/>
      <c r="Q29" s="425"/>
    </row>
    <row r="30" spans="2:21" ht="11.25" customHeight="1" thickBot="1" x14ac:dyDescent="0.25">
      <c r="B30" s="295"/>
      <c r="C30" s="287" t="s">
        <v>787</v>
      </c>
      <c r="D30" s="315" t="e">
        <f ca="1">_xll.COURBE.TAUX.ZERO(repo_bid,today+terminationDate,cMmkt,titre2)*10000</f>
        <v>#VALUE!</v>
      </c>
      <c r="E30" s="316" t="e">
        <f ca="1"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87"/>
      <c r="G30" s="287"/>
      <c r="H30" s="287"/>
      <c r="I30" s="317" t="e">
        <f>(prix_titre2+_xll.INSTRUMENT.COUPON.COURU(isin2,settlement2,isin2))*D30*terminationDate/360</f>
        <v>#VALUE!</v>
      </c>
      <c r="J30" s="318" t="e">
        <f ca="1">-10000*(_xll.INSTRUMENT.PRIX.ROLL.DOWN(isin2,curve_name,today+terminationDate,prix_titre2,cTrueYield,yld_titre2)-prix_titre2)</f>
        <v>#NAME?</v>
      </c>
      <c r="K30" s="319" t="e">
        <f ca="1">_xll.INSTRUMENT.TAUX(isin2,prix_titre2+(J32+I32)/20000,terminationDate+settlement2,cTrueYield,prix_titre2)</f>
        <v>#VALUE!</v>
      </c>
      <c r="L30" s="320"/>
      <c r="N30" s="426"/>
      <c r="O30" s="427"/>
      <c r="P30" s="427"/>
      <c r="Q30" s="428"/>
    </row>
    <row r="31" spans="2:21" ht="11.25" customHeight="1" x14ac:dyDescent="0.2">
      <c r="B31" s="295"/>
      <c r="C31" s="321" t="s">
        <v>788</v>
      </c>
      <c r="D31" s="322" t="e">
        <f ca="1">_xll.COURBE.TAUX.ZERO(repo_ask,today+terminationDate,cMmkt,titre2)*10000</f>
        <v>#VALUE!</v>
      </c>
      <c r="E31" s="323" t="e">
        <f ca="1"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21"/>
      <c r="G31" s="321"/>
      <c r="H31" s="321"/>
      <c r="I31" s="324" t="e">
        <f>-duration2/duration1*(prix_titre1+_xll.INSTRUMENT.COUPON.COURU(isin1,settlement1,isin1))*D31*terminationDate/360</f>
        <v>#VALUE!</v>
      </c>
      <c r="J31" s="325" t="e">
        <f ca="1">duration2/duration1*10000*(_xll.INSTRUMENT.PRIX.ROLL.DOWN(isin1,curve_name,today+terminationDate,prix_titre1,cTrueYield,yld_titre1)-prix_titre1)</f>
        <v>#VALUE!</v>
      </c>
      <c r="K31" s="326" t="e">
        <f ca="1">_xll.INSTRUMENT.TAUX(isin1,prix_titre1+(J32+I32)/20000,terminationDate+settlement1,cTrueYield,prix_titre1)</f>
        <v>#VALUE!</v>
      </c>
      <c r="L31" s="320"/>
      <c r="N31" s="283"/>
      <c r="O31" s="284"/>
      <c r="P31" s="284"/>
      <c r="Q31" s="285"/>
    </row>
    <row r="32" spans="2:21" ht="11.25" customHeight="1" x14ac:dyDescent="0.2">
      <c r="B32" s="295"/>
      <c r="C32" s="327" t="e">
        <f>settlement2+terminationDate</f>
        <v>#VALUE!</v>
      </c>
      <c r="D32" s="287"/>
      <c r="E32" s="328" t="e">
        <f>10000*(E31-E30)</f>
        <v>#VALUE!</v>
      </c>
      <c r="F32" s="287"/>
      <c r="G32" s="287"/>
      <c r="H32" s="287"/>
      <c r="I32" s="317" t="e">
        <f>I30+I31</f>
        <v>#VALUE!</v>
      </c>
      <c r="J32" s="318" t="e">
        <f ca="1">J30+J31</f>
        <v>#NAME?</v>
      </c>
      <c r="K32" s="329" t="e">
        <f ca="1">10000*(K31-K30)</f>
        <v>#VALUE!</v>
      </c>
      <c r="L32" s="298" t="s">
        <v>759</v>
      </c>
      <c r="N32" s="286"/>
      <c r="O32" s="287" t="e">
        <f ca="1">IF(P32&gt;0,"Curve Pick-up :","Curve Give-up :")</f>
        <v>#VALUE!</v>
      </c>
      <c r="P32" s="288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9" t="s">
        <v>759</v>
      </c>
    </row>
    <row r="33" spans="2:37" ht="11.25" customHeight="1" thickBot="1" x14ac:dyDescent="0.25">
      <c r="B33" s="304"/>
      <c r="C33" s="330"/>
      <c r="D33" s="330"/>
      <c r="E33" s="330"/>
      <c r="F33" s="330"/>
      <c r="G33" s="330"/>
      <c r="H33" s="330"/>
      <c r="I33" s="307"/>
      <c r="J33" s="331"/>
      <c r="K33" s="332"/>
      <c r="L33" s="333"/>
      <c r="N33" s="286"/>
      <c r="O33" s="287" t="str">
        <f>"- Spread 1 :"</f>
        <v>- Spread 1 :</v>
      </c>
      <c r="P33" s="288" t="e">
        <f ca="1">-_xll.INSTRUMENT.Z.SPREAD(isin2,curve_name,prix_titre2,cTrueYield,settlement2,prix_titre2)</f>
        <v>#VALUE!</v>
      </c>
      <c r="Q33" s="289" t="s">
        <v>759</v>
      </c>
    </row>
    <row r="34" spans="2:37" ht="4.5" customHeight="1" thickBot="1" x14ac:dyDescent="0.25">
      <c r="N34" s="286"/>
      <c r="O34" s="290"/>
      <c r="P34" s="291"/>
      <c r="Q34" s="289"/>
    </row>
    <row r="35" spans="2:37" ht="12" customHeight="1" x14ac:dyDescent="0.2">
      <c r="B35" s="423" t="s">
        <v>790</v>
      </c>
      <c r="C35" s="424"/>
      <c r="D35" s="424"/>
      <c r="E35" s="425"/>
      <c r="I35" s="423" t="s">
        <v>791</v>
      </c>
      <c r="J35" s="424"/>
      <c r="K35" s="424"/>
      <c r="L35" s="425"/>
      <c r="N35" s="286"/>
      <c r="O35" s="292" t="s">
        <v>789</v>
      </c>
      <c r="P35" s="288" t="e">
        <f>-bidask_1</f>
        <v>#VALUE!</v>
      </c>
      <c r="Q35" s="289" t="s">
        <v>759</v>
      </c>
      <c r="U35" s="215"/>
    </row>
    <row r="36" spans="2:37" ht="12" customHeight="1" thickBot="1" x14ac:dyDescent="0.25">
      <c r="B36" s="426"/>
      <c r="C36" s="427"/>
      <c r="D36" s="427"/>
      <c r="E36" s="428"/>
      <c r="I36" s="426"/>
      <c r="J36" s="427"/>
      <c r="K36" s="427"/>
      <c r="L36" s="428"/>
      <c r="N36" s="286"/>
      <c r="O36" s="287" t="e">
        <f ca="1">IF(P32&gt;0,"Pick-up Yield :","Give-up Yield :")</f>
        <v>#VALUE!</v>
      </c>
      <c r="P36" s="293" t="e">
        <f>10000*(yld_titre1-yld_titre2)</f>
        <v>#NAME?</v>
      </c>
      <c r="Q36" s="294" t="s">
        <v>759</v>
      </c>
      <c r="S36" s="215"/>
      <c r="Z36" s="245"/>
      <c r="AA36" s="246" t="s">
        <v>792</v>
      </c>
      <c r="AB36" s="246" t="s">
        <v>793</v>
      </c>
      <c r="AC36" s="247" t="s">
        <v>794</v>
      </c>
      <c r="AD36" s="247" t="s">
        <v>795</v>
      </c>
      <c r="AE36" s="247" t="s">
        <v>796</v>
      </c>
      <c r="AF36" s="248" t="s">
        <v>797</v>
      </c>
      <c r="AG36" s="248" t="s">
        <v>795</v>
      </c>
      <c r="AH36" s="248" t="s">
        <v>796</v>
      </c>
      <c r="AI36" s="245" t="s">
        <v>798</v>
      </c>
      <c r="AJ36" s="245" t="s">
        <v>795</v>
      </c>
      <c r="AK36" s="245" t="s">
        <v>796</v>
      </c>
    </row>
    <row r="37" spans="2:37" ht="12" customHeight="1" x14ac:dyDescent="0.2">
      <c r="B37" s="252"/>
      <c r="C37" s="253"/>
      <c r="D37" s="253"/>
      <c r="E37" s="254"/>
      <c r="I37" s="336"/>
      <c r="J37" s="290"/>
      <c r="K37" s="290"/>
      <c r="L37" s="298"/>
      <c r="N37" s="286"/>
      <c r="O37" s="290"/>
      <c r="P37" s="291"/>
      <c r="Q37" s="289"/>
      <c r="Z37" s="249" t="e">
        <f>today</f>
        <v>#NAME?</v>
      </c>
      <c r="AA37" s="250" t="e">
        <f>_xll.INSTRUMENT.Z.SPREAD(isin2,curve_name,prix_titre2,cTreasury,settlement2,[1]contrôles!$B$10)</f>
        <v>#VALUE!</v>
      </c>
      <c r="AB37" s="250" t="e">
        <f>_xll.INSTRUMENT.Z.SPREAD(isin1,curve_name,prix_titre1,cTreasury,settlement1,[1]contrôles!$B$10)+bidask_1</f>
        <v>#VALUE!</v>
      </c>
      <c r="AC37" s="250" t="e">
        <f>AA37</f>
        <v>#VALUE!</v>
      </c>
      <c r="AD37" s="251" t="e">
        <f>_xll.MOYENNE.EWMA($AC$137,dfactor,Z37,AC138)-2*_xll.VOLATILITE.EWMA($AC$137,dfactor,Z37,AC138)</f>
        <v>#VALUE!</v>
      </c>
      <c r="AE37" s="251" t="e">
        <f>_xll.MOYENNE.EWMA($AC$137,dfactor,Z37,AC138)+2*_xll.VOLATILITE.EWMA($AC$137,dfactor,Z37,AC138)</f>
        <v>#VALUE!</v>
      </c>
      <c r="AF37" s="250" t="e">
        <f t="shared" ref="AF37:AF68" si="0">AB37-bidask_1</f>
        <v>#VALUE!</v>
      </c>
      <c r="AG37" s="251" t="e">
        <f>_xll.MOYENNE.EWMA($AF$137,dfactor,Z37,AF138)-2*_xll.VOLATILITE.EWMA($AF$137,dfactor,Z37,AF138)</f>
        <v>#VALUE!</v>
      </c>
      <c r="AH37" s="251" t="e">
        <f>_xll.MOYENNE.EWMA($AF$137,dfactor,Z37,AF138)+2*_xll.VOLATILITE.EWMA($AF$137,dfactor,Z37,AF138)</f>
        <v>#VALUE!</v>
      </c>
      <c r="AI37" s="250" t="e">
        <f t="shared" ref="AI37" si="1">IF(OR(AF37=0,AC37=0),0.0001,AF37-AC37)</f>
        <v>#VALUE!</v>
      </c>
      <c r="AJ37" s="251" t="e">
        <f>_xll.MOYENNE.EWMA($AI$137,dfactor,Z37,AI138)-2*_xll.VOLATILITE.EWMA($AI$137,dfactor,Z37,AI138)</f>
        <v>#VALUE!</v>
      </c>
      <c r="AK37" s="251" t="e">
        <f>_xll.MOYENNE.EWMA($AI$137,dfactor,Z37,AI138)+2*_xll.VOLATILITE.EWMA($AI$137,dfactor,Z37,AI138)</f>
        <v>#VALUE!</v>
      </c>
    </row>
    <row r="38" spans="2:37" ht="12" customHeight="1" x14ac:dyDescent="0.2">
      <c r="B38" s="252"/>
      <c r="C38" s="253" t="s">
        <v>801</v>
      </c>
      <c r="D38" s="253"/>
      <c r="E38" s="261"/>
      <c r="I38" s="337"/>
      <c r="J38" s="338" t="s">
        <v>802</v>
      </c>
      <c r="K38" s="339" t="s">
        <v>803</v>
      </c>
      <c r="L38" s="298"/>
      <c r="N38" s="295"/>
      <c r="O38" s="287" t="s">
        <v>799</v>
      </c>
      <c r="P38" s="296" t="e">
        <f>(maturity1-maturity2)/30</f>
        <v>#NAME?</v>
      </c>
      <c r="Q38" s="289" t="s">
        <v>800</v>
      </c>
      <c r="U38" s="215"/>
      <c r="Z38" s="255" t="e">
        <f ca="1">_xll.JOURS.OUVRES.FINANCE($Z37,"USD",-1)</f>
        <v>#NAME?</v>
      </c>
      <c r="AA38" s="256"/>
      <c r="AB38" s="256"/>
      <c r="AC38" s="257">
        <f t="shared" ref="AC38:AC101" si="2">AA38</f>
        <v>0</v>
      </c>
      <c r="AD38" s="258" t="e">
        <f>_xll.MOYENNE.EWMA($AC$137,dfactor,Z38,AC139)-2*_xll.VOLATILITE.EWMA($AC$137,dfactor,Z38,AC139)</f>
        <v>#VALUE!</v>
      </c>
      <c r="AE38" s="258" t="e">
        <f>_xll.MOYENNE.EWMA($AC$137,dfactor,Z38,AC139)+2*_xll.VOLATILITE.EWMA($AC$137,dfactor,Z38,AC139)</f>
        <v>#VALUE!</v>
      </c>
      <c r="AF38" s="248" t="e">
        <f t="shared" si="0"/>
        <v>#VALUE!</v>
      </c>
      <c r="AG38" s="259" t="e">
        <f>_xll.MOYENNE.EWMA($AF$137,dfactor,Z38,AF139)-2*_xll.VOLATILITE.EWMA($AF$137,dfactor,Z38,AF139)</f>
        <v>#VALUE!</v>
      </c>
      <c r="AH38" s="259" t="e">
        <f>_xll.MOYENNE.EWMA($AF$137,dfactor,Z38,AF139)+2*_xll.VOLATILITE.EWMA($AF$137,dfactor,Z38,AF139)</f>
        <v>#VALUE!</v>
      </c>
      <c r="AI38" s="245">
        <f t="shared" ref="AI38:AI81" si="3">IF(OR(AA38=0,AB38=0),0.0001,AF38-AC38)</f>
        <v>1E-4</v>
      </c>
      <c r="AJ38" s="260" t="e">
        <f>_xll.MOYENNE.EWMA($AI$137,dfactor,Z38,AI139)-2*_xll.VOLATILITE.EWMA($AI$137,dfactor,Z38,AI139)</f>
        <v>#VALUE!</v>
      </c>
      <c r="AK38" s="260" t="e">
        <f>_xll.MOYENNE.EWMA($AI$137,dfactor,Z38,AI139)+2*_xll.VOLATILITE.EWMA($AI$137,dfactor,Z38,AI139)</f>
        <v>#VALUE!</v>
      </c>
    </row>
    <row r="39" spans="2:37" ht="12" customHeight="1" x14ac:dyDescent="0.2">
      <c r="B39" s="252"/>
      <c r="C39" s="262" t="e">
        <f>_xll.SWAP.TAUX.FIXE.EQUIVALENT("ASW_" &amp; isin2,"FXD_" &amp; isin2,swap_curve,[1]contrôles!$B$32)</f>
        <v>#VALUE!</v>
      </c>
      <c r="D39" s="253"/>
      <c r="E39" s="261"/>
      <c r="I39" s="337" t="str">
        <f>titre2</f>
        <v>T1,75 08/12</v>
      </c>
      <c r="J39" s="340">
        <f>IF(K39="",100,K39)</f>
        <v>315</v>
      </c>
      <c r="K39" s="309">
        <v>315</v>
      </c>
      <c r="L39" s="301"/>
      <c r="N39" s="295"/>
      <c r="O39" s="286" t="s">
        <v>804</v>
      </c>
      <c r="P39" s="297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8"/>
      <c r="U39" s="215"/>
      <c r="Z39" s="255" t="e">
        <f ca="1">_xll.JOURS.OUVRES.FINANCE($Z38,"USD",-1)</f>
        <v>#NAME?</v>
      </c>
      <c r="AA39" s="256"/>
      <c r="AB39" s="256"/>
      <c r="AC39" s="257">
        <f t="shared" si="2"/>
        <v>0</v>
      </c>
      <c r="AD39" s="258" t="e">
        <f>_xll.MOYENNE.EWMA($AC$137,dfactor,Z39,AC140)-2*_xll.VOLATILITE.EWMA($AC$137,dfactor,Z39,AC140)</f>
        <v>#VALUE!</v>
      </c>
      <c r="AE39" s="258" t="e">
        <f>_xll.MOYENNE.EWMA($AC$137,dfactor,Z39,AC140)+2*_xll.VOLATILITE.EWMA($AC$137,dfactor,Z39,AC140)</f>
        <v>#VALUE!</v>
      </c>
      <c r="AF39" s="248" t="e">
        <f t="shared" si="0"/>
        <v>#VALUE!</v>
      </c>
      <c r="AG39" s="259" t="e">
        <f>_xll.MOYENNE.EWMA($AF$137,dfactor,Z39,AF140)-2*_xll.VOLATILITE.EWMA($AF$137,dfactor,Z39,AF140)</f>
        <v>#VALUE!</v>
      </c>
      <c r="AH39" s="259" t="e">
        <f>_xll.MOYENNE.EWMA($AF$137,dfactor,Z39,AF140)+2*_xll.VOLATILITE.EWMA($AF$137,dfactor,Z39,AF140)</f>
        <v>#VALUE!</v>
      </c>
      <c r="AI39" s="245">
        <f t="shared" si="3"/>
        <v>1E-4</v>
      </c>
      <c r="AJ39" s="260" t="e">
        <f>_xll.MOYENNE.EWMA($AI$137,dfactor,Z39,AI140)-2*_xll.VOLATILITE.EWMA($AI$137,dfactor,Z39,AI140)</f>
        <v>#VALUE!</v>
      </c>
      <c r="AK39" s="260" t="e">
        <f>_xll.MOYENNE.EWMA($AI$137,dfactor,Z39,AI140)+2*_xll.VOLATILITE.EWMA($AI$137,dfactor,Z39,AI140)</f>
        <v>#VALUE!</v>
      </c>
    </row>
    <row r="40" spans="2:37" ht="12" customHeight="1" x14ac:dyDescent="0.2">
      <c r="B40" s="252"/>
      <c r="C40" s="263" t="e">
        <f>_xll.SWAP.TAUX.FIXE.EQUIVALENT("ASW_" &amp; isin1,"FXD_" &amp; isin1,swap_curve,[1]contrôles!$B$32)</f>
        <v>#VALUE!</v>
      </c>
      <c r="D40" s="253"/>
      <c r="E40" s="261"/>
      <c r="I40" s="341" t="str">
        <f>titre1</f>
        <v>T0,75 05/12</v>
      </c>
      <c r="J40" s="340" t="e">
        <f>IF(K40="",J39*duration2/duration1,K40)</f>
        <v>#VALUE!</v>
      </c>
      <c r="K40" s="335"/>
      <c r="L40" s="298"/>
      <c r="N40" s="295"/>
      <c r="O40" s="299" t="s">
        <v>805</v>
      </c>
      <c r="P40" s="300" t="e">
        <f ca="1">IF(maturity2&lt;maturity1,_xll.COURBE.TAUX.FORWARD(curve_name,maturity2,maturity1,cTrueYield,[1]contrôles!B10),_xll.COURBE.TAUX.FORWARD(curve_name,maturity1,maturity2,cTrueYield,[1]contrôles!B10))</f>
        <v>#NAME?</v>
      </c>
      <c r="Q40" s="301"/>
      <c r="Z40" s="255" t="e">
        <f ca="1">_xll.JOURS.OUVRES.FINANCE($Z39,"USD",-1)</f>
        <v>#NAME?</v>
      </c>
      <c r="AA40" s="256"/>
      <c r="AB40" s="256"/>
      <c r="AC40" s="257">
        <f t="shared" si="2"/>
        <v>0</v>
      </c>
      <c r="AD40" s="258" t="e">
        <f>_xll.MOYENNE.EWMA($AC$137,dfactor,Z40,AC141)-2*_xll.VOLATILITE.EWMA($AC$137,dfactor,Z40,AC141)</f>
        <v>#VALUE!</v>
      </c>
      <c r="AE40" s="258" t="e">
        <f>_xll.MOYENNE.EWMA($AC$137,dfactor,Z40,AC141)+2*_xll.VOLATILITE.EWMA($AC$137,dfactor,Z40,AC141)</f>
        <v>#VALUE!</v>
      </c>
      <c r="AF40" s="248" t="e">
        <f t="shared" si="0"/>
        <v>#VALUE!</v>
      </c>
      <c r="AG40" s="259" t="e">
        <f>_xll.MOYENNE.EWMA($AF$137,dfactor,Z40,AF141)-2*_xll.VOLATILITE.EWMA($AF$137,dfactor,Z40,AF141)</f>
        <v>#VALUE!</v>
      </c>
      <c r="AH40" s="259" t="e">
        <f>_xll.MOYENNE.EWMA($AF$137,dfactor,Z40,AF141)+2*_xll.VOLATILITE.EWMA($AF$137,dfactor,Z40,AF141)</f>
        <v>#VALUE!</v>
      </c>
      <c r="AI40" s="245">
        <f t="shared" si="3"/>
        <v>1E-4</v>
      </c>
      <c r="AJ40" s="260" t="e">
        <f>_xll.MOYENNE.EWMA($AI$137,dfactor,Z40,AI141)-2*_xll.VOLATILITE.EWMA($AI$137,dfactor,Z40,AI141)</f>
        <v>#VALUE!</v>
      </c>
      <c r="AK40" s="260" t="e">
        <f>_xll.MOYENNE.EWMA($AI$137,dfactor,Z40,AI141)+2*_xll.VOLATILITE.EWMA($AI$137,dfactor,Z40,AI141)</f>
        <v>#VALUE!</v>
      </c>
    </row>
    <row r="41" spans="2:37" x14ac:dyDescent="0.2">
      <c r="B41" s="252"/>
      <c r="C41" s="253"/>
      <c r="D41" s="253"/>
      <c r="E41" s="265"/>
      <c r="I41" s="342"/>
      <c r="J41" s="343"/>
      <c r="K41" s="344"/>
      <c r="L41" s="298"/>
      <c r="N41" s="295"/>
      <c r="O41" s="299" t="s">
        <v>806</v>
      </c>
      <c r="P41" s="300" t="e">
        <f ca="1">IF(maturity2&lt;maturity1,_xll.COURBE.TAUX.FORWARD(swap_curve,maturity2,maturity1,cTrueYield,[1]contrôles!B32),_xll.COURBE.TAUX.FORWARD(swap_curve,maturity1,maturity2,cTrueYield,[1]contrôles!B32))</f>
        <v>#NAME?</v>
      </c>
      <c r="Q41" s="289"/>
      <c r="W41" s="264"/>
      <c r="Z41" s="255" t="e">
        <f ca="1">_xll.JOURS.OUVRES.FINANCE($Z40,"USD",-1)</f>
        <v>#NAME?</v>
      </c>
      <c r="AA41" s="256"/>
      <c r="AB41" s="256"/>
      <c r="AC41" s="257">
        <f t="shared" si="2"/>
        <v>0</v>
      </c>
      <c r="AD41" s="258" t="e">
        <f>_xll.MOYENNE.EWMA($AC$137,dfactor,Z41,AC142)-2*_xll.VOLATILITE.EWMA($AC$137,dfactor,Z41,AC142)</f>
        <v>#VALUE!</v>
      </c>
      <c r="AE41" s="258" t="e">
        <f>_xll.MOYENNE.EWMA($AC$137,dfactor,Z41,AC142)+2*_xll.VOLATILITE.EWMA($AC$137,dfactor,Z41,AC142)</f>
        <v>#VALUE!</v>
      </c>
      <c r="AF41" s="248" t="e">
        <f t="shared" si="0"/>
        <v>#VALUE!</v>
      </c>
      <c r="AG41" s="259" t="e">
        <f>_xll.MOYENNE.EWMA($AF$137,dfactor,Z41,AF142)-2*_xll.VOLATILITE.EWMA($AF$137,dfactor,Z41,AF142)</f>
        <v>#VALUE!</v>
      </c>
      <c r="AH41" s="259" t="e">
        <f>_xll.MOYENNE.EWMA($AF$137,dfactor,Z41,AF142)+2*_xll.VOLATILITE.EWMA($AF$137,dfactor,Z41,AF142)</f>
        <v>#VALUE!</v>
      </c>
      <c r="AI41" s="245">
        <f t="shared" si="3"/>
        <v>1E-4</v>
      </c>
      <c r="AJ41" s="260" t="e">
        <f>_xll.MOYENNE.EWMA($AI$137,dfactor,Z41,AI142)-2*_xll.VOLATILITE.EWMA($AI$137,dfactor,Z41,AI142)</f>
        <v>#VALUE!</v>
      </c>
      <c r="AK41" s="260" t="e">
        <f>_xll.MOYENNE.EWMA($AI$137,dfactor,Z41,AI142)+2*_xll.VOLATILITE.EWMA($AI$137,dfactor,Z41,AI142)</f>
        <v>#VALUE!</v>
      </c>
    </row>
    <row r="42" spans="2:37" x14ac:dyDescent="0.2">
      <c r="B42" s="252"/>
      <c r="C42" s="266" t="s">
        <v>808</v>
      </c>
      <c r="D42" s="253"/>
      <c r="E42" s="261"/>
      <c r="I42" s="337"/>
      <c r="J42" s="345" t="s">
        <v>809</v>
      </c>
      <c r="K42" s="293" t="e">
        <f>(J39+J40)*3/100*eurdol</f>
        <v>#VALUE!</v>
      </c>
      <c r="L42" s="298"/>
      <c r="N42" s="295"/>
      <c r="O42" s="302" t="s">
        <v>807</v>
      </c>
      <c r="P42" s="293" t="e">
        <f>K15-D15</f>
        <v>#VALUE!</v>
      </c>
      <c r="Q42" s="294" t="s">
        <v>759</v>
      </c>
      <c r="Z42" s="255" t="e">
        <f ca="1">_xll.JOURS.OUVRES.FINANCE($Z41,"USD",-1)</f>
        <v>#NAME?</v>
      </c>
      <c r="AA42" s="256"/>
      <c r="AB42" s="256"/>
      <c r="AC42" s="257">
        <f t="shared" si="2"/>
        <v>0</v>
      </c>
      <c r="AD42" s="258" t="e">
        <f>_xll.MOYENNE.EWMA($AC$137,dfactor,Z42,AC143)-2*_xll.VOLATILITE.EWMA($AC$137,dfactor,Z42,AC143)</f>
        <v>#VALUE!</v>
      </c>
      <c r="AE42" s="258" t="e">
        <f>_xll.MOYENNE.EWMA($AC$137,dfactor,Z42,AC143)+2*_xll.VOLATILITE.EWMA($AC$137,dfactor,Z42,AC143)</f>
        <v>#VALUE!</v>
      </c>
      <c r="AF42" s="248" t="e">
        <f t="shared" si="0"/>
        <v>#VALUE!</v>
      </c>
      <c r="AG42" s="259" t="e">
        <f>_xll.MOYENNE.EWMA($AF$137,dfactor,Z42,AF143)-2*_xll.VOLATILITE.EWMA($AF$137,dfactor,Z42,AF143)</f>
        <v>#VALUE!</v>
      </c>
      <c r="AH42" s="259" t="e">
        <f>_xll.MOYENNE.EWMA($AF$137,dfactor,Z42,AF143)+2*_xll.VOLATILITE.EWMA($AF$137,dfactor,Z42,AF143)</f>
        <v>#VALUE!</v>
      </c>
      <c r="AI42" s="245">
        <f t="shared" si="3"/>
        <v>1E-4</v>
      </c>
      <c r="AJ42" s="260" t="e">
        <f>_xll.MOYENNE.EWMA($AI$137,dfactor,Z42,AI143)-2*_xll.VOLATILITE.EWMA($AI$137,dfactor,Z42,AI143)</f>
        <v>#VALUE!</v>
      </c>
      <c r="AK42" s="260" t="e">
        <f>_xll.MOYENNE.EWMA($AI$137,dfactor,Z42,AI143)+2*_xll.VOLATILITE.EWMA($AI$137,dfactor,Z42,AI143)</f>
        <v>#VALUE!</v>
      </c>
    </row>
    <row r="43" spans="2:37" ht="12" thickBot="1" x14ac:dyDescent="0.25">
      <c r="B43" s="267"/>
      <c r="C43" s="268"/>
      <c r="D43" s="268"/>
      <c r="E43" s="269"/>
      <c r="I43" s="346"/>
      <c r="J43" s="307"/>
      <c r="K43" s="307"/>
      <c r="L43" s="333"/>
      <c r="N43" s="295"/>
      <c r="O43" s="303" t="s">
        <v>810</v>
      </c>
      <c r="P43" s="293" t="e">
        <f>IF(OR(D16="-",K16="-"),"-",K16-D16)</f>
        <v>#NAME?</v>
      </c>
      <c r="Q43" s="294" t="s">
        <v>759</v>
      </c>
      <c r="Z43" s="255" t="e">
        <f ca="1">_xll.JOURS.OUVRES.FINANCE($Z42,"USD",-1)</f>
        <v>#NAME?</v>
      </c>
      <c r="AA43" s="256"/>
      <c r="AB43" s="256"/>
      <c r="AC43" s="257">
        <f t="shared" si="2"/>
        <v>0</v>
      </c>
      <c r="AD43" s="258" t="e">
        <f>_xll.MOYENNE.EWMA($AC$137,dfactor,Z43,AC144)-2*_xll.VOLATILITE.EWMA($AC$137,dfactor,Z43,AC144)</f>
        <v>#VALUE!</v>
      </c>
      <c r="AE43" s="258" t="e">
        <f>_xll.MOYENNE.EWMA($AC$137,dfactor,Z43,AC144)+2*_xll.VOLATILITE.EWMA($AC$137,dfactor,Z43,AC144)</f>
        <v>#VALUE!</v>
      </c>
      <c r="AF43" s="248" t="e">
        <f t="shared" si="0"/>
        <v>#VALUE!</v>
      </c>
      <c r="AG43" s="259" t="e">
        <f>_xll.MOYENNE.EWMA($AF$137,dfactor,Z43,AF144)-2*_xll.VOLATILITE.EWMA($AF$137,dfactor,Z43,AF144)</f>
        <v>#VALUE!</v>
      </c>
      <c r="AH43" s="259" t="e">
        <f>_xll.MOYENNE.EWMA($AF$137,dfactor,Z43,AF144)+2*_xll.VOLATILITE.EWMA($AF$137,dfactor,Z43,AF144)</f>
        <v>#VALUE!</v>
      </c>
      <c r="AI43" s="245">
        <f t="shared" si="3"/>
        <v>1E-4</v>
      </c>
      <c r="AJ43" s="260" t="e">
        <f>_xll.MOYENNE.EWMA($AI$137,dfactor,Z43,AI144)-2*_xll.VOLATILITE.EWMA($AI$137,dfactor,Z43,AI144)</f>
        <v>#VALUE!</v>
      </c>
      <c r="AK43" s="260" t="e">
        <f>_xll.MOYENNE.EWMA($AI$137,dfactor,Z43,AI144)+2*_xll.VOLATILITE.EWMA($AI$137,dfactor,Z43,AI144)</f>
        <v>#VALUE!</v>
      </c>
    </row>
    <row r="44" spans="2:37" ht="12" thickBot="1" x14ac:dyDescent="0.25">
      <c r="N44" s="304"/>
      <c r="O44" s="305"/>
      <c r="P44" s="305"/>
      <c r="Q44" s="306"/>
      <c r="Z44" s="255" t="e">
        <f ca="1">_xll.JOURS.OUVRES.FINANCE($Z43,"USD",-1)</f>
        <v>#NAME?</v>
      </c>
      <c r="AA44" s="256"/>
      <c r="AB44" s="256"/>
      <c r="AC44" s="257">
        <f t="shared" si="2"/>
        <v>0</v>
      </c>
      <c r="AD44" s="258" t="e">
        <f>_xll.MOYENNE.EWMA($AC$137,dfactor,Z44,AC145)-2*_xll.VOLATILITE.EWMA($AC$137,dfactor,Z44,AC145)</f>
        <v>#VALUE!</v>
      </c>
      <c r="AE44" s="258" t="e">
        <f>_xll.MOYENNE.EWMA($AC$137,dfactor,Z44,AC145)+2*_xll.VOLATILITE.EWMA($AC$137,dfactor,Z44,AC145)</f>
        <v>#VALUE!</v>
      </c>
      <c r="AF44" s="248" t="e">
        <f t="shared" si="0"/>
        <v>#VALUE!</v>
      </c>
      <c r="AG44" s="259" t="e">
        <f>_xll.MOYENNE.EWMA($AF$137,dfactor,Z44,AF145)-2*_xll.VOLATILITE.EWMA($AF$137,dfactor,Z44,AF145)</f>
        <v>#VALUE!</v>
      </c>
      <c r="AH44" s="259" t="e">
        <f>_xll.MOYENNE.EWMA($AF$137,dfactor,Z44,AF145)+2*_xll.VOLATILITE.EWMA($AF$137,dfactor,Z44,AF145)</f>
        <v>#VALUE!</v>
      </c>
      <c r="AI44" s="245">
        <f t="shared" si="3"/>
        <v>1E-4</v>
      </c>
      <c r="AJ44" s="260" t="e">
        <f>_xll.MOYENNE.EWMA($AI$137,dfactor,Z44,AI145)-2*_xll.VOLATILITE.EWMA($AI$137,dfactor,Z44,AI145)</f>
        <v>#VALUE!</v>
      </c>
      <c r="AK44" s="260" t="e">
        <f>_xll.MOYENNE.EWMA($AI$137,dfactor,Z44,AI145)+2*_xll.VOLATILITE.EWMA($AI$137,dfactor,Z44,AI145)</f>
        <v>#VALUE!</v>
      </c>
    </row>
    <row r="45" spans="2:37" x14ac:dyDescent="0.2">
      <c r="Z45" s="255" t="e">
        <f ca="1">_xll.JOURS.OUVRES.FINANCE($Z44,"USD",-1)</f>
        <v>#NAME?</v>
      </c>
      <c r="AA45" s="256"/>
      <c r="AB45" s="256"/>
      <c r="AC45" s="257">
        <f t="shared" si="2"/>
        <v>0</v>
      </c>
      <c r="AD45" s="258" t="e">
        <f>_xll.MOYENNE.EWMA($AC$137,dfactor,Z45,AC146)-2*_xll.VOLATILITE.EWMA($AC$137,dfactor,Z45,AC146)</f>
        <v>#VALUE!</v>
      </c>
      <c r="AE45" s="258" t="e">
        <f>_xll.MOYENNE.EWMA($AC$137,dfactor,Z45,AC146)+2*_xll.VOLATILITE.EWMA($AC$137,dfactor,Z45,AC146)</f>
        <v>#VALUE!</v>
      </c>
      <c r="AF45" s="248" t="e">
        <f t="shared" si="0"/>
        <v>#VALUE!</v>
      </c>
      <c r="AG45" s="259" t="e">
        <f>_xll.MOYENNE.EWMA($AF$137,dfactor,Z45,AF146)-2*_xll.VOLATILITE.EWMA($AF$137,dfactor,Z45,AF146)</f>
        <v>#VALUE!</v>
      </c>
      <c r="AH45" s="259" t="e">
        <f>_xll.MOYENNE.EWMA($AF$137,dfactor,Z45,AF146)+2*_xll.VOLATILITE.EWMA($AF$137,dfactor,Z45,AF146)</f>
        <v>#VALUE!</v>
      </c>
      <c r="AI45" s="245">
        <f t="shared" si="3"/>
        <v>1E-4</v>
      </c>
      <c r="AJ45" s="260" t="e">
        <f>_xll.MOYENNE.EWMA($AI$137,dfactor,Z45,AI146)-2*_xll.VOLATILITE.EWMA($AI$137,dfactor,Z45,AI146)</f>
        <v>#VALUE!</v>
      </c>
      <c r="AK45" s="260" t="e">
        <f>_xll.MOYENNE.EWMA($AI$137,dfactor,Z45,AI146)+2*_xll.VOLATILITE.EWMA($AI$137,dfactor,Z45,AI146)</f>
        <v>#VALUE!</v>
      </c>
    </row>
    <row r="46" spans="2:37" x14ac:dyDescent="0.2">
      <c r="Z46" s="255" t="e">
        <f ca="1">_xll.JOURS.OUVRES.FINANCE($Z45,"USD",-1)</f>
        <v>#NAME?</v>
      </c>
      <c r="AA46" s="256"/>
      <c r="AB46" s="256"/>
      <c r="AC46" s="257">
        <f t="shared" si="2"/>
        <v>0</v>
      </c>
      <c r="AD46" s="258" t="e">
        <f>_xll.MOYENNE.EWMA($AC$137,dfactor,Z46,AC147)-2*_xll.VOLATILITE.EWMA($AC$137,dfactor,Z46,AC147)</f>
        <v>#VALUE!</v>
      </c>
      <c r="AE46" s="258" t="e">
        <f>_xll.MOYENNE.EWMA($AC$137,dfactor,Z46,AC147)+2*_xll.VOLATILITE.EWMA($AC$137,dfactor,Z46,AC147)</f>
        <v>#VALUE!</v>
      </c>
      <c r="AF46" s="248" t="e">
        <f t="shared" si="0"/>
        <v>#VALUE!</v>
      </c>
      <c r="AG46" s="259" t="e">
        <f>_xll.MOYENNE.EWMA($AF$137,dfactor,Z46,AF147)-2*_xll.VOLATILITE.EWMA($AF$137,dfactor,Z46,AF147)</f>
        <v>#VALUE!</v>
      </c>
      <c r="AH46" s="259" t="e">
        <f>_xll.MOYENNE.EWMA($AF$137,dfactor,Z46,AF147)+2*_xll.VOLATILITE.EWMA($AF$137,dfactor,Z46,AF147)</f>
        <v>#VALUE!</v>
      </c>
      <c r="AI46" s="245">
        <f t="shared" si="3"/>
        <v>1E-4</v>
      </c>
      <c r="AJ46" s="260" t="e">
        <f>_xll.MOYENNE.EWMA($AI$137,dfactor,Z46,AI147)-2*_xll.VOLATILITE.EWMA($AI$137,dfactor,Z46,AI147)</f>
        <v>#VALUE!</v>
      </c>
      <c r="AK46" s="260" t="e">
        <f>_xll.MOYENNE.EWMA($AI$137,dfactor,Z46,AI147)+2*_xll.VOLATILITE.EWMA($AI$137,dfactor,Z46,AI147)</f>
        <v>#VALUE!</v>
      </c>
    </row>
    <row r="47" spans="2:37" x14ac:dyDescent="0.2">
      <c r="E47" s="270"/>
      <c r="I47" s="271"/>
      <c r="J47" s="272"/>
      <c r="L47" s="271"/>
      <c r="W47" s="264"/>
      <c r="Z47" s="255" t="e">
        <f ca="1">_xll.JOURS.OUVRES.FINANCE($Z46,"USD",-1)</f>
        <v>#NAME?</v>
      </c>
      <c r="AA47" s="256"/>
      <c r="AB47" s="256"/>
      <c r="AC47" s="257">
        <f t="shared" si="2"/>
        <v>0</v>
      </c>
      <c r="AD47" s="258" t="e">
        <f>_xll.MOYENNE.EWMA($AC$137,dfactor,Z47,AC148)-2*_xll.VOLATILITE.EWMA($AC$137,dfactor,Z47,AC148)</f>
        <v>#VALUE!</v>
      </c>
      <c r="AE47" s="258" t="e">
        <f>_xll.MOYENNE.EWMA($AC$137,dfactor,Z47,AC148)+2*_xll.VOLATILITE.EWMA($AC$137,dfactor,Z47,AC148)</f>
        <v>#VALUE!</v>
      </c>
      <c r="AF47" s="248" t="e">
        <f t="shared" si="0"/>
        <v>#VALUE!</v>
      </c>
      <c r="AG47" s="259" t="e">
        <f>_xll.MOYENNE.EWMA($AF$137,dfactor,Z47,AF148)-2*_xll.VOLATILITE.EWMA($AF$137,dfactor,Z47,AF148)</f>
        <v>#VALUE!</v>
      </c>
      <c r="AH47" s="259" t="e">
        <f>_xll.MOYENNE.EWMA($AF$137,dfactor,Z47,AF148)+2*_xll.VOLATILITE.EWMA($AF$137,dfactor,Z47,AF148)</f>
        <v>#VALUE!</v>
      </c>
      <c r="AI47" s="245">
        <f t="shared" si="3"/>
        <v>1E-4</v>
      </c>
      <c r="AJ47" s="260" t="e">
        <f>_xll.MOYENNE.EWMA($AI$137,dfactor,Z47,AI148)-2*_xll.VOLATILITE.EWMA($AI$137,dfactor,Z47,AI148)</f>
        <v>#VALUE!</v>
      </c>
      <c r="AK47" s="260" t="e">
        <f>_xll.MOYENNE.EWMA($AI$137,dfactor,Z47,AI148)+2*_xll.VOLATILITE.EWMA($AI$137,dfactor,Z47,AI148)</f>
        <v>#VALUE!</v>
      </c>
    </row>
    <row r="48" spans="2:37" x14ac:dyDescent="0.2">
      <c r="I48" s="273"/>
      <c r="J48" s="273"/>
      <c r="K48" s="271"/>
      <c r="L48" s="271"/>
      <c r="U48" s="215"/>
      <c r="Z48" s="255" t="e">
        <f ca="1">_xll.JOURS.OUVRES.FINANCE($Z47,"USD",-1)</f>
        <v>#NAME?</v>
      </c>
      <c r="AA48" s="256"/>
      <c r="AB48" s="256"/>
      <c r="AC48" s="257">
        <f t="shared" si="2"/>
        <v>0</v>
      </c>
      <c r="AD48" s="258" t="e">
        <f>_xll.MOYENNE.EWMA($AC$137,dfactor,Z48,AC149)-2*_xll.VOLATILITE.EWMA($AC$137,dfactor,Z48,AC149)</f>
        <v>#VALUE!</v>
      </c>
      <c r="AE48" s="258" t="e">
        <f>_xll.MOYENNE.EWMA($AC$137,dfactor,Z48,AC149)+2*_xll.VOLATILITE.EWMA($AC$137,dfactor,Z48,AC149)</f>
        <v>#VALUE!</v>
      </c>
      <c r="AF48" s="248" t="e">
        <f t="shared" si="0"/>
        <v>#VALUE!</v>
      </c>
      <c r="AG48" s="259" t="e">
        <f>_xll.MOYENNE.EWMA($AF$137,dfactor,Z48,AF149)-2*_xll.VOLATILITE.EWMA($AF$137,dfactor,Z48,AF149)</f>
        <v>#VALUE!</v>
      </c>
      <c r="AH48" s="259" t="e">
        <f>_xll.MOYENNE.EWMA($AF$137,dfactor,Z48,AF149)+2*_xll.VOLATILITE.EWMA($AF$137,dfactor,Z48,AF149)</f>
        <v>#VALUE!</v>
      </c>
      <c r="AI48" s="245">
        <f t="shared" si="3"/>
        <v>1E-4</v>
      </c>
      <c r="AJ48" s="260" t="e">
        <f>_xll.MOYENNE.EWMA($AI$137,dfactor,Z48,AI149)-2*_xll.VOLATILITE.EWMA($AI$137,dfactor,Z48,AI149)</f>
        <v>#VALUE!</v>
      </c>
      <c r="AK48" s="260" t="e">
        <f>_xll.MOYENNE.EWMA($AI$137,dfactor,Z48,AI149)+2*_xll.VOLATILITE.EWMA($AI$137,dfactor,Z48,AI149)</f>
        <v>#VALUE!</v>
      </c>
    </row>
    <row r="49" spans="3:37" x14ac:dyDescent="0.2">
      <c r="I49" s="270"/>
      <c r="J49" s="273"/>
      <c r="K49" s="271"/>
      <c r="N49" s="274"/>
      <c r="Z49" s="255" t="e">
        <f ca="1">_xll.JOURS.OUVRES.FINANCE($Z48,"USD",-1)</f>
        <v>#NAME?</v>
      </c>
      <c r="AA49" s="256"/>
      <c r="AB49" s="256"/>
      <c r="AC49" s="257">
        <f t="shared" si="2"/>
        <v>0</v>
      </c>
      <c r="AD49" s="258" t="e">
        <f>_xll.MOYENNE.EWMA($AC$137,dfactor,Z49,AC150)-2*_xll.VOLATILITE.EWMA($AC$137,dfactor,Z49,AC150)</f>
        <v>#VALUE!</v>
      </c>
      <c r="AE49" s="258" t="e">
        <f>_xll.MOYENNE.EWMA($AC$137,dfactor,Z49,AC150)+2*_xll.VOLATILITE.EWMA($AC$137,dfactor,Z49,AC150)</f>
        <v>#VALUE!</v>
      </c>
      <c r="AF49" s="248" t="e">
        <f t="shared" si="0"/>
        <v>#VALUE!</v>
      </c>
      <c r="AG49" s="259" t="e">
        <f>_xll.MOYENNE.EWMA($AF$137,dfactor,Z49,AF150)-2*_xll.VOLATILITE.EWMA($AF$137,dfactor,Z49,AF150)</f>
        <v>#VALUE!</v>
      </c>
      <c r="AH49" s="259" t="e">
        <f>_xll.MOYENNE.EWMA($AF$137,dfactor,Z49,AF150)+2*_xll.VOLATILITE.EWMA($AF$137,dfactor,Z49,AF150)</f>
        <v>#VALUE!</v>
      </c>
      <c r="AI49" s="245">
        <f t="shared" si="3"/>
        <v>1E-4</v>
      </c>
      <c r="AJ49" s="260" t="e">
        <f>_xll.MOYENNE.EWMA($AI$137,dfactor,Z49,AI150)-2*_xll.VOLATILITE.EWMA($AI$137,dfactor,Z49,AI150)</f>
        <v>#VALUE!</v>
      </c>
      <c r="AK49" s="260" t="e">
        <f>_xll.MOYENNE.EWMA($AI$137,dfactor,Z49,AI150)+2*_xll.VOLATILITE.EWMA($AI$137,dfactor,Z49,AI150)</f>
        <v>#VALUE!</v>
      </c>
    </row>
    <row r="50" spans="3:37" ht="11.25" customHeight="1" x14ac:dyDescent="0.2">
      <c r="J50" s="275"/>
      <c r="Z50" s="255" t="e">
        <f ca="1">_xll.JOURS.OUVRES.FINANCE($Z49,"USD",-1)</f>
        <v>#NAME?</v>
      </c>
      <c r="AA50" s="256"/>
      <c r="AB50" s="256"/>
      <c r="AC50" s="257">
        <f t="shared" si="2"/>
        <v>0</v>
      </c>
      <c r="AD50" s="258" t="e">
        <f>_xll.MOYENNE.EWMA($AC$137,dfactor,Z50,AC151)-2*_xll.VOLATILITE.EWMA($AC$137,dfactor,Z50,AC151)</f>
        <v>#VALUE!</v>
      </c>
      <c r="AE50" s="258" t="e">
        <f>_xll.MOYENNE.EWMA($AC$137,dfactor,Z50,AC151)+2*_xll.VOLATILITE.EWMA($AC$137,dfactor,Z50,AC151)</f>
        <v>#VALUE!</v>
      </c>
      <c r="AF50" s="248" t="e">
        <f t="shared" si="0"/>
        <v>#VALUE!</v>
      </c>
      <c r="AG50" s="259" t="e">
        <f>_xll.MOYENNE.EWMA($AF$137,dfactor,Z50,AF151)-2*_xll.VOLATILITE.EWMA($AF$137,dfactor,Z50,AF151)</f>
        <v>#VALUE!</v>
      </c>
      <c r="AH50" s="259" t="e">
        <f>_xll.MOYENNE.EWMA($AF$137,dfactor,Z50,AF151)+2*_xll.VOLATILITE.EWMA($AF$137,dfactor,Z50,AF151)</f>
        <v>#VALUE!</v>
      </c>
      <c r="AI50" s="245">
        <f t="shared" si="3"/>
        <v>1E-4</v>
      </c>
      <c r="AJ50" s="260" t="e">
        <f>_xll.MOYENNE.EWMA($AI$137,dfactor,Z50,AI151)-2*_xll.VOLATILITE.EWMA($AI$137,dfactor,Z50,AI151)</f>
        <v>#VALUE!</v>
      </c>
      <c r="AK50" s="260" t="e">
        <f>_xll.MOYENNE.EWMA($AI$137,dfactor,Z50,AI151)+2*_xll.VOLATILITE.EWMA($AI$137,dfactor,Z50,AI151)</f>
        <v>#VALUE!</v>
      </c>
    </row>
    <row r="51" spans="3:37" ht="11.25" customHeight="1" x14ac:dyDescent="0.2">
      <c r="J51" s="275"/>
      <c r="Z51" s="255" t="e">
        <f ca="1">_xll.JOURS.OUVRES.FINANCE($Z50,"USD",-1)</f>
        <v>#NAME?</v>
      </c>
      <c r="AA51" s="256"/>
      <c r="AB51" s="256"/>
      <c r="AC51" s="257">
        <f t="shared" si="2"/>
        <v>0</v>
      </c>
      <c r="AD51" s="258" t="e">
        <f>_xll.MOYENNE.EWMA($AC$137,dfactor,Z51,AC152)-2*_xll.VOLATILITE.EWMA($AC$137,dfactor,Z51,AC152)</f>
        <v>#VALUE!</v>
      </c>
      <c r="AE51" s="258" t="e">
        <f>_xll.MOYENNE.EWMA($AC$137,dfactor,Z51,AC152)+2*_xll.VOLATILITE.EWMA($AC$137,dfactor,Z51,AC152)</f>
        <v>#VALUE!</v>
      </c>
      <c r="AF51" s="248" t="e">
        <f t="shared" si="0"/>
        <v>#VALUE!</v>
      </c>
      <c r="AG51" s="259" t="e">
        <f>_xll.MOYENNE.EWMA($AF$137,dfactor,Z51,AF152)-2*_xll.VOLATILITE.EWMA($AF$137,dfactor,Z51,AF152)</f>
        <v>#VALUE!</v>
      </c>
      <c r="AH51" s="259" t="e">
        <f>_xll.MOYENNE.EWMA($AF$137,dfactor,Z51,AF152)+2*_xll.VOLATILITE.EWMA($AF$137,dfactor,Z51,AF152)</f>
        <v>#VALUE!</v>
      </c>
      <c r="AI51" s="245">
        <f t="shared" si="3"/>
        <v>1E-4</v>
      </c>
      <c r="AJ51" s="260" t="e">
        <f>_xll.MOYENNE.EWMA($AI$137,dfactor,Z51,AI152)-2*_xll.VOLATILITE.EWMA($AI$137,dfactor,Z51,AI152)</f>
        <v>#VALUE!</v>
      </c>
      <c r="AK51" s="260" t="e">
        <f>_xll.MOYENNE.EWMA($AI$137,dfactor,Z51,AI152)+2*_xll.VOLATILITE.EWMA($AI$137,dfactor,Z51,AI152)</f>
        <v>#VALUE!</v>
      </c>
    </row>
    <row r="52" spans="3:37" x14ac:dyDescent="0.2">
      <c r="J52" s="275"/>
      <c r="Z52" s="255" t="e">
        <f ca="1">_xll.JOURS.OUVRES.FINANCE($Z51,"USD",-1)</f>
        <v>#NAME?</v>
      </c>
      <c r="AA52" s="256"/>
      <c r="AB52" s="256"/>
      <c r="AC52" s="257">
        <f t="shared" si="2"/>
        <v>0</v>
      </c>
      <c r="AD52" s="258" t="e">
        <f>_xll.MOYENNE.EWMA($AC$137,dfactor,Z52,AC153)-2*_xll.VOLATILITE.EWMA($AC$137,dfactor,Z52,AC153)</f>
        <v>#VALUE!</v>
      </c>
      <c r="AE52" s="258" t="e">
        <f>_xll.MOYENNE.EWMA($AC$137,dfactor,Z52,AC153)+2*_xll.VOLATILITE.EWMA($AC$137,dfactor,Z52,AC153)</f>
        <v>#VALUE!</v>
      </c>
      <c r="AF52" s="248" t="e">
        <f t="shared" si="0"/>
        <v>#VALUE!</v>
      </c>
      <c r="AG52" s="259" t="e">
        <f>_xll.MOYENNE.EWMA($AF$137,dfactor,Z52,AF153)-2*_xll.VOLATILITE.EWMA($AF$137,dfactor,Z52,AF153)</f>
        <v>#VALUE!</v>
      </c>
      <c r="AH52" s="259" t="e">
        <f>_xll.MOYENNE.EWMA($AF$137,dfactor,Z52,AF153)+2*_xll.VOLATILITE.EWMA($AF$137,dfactor,Z52,AF153)</f>
        <v>#VALUE!</v>
      </c>
      <c r="AI52" s="245">
        <f t="shared" si="3"/>
        <v>1E-4</v>
      </c>
      <c r="AJ52" s="260" t="e">
        <f>_xll.MOYENNE.EWMA($AI$137,dfactor,Z52,AI153)-2*_xll.VOLATILITE.EWMA($AI$137,dfactor,Z52,AI153)</f>
        <v>#VALUE!</v>
      </c>
      <c r="AK52" s="260" t="e">
        <f>_xll.MOYENNE.EWMA($AI$137,dfactor,Z52,AI153)+2*_xll.VOLATILITE.EWMA($AI$137,dfactor,Z52,AI153)</f>
        <v>#VALUE!</v>
      </c>
    </row>
    <row r="53" spans="3:37" x14ac:dyDescent="0.2">
      <c r="Z53" s="255" t="e">
        <f ca="1">_xll.JOURS.OUVRES.FINANCE($Z52,"USD",-1)</f>
        <v>#NAME?</v>
      </c>
      <c r="AA53" s="256"/>
      <c r="AB53" s="256"/>
      <c r="AC53" s="257">
        <f t="shared" si="2"/>
        <v>0</v>
      </c>
      <c r="AD53" s="258" t="e">
        <f>_xll.MOYENNE.EWMA($AC$137,dfactor,Z53,AC154)-2*_xll.VOLATILITE.EWMA($AC$137,dfactor,Z53,AC154)</f>
        <v>#VALUE!</v>
      </c>
      <c r="AE53" s="258" t="e">
        <f>_xll.MOYENNE.EWMA($AC$137,dfactor,Z53,AC154)+2*_xll.VOLATILITE.EWMA($AC$137,dfactor,Z53,AC154)</f>
        <v>#VALUE!</v>
      </c>
      <c r="AF53" s="248" t="e">
        <f t="shared" si="0"/>
        <v>#VALUE!</v>
      </c>
      <c r="AG53" s="259" t="e">
        <f>_xll.MOYENNE.EWMA($AF$137,dfactor,Z53,AF154)-2*_xll.VOLATILITE.EWMA($AF$137,dfactor,Z53,AF154)</f>
        <v>#VALUE!</v>
      </c>
      <c r="AH53" s="259" t="e">
        <f>_xll.MOYENNE.EWMA($AF$137,dfactor,Z53,AF154)+2*_xll.VOLATILITE.EWMA($AF$137,dfactor,Z53,AF154)</f>
        <v>#VALUE!</v>
      </c>
      <c r="AI53" s="245">
        <f t="shared" si="3"/>
        <v>1E-4</v>
      </c>
      <c r="AJ53" s="260" t="e">
        <f>_xll.MOYENNE.EWMA($AI$137,dfactor,Z53,AI154)-2*_xll.VOLATILITE.EWMA($AI$137,dfactor,Z53,AI154)</f>
        <v>#VALUE!</v>
      </c>
      <c r="AK53" s="260" t="e">
        <f>_xll.MOYENNE.EWMA($AI$137,dfactor,Z53,AI154)+2*_xll.VOLATILITE.EWMA($AI$137,dfactor,Z53,AI154)</f>
        <v>#VALUE!</v>
      </c>
    </row>
    <row r="54" spans="3:37" x14ac:dyDescent="0.2">
      <c r="D54" s="276"/>
      <c r="E54" s="276"/>
      <c r="Z54" s="255" t="e">
        <f ca="1">_xll.JOURS.OUVRES.FINANCE($Z53,"USD",-1)</f>
        <v>#NAME?</v>
      </c>
      <c r="AA54" s="256"/>
      <c r="AB54" s="256"/>
      <c r="AC54" s="257">
        <f t="shared" si="2"/>
        <v>0</v>
      </c>
      <c r="AD54" s="258" t="e">
        <f>_xll.MOYENNE.EWMA($AC$137,dfactor,Z54,AC155)-2*_xll.VOLATILITE.EWMA($AC$137,dfactor,Z54,AC155)</f>
        <v>#VALUE!</v>
      </c>
      <c r="AE54" s="258" t="e">
        <f>_xll.MOYENNE.EWMA($AC$137,dfactor,Z54,AC155)+2*_xll.VOLATILITE.EWMA($AC$137,dfactor,Z54,AC155)</f>
        <v>#VALUE!</v>
      </c>
      <c r="AF54" s="248" t="e">
        <f t="shared" si="0"/>
        <v>#VALUE!</v>
      </c>
      <c r="AG54" s="259" t="e">
        <f>_xll.MOYENNE.EWMA($AF$137,dfactor,Z54,AF155)-2*_xll.VOLATILITE.EWMA($AF$137,dfactor,Z54,AF155)</f>
        <v>#VALUE!</v>
      </c>
      <c r="AH54" s="259" t="e">
        <f>_xll.MOYENNE.EWMA($AF$137,dfactor,Z54,AF155)+2*_xll.VOLATILITE.EWMA($AF$137,dfactor,Z54,AF155)</f>
        <v>#VALUE!</v>
      </c>
      <c r="AI54" s="245">
        <f t="shared" si="3"/>
        <v>1E-4</v>
      </c>
      <c r="AJ54" s="260" t="e">
        <f>_xll.MOYENNE.EWMA($AI$137,dfactor,Z54,AI155)-2*_xll.VOLATILITE.EWMA($AI$137,dfactor,Z54,AI155)</f>
        <v>#VALUE!</v>
      </c>
      <c r="AK54" s="260" t="e">
        <f>_xll.MOYENNE.EWMA($AI$137,dfactor,Z54,AI155)+2*_xll.VOLATILITE.EWMA($AI$137,dfactor,Z54,AI155)</f>
        <v>#VALUE!</v>
      </c>
    </row>
    <row r="55" spans="3:37" x14ac:dyDescent="0.2">
      <c r="E55" s="276"/>
      <c r="N55" s="277"/>
      <c r="Z55" s="255" t="e">
        <f ca="1">_xll.JOURS.OUVRES.FINANCE($Z54,"USD",-1)</f>
        <v>#NAME?</v>
      </c>
      <c r="AA55" s="256">
        <v>-0.50560913401615581</v>
      </c>
      <c r="AB55" s="256">
        <v>0.32400668145069761</v>
      </c>
      <c r="AC55" s="257">
        <f t="shared" si="2"/>
        <v>-0.50560913401615581</v>
      </c>
      <c r="AD55" s="258" t="e">
        <f>_xll.MOYENNE.EWMA($AC$137,dfactor,Z55,AC156)-2*_xll.VOLATILITE.EWMA($AC$137,dfactor,Z55,AC156)</f>
        <v>#VALUE!</v>
      </c>
      <c r="AE55" s="258" t="e">
        <f>_xll.MOYENNE.EWMA($AC$137,dfactor,Z55,AC156)+2*_xll.VOLATILITE.EWMA($AC$137,dfactor,Z55,AC156)</f>
        <v>#VALUE!</v>
      </c>
      <c r="AF55" s="248" t="e">
        <f t="shared" si="0"/>
        <v>#VALUE!</v>
      </c>
      <c r="AG55" s="259" t="e">
        <f>_xll.MOYENNE.EWMA($AF$137,dfactor,Z55,AF156)-2*_xll.VOLATILITE.EWMA($AF$137,dfactor,Z55,AF156)</f>
        <v>#VALUE!</v>
      </c>
      <c r="AH55" s="259" t="e">
        <f>_xll.MOYENNE.EWMA($AF$137,dfactor,Z55,AF156)+2*_xll.VOLATILITE.EWMA($AF$137,dfactor,Z55,AF156)</f>
        <v>#VALUE!</v>
      </c>
      <c r="AI55" s="245" t="e">
        <f t="shared" si="3"/>
        <v>#VALUE!</v>
      </c>
      <c r="AJ55" s="260" t="e">
        <f>_xll.MOYENNE.EWMA($AI$137,dfactor,Z55,AI156)-2*_xll.VOLATILITE.EWMA($AI$137,dfactor,Z55,AI156)</f>
        <v>#VALUE!</v>
      </c>
      <c r="AK55" s="260" t="e">
        <f>_xll.MOYENNE.EWMA($AI$137,dfactor,Z55,AI156)+2*_xll.VOLATILITE.EWMA($AI$137,dfactor,Z55,AI156)</f>
        <v>#VALUE!</v>
      </c>
    </row>
    <row r="56" spans="3:37" x14ac:dyDescent="0.2">
      <c r="E56" s="276"/>
      <c r="O56" s="278"/>
      <c r="P56" s="271"/>
      <c r="Q56" s="279"/>
      <c r="Z56" s="255" t="e">
        <f ca="1">_xll.JOURS.OUVRES.FINANCE($Z55,"USD",-1)</f>
        <v>#NAME?</v>
      </c>
      <c r="AA56" s="256">
        <v>-0.41208430652603273</v>
      </c>
      <c r="AB56" s="256">
        <v>-1.1375235663222734</v>
      </c>
      <c r="AC56" s="257">
        <f t="shared" si="2"/>
        <v>-0.41208430652603273</v>
      </c>
      <c r="AD56" s="258" t="e">
        <f>_xll.MOYENNE.EWMA($AC$137,dfactor,Z56,AC157)-2*_xll.VOLATILITE.EWMA($AC$137,dfactor,Z56,AC157)</f>
        <v>#VALUE!</v>
      </c>
      <c r="AE56" s="258" t="e">
        <f>_xll.MOYENNE.EWMA($AC$137,dfactor,Z56,AC157)+2*_xll.VOLATILITE.EWMA($AC$137,dfactor,Z56,AC157)</f>
        <v>#VALUE!</v>
      </c>
      <c r="AF56" s="248" t="e">
        <f t="shared" si="0"/>
        <v>#VALUE!</v>
      </c>
      <c r="AG56" s="259" t="e">
        <f>_xll.MOYENNE.EWMA($AF$137,dfactor,Z56,AF157)-2*_xll.VOLATILITE.EWMA($AF$137,dfactor,Z56,AF157)</f>
        <v>#VALUE!</v>
      </c>
      <c r="AH56" s="259" t="e">
        <f>_xll.MOYENNE.EWMA($AF$137,dfactor,Z56,AF157)+2*_xll.VOLATILITE.EWMA($AF$137,dfactor,Z56,AF157)</f>
        <v>#VALUE!</v>
      </c>
      <c r="AI56" s="245" t="e">
        <f t="shared" si="3"/>
        <v>#VALUE!</v>
      </c>
      <c r="AJ56" s="260" t="e">
        <f>_xll.MOYENNE.EWMA($AI$137,dfactor,Z56,AI157)-2*_xll.VOLATILITE.EWMA($AI$137,dfactor,Z56,AI157)</f>
        <v>#VALUE!</v>
      </c>
      <c r="AK56" s="260" t="e">
        <f>_xll.MOYENNE.EWMA($AI$137,dfactor,Z56,AI157)+2*_xll.VOLATILITE.EWMA($AI$137,dfactor,Z56,AI157)</f>
        <v>#VALUE!</v>
      </c>
    </row>
    <row r="57" spans="3:37" x14ac:dyDescent="0.2">
      <c r="E57" s="276"/>
      <c r="N57" s="271"/>
      <c r="Z57" s="255" t="e">
        <f ca="1">_xll.JOURS.OUVRES.FINANCE($Z56,"USD",-1)</f>
        <v>#NAME?</v>
      </c>
      <c r="AA57" s="256">
        <v>0.8537746708152365</v>
      </c>
      <c r="AB57" s="256">
        <v>-0.38654259179736711</v>
      </c>
      <c r="AC57" s="257">
        <f t="shared" si="2"/>
        <v>0.8537746708152365</v>
      </c>
      <c r="AD57" s="258" t="e">
        <f>_xll.MOYENNE.EWMA($AC$137,dfactor,Z57,AC158)-2*_xll.VOLATILITE.EWMA($AC$137,dfactor,Z57,AC158)</f>
        <v>#VALUE!</v>
      </c>
      <c r="AE57" s="258" t="e">
        <f>_xll.MOYENNE.EWMA($AC$137,dfactor,Z57,AC158)+2*_xll.VOLATILITE.EWMA($AC$137,dfactor,Z57,AC158)</f>
        <v>#VALUE!</v>
      </c>
      <c r="AF57" s="248" t="e">
        <f t="shared" si="0"/>
        <v>#VALUE!</v>
      </c>
      <c r="AG57" s="259" t="e">
        <f>_xll.MOYENNE.EWMA($AF$137,dfactor,Z57,AF158)-2*_xll.VOLATILITE.EWMA($AF$137,dfactor,Z57,AF158)</f>
        <v>#VALUE!</v>
      </c>
      <c r="AH57" s="259" t="e">
        <f>_xll.MOYENNE.EWMA($AF$137,dfactor,Z57,AF158)+2*_xll.VOLATILITE.EWMA($AF$137,dfactor,Z57,AF158)</f>
        <v>#VALUE!</v>
      </c>
      <c r="AI57" s="245" t="e">
        <f t="shared" si="3"/>
        <v>#VALUE!</v>
      </c>
      <c r="AJ57" s="260" t="e">
        <f>_xll.MOYENNE.EWMA($AI$137,dfactor,Z57,AI158)-2*_xll.VOLATILITE.EWMA($AI$137,dfactor,Z57,AI158)</f>
        <v>#VALUE!</v>
      </c>
      <c r="AK57" s="260" t="e">
        <f>_xll.MOYENNE.EWMA($AI$137,dfactor,Z57,AI158)+2*_xll.VOLATILITE.EWMA($AI$137,dfactor,Z57,AI158)</f>
        <v>#VALUE!</v>
      </c>
    </row>
    <row r="58" spans="3:37" x14ac:dyDescent="0.2">
      <c r="I58" s="264"/>
      <c r="J58" s="270"/>
      <c r="O58" s="270"/>
      <c r="P58" s="280"/>
      <c r="Z58" s="255" t="e">
        <f ca="1">_xll.JOURS.OUVRES.FINANCE($Z57,"USD",-1)</f>
        <v>#NAME?</v>
      </c>
      <c r="AA58" s="256">
        <v>0.41290286418349953</v>
      </c>
      <c r="AB58" s="256">
        <v>-2.9721064754059404E-2</v>
      </c>
      <c r="AC58" s="257">
        <f t="shared" si="2"/>
        <v>0.41290286418349953</v>
      </c>
      <c r="AD58" s="258" t="e">
        <f>_xll.MOYENNE.EWMA($AC$137,dfactor,Z58,AC159)-2*_xll.VOLATILITE.EWMA($AC$137,dfactor,Z58,AC159)</f>
        <v>#VALUE!</v>
      </c>
      <c r="AE58" s="258" t="e">
        <f>_xll.MOYENNE.EWMA($AC$137,dfactor,Z58,AC159)+2*_xll.VOLATILITE.EWMA($AC$137,dfactor,Z58,AC159)</f>
        <v>#VALUE!</v>
      </c>
      <c r="AF58" s="248" t="e">
        <f t="shared" si="0"/>
        <v>#VALUE!</v>
      </c>
      <c r="AG58" s="259" t="e">
        <f>_xll.MOYENNE.EWMA($AF$137,dfactor,Z58,AF159)-2*_xll.VOLATILITE.EWMA($AF$137,dfactor,Z58,AF159)</f>
        <v>#VALUE!</v>
      </c>
      <c r="AH58" s="259" t="e">
        <f>_xll.MOYENNE.EWMA($AF$137,dfactor,Z58,AF159)+2*_xll.VOLATILITE.EWMA($AF$137,dfactor,Z58,AF159)</f>
        <v>#VALUE!</v>
      </c>
      <c r="AI58" s="245" t="e">
        <f t="shared" si="3"/>
        <v>#VALUE!</v>
      </c>
      <c r="AJ58" s="260" t="e">
        <f>_xll.MOYENNE.EWMA($AI$137,dfactor,Z58,AI159)-2*_xll.VOLATILITE.EWMA($AI$137,dfactor,Z58,AI159)</f>
        <v>#VALUE!</v>
      </c>
      <c r="AK58" s="260" t="e">
        <f>_xll.MOYENNE.EWMA($AI$137,dfactor,Z58,AI159)+2*_xll.VOLATILITE.EWMA($AI$137,dfactor,Z58,AI159)</f>
        <v>#VALUE!</v>
      </c>
    </row>
    <row r="59" spans="3:37" x14ac:dyDescent="0.2">
      <c r="I59" s="264"/>
      <c r="J59" s="271"/>
      <c r="O59" s="270"/>
      <c r="Z59" s="255" t="e">
        <f ca="1">_xll.JOURS.OUVRES.FINANCE($Z58,"USD",-1)</f>
        <v>#NAME?</v>
      </c>
      <c r="AA59" s="256">
        <v>-0.29389385800548706</v>
      </c>
      <c r="AB59" s="256">
        <v>0.96314894024091402</v>
      </c>
      <c r="AC59" s="257">
        <f t="shared" si="2"/>
        <v>-0.29389385800548706</v>
      </c>
      <c r="AD59" s="258" t="e">
        <f>_xll.MOYENNE.EWMA($AC$137,dfactor,Z59,AC160)-2*_xll.VOLATILITE.EWMA($AC$137,dfactor,Z59,AC160)</f>
        <v>#VALUE!</v>
      </c>
      <c r="AE59" s="258" t="e">
        <f>_xll.MOYENNE.EWMA($AC$137,dfactor,Z59,AC160)+2*_xll.VOLATILITE.EWMA($AC$137,dfactor,Z59,AC160)</f>
        <v>#VALUE!</v>
      </c>
      <c r="AF59" s="248" t="e">
        <f t="shared" si="0"/>
        <v>#VALUE!</v>
      </c>
      <c r="AG59" s="259" t="e">
        <f>_xll.MOYENNE.EWMA($AF$137,dfactor,Z59,AF160)-2*_xll.VOLATILITE.EWMA($AF$137,dfactor,Z59,AF160)</f>
        <v>#VALUE!</v>
      </c>
      <c r="AH59" s="259" t="e">
        <f>_xll.MOYENNE.EWMA($AF$137,dfactor,Z59,AF160)+2*_xll.VOLATILITE.EWMA($AF$137,dfactor,Z59,AF160)</f>
        <v>#VALUE!</v>
      </c>
      <c r="AI59" s="245" t="e">
        <f t="shared" si="3"/>
        <v>#VALUE!</v>
      </c>
      <c r="AJ59" s="260" t="e">
        <f>_xll.MOYENNE.EWMA($AI$137,dfactor,Z59,AI160)-2*_xll.VOLATILITE.EWMA($AI$137,dfactor,Z59,AI160)</f>
        <v>#VALUE!</v>
      </c>
      <c r="AK59" s="260" t="e">
        <f>_xll.MOYENNE.EWMA($AI$137,dfactor,Z59,AI160)+2*_xll.VOLATILITE.EWMA($AI$137,dfactor,Z59,AI160)</f>
        <v>#VALUE!</v>
      </c>
    </row>
    <row r="60" spans="3:37" x14ac:dyDescent="0.2">
      <c r="K60" s="277"/>
      <c r="Z60" s="255" t="e">
        <f ca="1">_xll.JOURS.OUVRES.FINANCE($Z59,"USD",-1)</f>
        <v>#NAME?</v>
      </c>
      <c r="AA60" s="256">
        <v>1.7128375328876757</v>
      </c>
      <c r="AB60" s="256">
        <v>1.0948733788033385</v>
      </c>
      <c r="AC60" s="257">
        <f t="shared" si="2"/>
        <v>1.7128375328876757</v>
      </c>
      <c r="AD60" s="258" t="e">
        <f>_xll.MOYENNE.EWMA($AC$137,dfactor,Z60,AC161)-2*_xll.VOLATILITE.EWMA($AC$137,dfactor,Z60,AC161)</f>
        <v>#VALUE!</v>
      </c>
      <c r="AE60" s="258" t="e">
        <f>_xll.MOYENNE.EWMA($AC$137,dfactor,Z60,AC161)+2*_xll.VOLATILITE.EWMA($AC$137,dfactor,Z60,AC161)</f>
        <v>#VALUE!</v>
      </c>
      <c r="AF60" s="248" t="e">
        <f t="shared" si="0"/>
        <v>#VALUE!</v>
      </c>
      <c r="AG60" s="259" t="e">
        <f>_xll.MOYENNE.EWMA($AF$137,dfactor,Z60,AF161)-2*_xll.VOLATILITE.EWMA($AF$137,dfactor,Z60,AF161)</f>
        <v>#VALUE!</v>
      </c>
      <c r="AH60" s="259" t="e">
        <f>_xll.MOYENNE.EWMA($AF$137,dfactor,Z60,AF161)+2*_xll.VOLATILITE.EWMA($AF$137,dfactor,Z60,AF161)</f>
        <v>#VALUE!</v>
      </c>
      <c r="AI60" s="245" t="e">
        <f t="shared" si="3"/>
        <v>#VALUE!</v>
      </c>
      <c r="AJ60" s="260" t="e">
        <f>_xll.MOYENNE.EWMA($AI$137,dfactor,Z60,AI161)-2*_xll.VOLATILITE.EWMA($AI$137,dfactor,Z60,AI161)</f>
        <v>#VALUE!</v>
      </c>
      <c r="AK60" s="260" t="e">
        <f>_xll.MOYENNE.EWMA($AI$137,dfactor,Z60,AI161)+2*_xll.VOLATILITE.EWMA($AI$137,dfactor,Z60,AI161)</f>
        <v>#VALUE!</v>
      </c>
    </row>
    <row r="61" spans="3:37" x14ac:dyDescent="0.2">
      <c r="I61" s="264"/>
      <c r="Z61" s="255" t="e">
        <f ca="1">_xll.JOURS.OUVRES.FINANCE($Z60,"USD",-1)</f>
        <v>#NAME?</v>
      </c>
      <c r="AA61" s="256">
        <v>-0.36119529417403351</v>
      </c>
      <c r="AB61" s="256">
        <v>-0.27469110225401477</v>
      </c>
      <c r="AC61" s="257">
        <f t="shared" si="2"/>
        <v>-0.36119529417403351</v>
      </c>
      <c r="AD61" s="258" t="e">
        <f>_xll.MOYENNE.EWMA($AC$137,dfactor,Z61,AC162)-2*_xll.VOLATILITE.EWMA($AC$137,dfactor,Z61,AC162)</f>
        <v>#VALUE!</v>
      </c>
      <c r="AE61" s="258" t="e">
        <f>_xll.MOYENNE.EWMA($AC$137,dfactor,Z61,AC162)+2*_xll.VOLATILITE.EWMA($AC$137,dfactor,Z61,AC162)</f>
        <v>#VALUE!</v>
      </c>
      <c r="AF61" s="248" t="e">
        <f t="shared" si="0"/>
        <v>#VALUE!</v>
      </c>
      <c r="AG61" s="259" t="e">
        <f>_xll.MOYENNE.EWMA($AF$137,dfactor,Z61,AF162)-2*_xll.VOLATILITE.EWMA($AF$137,dfactor,Z61,AF162)</f>
        <v>#VALUE!</v>
      </c>
      <c r="AH61" s="259" t="e">
        <f>_xll.MOYENNE.EWMA($AF$137,dfactor,Z61,AF162)+2*_xll.VOLATILITE.EWMA($AF$137,dfactor,Z61,AF162)</f>
        <v>#VALUE!</v>
      </c>
      <c r="AI61" s="245" t="e">
        <f t="shared" si="3"/>
        <v>#VALUE!</v>
      </c>
      <c r="AJ61" s="260" t="e">
        <f>_xll.MOYENNE.EWMA($AI$137,dfactor,Z61,AI162)-2*_xll.VOLATILITE.EWMA($AI$137,dfactor,Z61,AI162)</f>
        <v>#VALUE!</v>
      </c>
      <c r="AK61" s="260" t="e">
        <f>_xll.MOYENNE.EWMA($AI$137,dfactor,Z61,AI162)+2*_xll.VOLATILITE.EWMA($AI$137,dfactor,Z61,AI162)</f>
        <v>#VALUE!</v>
      </c>
    </row>
    <row r="62" spans="3:37" x14ac:dyDescent="0.2">
      <c r="C62" s="277"/>
      <c r="I62" s="264"/>
      <c r="Z62" s="255" t="e">
        <f ca="1">_xll.JOURS.OUVRES.FINANCE($Z61,"USD",-1)</f>
        <v>#NAME?</v>
      </c>
      <c r="AA62" s="256">
        <v>-1.3520786497128883</v>
      </c>
      <c r="AB62" s="256">
        <v>0.30201585020990895</v>
      </c>
      <c r="AC62" s="257">
        <f t="shared" si="2"/>
        <v>-1.3520786497128883</v>
      </c>
      <c r="AD62" s="258" t="e">
        <f>_xll.MOYENNE.EWMA($AC$137,dfactor,Z62,AC163)-2*_xll.VOLATILITE.EWMA($AC$137,dfactor,Z62,AC163)</f>
        <v>#VALUE!</v>
      </c>
      <c r="AE62" s="258" t="e">
        <f>_xll.MOYENNE.EWMA($AC$137,dfactor,Z62,AC163)+2*_xll.VOLATILITE.EWMA($AC$137,dfactor,Z62,AC163)</f>
        <v>#VALUE!</v>
      </c>
      <c r="AF62" s="248" t="e">
        <f t="shared" si="0"/>
        <v>#VALUE!</v>
      </c>
      <c r="AG62" s="259" t="e">
        <f>_xll.MOYENNE.EWMA($AF$137,dfactor,Z62,AF163)-2*_xll.VOLATILITE.EWMA($AF$137,dfactor,Z62,AF163)</f>
        <v>#VALUE!</v>
      </c>
      <c r="AH62" s="259" t="e">
        <f>_xll.MOYENNE.EWMA($AF$137,dfactor,Z62,AF163)+2*_xll.VOLATILITE.EWMA($AF$137,dfactor,Z62,AF163)</f>
        <v>#VALUE!</v>
      </c>
      <c r="AI62" s="245" t="e">
        <f t="shared" si="3"/>
        <v>#VALUE!</v>
      </c>
      <c r="AJ62" s="260" t="e">
        <f>_xll.MOYENNE.EWMA($AI$137,dfactor,Z62,AI163)-2*_xll.VOLATILITE.EWMA($AI$137,dfactor,Z62,AI163)</f>
        <v>#VALUE!</v>
      </c>
      <c r="AK62" s="260" t="e">
        <f>_xll.MOYENNE.EWMA($AI$137,dfactor,Z62,AI163)+2*_xll.VOLATILITE.EWMA($AI$137,dfactor,Z62,AI163)</f>
        <v>#VALUE!</v>
      </c>
    </row>
    <row r="63" spans="3:37" x14ac:dyDescent="0.2">
      <c r="C63" s="277"/>
      <c r="Z63" s="255" t="e">
        <f ca="1">_xll.JOURS.OUVRES.FINANCE($Z62,"USD",-1)</f>
        <v>#NAME?</v>
      </c>
      <c r="AA63" s="256">
        <v>8.7583995853114938E-2</v>
      </c>
      <c r="AB63" s="256">
        <v>0.14349671537315795</v>
      </c>
      <c r="AC63" s="257">
        <f t="shared" si="2"/>
        <v>8.7583995853114938E-2</v>
      </c>
      <c r="AD63" s="258" t="e">
        <f>_xll.MOYENNE.EWMA($AC$137,dfactor,Z63,AC164)-2*_xll.VOLATILITE.EWMA($AC$137,dfactor,Z63,AC164)</f>
        <v>#VALUE!</v>
      </c>
      <c r="AE63" s="258" t="e">
        <f>_xll.MOYENNE.EWMA($AC$137,dfactor,Z63,AC164)+2*_xll.VOLATILITE.EWMA($AC$137,dfactor,Z63,AC164)</f>
        <v>#VALUE!</v>
      </c>
      <c r="AF63" s="248" t="e">
        <f t="shared" si="0"/>
        <v>#VALUE!</v>
      </c>
      <c r="AG63" s="259" t="e">
        <f>_xll.MOYENNE.EWMA($AF$137,dfactor,Z63,AF164)-2*_xll.VOLATILITE.EWMA($AF$137,dfactor,Z63,AF164)</f>
        <v>#VALUE!</v>
      </c>
      <c r="AH63" s="259" t="e">
        <f>_xll.MOYENNE.EWMA($AF$137,dfactor,Z63,AF164)+2*_xll.VOLATILITE.EWMA($AF$137,dfactor,Z63,AF164)</f>
        <v>#VALUE!</v>
      </c>
      <c r="AI63" s="245" t="e">
        <f t="shared" si="3"/>
        <v>#VALUE!</v>
      </c>
      <c r="AJ63" s="260" t="e">
        <f>_xll.MOYENNE.EWMA($AI$137,dfactor,Z63,AI164)-2*_xll.VOLATILITE.EWMA($AI$137,dfactor,Z63,AI164)</f>
        <v>#VALUE!</v>
      </c>
      <c r="AK63" s="260" t="e">
        <f>_xll.MOYENNE.EWMA($AI$137,dfactor,Z63,AI164)+2*_xll.VOLATILITE.EWMA($AI$137,dfactor,Z63,AI164)</f>
        <v>#VALUE!</v>
      </c>
    </row>
    <row r="64" spans="3:37" x14ac:dyDescent="0.2">
      <c r="J64" s="281"/>
      <c r="K64" s="281"/>
      <c r="Z64" s="255" t="e">
        <f ca="1">_xll.JOURS.OUVRES.FINANCE($Z63,"USD",-1)</f>
        <v>#NAME?</v>
      </c>
      <c r="AA64" s="256">
        <v>1.3485832515608678</v>
      </c>
      <c r="AB64" s="256">
        <v>2.5895585744631742</v>
      </c>
      <c r="AC64" s="257">
        <f t="shared" si="2"/>
        <v>1.3485832515608678</v>
      </c>
      <c r="AD64" s="258" t="e">
        <f>_xll.MOYENNE.EWMA($AC$137,dfactor,Z64,AC165)-2*_xll.VOLATILITE.EWMA($AC$137,dfactor,Z64,AC165)</f>
        <v>#VALUE!</v>
      </c>
      <c r="AE64" s="258" t="e">
        <f>_xll.MOYENNE.EWMA($AC$137,dfactor,Z64,AC165)+2*_xll.VOLATILITE.EWMA($AC$137,dfactor,Z64,AC165)</f>
        <v>#VALUE!</v>
      </c>
      <c r="AF64" s="248" t="e">
        <f t="shared" si="0"/>
        <v>#VALUE!</v>
      </c>
      <c r="AG64" s="259" t="e">
        <f>_xll.MOYENNE.EWMA($AF$137,dfactor,Z64,AF165)-2*_xll.VOLATILITE.EWMA($AF$137,dfactor,Z64,AF165)</f>
        <v>#VALUE!</v>
      </c>
      <c r="AH64" s="259" t="e">
        <f>_xll.MOYENNE.EWMA($AF$137,dfactor,Z64,AF165)+2*_xll.VOLATILITE.EWMA($AF$137,dfactor,Z64,AF165)</f>
        <v>#VALUE!</v>
      </c>
      <c r="AI64" s="245" t="e">
        <f t="shared" si="3"/>
        <v>#VALUE!</v>
      </c>
      <c r="AJ64" s="260" t="e">
        <f>_xll.MOYENNE.EWMA($AI$137,dfactor,Z64,AI165)-2*_xll.VOLATILITE.EWMA($AI$137,dfactor,Z64,AI165)</f>
        <v>#VALUE!</v>
      </c>
      <c r="AK64" s="260" t="e">
        <f>_xll.MOYENNE.EWMA($AI$137,dfactor,Z64,AI165)+2*_xll.VOLATILITE.EWMA($AI$137,dfactor,Z64,AI165)</f>
        <v>#VALUE!</v>
      </c>
    </row>
    <row r="65" spans="2:37" x14ac:dyDescent="0.2">
      <c r="J65" s="271"/>
      <c r="K65" s="271"/>
      <c r="Z65" s="255" t="e">
        <f ca="1">_xll.JOURS.OUVRES.FINANCE($Z64,"USD",-1)</f>
        <v>#NAME?</v>
      </c>
      <c r="AA65" s="256">
        <v>0.79741752030157287</v>
      </c>
      <c r="AB65" s="256">
        <v>0.15011550214522706</v>
      </c>
      <c r="AC65" s="257">
        <f t="shared" si="2"/>
        <v>0.79741752030157287</v>
      </c>
      <c r="AD65" s="258" t="e">
        <f>_xll.MOYENNE.EWMA($AC$137,dfactor,Z65,AC166)-2*_xll.VOLATILITE.EWMA($AC$137,dfactor,Z65,AC166)</f>
        <v>#VALUE!</v>
      </c>
      <c r="AE65" s="258" t="e">
        <f>_xll.MOYENNE.EWMA($AC$137,dfactor,Z65,AC166)+2*_xll.VOLATILITE.EWMA($AC$137,dfactor,Z65,AC166)</f>
        <v>#VALUE!</v>
      </c>
      <c r="AF65" s="248" t="e">
        <f t="shared" si="0"/>
        <v>#VALUE!</v>
      </c>
      <c r="AG65" s="259" t="e">
        <f>_xll.MOYENNE.EWMA($AF$137,dfactor,Z65,AF166)-2*_xll.VOLATILITE.EWMA($AF$137,dfactor,Z65,AF166)</f>
        <v>#VALUE!</v>
      </c>
      <c r="AH65" s="259" t="e">
        <f>_xll.MOYENNE.EWMA($AF$137,dfactor,Z65,AF166)+2*_xll.VOLATILITE.EWMA($AF$137,dfactor,Z65,AF166)</f>
        <v>#VALUE!</v>
      </c>
      <c r="AI65" s="245" t="e">
        <f t="shared" si="3"/>
        <v>#VALUE!</v>
      </c>
      <c r="AJ65" s="260" t="e">
        <f>_xll.MOYENNE.EWMA($AI$137,dfactor,Z65,AI166)-2*_xll.VOLATILITE.EWMA($AI$137,dfactor,Z65,AI166)</f>
        <v>#VALUE!</v>
      </c>
      <c r="AK65" s="260" t="e">
        <f>_xll.MOYENNE.EWMA($AI$137,dfactor,Z65,AI166)+2*_xll.VOLATILITE.EWMA($AI$137,dfactor,Z65,AI166)</f>
        <v>#VALUE!</v>
      </c>
    </row>
    <row r="66" spans="2:37" x14ac:dyDescent="0.2">
      <c r="Z66" s="255" t="e">
        <f ca="1">_xll.JOURS.OUVRES.FINANCE($Z65,"USD",-1)</f>
        <v>#NAME?</v>
      </c>
      <c r="AA66" s="256">
        <v>1.3963259273567916</v>
      </c>
      <c r="AB66" s="256">
        <v>1.1057361897012581</v>
      </c>
      <c r="AC66" s="257">
        <f t="shared" si="2"/>
        <v>1.3963259273567916</v>
      </c>
      <c r="AD66" s="258" t="e">
        <f>_xll.MOYENNE.EWMA($AC$137,dfactor,Z66,AC167)-2*_xll.VOLATILITE.EWMA($AC$137,dfactor,Z66,AC167)</f>
        <v>#VALUE!</v>
      </c>
      <c r="AE66" s="258" t="e">
        <f>_xll.MOYENNE.EWMA($AC$137,dfactor,Z66,AC167)+2*_xll.VOLATILITE.EWMA($AC$137,dfactor,Z66,AC167)</f>
        <v>#VALUE!</v>
      </c>
      <c r="AF66" s="248" t="e">
        <f t="shared" si="0"/>
        <v>#VALUE!</v>
      </c>
      <c r="AG66" s="259" t="e">
        <f>_xll.MOYENNE.EWMA($AF$137,dfactor,Z66,AF167)-2*_xll.VOLATILITE.EWMA($AF$137,dfactor,Z66,AF167)</f>
        <v>#VALUE!</v>
      </c>
      <c r="AH66" s="259" t="e">
        <f>_xll.MOYENNE.EWMA($AF$137,dfactor,Z66,AF167)+2*_xll.VOLATILITE.EWMA($AF$137,dfactor,Z66,AF167)</f>
        <v>#VALUE!</v>
      </c>
      <c r="AI66" s="245" t="e">
        <f t="shared" si="3"/>
        <v>#VALUE!</v>
      </c>
      <c r="AJ66" s="260" t="e">
        <f>_xll.MOYENNE.EWMA($AI$137,dfactor,Z66,AI167)-2*_xll.VOLATILITE.EWMA($AI$137,dfactor,Z66,AI167)</f>
        <v>#VALUE!</v>
      </c>
      <c r="AK66" s="260" t="e">
        <f>_xll.MOYENNE.EWMA($AI$137,dfactor,Z66,AI167)+2*_xll.VOLATILITE.EWMA($AI$137,dfactor,Z66,AI167)</f>
        <v>#VALUE!</v>
      </c>
    </row>
    <row r="67" spans="2:37" x14ac:dyDescent="0.2">
      <c r="Z67" s="255" t="e">
        <f ca="1">_xll.JOURS.OUVRES.FINANCE($Z66,"USD",-1)</f>
        <v>#NAME?</v>
      </c>
      <c r="AA67" s="256">
        <v>0.65900852267529919</v>
      </c>
      <c r="AB67" s="256">
        <v>0.82123066639733322</v>
      </c>
      <c r="AC67" s="257">
        <f t="shared" si="2"/>
        <v>0.65900852267529919</v>
      </c>
      <c r="AD67" s="258" t="e">
        <f>_xll.MOYENNE.EWMA($AC$137,dfactor,Z67,AC168)-2*_xll.VOLATILITE.EWMA($AC$137,dfactor,Z67,AC168)</f>
        <v>#VALUE!</v>
      </c>
      <c r="AE67" s="258" t="e">
        <f>_xll.MOYENNE.EWMA($AC$137,dfactor,Z67,AC168)+2*_xll.VOLATILITE.EWMA($AC$137,dfactor,Z67,AC168)</f>
        <v>#VALUE!</v>
      </c>
      <c r="AF67" s="248" t="e">
        <f t="shared" si="0"/>
        <v>#VALUE!</v>
      </c>
      <c r="AG67" s="259" t="e">
        <f>_xll.MOYENNE.EWMA($AF$137,dfactor,Z67,AF168)-2*_xll.VOLATILITE.EWMA($AF$137,dfactor,Z67,AF168)</f>
        <v>#VALUE!</v>
      </c>
      <c r="AH67" s="259" t="e">
        <f>_xll.MOYENNE.EWMA($AF$137,dfactor,Z67,AF168)+2*_xll.VOLATILITE.EWMA($AF$137,dfactor,Z67,AF168)</f>
        <v>#VALUE!</v>
      </c>
      <c r="AI67" s="245" t="e">
        <f t="shared" si="3"/>
        <v>#VALUE!</v>
      </c>
      <c r="AJ67" s="260" t="e">
        <f>_xll.MOYENNE.EWMA($AI$137,dfactor,Z67,AI168)-2*_xll.VOLATILITE.EWMA($AI$137,dfactor,Z67,AI168)</f>
        <v>#VALUE!</v>
      </c>
      <c r="AK67" s="260" t="e">
        <f>_xll.MOYENNE.EWMA($AI$137,dfactor,Z67,AI168)+2*_xll.VOLATILITE.EWMA($AI$137,dfactor,Z67,AI168)</f>
        <v>#VALUE!</v>
      </c>
    </row>
    <row r="68" spans="2:37" x14ac:dyDescent="0.2">
      <c r="Z68" s="255" t="e">
        <f ca="1">_xll.JOURS.OUVRES.FINANCE($Z67,"USD",-1)</f>
        <v>#NAME?</v>
      </c>
      <c r="AA68" s="256">
        <v>2.2265044841633119</v>
      </c>
      <c r="AB68" s="256">
        <v>0.37905252093049258</v>
      </c>
      <c r="AC68" s="257">
        <f t="shared" si="2"/>
        <v>2.2265044841633119</v>
      </c>
      <c r="AD68" s="258" t="e">
        <f>_xll.MOYENNE.EWMA($AC$137,dfactor,Z68,AC169)-2*_xll.VOLATILITE.EWMA($AC$137,dfactor,Z68,AC169)</f>
        <v>#VALUE!</v>
      </c>
      <c r="AE68" s="258" t="e">
        <f>_xll.MOYENNE.EWMA($AC$137,dfactor,Z68,AC169)+2*_xll.VOLATILITE.EWMA($AC$137,dfactor,Z68,AC169)</f>
        <v>#VALUE!</v>
      </c>
      <c r="AF68" s="248" t="e">
        <f t="shared" si="0"/>
        <v>#VALUE!</v>
      </c>
      <c r="AG68" s="259" t="e">
        <f>_xll.MOYENNE.EWMA($AF$137,dfactor,Z68,AF169)-2*_xll.VOLATILITE.EWMA($AF$137,dfactor,Z68,AF169)</f>
        <v>#VALUE!</v>
      </c>
      <c r="AH68" s="259" t="e">
        <f>_xll.MOYENNE.EWMA($AF$137,dfactor,Z68,AF169)+2*_xll.VOLATILITE.EWMA($AF$137,dfactor,Z68,AF169)</f>
        <v>#VALUE!</v>
      </c>
      <c r="AI68" s="245" t="e">
        <f t="shared" si="3"/>
        <v>#VALUE!</v>
      </c>
      <c r="AJ68" s="260" t="e">
        <f>_xll.MOYENNE.EWMA($AI$137,dfactor,Z68,AI169)-2*_xll.VOLATILITE.EWMA($AI$137,dfactor,Z68,AI169)</f>
        <v>#VALUE!</v>
      </c>
      <c r="AK68" s="260" t="e">
        <f>_xll.MOYENNE.EWMA($AI$137,dfactor,Z68,AI169)+2*_xll.VOLATILITE.EWMA($AI$137,dfactor,Z68,AI169)</f>
        <v>#VALUE!</v>
      </c>
    </row>
    <row r="69" spans="2:37" x14ac:dyDescent="0.2">
      <c r="Z69" s="255" t="e">
        <f ca="1">_xll.JOURS.OUVRES.FINANCE($Z68,"USD",-1)</f>
        <v>#NAME?</v>
      </c>
      <c r="AA69" s="256">
        <v>1.8052811141723877</v>
      </c>
      <c r="AB69" s="256">
        <v>0.80748400133006448</v>
      </c>
      <c r="AC69" s="257">
        <f t="shared" si="2"/>
        <v>1.8052811141723877</v>
      </c>
      <c r="AD69" s="258" t="e">
        <f>_xll.MOYENNE.EWMA($AC$137,dfactor,Z69,AC170)-2*_xll.VOLATILITE.EWMA($AC$137,dfactor,Z69,AC170)</f>
        <v>#VALUE!</v>
      </c>
      <c r="AE69" s="258" t="e">
        <f>_xll.MOYENNE.EWMA($AC$137,dfactor,Z69,AC170)+2*_xll.VOLATILITE.EWMA($AC$137,dfactor,Z69,AC170)</f>
        <v>#VALUE!</v>
      </c>
      <c r="AF69" s="248" t="e">
        <f t="shared" ref="AF69:AF100" si="4">AB69-bidask_1</f>
        <v>#VALUE!</v>
      </c>
      <c r="AG69" s="259" t="e">
        <f>_xll.MOYENNE.EWMA($AF$137,dfactor,Z69,AF170)-2*_xll.VOLATILITE.EWMA($AF$137,dfactor,Z69,AF170)</f>
        <v>#VALUE!</v>
      </c>
      <c r="AH69" s="259" t="e">
        <f>_xll.MOYENNE.EWMA($AF$137,dfactor,Z69,AF170)+2*_xll.VOLATILITE.EWMA($AF$137,dfactor,Z69,AF170)</f>
        <v>#VALUE!</v>
      </c>
      <c r="AI69" s="245" t="e">
        <f t="shared" si="3"/>
        <v>#VALUE!</v>
      </c>
      <c r="AJ69" s="260" t="e">
        <f>_xll.MOYENNE.EWMA($AI$137,dfactor,Z69,AI170)-2*_xll.VOLATILITE.EWMA($AI$137,dfactor,Z69,AI170)</f>
        <v>#VALUE!</v>
      </c>
      <c r="AK69" s="260" t="e">
        <f>_xll.MOYENNE.EWMA($AI$137,dfactor,Z69,AI170)+2*_xll.VOLATILITE.EWMA($AI$137,dfactor,Z69,AI170)</f>
        <v>#VALUE!</v>
      </c>
    </row>
    <row r="70" spans="2:37" x14ac:dyDescent="0.2">
      <c r="B70" s="276"/>
      <c r="Z70" s="255" t="e">
        <f ca="1">_xll.JOURS.OUVRES.FINANCE($Z69,"USD",-1)</f>
        <v>#NAME?</v>
      </c>
      <c r="AA70" s="256">
        <v>3.2205837458138831</v>
      </c>
      <c r="AB70" s="256">
        <v>1.5071818858903538</v>
      </c>
      <c r="AC70" s="257">
        <f t="shared" si="2"/>
        <v>3.2205837458138831</v>
      </c>
      <c r="AD70" s="258" t="e">
        <f>_xll.MOYENNE.EWMA($AC$137,dfactor,Z70,AC171)-2*_xll.VOLATILITE.EWMA($AC$137,dfactor,Z70,AC171)</f>
        <v>#VALUE!</v>
      </c>
      <c r="AE70" s="258" t="e">
        <f>_xll.MOYENNE.EWMA($AC$137,dfactor,Z70,AC171)+2*_xll.VOLATILITE.EWMA($AC$137,dfactor,Z70,AC171)</f>
        <v>#VALUE!</v>
      </c>
      <c r="AF70" s="248" t="e">
        <f t="shared" si="4"/>
        <v>#VALUE!</v>
      </c>
      <c r="AG70" s="259" t="e">
        <f>_xll.MOYENNE.EWMA($AF$137,dfactor,Z70,AF171)-2*_xll.VOLATILITE.EWMA($AF$137,dfactor,Z70,AF171)</f>
        <v>#VALUE!</v>
      </c>
      <c r="AH70" s="259" t="e">
        <f>_xll.MOYENNE.EWMA($AF$137,dfactor,Z70,AF171)+2*_xll.VOLATILITE.EWMA($AF$137,dfactor,Z70,AF171)</f>
        <v>#VALUE!</v>
      </c>
      <c r="AI70" s="245" t="e">
        <f t="shared" si="3"/>
        <v>#VALUE!</v>
      </c>
      <c r="AJ70" s="260" t="e">
        <f>_xll.MOYENNE.EWMA($AI$137,dfactor,Z70,AI171)-2*_xll.VOLATILITE.EWMA($AI$137,dfactor,Z70,AI171)</f>
        <v>#VALUE!</v>
      </c>
      <c r="AK70" s="260" t="e">
        <f>_xll.MOYENNE.EWMA($AI$137,dfactor,Z70,AI171)+2*_xll.VOLATILITE.EWMA($AI$137,dfactor,Z70,AI171)</f>
        <v>#VALUE!</v>
      </c>
    </row>
    <row r="71" spans="2:37" x14ac:dyDescent="0.2">
      <c r="B71" s="276"/>
      <c r="Z71" s="255" t="e">
        <f ca="1">_xll.JOURS.OUVRES.FINANCE($Z70,"USD",-1)</f>
        <v>#NAME?</v>
      </c>
      <c r="AA71" s="256">
        <v>3.0022793546800939</v>
      </c>
      <c r="AB71" s="256">
        <v>0.67881301369799762</v>
      </c>
      <c r="AC71" s="257">
        <f t="shared" si="2"/>
        <v>3.0022793546800939</v>
      </c>
      <c r="AD71" s="258" t="e">
        <f>_xll.MOYENNE.EWMA($AC$137,dfactor,Z71,AC172)-2*_xll.VOLATILITE.EWMA($AC$137,dfactor,Z71,AC172)</f>
        <v>#VALUE!</v>
      </c>
      <c r="AE71" s="258" t="e">
        <f>_xll.MOYENNE.EWMA($AC$137,dfactor,Z71,AC172)+2*_xll.VOLATILITE.EWMA($AC$137,dfactor,Z71,AC172)</f>
        <v>#VALUE!</v>
      </c>
      <c r="AF71" s="248" t="e">
        <f t="shared" si="4"/>
        <v>#VALUE!</v>
      </c>
      <c r="AG71" s="259" t="e">
        <f>_xll.MOYENNE.EWMA($AF$137,dfactor,Z71,AF172)-2*_xll.VOLATILITE.EWMA($AF$137,dfactor,Z71,AF172)</f>
        <v>#VALUE!</v>
      </c>
      <c r="AH71" s="259" t="e">
        <f>_xll.MOYENNE.EWMA($AF$137,dfactor,Z71,AF172)+2*_xll.VOLATILITE.EWMA($AF$137,dfactor,Z71,AF172)</f>
        <v>#VALUE!</v>
      </c>
      <c r="AI71" s="245" t="e">
        <f t="shared" si="3"/>
        <v>#VALUE!</v>
      </c>
      <c r="AJ71" s="260" t="e">
        <f>_xll.MOYENNE.EWMA($AI$137,dfactor,Z71,AI172)-2*_xll.VOLATILITE.EWMA($AI$137,dfactor,Z71,AI172)</f>
        <v>#VALUE!</v>
      </c>
      <c r="AK71" s="260" t="e">
        <f>_xll.MOYENNE.EWMA($AI$137,dfactor,Z71,AI172)+2*_xll.VOLATILITE.EWMA($AI$137,dfactor,Z71,AI172)</f>
        <v>#VALUE!</v>
      </c>
    </row>
    <row r="72" spans="2:37" x14ac:dyDescent="0.2">
      <c r="B72" s="276"/>
      <c r="Z72" s="255" t="e">
        <f ca="1">_xll.JOURS.OUVRES.FINANCE($Z71,"USD",-1)</f>
        <v>#NAME?</v>
      </c>
      <c r="AA72" s="256">
        <v>3.0473748065900468</v>
      </c>
      <c r="AB72" s="256">
        <v>2.4532086296352578</v>
      </c>
      <c r="AC72" s="257">
        <f t="shared" si="2"/>
        <v>3.0473748065900468</v>
      </c>
      <c r="AD72" s="258" t="e">
        <f>_xll.MOYENNE.EWMA($AC$137,dfactor,Z72,AC173)-2*_xll.VOLATILITE.EWMA($AC$137,dfactor,Z72,AC173)</f>
        <v>#VALUE!</v>
      </c>
      <c r="AE72" s="258" t="e">
        <f>_xll.MOYENNE.EWMA($AC$137,dfactor,Z72,AC173)+2*_xll.VOLATILITE.EWMA($AC$137,dfactor,Z72,AC173)</f>
        <v>#VALUE!</v>
      </c>
      <c r="AF72" s="248" t="e">
        <f t="shared" si="4"/>
        <v>#VALUE!</v>
      </c>
      <c r="AG72" s="259" t="e">
        <f>_xll.MOYENNE.EWMA($AF$137,dfactor,Z72,AF173)-2*_xll.VOLATILITE.EWMA($AF$137,dfactor,Z72,AF173)</f>
        <v>#VALUE!</v>
      </c>
      <c r="AH72" s="259" t="e">
        <f>_xll.MOYENNE.EWMA($AF$137,dfactor,Z72,AF173)+2*_xll.VOLATILITE.EWMA($AF$137,dfactor,Z72,AF173)</f>
        <v>#VALUE!</v>
      </c>
      <c r="AI72" s="245" t="e">
        <f t="shared" si="3"/>
        <v>#VALUE!</v>
      </c>
      <c r="AJ72" s="260" t="e">
        <f>_xll.MOYENNE.EWMA($AI$137,dfactor,Z72,AI173)-2*_xll.VOLATILITE.EWMA($AI$137,dfactor,Z72,AI173)</f>
        <v>#VALUE!</v>
      </c>
      <c r="AK72" s="260" t="e">
        <f>_xll.MOYENNE.EWMA($AI$137,dfactor,Z72,AI173)+2*_xll.VOLATILITE.EWMA($AI$137,dfactor,Z72,AI173)</f>
        <v>#VALUE!</v>
      </c>
    </row>
    <row r="73" spans="2:37" x14ac:dyDescent="0.2">
      <c r="B73" s="276"/>
      <c r="Z73" s="255" t="e">
        <f ca="1">_xll.JOURS.OUVRES.FINANCE($Z72,"USD",-1)</f>
        <v>#NAME?</v>
      </c>
      <c r="AA73" s="256">
        <v>3.4222614901573909</v>
      </c>
      <c r="AB73" s="256">
        <v>2.5447709304159476</v>
      </c>
      <c r="AC73" s="257">
        <f t="shared" si="2"/>
        <v>3.4222614901573909</v>
      </c>
      <c r="AD73" s="258" t="e">
        <f>_xll.MOYENNE.EWMA($AC$137,dfactor,Z73,AC174)-2*_xll.VOLATILITE.EWMA($AC$137,dfactor,Z73,AC174)</f>
        <v>#VALUE!</v>
      </c>
      <c r="AE73" s="258" t="e">
        <f>_xll.MOYENNE.EWMA($AC$137,dfactor,Z73,AC174)+2*_xll.VOLATILITE.EWMA($AC$137,dfactor,Z73,AC174)</f>
        <v>#VALUE!</v>
      </c>
      <c r="AF73" s="248" t="e">
        <f t="shared" si="4"/>
        <v>#VALUE!</v>
      </c>
      <c r="AG73" s="259" t="e">
        <f>_xll.MOYENNE.EWMA($AF$137,dfactor,Z73,AF174)-2*_xll.VOLATILITE.EWMA($AF$137,dfactor,Z73,AF174)</f>
        <v>#VALUE!</v>
      </c>
      <c r="AH73" s="259" t="e">
        <f>_xll.MOYENNE.EWMA($AF$137,dfactor,Z73,AF174)+2*_xll.VOLATILITE.EWMA($AF$137,dfactor,Z73,AF174)</f>
        <v>#VALUE!</v>
      </c>
      <c r="AI73" s="245" t="e">
        <f t="shared" si="3"/>
        <v>#VALUE!</v>
      </c>
      <c r="AJ73" s="260" t="e">
        <f>_xll.MOYENNE.EWMA($AI$137,dfactor,Z73,AI174)-2*_xll.VOLATILITE.EWMA($AI$137,dfactor,Z73,AI174)</f>
        <v>#VALUE!</v>
      </c>
      <c r="AK73" s="260" t="e">
        <f>_xll.MOYENNE.EWMA($AI$137,dfactor,Z73,AI174)+2*_xll.VOLATILITE.EWMA($AI$137,dfactor,Z73,AI174)</f>
        <v>#VALUE!</v>
      </c>
    </row>
    <row r="74" spans="2:37" x14ac:dyDescent="0.2">
      <c r="Z74" s="255" t="e">
        <f ca="1">_xll.JOURS.OUVRES.FINANCE($Z73,"USD",-1)</f>
        <v>#NAME?</v>
      </c>
      <c r="AA74" s="256">
        <v>4.3980104782682128</v>
      </c>
      <c r="AB74" s="256">
        <v>1.7476608942167928</v>
      </c>
      <c r="AC74" s="257">
        <f t="shared" si="2"/>
        <v>4.3980104782682128</v>
      </c>
      <c r="AD74" s="258" t="e">
        <f>_xll.MOYENNE.EWMA($AC$137,dfactor,Z74,AC175)-2*_xll.VOLATILITE.EWMA($AC$137,dfactor,Z74,AC175)</f>
        <v>#VALUE!</v>
      </c>
      <c r="AE74" s="258" t="e">
        <f>_xll.MOYENNE.EWMA($AC$137,dfactor,Z74,AC175)+2*_xll.VOLATILITE.EWMA($AC$137,dfactor,Z74,AC175)</f>
        <v>#VALUE!</v>
      </c>
      <c r="AF74" s="248" t="e">
        <f t="shared" si="4"/>
        <v>#VALUE!</v>
      </c>
      <c r="AG74" s="259" t="e">
        <f>_xll.MOYENNE.EWMA($AF$137,dfactor,Z74,AF175)-2*_xll.VOLATILITE.EWMA($AF$137,dfactor,Z74,AF175)</f>
        <v>#VALUE!</v>
      </c>
      <c r="AH74" s="259" t="e">
        <f>_xll.MOYENNE.EWMA($AF$137,dfactor,Z74,AF175)+2*_xll.VOLATILITE.EWMA($AF$137,dfactor,Z74,AF175)</f>
        <v>#VALUE!</v>
      </c>
      <c r="AI74" s="245" t="e">
        <f t="shared" si="3"/>
        <v>#VALUE!</v>
      </c>
      <c r="AJ74" s="260" t="e">
        <f>_xll.MOYENNE.EWMA($AI$137,dfactor,Z74,AI175)-2*_xll.VOLATILITE.EWMA($AI$137,dfactor,Z74,AI175)</f>
        <v>#VALUE!</v>
      </c>
      <c r="AK74" s="260" t="e">
        <f>_xll.MOYENNE.EWMA($AI$137,dfactor,Z74,AI175)+2*_xll.VOLATILITE.EWMA($AI$137,dfactor,Z74,AI175)</f>
        <v>#VALUE!</v>
      </c>
    </row>
    <row r="75" spans="2:37" x14ac:dyDescent="0.2">
      <c r="Z75" s="255" t="e">
        <f ca="1">_xll.JOURS.OUVRES.FINANCE($Z74,"USD",-1)</f>
        <v>#NAME?</v>
      </c>
      <c r="AA75" s="256">
        <v>3.6595951091388992</v>
      </c>
      <c r="AB75" s="256">
        <v>2.1549591865835755</v>
      </c>
      <c r="AC75" s="257">
        <f t="shared" si="2"/>
        <v>3.6595951091388992</v>
      </c>
      <c r="AD75" s="258" t="e">
        <f>_xll.MOYENNE.EWMA($AC$137,dfactor,Z75,AC176)-2*_xll.VOLATILITE.EWMA($AC$137,dfactor,Z75,AC176)</f>
        <v>#VALUE!</v>
      </c>
      <c r="AE75" s="258" t="e">
        <f>_xll.MOYENNE.EWMA($AC$137,dfactor,Z75,AC176)+2*_xll.VOLATILITE.EWMA($AC$137,dfactor,Z75,AC176)</f>
        <v>#VALUE!</v>
      </c>
      <c r="AF75" s="248" t="e">
        <f t="shared" si="4"/>
        <v>#VALUE!</v>
      </c>
      <c r="AG75" s="259" t="e">
        <f>_xll.MOYENNE.EWMA($AF$137,dfactor,Z75,AF176)-2*_xll.VOLATILITE.EWMA($AF$137,dfactor,Z75,AF176)</f>
        <v>#VALUE!</v>
      </c>
      <c r="AH75" s="259" t="e">
        <f>_xll.MOYENNE.EWMA($AF$137,dfactor,Z75,AF176)+2*_xll.VOLATILITE.EWMA($AF$137,dfactor,Z75,AF176)</f>
        <v>#VALUE!</v>
      </c>
      <c r="AI75" s="245" t="e">
        <f t="shared" si="3"/>
        <v>#VALUE!</v>
      </c>
      <c r="AJ75" s="260" t="e">
        <f>_xll.MOYENNE.EWMA($AI$137,dfactor,Z75,AI176)-2*_xll.VOLATILITE.EWMA($AI$137,dfactor,Z75,AI176)</f>
        <v>#VALUE!</v>
      </c>
      <c r="AK75" s="260" t="e">
        <f>_xll.MOYENNE.EWMA($AI$137,dfactor,Z75,AI176)+2*_xll.VOLATILITE.EWMA($AI$137,dfactor,Z75,AI176)</f>
        <v>#VALUE!</v>
      </c>
    </row>
    <row r="76" spans="2:37" x14ac:dyDescent="0.2">
      <c r="Z76" s="255" t="e">
        <f ca="1">_xll.JOURS.OUVRES.FINANCE($Z75,"USD",-1)</f>
        <v>#NAME?</v>
      </c>
      <c r="AA76" s="256">
        <v>3.8831500464882556</v>
      </c>
      <c r="AB76" s="256">
        <v>2.2773081794481924</v>
      </c>
      <c r="AC76" s="257">
        <f t="shared" si="2"/>
        <v>3.8831500464882556</v>
      </c>
      <c r="AD76" s="258" t="e">
        <f>_xll.MOYENNE.EWMA($AC$137,dfactor,Z76,AC177)-2*_xll.VOLATILITE.EWMA($AC$137,dfactor,Z76,AC177)</f>
        <v>#VALUE!</v>
      </c>
      <c r="AE76" s="258" t="e">
        <f>_xll.MOYENNE.EWMA($AC$137,dfactor,Z76,AC177)+2*_xll.VOLATILITE.EWMA($AC$137,dfactor,Z76,AC177)</f>
        <v>#VALUE!</v>
      </c>
      <c r="AF76" s="248" t="e">
        <f t="shared" si="4"/>
        <v>#VALUE!</v>
      </c>
      <c r="AG76" s="259" t="e">
        <f>_xll.MOYENNE.EWMA($AF$137,dfactor,Z76,AF177)-2*_xll.VOLATILITE.EWMA($AF$137,dfactor,Z76,AF177)</f>
        <v>#VALUE!</v>
      </c>
      <c r="AH76" s="259" t="e">
        <f>_xll.MOYENNE.EWMA($AF$137,dfactor,Z76,AF177)+2*_xll.VOLATILITE.EWMA($AF$137,dfactor,Z76,AF177)</f>
        <v>#VALUE!</v>
      </c>
      <c r="AI76" s="245" t="e">
        <f t="shared" si="3"/>
        <v>#VALUE!</v>
      </c>
      <c r="AJ76" s="260" t="e">
        <f>_xll.MOYENNE.EWMA($AI$137,dfactor,Z76,AI177)-2*_xll.VOLATILITE.EWMA($AI$137,dfactor,Z76,AI177)</f>
        <v>#VALUE!</v>
      </c>
      <c r="AK76" s="260" t="e">
        <f>_xll.MOYENNE.EWMA($AI$137,dfactor,Z76,AI177)+2*_xll.VOLATILITE.EWMA($AI$137,dfactor,Z76,AI177)</f>
        <v>#VALUE!</v>
      </c>
    </row>
    <row r="77" spans="2:37" x14ac:dyDescent="0.2">
      <c r="Z77" s="255" t="e">
        <f ca="1">_xll.JOURS.OUVRES.FINANCE($Z76,"USD",-1)</f>
        <v>#NAME?</v>
      </c>
      <c r="AA77" s="256">
        <v>4.2437150612675767</v>
      </c>
      <c r="AB77" s="256">
        <v>1.4552820797592219</v>
      </c>
      <c r="AC77" s="257">
        <f t="shared" si="2"/>
        <v>4.2437150612675767</v>
      </c>
      <c r="AD77" s="258" t="e">
        <f>_xll.MOYENNE.EWMA($AC$137,dfactor,Z77,AC178)-2*_xll.VOLATILITE.EWMA($AC$137,dfactor,Z77,AC178)</f>
        <v>#VALUE!</v>
      </c>
      <c r="AE77" s="258" t="e">
        <f>_xll.MOYENNE.EWMA($AC$137,dfactor,Z77,AC178)+2*_xll.VOLATILITE.EWMA($AC$137,dfactor,Z77,AC178)</f>
        <v>#VALUE!</v>
      </c>
      <c r="AF77" s="248" t="e">
        <f t="shared" si="4"/>
        <v>#VALUE!</v>
      </c>
      <c r="AG77" s="259" t="e">
        <f>_xll.MOYENNE.EWMA($AF$137,dfactor,Z77,AF178)-2*_xll.VOLATILITE.EWMA($AF$137,dfactor,Z77,AF178)</f>
        <v>#VALUE!</v>
      </c>
      <c r="AH77" s="259" t="e">
        <f>_xll.MOYENNE.EWMA($AF$137,dfactor,Z77,AF178)+2*_xll.VOLATILITE.EWMA($AF$137,dfactor,Z77,AF178)</f>
        <v>#VALUE!</v>
      </c>
      <c r="AI77" s="245" t="e">
        <f t="shared" si="3"/>
        <v>#VALUE!</v>
      </c>
      <c r="AJ77" s="260" t="e">
        <f>_xll.MOYENNE.EWMA($AI$137,dfactor,Z77,AI178)-2*_xll.VOLATILITE.EWMA($AI$137,dfactor,Z77,AI178)</f>
        <v>#VALUE!</v>
      </c>
      <c r="AK77" s="260" t="e">
        <f>_xll.MOYENNE.EWMA($AI$137,dfactor,Z77,AI178)+2*_xll.VOLATILITE.EWMA($AI$137,dfactor,Z77,AI178)</f>
        <v>#VALUE!</v>
      </c>
    </row>
    <row r="78" spans="2:37" x14ac:dyDescent="0.2">
      <c r="Z78" s="255" t="e">
        <f ca="1">_xll.JOURS.OUVRES.FINANCE($Z77,"USD",-1)</f>
        <v>#NAME?</v>
      </c>
      <c r="AA78" s="256">
        <v>4.7115464718609852</v>
      </c>
      <c r="AB78" s="256">
        <v>1.6954890274959511</v>
      </c>
      <c r="AC78" s="257">
        <f t="shared" si="2"/>
        <v>4.7115464718609852</v>
      </c>
      <c r="AD78" s="258" t="e">
        <f>_xll.MOYENNE.EWMA($AC$137,dfactor,Z78,AC179)-2*_xll.VOLATILITE.EWMA($AC$137,dfactor,Z78,AC179)</f>
        <v>#VALUE!</v>
      </c>
      <c r="AE78" s="258" t="e">
        <f>_xll.MOYENNE.EWMA($AC$137,dfactor,Z78,AC179)+2*_xll.VOLATILITE.EWMA($AC$137,dfactor,Z78,AC179)</f>
        <v>#VALUE!</v>
      </c>
      <c r="AF78" s="248" t="e">
        <f t="shared" si="4"/>
        <v>#VALUE!</v>
      </c>
      <c r="AG78" s="259" t="e">
        <f>_xll.MOYENNE.EWMA($AF$137,dfactor,Z78,AF179)-2*_xll.VOLATILITE.EWMA($AF$137,dfactor,Z78,AF179)</f>
        <v>#VALUE!</v>
      </c>
      <c r="AH78" s="259" t="e">
        <f>_xll.MOYENNE.EWMA($AF$137,dfactor,Z78,AF179)+2*_xll.VOLATILITE.EWMA($AF$137,dfactor,Z78,AF179)</f>
        <v>#VALUE!</v>
      </c>
      <c r="AI78" s="245" t="e">
        <f t="shared" si="3"/>
        <v>#VALUE!</v>
      </c>
      <c r="AJ78" s="260" t="e">
        <f>_xll.MOYENNE.EWMA($AI$137,dfactor,Z78,AI179)-2*_xll.VOLATILITE.EWMA($AI$137,dfactor,Z78,AI179)</f>
        <v>#VALUE!</v>
      </c>
      <c r="AK78" s="260" t="e">
        <f>_xll.MOYENNE.EWMA($AI$137,dfactor,Z78,AI179)+2*_xll.VOLATILITE.EWMA($AI$137,dfactor,Z78,AI179)</f>
        <v>#VALUE!</v>
      </c>
    </row>
    <row r="79" spans="2:37" x14ac:dyDescent="0.2">
      <c r="Z79" s="255" t="e">
        <f ca="1">_xll.JOURS.OUVRES.FINANCE($Z78,"USD",-1)</f>
        <v>#NAME?</v>
      </c>
      <c r="AA79" s="256">
        <v>3.1901921203216346</v>
      </c>
      <c r="AB79" s="256">
        <v>1.9548025828193381</v>
      </c>
      <c r="AC79" s="257">
        <f t="shared" si="2"/>
        <v>3.1901921203216346</v>
      </c>
      <c r="AD79" s="258" t="e">
        <f>_xll.MOYENNE.EWMA($AC$137,dfactor,Z79,AC180)-2*_xll.VOLATILITE.EWMA($AC$137,dfactor,Z79,AC180)</f>
        <v>#VALUE!</v>
      </c>
      <c r="AE79" s="258" t="e">
        <f>_xll.MOYENNE.EWMA($AC$137,dfactor,Z79,AC180)+2*_xll.VOLATILITE.EWMA($AC$137,dfactor,Z79,AC180)</f>
        <v>#VALUE!</v>
      </c>
      <c r="AF79" s="248" t="e">
        <f t="shared" si="4"/>
        <v>#VALUE!</v>
      </c>
      <c r="AG79" s="259" t="e">
        <f>_xll.MOYENNE.EWMA($AF$137,dfactor,Z79,AF180)-2*_xll.VOLATILITE.EWMA($AF$137,dfactor,Z79,AF180)</f>
        <v>#VALUE!</v>
      </c>
      <c r="AH79" s="259" t="e">
        <f>_xll.MOYENNE.EWMA($AF$137,dfactor,Z79,AF180)+2*_xll.VOLATILITE.EWMA($AF$137,dfactor,Z79,AF180)</f>
        <v>#VALUE!</v>
      </c>
      <c r="AI79" s="245" t="e">
        <f t="shared" si="3"/>
        <v>#VALUE!</v>
      </c>
      <c r="AJ79" s="260" t="e">
        <f>_xll.MOYENNE.EWMA($AI$137,dfactor,Z79,AI180)-2*_xll.VOLATILITE.EWMA($AI$137,dfactor,Z79,AI180)</f>
        <v>#VALUE!</v>
      </c>
      <c r="AK79" s="260" t="e">
        <f>_xll.MOYENNE.EWMA($AI$137,dfactor,Z79,AI180)+2*_xll.VOLATILITE.EWMA($AI$137,dfactor,Z79,AI180)</f>
        <v>#VALUE!</v>
      </c>
    </row>
    <row r="80" spans="2:37" x14ac:dyDescent="0.2">
      <c r="Z80" s="255" t="e">
        <f ca="1">_xll.JOURS.OUVRES.FINANCE($Z79,"USD",-1)</f>
        <v>#NAME?</v>
      </c>
      <c r="AA80" s="256">
        <v>3.0676406210739318</v>
      </c>
      <c r="AB80" s="256">
        <v>2.6538179764094982</v>
      </c>
      <c r="AC80" s="257">
        <f t="shared" si="2"/>
        <v>3.0676406210739318</v>
      </c>
      <c r="AD80" s="258" t="e">
        <f>_xll.MOYENNE.EWMA($AC$137,dfactor,Z80,AC181)-2*_xll.VOLATILITE.EWMA($AC$137,dfactor,Z80,AC181)</f>
        <v>#VALUE!</v>
      </c>
      <c r="AE80" s="258" t="e">
        <f>_xll.MOYENNE.EWMA($AC$137,dfactor,Z80,AC181)+2*_xll.VOLATILITE.EWMA($AC$137,dfactor,Z80,AC181)</f>
        <v>#VALUE!</v>
      </c>
      <c r="AF80" s="248" t="e">
        <f t="shared" si="4"/>
        <v>#VALUE!</v>
      </c>
      <c r="AG80" s="259" t="e">
        <f>_xll.MOYENNE.EWMA($AF$137,dfactor,Z80,AF181)-2*_xll.VOLATILITE.EWMA($AF$137,dfactor,Z80,AF181)</f>
        <v>#VALUE!</v>
      </c>
      <c r="AH80" s="259" t="e">
        <f>_xll.MOYENNE.EWMA($AF$137,dfactor,Z80,AF181)+2*_xll.VOLATILITE.EWMA($AF$137,dfactor,Z80,AF181)</f>
        <v>#VALUE!</v>
      </c>
      <c r="AI80" s="245" t="e">
        <f t="shared" si="3"/>
        <v>#VALUE!</v>
      </c>
      <c r="AJ80" s="260" t="e">
        <f>_xll.MOYENNE.EWMA($AI$137,dfactor,Z80,AI181)-2*_xll.VOLATILITE.EWMA($AI$137,dfactor,Z80,AI181)</f>
        <v>#VALUE!</v>
      </c>
      <c r="AK80" s="260" t="e">
        <f>_xll.MOYENNE.EWMA($AI$137,dfactor,Z80,AI181)+2*_xll.VOLATILITE.EWMA($AI$137,dfactor,Z80,AI181)</f>
        <v>#VALUE!</v>
      </c>
    </row>
    <row r="81" spans="26:37" x14ac:dyDescent="0.2">
      <c r="Z81" s="255" t="e">
        <f ca="1">_xll.JOURS.OUVRES.FINANCE($Z80,"USD",-1)</f>
        <v>#NAME?</v>
      </c>
      <c r="AA81" s="256">
        <v>3.4641794389461058</v>
      </c>
      <c r="AB81" s="256">
        <v>4.8353499958059283</v>
      </c>
      <c r="AC81" s="257">
        <f t="shared" si="2"/>
        <v>3.4641794389461058</v>
      </c>
      <c r="AD81" s="258" t="e">
        <f>_xll.MOYENNE.EWMA($AC$137,dfactor,Z81,AC182)-2*_xll.VOLATILITE.EWMA($AC$137,dfactor,Z81,AC182)</f>
        <v>#VALUE!</v>
      </c>
      <c r="AE81" s="258" t="e">
        <f>_xll.MOYENNE.EWMA($AC$137,dfactor,Z81,AC182)+2*_xll.VOLATILITE.EWMA($AC$137,dfactor,Z81,AC182)</f>
        <v>#VALUE!</v>
      </c>
      <c r="AF81" s="248" t="e">
        <f t="shared" si="4"/>
        <v>#VALUE!</v>
      </c>
      <c r="AG81" s="259" t="e">
        <f>_xll.MOYENNE.EWMA($AF$137,dfactor,Z81,AF182)-2*_xll.VOLATILITE.EWMA($AF$137,dfactor,Z81,AF182)</f>
        <v>#VALUE!</v>
      </c>
      <c r="AH81" s="259" t="e">
        <f>_xll.MOYENNE.EWMA($AF$137,dfactor,Z81,AF182)+2*_xll.VOLATILITE.EWMA($AF$137,dfactor,Z81,AF182)</f>
        <v>#VALUE!</v>
      </c>
      <c r="AI81" s="245" t="e">
        <f t="shared" si="3"/>
        <v>#VALUE!</v>
      </c>
      <c r="AJ81" s="260" t="e">
        <f>_xll.MOYENNE.EWMA($AI$137,dfactor,Z81,AI182)-2*_xll.VOLATILITE.EWMA($AI$137,dfactor,Z81,AI182)</f>
        <v>#VALUE!</v>
      </c>
      <c r="AK81" s="260" t="e">
        <f>_xll.MOYENNE.EWMA($AI$137,dfactor,Z81,AI182)+2*_xll.VOLATILITE.EWMA($AI$137,dfactor,Z81,AI182)</f>
        <v>#VALUE!</v>
      </c>
    </row>
    <row r="82" spans="26:37" x14ac:dyDescent="0.2">
      <c r="Z82" s="255" t="e">
        <f ca="1">_xll.JOURS.OUVRES.FINANCE($Z81,"USD",-1)</f>
        <v>#NAME?</v>
      </c>
      <c r="AA82" s="256">
        <v>1.6666269693644031</v>
      </c>
      <c r="AB82" s="256">
        <v>2.7451782826000182</v>
      </c>
      <c r="AC82" s="257">
        <f t="shared" si="2"/>
        <v>1.6666269693644031</v>
      </c>
      <c r="AD82" s="258" t="e">
        <f>_xll.MOYENNE.EWMA($AC$137,dfactor,Z82,AC183)-2*_xll.VOLATILITE.EWMA($AC$137,dfactor,Z82,AC183)</f>
        <v>#VALUE!</v>
      </c>
      <c r="AE82" s="258" t="e">
        <f>_xll.MOYENNE.EWMA($AC$137,dfactor,Z82,AC183)+2*_xll.VOLATILITE.EWMA($AC$137,dfactor,Z82,AC183)</f>
        <v>#VALUE!</v>
      </c>
      <c r="AF82" s="248" t="e">
        <f t="shared" si="4"/>
        <v>#VALUE!</v>
      </c>
      <c r="AG82" s="259" t="e">
        <f>_xll.MOYENNE.EWMA($AF$137,dfactor,Z82,AF183)-2*_xll.VOLATILITE.EWMA($AF$137,dfactor,Z82,AF183)</f>
        <v>#VALUE!</v>
      </c>
      <c r="AH82" s="259" t="e">
        <f>_xll.MOYENNE.EWMA($AF$137,dfactor,Z82,AF183)+2*_xll.VOLATILITE.EWMA($AF$137,dfactor,Z82,AF183)</f>
        <v>#VALUE!</v>
      </c>
      <c r="AI82" s="245" t="e">
        <f>IF(OR(AA82=0,AB82=0),0.0001,AF82-AC82)</f>
        <v>#VALUE!</v>
      </c>
      <c r="AJ82" s="260" t="e">
        <f>_xll.MOYENNE.EWMA($AI$137,dfactor,Z82,AI183)-2*_xll.VOLATILITE.EWMA($AI$137,dfactor,Z82,AI183)</f>
        <v>#VALUE!</v>
      </c>
      <c r="AK82" s="260" t="e">
        <f>_xll.MOYENNE.EWMA($AI$137,dfactor,Z82,AI183)+2*_xll.VOLATILITE.EWMA($AI$137,dfactor,Z82,AI183)</f>
        <v>#VALUE!</v>
      </c>
    </row>
    <row r="83" spans="26:37" x14ac:dyDescent="0.2">
      <c r="Z83" s="255" t="e">
        <f ca="1">_xll.JOURS.OUVRES.FINANCE($Z82,"USD",-1)</f>
        <v>#NAME?</v>
      </c>
      <c r="AA83" s="256">
        <v>0.17186843657131548</v>
      </c>
      <c r="AB83" s="256">
        <v>2.8812015876827055</v>
      </c>
      <c r="AC83" s="257">
        <f t="shared" si="2"/>
        <v>0.17186843657131548</v>
      </c>
      <c r="AD83" s="258" t="e">
        <f>_xll.MOYENNE.EWMA($AC$137,dfactor,Z83,AC184)-2*_xll.VOLATILITE.EWMA($AC$137,dfactor,Z83,AC184)</f>
        <v>#VALUE!</v>
      </c>
      <c r="AE83" s="258" t="e">
        <f>_xll.MOYENNE.EWMA($AC$137,dfactor,Z83,AC184)+2*_xll.VOLATILITE.EWMA($AC$137,dfactor,Z83,AC184)</f>
        <v>#VALUE!</v>
      </c>
      <c r="AF83" s="248" t="e">
        <f t="shared" si="4"/>
        <v>#VALUE!</v>
      </c>
      <c r="AG83" s="259" t="e">
        <f>_xll.MOYENNE.EWMA($AF$137,dfactor,Z83,AF184)-2*_xll.VOLATILITE.EWMA($AF$137,dfactor,Z83,AF184)</f>
        <v>#VALUE!</v>
      </c>
      <c r="AH83" s="259" t="e">
        <f>_xll.MOYENNE.EWMA($AF$137,dfactor,Z83,AF184)+2*_xll.VOLATILITE.EWMA($AF$137,dfactor,Z83,AF184)</f>
        <v>#VALUE!</v>
      </c>
      <c r="AI83" s="245" t="e">
        <f t="shared" ref="AI83:AI135" si="5">IF(OR(AA83=0,AB83=0),0.0001,AF83-AC83)</f>
        <v>#VALUE!</v>
      </c>
      <c r="AJ83" s="260" t="e">
        <f>_xll.MOYENNE.EWMA($AI$137,dfactor,Z83,AI184)-2*_xll.VOLATILITE.EWMA($AI$137,dfactor,Z83,AI184)</f>
        <v>#VALUE!</v>
      </c>
      <c r="AK83" s="260" t="e">
        <f>_xll.MOYENNE.EWMA($AI$137,dfactor,Z83,AI184)+2*_xll.VOLATILITE.EWMA($AI$137,dfactor,Z83,AI184)</f>
        <v>#VALUE!</v>
      </c>
    </row>
    <row r="84" spans="26:37" x14ac:dyDescent="0.2">
      <c r="Z84" s="255" t="e">
        <f ca="1">_xll.JOURS.OUVRES.FINANCE($Z83,"USD",-1)</f>
        <v>#NAME?</v>
      </c>
      <c r="AA84" s="256">
        <v>1.305952874408689</v>
      </c>
      <c r="AB84" s="256">
        <v>2.0152931083813557</v>
      </c>
      <c r="AC84" s="257">
        <f t="shared" si="2"/>
        <v>1.305952874408689</v>
      </c>
      <c r="AD84" s="258" t="e">
        <f>_xll.MOYENNE.EWMA($AC$137,dfactor,Z84,AC185)-2*_xll.VOLATILITE.EWMA($AC$137,dfactor,Z84,AC185)</f>
        <v>#VALUE!</v>
      </c>
      <c r="AE84" s="258" t="e">
        <f>_xll.MOYENNE.EWMA($AC$137,dfactor,Z84,AC185)+2*_xll.VOLATILITE.EWMA($AC$137,dfactor,Z84,AC185)</f>
        <v>#VALUE!</v>
      </c>
      <c r="AF84" s="248" t="e">
        <f t="shared" si="4"/>
        <v>#VALUE!</v>
      </c>
      <c r="AG84" s="259" t="e">
        <f>_xll.MOYENNE.EWMA($AF$137,dfactor,Z84,AF185)-2*_xll.VOLATILITE.EWMA($AF$137,dfactor,Z84,AF185)</f>
        <v>#VALUE!</v>
      </c>
      <c r="AH84" s="259" t="e">
        <f>_xll.MOYENNE.EWMA($AF$137,dfactor,Z84,AF185)+2*_xll.VOLATILITE.EWMA($AF$137,dfactor,Z84,AF185)</f>
        <v>#VALUE!</v>
      </c>
      <c r="AI84" s="245" t="e">
        <f t="shared" si="5"/>
        <v>#VALUE!</v>
      </c>
      <c r="AJ84" s="260" t="e">
        <f>_xll.MOYENNE.EWMA($AI$137,dfactor,Z84,AI185)-2*_xll.VOLATILITE.EWMA($AI$137,dfactor,Z84,AI185)</f>
        <v>#VALUE!</v>
      </c>
      <c r="AK84" s="260" t="e">
        <f>_xll.MOYENNE.EWMA($AI$137,dfactor,Z84,AI185)+2*_xll.VOLATILITE.EWMA($AI$137,dfactor,Z84,AI185)</f>
        <v>#VALUE!</v>
      </c>
    </row>
    <row r="85" spans="26:37" x14ac:dyDescent="0.2">
      <c r="Z85" s="255" t="e">
        <f ca="1">_xll.JOURS.OUVRES.FINANCE($Z84,"USD",-1)</f>
        <v>#NAME?</v>
      </c>
      <c r="AA85" s="256">
        <v>2.0636756983590043</v>
      </c>
      <c r="AB85" s="256">
        <v>2.4096516766095109</v>
      </c>
      <c r="AC85" s="257">
        <f t="shared" si="2"/>
        <v>2.0636756983590043</v>
      </c>
      <c r="AD85" s="258" t="e">
        <f>_xll.MOYENNE.EWMA($AC$137,dfactor,Z85,AC186)-2*_xll.VOLATILITE.EWMA($AC$137,dfactor,Z85,AC186)</f>
        <v>#VALUE!</v>
      </c>
      <c r="AE85" s="258" t="e">
        <f>_xll.MOYENNE.EWMA($AC$137,dfactor,Z85,AC186)+2*_xll.VOLATILITE.EWMA($AC$137,dfactor,Z85,AC186)</f>
        <v>#VALUE!</v>
      </c>
      <c r="AF85" s="248" t="e">
        <f t="shared" si="4"/>
        <v>#VALUE!</v>
      </c>
      <c r="AG85" s="259" t="e">
        <f>_xll.MOYENNE.EWMA($AF$137,dfactor,Z85,AF186)-2*_xll.VOLATILITE.EWMA($AF$137,dfactor,Z85,AF186)</f>
        <v>#VALUE!</v>
      </c>
      <c r="AH85" s="259" t="e">
        <f>_xll.MOYENNE.EWMA($AF$137,dfactor,Z85,AF186)+2*_xll.VOLATILITE.EWMA($AF$137,dfactor,Z85,AF186)</f>
        <v>#VALUE!</v>
      </c>
      <c r="AI85" s="245" t="e">
        <f t="shared" si="5"/>
        <v>#VALUE!</v>
      </c>
      <c r="AJ85" s="260" t="e">
        <f>_xll.MOYENNE.EWMA($AI$137,dfactor,Z85,AI186)-2*_xll.VOLATILITE.EWMA($AI$137,dfactor,Z85,AI186)</f>
        <v>#VALUE!</v>
      </c>
      <c r="AK85" s="260" t="e">
        <f>_xll.MOYENNE.EWMA($AI$137,dfactor,Z85,AI186)+2*_xll.VOLATILITE.EWMA($AI$137,dfactor,Z85,AI186)</f>
        <v>#VALUE!</v>
      </c>
    </row>
    <row r="86" spans="26:37" x14ac:dyDescent="0.2">
      <c r="Z86" s="255" t="e">
        <f ca="1">_xll.JOURS.OUVRES.FINANCE($Z85,"USD",-1)</f>
        <v>#NAME?</v>
      </c>
      <c r="AA86" s="256">
        <v>1.5147367167324133</v>
      </c>
      <c r="AB86" s="256">
        <v>1.1869717593124121</v>
      </c>
      <c r="AC86" s="257">
        <f t="shared" si="2"/>
        <v>1.5147367167324133</v>
      </c>
      <c r="AD86" s="258" t="e">
        <f>_xll.MOYENNE.EWMA($AC$137,dfactor,Z86,AC187)-2*_xll.VOLATILITE.EWMA($AC$137,dfactor,Z86,AC187)</f>
        <v>#VALUE!</v>
      </c>
      <c r="AE86" s="258" t="e">
        <f>_xll.MOYENNE.EWMA($AC$137,dfactor,Z86,AC187)+2*_xll.VOLATILITE.EWMA($AC$137,dfactor,Z86,AC187)</f>
        <v>#VALUE!</v>
      </c>
      <c r="AF86" s="248" t="e">
        <f t="shared" si="4"/>
        <v>#VALUE!</v>
      </c>
      <c r="AG86" s="259" t="e">
        <f>_xll.MOYENNE.EWMA($AF$137,dfactor,Z86,AF187)-2*_xll.VOLATILITE.EWMA($AF$137,dfactor,Z86,AF187)</f>
        <v>#VALUE!</v>
      </c>
      <c r="AH86" s="259" t="e">
        <f>_xll.MOYENNE.EWMA($AF$137,dfactor,Z86,AF187)+2*_xll.VOLATILITE.EWMA($AF$137,dfactor,Z86,AF187)</f>
        <v>#VALUE!</v>
      </c>
      <c r="AI86" s="245" t="e">
        <f t="shared" si="5"/>
        <v>#VALUE!</v>
      </c>
      <c r="AJ86" s="260" t="e">
        <f>_xll.MOYENNE.EWMA($AI$137,dfactor,Z86,AI187)-2*_xll.VOLATILITE.EWMA($AI$137,dfactor,Z86,AI187)</f>
        <v>#VALUE!</v>
      </c>
      <c r="AK86" s="260" t="e">
        <f>_xll.MOYENNE.EWMA($AI$137,dfactor,Z86,AI187)+2*_xll.VOLATILITE.EWMA($AI$137,dfactor,Z86,AI187)</f>
        <v>#VALUE!</v>
      </c>
    </row>
    <row r="87" spans="26:37" x14ac:dyDescent="0.2">
      <c r="Z87" s="255" t="e">
        <f ca="1">_xll.JOURS.OUVRES.FINANCE($Z86,"USD",-1)</f>
        <v>#NAME?</v>
      </c>
      <c r="AA87" s="256">
        <v>4.6451411176749664</v>
      </c>
      <c r="AB87" s="256">
        <v>3.4394039694272744</v>
      </c>
      <c r="AC87" s="257">
        <f t="shared" si="2"/>
        <v>4.6451411176749664</v>
      </c>
      <c r="AD87" s="258" t="e">
        <f>_xll.MOYENNE.EWMA($AC$137,dfactor,Z87,AC188)-2*_xll.VOLATILITE.EWMA($AC$137,dfactor,Z87,AC188)</f>
        <v>#VALUE!</v>
      </c>
      <c r="AE87" s="258" t="e">
        <f>_xll.MOYENNE.EWMA($AC$137,dfactor,Z87,AC188)+2*_xll.VOLATILITE.EWMA($AC$137,dfactor,Z87,AC188)</f>
        <v>#VALUE!</v>
      </c>
      <c r="AF87" s="248" t="e">
        <f t="shared" si="4"/>
        <v>#VALUE!</v>
      </c>
      <c r="AG87" s="259" t="e">
        <f>_xll.MOYENNE.EWMA($AF$137,dfactor,Z87,AF188)-2*_xll.VOLATILITE.EWMA($AF$137,dfactor,Z87,AF188)</f>
        <v>#VALUE!</v>
      </c>
      <c r="AH87" s="259" t="e">
        <f>_xll.MOYENNE.EWMA($AF$137,dfactor,Z87,AF188)+2*_xll.VOLATILITE.EWMA($AF$137,dfactor,Z87,AF188)</f>
        <v>#VALUE!</v>
      </c>
      <c r="AI87" s="245" t="e">
        <f t="shared" si="5"/>
        <v>#VALUE!</v>
      </c>
      <c r="AJ87" s="260" t="e">
        <f>_xll.MOYENNE.EWMA($AI$137,dfactor,Z87,AI188)-2*_xll.VOLATILITE.EWMA($AI$137,dfactor,Z87,AI188)</f>
        <v>#VALUE!</v>
      </c>
      <c r="AK87" s="260" t="e">
        <f>_xll.MOYENNE.EWMA($AI$137,dfactor,Z87,AI188)+2*_xll.VOLATILITE.EWMA($AI$137,dfactor,Z87,AI188)</f>
        <v>#VALUE!</v>
      </c>
    </row>
    <row r="88" spans="26:37" x14ac:dyDescent="0.2">
      <c r="Z88" s="255" t="e">
        <f ca="1">_xll.JOURS.OUVRES.FINANCE($Z87,"USD",-1)</f>
        <v>#NAME?</v>
      </c>
      <c r="AA88" s="256">
        <v>3.1875266195966074</v>
      </c>
      <c r="AB88" s="256">
        <v>2.4561209845170495</v>
      </c>
      <c r="AC88" s="257">
        <f t="shared" si="2"/>
        <v>3.1875266195966074</v>
      </c>
      <c r="AD88" s="258" t="e">
        <f>_xll.MOYENNE.EWMA($AC$137,dfactor,Z88,AC189)-2*_xll.VOLATILITE.EWMA($AC$137,dfactor,Z88,AC189)</f>
        <v>#VALUE!</v>
      </c>
      <c r="AE88" s="258" t="e">
        <f>_xll.MOYENNE.EWMA($AC$137,dfactor,Z88,AC189)+2*_xll.VOLATILITE.EWMA($AC$137,dfactor,Z88,AC189)</f>
        <v>#VALUE!</v>
      </c>
      <c r="AF88" s="248" t="e">
        <f t="shared" si="4"/>
        <v>#VALUE!</v>
      </c>
      <c r="AG88" s="259" t="e">
        <f>_xll.MOYENNE.EWMA($AF$137,dfactor,Z88,AF189)-2*_xll.VOLATILITE.EWMA($AF$137,dfactor,Z88,AF189)</f>
        <v>#VALUE!</v>
      </c>
      <c r="AH88" s="259" t="e">
        <f>_xll.MOYENNE.EWMA($AF$137,dfactor,Z88,AF189)+2*_xll.VOLATILITE.EWMA($AF$137,dfactor,Z88,AF189)</f>
        <v>#VALUE!</v>
      </c>
      <c r="AI88" s="245" t="e">
        <f t="shared" si="5"/>
        <v>#VALUE!</v>
      </c>
      <c r="AJ88" s="260" t="e">
        <f>_xll.MOYENNE.EWMA($AI$137,dfactor,Z88,AI189)-2*_xll.VOLATILITE.EWMA($AI$137,dfactor,Z88,AI189)</f>
        <v>#VALUE!</v>
      </c>
      <c r="AK88" s="260" t="e">
        <f>_xll.MOYENNE.EWMA($AI$137,dfactor,Z88,AI189)+2*_xll.VOLATILITE.EWMA($AI$137,dfactor,Z88,AI189)</f>
        <v>#VALUE!</v>
      </c>
    </row>
    <row r="89" spans="26:37" x14ac:dyDescent="0.2">
      <c r="Z89" s="255" t="e">
        <f ca="1">_xll.JOURS.OUVRES.FINANCE($Z88,"USD",-1)</f>
        <v>#NAME?</v>
      </c>
      <c r="AA89" s="256">
        <v>3.5953489446203264</v>
      </c>
      <c r="AB89" s="256">
        <v>4.090452807996904</v>
      </c>
      <c r="AC89" s="257">
        <f t="shared" si="2"/>
        <v>3.5953489446203264</v>
      </c>
      <c r="AD89" s="258" t="e">
        <f>_xll.MOYENNE.EWMA($AC$137,dfactor,Z89,AC190)-2*_xll.VOLATILITE.EWMA($AC$137,dfactor,Z89,AC190)</f>
        <v>#VALUE!</v>
      </c>
      <c r="AE89" s="258" t="e">
        <f>_xll.MOYENNE.EWMA($AC$137,dfactor,Z89,AC190)+2*_xll.VOLATILITE.EWMA($AC$137,dfactor,Z89,AC190)</f>
        <v>#VALUE!</v>
      </c>
      <c r="AF89" s="248" t="e">
        <f t="shared" si="4"/>
        <v>#VALUE!</v>
      </c>
      <c r="AG89" s="259" t="e">
        <f>_xll.MOYENNE.EWMA($AF$137,dfactor,Z89,AF190)-2*_xll.VOLATILITE.EWMA($AF$137,dfactor,Z89,AF190)</f>
        <v>#VALUE!</v>
      </c>
      <c r="AH89" s="259" t="e">
        <f>_xll.MOYENNE.EWMA($AF$137,dfactor,Z89,AF190)+2*_xll.VOLATILITE.EWMA($AF$137,dfactor,Z89,AF190)</f>
        <v>#VALUE!</v>
      </c>
      <c r="AI89" s="245" t="e">
        <f t="shared" si="5"/>
        <v>#VALUE!</v>
      </c>
      <c r="AJ89" s="260" t="e">
        <f>_xll.MOYENNE.EWMA($AI$137,dfactor,Z89,AI190)-2*_xll.VOLATILITE.EWMA($AI$137,dfactor,Z89,AI190)</f>
        <v>#VALUE!</v>
      </c>
      <c r="AK89" s="260" t="e">
        <f>_xll.MOYENNE.EWMA($AI$137,dfactor,Z89,AI190)+2*_xll.VOLATILITE.EWMA($AI$137,dfactor,Z89,AI190)</f>
        <v>#VALUE!</v>
      </c>
    </row>
    <row r="90" spans="26:37" x14ac:dyDescent="0.2">
      <c r="Z90" s="255" t="e">
        <f ca="1">_xll.JOURS.OUVRES.FINANCE($Z89,"USD",-1)</f>
        <v>#NAME?</v>
      </c>
      <c r="AA90" s="256">
        <v>2.2861934928787546</v>
      </c>
      <c r="AB90" s="256">
        <v>2.5546952399077143</v>
      </c>
      <c r="AC90" s="257">
        <f t="shared" si="2"/>
        <v>2.2861934928787546</v>
      </c>
      <c r="AD90" s="258" t="e">
        <f>_xll.MOYENNE.EWMA($AC$137,dfactor,Z90,AC191)-2*_xll.VOLATILITE.EWMA($AC$137,dfactor,Z90,AC191)</f>
        <v>#VALUE!</v>
      </c>
      <c r="AE90" s="258" t="e">
        <f>_xll.MOYENNE.EWMA($AC$137,dfactor,Z90,AC191)+2*_xll.VOLATILITE.EWMA($AC$137,dfactor,Z90,AC191)</f>
        <v>#VALUE!</v>
      </c>
      <c r="AF90" s="248" t="e">
        <f t="shared" si="4"/>
        <v>#VALUE!</v>
      </c>
      <c r="AG90" s="259" t="e">
        <f>_xll.MOYENNE.EWMA($AF$137,dfactor,Z90,AF191)-2*_xll.VOLATILITE.EWMA($AF$137,dfactor,Z90,AF191)</f>
        <v>#VALUE!</v>
      </c>
      <c r="AH90" s="259" t="e">
        <f>_xll.MOYENNE.EWMA($AF$137,dfactor,Z90,AF191)+2*_xll.VOLATILITE.EWMA($AF$137,dfactor,Z90,AF191)</f>
        <v>#VALUE!</v>
      </c>
      <c r="AI90" s="245" t="e">
        <f t="shared" si="5"/>
        <v>#VALUE!</v>
      </c>
      <c r="AJ90" s="260" t="e">
        <f>_xll.MOYENNE.EWMA($AI$137,dfactor,Z90,AI191)-2*_xll.VOLATILITE.EWMA($AI$137,dfactor,Z90,AI191)</f>
        <v>#VALUE!</v>
      </c>
      <c r="AK90" s="260" t="e">
        <f>_xll.MOYENNE.EWMA($AI$137,dfactor,Z90,AI191)+2*_xll.VOLATILITE.EWMA($AI$137,dfactor,Z90,AI191)</f>
        <v>#VALUE!</v>
      </c>
    </row>
    <row r="91" spans="26:37" x14ac:dyDescent="0.2">
      <c r="Z91" s="255" t="e">
        <f ca="1">_xll.JOURS.OUVRES.FINANCE($Z90,"USD",-1)</f>
        <v>#NAME?</v>
      </c>
      <c r="AA91" s="256">
        <v>2.0895670316628365</v>
      </c>
      <c r="AB91" s="256">
        <v>3.64929188662735</v>
      </c>
      <c r="AC91" s="257">
        <f t="shared" si="2"/>
        <v>2.0895670316628365</v>
      </c>
      <c r="AD91" s="258" t="e">
        <f>_xll.MOYENNE.EWMA($AC$137,dfactor,Z91,AC192)-2*_xll.VOLATILITE.EWMA($AC$137,dfactor,Z91,AC192)</f>
        <v>#VALUE!</v>
      </c>
      <c r="AE91" s="258" t="e">
        <f>_xll.MOYENNE.EWMA($AC$137,dfactor,Z91,AC192)+2*_xll.VOLATILITE.EWMA($AC$137,dfactor,Z91,AC192)</f>
        <v>#VALUE!</v>
      </c>
      <c r="AF91" s="248" t="e">
        <f t="shared" si="4"/>
        <v>#VALUE!</v>
      </c>
      <c r="AG91" s="259" t="e">
        <f>_xll.MOYENNE.EWMA($AF$137,dfactor,Z91,AF192)-2*_xll.VOLATILITE.EWMA($AF$137,dfactor,Z91,AF192)</f>
        <v>#VALUE!</v>
      </c>
      <c r="AH91" s="259" t="e">
        <f>_xll.MOYENNE.EWMA($AF$137,dfactor,Z91,AF192)+2*_xll.VOLATILITE.EWMA($AF$137,dfactor,Z91,AF192)</f>
        <v>#VALUE!</v>
      </c>
      <c r="AI91" s="245" t="e">
        <f t="shared" si="5"/>
        <v>#VALUE!</v>
      </c>
      <c r="AJ91" s="260" t="e">
        <f>_xll.MOYENNE.EWMA($AI$137,dfactor,Z91,AI192)-2*_xll.VOLATILITE.EWMA($AI$137,dfactor,Z91,AI192)</f>
        <v>#VALUE!</v>
      </c>
      <c r="AK91" s="260" t="e">
        <f>_xll.MOYENNE.EWMA($AI$137,dfactor,Z91,AI192)+2*_xll.VOLATILITE.EWMA($AI$137,dfactor,Z91,AI192)</f>
        <v>#VALUE!</v>
      </c>
    </row>
    <row r="92" spans="26:37" x14ac:dyDescent="0.2">
      <c r="Z92" s="255" t="e">
        <f ca="1">_xll.JOURS.OUVRES.FINANCE($Z91,"USD",-1)</f>
        <v>#NAME?</v>
      </c>
      <c r="AA92" s="256">
        <v>1.6870100966036723</v>
      </c>
      <c r="AB92" s="256">
        <v>2.9528558471619895</v>
      </c>
      <c r="AC92" s="257">
        <f t="shared" si="2"/>
        <v>1.6870100966036723</v>
      </c>
      <c r="AD92" s="258" t="e">
        <f>_xll.MOYENNE.EWMA($AC$137,dfactor,Z92,AC193)-2*_xll.VOLATILITE.EWMA($AC$137,dfactor,Z92,AC193)</f>
        <v>#VALUE!</v>
      </c>
      <c r="AE92" s="258" t="e">
        <f>_xll.MOYENNE.EWMA($AC$137,dfactor,Z92,AC193)+2*_xll.VOLATILITE.EWMA($AC$137,dfactor,Z92,AC193)</f>
        <v>#VALUE!</v>
      </c>
      <c r="AF92" s="248" t="e">
        <f t="shared" si="4"/>
        <v>#VALUE!</v>
      </c>
      <c r="AG92" s="259" t="e">
        <f>_xll.MOYENNE.EWMA($AF$137,dfactor,Z92,AF193)-2*_xll.VOLATILITE.EWMA($AF$137,dfactor,Z92,AF193)</f>
        <v>#VALUE!</v>
      </c>
      <c r="AH92" s="259" t="e">
        <f>_xll.MOYENNE.EWMA($AF$137,dfactor,Z92,AF193)+2*_xll.VOLATILITE.EWMA($AF$137,dfactor,Z92,AF193)</f>
        <v>#VALUE!</v>
      </c>
      <c r="AI92" s="245" t="e">
        <f t="shared" si="5"/>
        <v>#VALUE!</v>
      </c>
      <c r="AJ92" s="260" t="e">
        <f>_xll.MOYENNE.EWMA($AI$137,dfactor,Z92,AI193)-2*_xll.VOLATILITE.EWMA($AI$137,dfactor,Z92,AI193)</f>
        <v>#VALUE!</v>
      </c>
      <c r="AK92" s="260" t="e">
        <f>_xll.MOYENNE.EWMA($AI$137,dfactor,Z92,AI193)+2*_xll.VOLATILITE.EWMA($AI$137,dfactor,Z92,AI193)</f>
        <v>#VALUE!</v>
      </c>
    </row>
    <row r="93" spans="26:37" x14ac:dyDescent="0.2">
      <c r="Z93" s="255" t="e">
        <f ca="1">_xll.JOURS.OUVRES.FINANCE($Z92,"USD",-1)</f>
        <v>#NAME?</v>
      </c>
      <c r="AA93" s="256">
        <v>2.2817711097980631</v>
      </c>
      <c r="AB93" s="256">
        <v>1.6965925626572775</v>
      </c>
      <c r="AC93" s="257">
        <f t="shared" si="2"/>
        <v>2.2817711097980631</v>
      </c>
      <c r="AD93" s="258" t="e">
        <f>_xll.MOYENNE.EWMA($AC$137,dfactor,Z93,AC194)-2*_xll.VOLATILITE.EWMA($AC$137,dfactor,Z93,AC194)</f>
        <v>#VALUE!</v>
      </c>
      <c r="AE93" s="258" t="e">
        <f>_xll.MOYENNE.EWMA($AC$137,dfactor,Z93,AC194)+2*_xll.VOLATILITE.EWMA($AC$137,dfactor,Z93,AC194)</f>
        <v>#VALUE!</v>
      </c>
      <c r="AF93" s="248" t="e">
        <f t="shared" si="4"/>
        <v>#VALUE!</v>
      </c>
      <c r="AG93" s="259" t="e">
        <f>_xll.MOYENNE.EWMA($AF$137,dfactor,Z93,AF194)-2*_xll.VOLATILITE.EWMA($AF$137,dfactor,Z93,AF194)</f>
        <v>#VALUE!</v>
      </c>
      <c r="AH93" s="259" t="e">
        <f>_xll.MOYENNE.EWMA($AF$137,dfactor,Z93,AF194)+2*_xll.VOLATILITE.EWMA($AF$137,dfactor,Z93,AF194)</f>
        <v>#VALUE!</v>
      </c>
      <c r="AI93" s="245" t="e">
        <f t="shared" si="5"/>
        <v>#VALUE!</v>
      </c>
      <c r="AJ93" s="260" t="e">
        <f>_xll.MOYENNE.EWMA($AI$137,dfactor,Z93,AI194)-2*_xll.VOLATILITE.EWMA($AI$137,dfactor,Z93,AI194)</f>
        <v>#VALUE!</v>
      </c>
      <c r="AK93" s="260" t="e">
        <f>_xll.MOYENNE.EWMA($AI$137,dfactor,Z93,AI194)+2*_xll.VOLATILITE.EWMA($AI$137,dfactor,Z93,AI194)</f>
        <v>#VALUE!</v>
      </c>
    </row>
    <row r="94" spans="26:37" x14ac:dyDescent="0.2">
      <c r="Z94" s="255" t="e">
        <f ca="1">_xll.JOURS.OUVRES.FINANCE($Z93,"USD",-1)</f>
        <v>#NAME?</v>
      </c>
      <c r="AA94" s="256">
        <v>2.9565333394047797</v>
      </c>
      <c r="AB94" s="256">
        <v>3.0874830957071691</v>
      </c>
      <c r="AC94" s="257">
        <f t="shared" si="2"/>
        <v>2.9565333394047797</v>
      </c>
      <c r="AD94" s="258" t="e">
        <f>_xll.MOYENNE.EWMA($AC$137,dfactor,Z94,AC195)-2*_xll.VOLATILITE.EWMA($AC$137,dfactor,Z94,AC195)</f>
        <v>#VALUE!</v>
      </c>
      <c r="AE94" s="258" t="e">
        <f>_xll.MOYENNE.EWMA($AC$137,dfactor,Z94,AC195)+2*_xll.VOLATILITE.EWMA($AC$137,dfactor,Z94,AC195)</f>
        <v>#VALUE!</v>
      </c>
      <c r="AF94" s="248" t="e">
        <f t="shared" si="4"/>
        <v>#VALUE!</v>
      </c>
      <c r="AG94" s="259" t="e">
        <f>_xll.MOYENNE.EWMA($AF$137,dfactor,Z94,AF195)-2*_xll.VOLATILITE.EWMA($AF$137,dfactor,Z94,AF195)</f>
        <v>#VALUE!</v>
      </c>
      <c r="AH94" s="259" t="e">
        <f>_xll.MOYENNE.EWMA($AF$137,dfactor,Z94,AF195)+2*_xll.VOLATILITE.EWMA($AF$137,dfactor,Z94,AF195)</f>
        <v>#VALUE!</v>
      </c>
      <c r="AI94" s="245" t="e">
        <f t="shared" si="5"/>
        <v>#VALUE!</v>
      </c>
      <c r="AJ94" s="260" t="e">
        <f>_xll.MOYENNE.EWMA($AI$137,dfactor,Z94,AI195)-2*_xll.VOLATILITE.EWMA($AI$137,dfactor,Z94,AI195)</f>
        <v>#VALUE!</v>
      </c>
      <c r="AK94" s="260" t="e">
        <f>_xll.MOYENNE.EWMA($AI$137,dfactor,Z94,AI195)+2*_xll.VOLATILITE.EWMA($AI$137,dfactor,Z94,AI195)</f>
        <v>#VALUE!</v>
      </c>
    </row>
    <row r="95" spans="26:37" x14ac:dyDescent="0.2">
      <c r="Z95" s="255" t="e">
        <f ca="1">_xll.JOURS.OUVRES.FINANCE($Z94,"USD",-1)</f>
        <v>#NAME?</v>
      </c>
      <c r="AA95" s="256">
        <v>1.9244532840960791</v>
      </c>
      <c r="AB95" s="256">
        <v>2.4325359392503896</v>
      </c>
      <c r="AC95" s="257">
        <f t="shared" si="2"/>
        <v>1.9244532840960791</v>
      </c>
      <c r="AD95" s="258" t="e">
        <f>_xll.MOYENNE.EWMA($AC$137,dfactor,Z95,AC196)-2*_xll.VOLATILITE.EWMA($AC$137,dfactor,Z95,AC196)</f>
        <v>#VALUE!</v>
      </c>
      <c r="AE95" s="258" t="e">
        <f>_xll.MOYENNE.EWMA($AC$137,dfactor,Z95,AC196)+2*_xll.VOLATILITE.EWMA($AC$137,dfactor,Z95,AC196)</f>
        <v>#VALUE!</v>
      </c>
      <c r="AF95" s="248" t="e">
        <f t="shared" si="4"/>
        <v>#VALUE!</v>
      </c>
      <c r="AG95" s="259" t="e">
        <f>_xll.MOYENNE.EWMA($AF$137,dfactor,Z95,AF196)-2*_xll.VOLATILITE.EWMA($AF$137,dfactor,Z95,AF196)</f>
        <v>#VALUE!</v>
      </c>
      <c r="AH95" s="259" t="e">
        <f>_xll.MOYENNE.EWMA($AF$137,dfactor,Z95,AF196)+2*_xll.VOLATILITE.EWMA($AF$137,dfactor,Z95,AF196)</f>
        <v>#VALUE!</v>
      </c>
      <c r="AI95" s="245" t="e">
        <f t="shared" si="5"/>
        <v>#VALUE!</v>
      </c>
      <c r="AJ95" s="260" t="e">
        <f>_xll.MOYENNE.EWMA($AI$137,dfactor,Z95,AI196)-2*_xll.VOLATILITE.EWMA($AI$137,dfactor,Z95,AI196)</f>
        <v>#VALUE!</v>
      </c>
      <c r="AK95" s="260" t="e">
        <f>_xll.MOYENNE.EWMA($AI$137,dfactor,Z95,AI196)+2*_xll.VOLATILITE.EWMA($AI$137,dfactor,Z95,AI196)</f>
        <v>#VALUE!</v>
      </c>
    </row>
    <row r="96" spans="26:37" x14ac:dyDescent="0.2">
      <c r="Z96" s="255" t="e">
        <f ca="1">_xll.JOURS.OUVRES.FINANCE($Z95,"USD",-1)</f>
        <v>#NAME?</v>
      </c>
      <c r="AA96" s="256">
        <v>1.9819418683718451</v>
      </c>
      <c r="AB96" s="256">
        <v>1.6983766758245886</v>
      </c>
      <c r="AC96" s="257">
        <f t="shared" si="2"/>
        <v>1.9819418683718451</v>
      </c>
      <c r="AD96" s="258" t="e">
        <f>_xll.MOYENNE.EWMA($AC$137,dfactor,Z96,AC197)-2*_xll.VOLATILITE.EWMA($AC$137,dfactor,Z96,AC197)</f>
        <v>#VALUE!</v>
      </c>
      <c r="AE96" s="258" t="e">
        <f>_xll.MOYENNE.EWMA($AC$137,dfactor,Z96,AC197)+2*_xll.VOLATILITE.EWMA($AC$137,dfactor,Z96,AC197)</f>
        <v>#VALUE!</v>
      </c>
      <c r="AF96" s="248" t="e">
        <f t="shared" si="4"/>
        <v>#VALUE!</v>
      </c>
      <c r="AG96" s="259" t="e">
        <f>_xll.MOYENNE.EWMA($AF$137,dfactor,Z96,AF197)-2*_xll.VOLATILITE.EWMA($AF$137,dfactor,Z96,AF197)</f>
        <v>#VALUE!</v>
      </c>
      <c r="AH96" s="259" t="e">
        <f>_xll.MOYENNE.EWMA($AF$137,dfactor,Z96,AF197)+2*_xll.VOLATILITE.EWMA($AF$137,dfactor,Z96,AF197)</f>
        <v>#VALUE!</v>
      </c>
      <c r="AI96" s="245" t="e">
        <f t="shared" si="5"/>
        <v>#VALUE!</v>
      </c>
      <c r="AJ96" s="260" t="e">
        <f>_xll.MOYENNE.EWMA($AI$137,dfactor,Z96,AI197)-2*_xll.VOLATILITE.EWMA($AI$137,dfactor,Z96,AI197)</f>
        <v>#VALUE!</v>
      </c>
      <c r="AK96" s="260" t="e">
        <f>_xll.MOYENNE.EWMA($AI$137,dfactor,Z96,AI197)+2*_xll.VOLATILITE.EWMA($AI$137,dfactor,Z96,AI197)</f>
        <v>#VALUE!</v>
      </c>
    </row>
    <row r="97" spans="26:37" x14ac:dyDescent="0.2">
      <c r="Z97" s="255" t="e">
        <f ca="1">_xll.JOURS.OUVRES.FINANCE($Z96,"USD",-1)</f>
        <v>#NAME?</v>
      </c>
      <c r="AA97" s="256">
        <v>2.0301937761312647</v>
      </c>
      <c r="AB97" s="256">
        <v>1.092252546901008</v>
      </c>
      <c r="AC97" s="257">
        <f t="shared" si="2"/>
        <v>2.0301937761312647</v>
      </c>
      <c r="AD97" s="258" t="e">
        <f>_xll.MOYENNE.EWMA($AC$137,dfactor,Z97,AC198)-2*_xll.VOLATILITE.EWMA($AC$137,dfactor,Z97,AC198)</f>
        <v>#VALUE!</v>
      </c>
      <c r="AE97" s="258" t="e">
        <f>_xll.MOYENNE.EWMA($AC$137,dfactor,Z97,AC198)+2*_xll.VOLATILITE.EWMA($AC$137,dfactor,Z97,AC198)</f>
        <v>#VALUE!</v>
      </c>
      <c r="AF97" s="248" t="e">
        <f t="shared" si="4"/>
        <v>#VALUE!</v>
      </c>
      <c r="AG97" s="259" t="e">
        <f>_xll.MOYENNE.EWMA($AF$137,dfactor,Z97,AF198)-2*_xll.VOLATILITE.EWMA($AF$137,dfactor,Z97,AF198)</f>
        <v>#VALUE!</v>
      </c>
      <c r="AH97" s="259" t="e">
        <f>_xll.MOYENNE.EWMA($AF$137,dfactor,Z97,AF198)+2*_xll.VOLATILITE.EWMA($AF$137,dfactor,Z97,AF198)</f>
        <v>#VALUE!</v>
      </c>
      <c r="AI97" s="245" t="e">
        <f t="shared" si="5"/>
        <v>#VALUE!</v>
      </c>
      <c r="AJ97" s="260" t="e">
        <f>_xll.MOYENNE.EWMA($AI$137,dfactor,Z97,AI198)-2*_xll.VOLATILITE.EWMA($AI$137,dfactor,Z97,AI198)</f>
        <v>#VALUE!</v>
      </c>
      <c r="AK97" s="260" t="e">
        <f>_xll.MOYENNE.EWMA($AI$137,dfactor,Z97,AI198)+2*_xll.VOLATILITE.EWMA($AI$137,dfactor,Z97,AI198)</f>
        <v>#VALUE!</v>
      </c>
    </row>
    <row r="98" spans="26:37" x14ac:dyDescent="0.2">
      <c r="Z98" s="255" t="e">
        <f ca="1">_xll.JOURS.OUVRES.FINANCE($Z97,"USD",-1)</f>
        <v>#NAME?</v>
      </c>
      <c r="AA98" s="256">
        <v>4.0071728749997133</v>
      </c>
      <c r="AB98" s="256">
        <v>2.4440108134099128</v>
      </c>
      <c r="AC98" s="257">
        <f t="shared" si="2"/>
        <v>4.0071728749997133</v>
      </c>
      <c r="AD98" s="258" t="e">
        <f>_xll.MOYENNE.EWMA($AC$137,dfactor,Z98,AC199)-2*_xll.VOLATILITE.EWMA($AC$137,dfactor,Z98,AC199)</f>
        <v>#VALUE!</v>
      </c>
      <c r="AE98" s="258" t="e">
        <f>_xll.MOYENNE.EWMA($AC$137,dfactor,Z98,AC199)+2*_xll.VOLATILITE.EWMA($AC$137,dfactor,Z98,AC199)</f>
        <v>#VALUE!</v>
      </c>
      <c r="AF98" s="248" t="e">
        <f t="shared" si="4"/>
        <v>#VALUE!</v>
      </c>
      <c r="AG98" s="259" t="e">
        <f>_xll.MOYENNE.EWMA($AF$137,dfactor,Z98,AF199)-2*_xll.VOLATILITE.EWMA($AF$137,dfactor,Z98,AF199)</f>
        <v>#VALUE!</v>
      </c>
      <c r="AH98" s="259" t="e">
        <f>_xll.MOYENNE.EWMA($AF$137,dfactor,Z98,AF199)+2*_xll.VOLATILITE.EWMA($AF$137,dfactor,Z98,AF199)</f>
        <v>#VALUE!</v>
      </c>
      <c r="AI98" s="245" t="e">
        <f t="shared" si="5"/>
        <v>#VALUE!</v>
      </c>
      <c r="AJ98" s="260" t="e">
        <f>_xll.MOYENNE.EWMA($AI$137,dfactor,Z98,AI199)-2*_xll.VOLATILITE.EWMA($AI$137,dfactor,Z98,AI199)</f>
        <v>#VALUE!</v>
      </c>
      <c r="AK98" s="260" t="e">
        <f>_xll.MOYENNE.EWMA($AI$137,dfactor,Z98,AI199)+2*_xll.VOLATILITE.EWMA($AI$137,dfactor,Z98,AI199)</f>
        <v>#VALUE!</v>
      </c>
    </row>
    <row r="99" spans="26:37" x14ac:dyDescent="0.2">
      <c r="Z99" s="255" t="e">
        <f ca="1">_xll.JOURS.OUVRES.FINANCE($Z98,"USD",-1)</f>
        <v>#NAME?</v>
      </c>
      <c r="AA99" s="256">
        <v>4.0861695764452799</v>
      </c>
      <c r="AB99" s="256">
        <v>2.7799797988578354</v>
      </c>
      <c r="AC99" s="257">
        <f t="shared" si="2"/>
        <v>4.0861695764452799</v>
      </c>
      <c r="AD99" s="258" t="e">
        <f>_xll.MOYENNE.EWMA($AC$137,dfactor,Z99,AC200)-2*_xll.VOLATILITE.EWMA($AC$137,dfactor,Z99,AC200)</f>
        <v>#VALUE!</v>
      </c>
      <c r="AE99" s="258" t="e">
        <f>_xll.MOYENNE.EWMA($AC$137,dfactor,Z99,AC200)+2*_xll.VOLATILITE.EWMA($AC$137,dfactor,Z99,AC200)</f>
        <v>#VALUE!</v>
      </c>
      <c r="AF99" s="248" t="e">
        <f t="shared" si="4"/>
        <v>#VALUE!</v>
      </c>
      <c r="AG99" s="259" t="e">
        <f>_xll.MOYENNE.EWMA($AF$137,dfactor,Z99,AF200)-2*_xll.VOLATILITE.EWMA($AF$137,dfactor,Z99,AF200)</f>
        <v>#VALUE!</v>
      </c>
      <c r="AH99" s="259" t="e">
        <f>_xll.MOYENNE.EWMA($AF$137,dfactor,Z99,AF200)+2*_xll.VOLATILITE.EWMA($AF$137,dfactor,Z99,AF200)</f>
        <v>#VALUE!</v>
      </c>
      <c r="AI99" s="245" t="e">
        <f t="shared" si="5"/>
        <v>#VALUE!</v>
      </c>
      <c r="AJ99" s="260" t="e">
        <f>_xll.MOYENNE.EWMA($AI$137,dfactor,Z99,AI200)-2*_xll.VOLATILITE.EWMA($AI$137,dfactor,Z99,AI200)</f>
        <v>#VALUE!</v>
      </c>
      <c r="AK99" s="260" t="e">
        <f>_xll.MOYENNE.EWMA($AI$137,dfactor,Z99,AI200)+2*_xll.VOLATILITE.EWMA($AI$137,dfactor,Z99,AI200)</f>
        <v>#VALUE!</v>
      </c>
    </row>
    <row r="100" spans="26:37" x14ac:dyDescent="0.2">
      <c r="Z100" s="255" t="e">
        <f ca="1">_xll.JOURS.OUVRES.FINANCE($Z99,"USD",-1)</f>
        <v>#NAME?</v>
      </c>
      <c r="AA100" s="256">
        <v>2.6476655128885045</v>
      </c>
      <c r="AB100" s="256">
        <v>3.131227469546173</v>
      </c>
      <c r="AC100" s="257">
        <f t="shared" si="2"/>
        <v>2.6476655128885045</v>
      </c>
      <c r="AD100" s="258" t="e">
        <f>_xll.MOYENNE.EWMA($AC$137,dfactor,Z100,AC201)-2*_xll.VOLATILITE.EWMA($AC$137,dfactor,Z100,AC201)</f>
        <v>#VALUE!</v>
      </c>
      <c r="AE100" s="258" t="e">
        <f>_xll.MOYENNE.EWMA($AC$137,dfactor,Z100,AC201)+2*_xll.VOLATILITE.EWMA($AC$137,dfactor,Z100,AC201)</f>
        <v>#VALUE!</v>
      </c>
      <c r="AF100" s="248" t="e">
        <f t="shared" si="4"/>
        <v>#VALUE!</v>
      </c>
      <c r="AG100" s="259" t="e">
        <f>_xll.MOYENNE.EWMA($AF$137,dfactor,Z100,AF201)-2*_xll.VOLATILITE.EWMA($AF$137,dfactor,Z100,AF201)</f>
        <v>#VALUE!</v>
      </c>
      <c r="AH100" s="259" t="e">
        <f>_xll.MOYENNE.EWMA($AF$137,dfactor,Z100,AF201)+2*_xll.VOLATILITE.EWMA($AF$137,dfactor,Z100,AF201)</f>
        <v>#VALUE!</v>
      </c>
      <c r="AI100" s="245" t="e">
        <f t="shared" si="5"/>
        <v>#VALUE!</v>
      </c>
      <c r="AJ100" s="260" t="e">
        <f>_xll.MOYENNE.EWMA($AI$137,dfactor,Z100,AI201)-2*_xll.VOLATILITE.EWMA($AI$137,dfactor,Z100,AI201)</f>
        <v>#VALUE!</v>
      </c>
      <c r="AK100" s="260" t="e">
        <f>_xll.MOYENNE.EWMA($AI$137,dfactor,Z100,AI201)+2*_xll.VOLATILITE.EWMA($AI$137,dfactor,Z100,AI201)</f>
        <v>#VALUE!</v>
      </c>
    </row>
    <row r="101" spans="26:37" x14ac:dyDescent="0.2">
      <c r="Z101" s="255" t="e">
        <f ca="1">_xll.JOURS.OUVRES.FINANCE($Z100,"USD",-1)</f>
        <v>#NAME?</v>
      </c>
      <c r="AA101" s="256">
        <v>1.7104217220949325</v>
      </c>
      <c r="AB101" s="256">
        <v>2.3878589923791309</v>
      </c>
      <c r="AC101" s="257">
        <f t="shared" si="2"/>
        <v>1.7104217220949325</v>
      </c>
      <c r="AD101" s="258" t="e">
        <f>_xll.MOYENNE.EWMA($AC$137,dfactor,Z101,AC202)-2*_xll.VOLATILITE.EWMA($AC$137,dfactor,Z101,AC202)</f>
        <v>#VALUE!</v>
      </c>
      <c r="AE101" s="258" t="e">
        <f>_xll.MOYENNE.EWMA($AC$137,dfactor,Z101,AC202)+2*_xll.VOLATILITE.EWMA($AC$137,dfactor,Z101,AC202)</f>
        <v>#VALUE!</v>
      </c>
      <c r="AF101" s="248" t="e">
        <f t="shared" ref="AF101:AF135" si="6">AB101-bidask_1</f>
        <v>#VALUE!</v>
      </c>
      <c r="AG101" s="259" t="e">
        <f>_xll.MOYENNE.EWMA($AF$137,dfactor,Z101,AF202)-2*_xll.VOLATILITE.EWMA($AF$137,dfactor,Z101,AF202)</f>
        <v>#VALUE!</v>
      </c>
      <c r="AH101" s="259" t="e">
        <f>_xll.MOYENNE.EWMA($AF$137,dfactor,Z101,AF202)+2*_xll.VOLATILITE.EWMA($AF$137,dfactor,Z101,AF202)</f>
        <v>#VALUE!</v>
      </c>
      <c r="AI101" s="245" t="e">
        <f t="shared" si="5"/>
        <v>#VALUE!</v>
      </c>
      <c r="AJ101" s="260" t="e">
        <f>_xll.MOYENNE.EWMA($AI$137,dfactor,Z101,AI202)-2*_xll.VOLATILITE.EWMA($AI$137,dfactor,Z101,AI202)</f>
        <v>#VALUE!</v>
      </c>
      <c r="AK101" s="260" t="e">
        <f>_xll.MOYENNE.EWMA($AI$137,dfactor,Z101,AI202)+2*_xll.VOLATILITE.EWMA($AI$137,dfactor,Z101,AI202)</f>
        <v>#VALUE!</v>
      </c>
    </row>
    <row r="102" spans="26:37" x14ac:dyDescent="0.2">
      <c r="Z102" s="255" t="e">
        <f ca="1">_xll.JOURS.OUVRES.FINANCE($Z101,"USD",-1)</f>
        <v>#NAME?</v>
      </c>
      <c r="AA102" s="256">
        <v>1.9349629854892294</v>
      </c>
      <c r="AB102" s="256">
        <v>2.3233424838016332</v>
      </c>
      <c r="AC102" s="257">
        <f t="shared" ref="AC102:AC135" si="7">AA102</f>
        <v>1.9349629854892294</v>
      </c>
      <c r="AD102" s="258" t="e">
        <f>_xll.MOYENNE.EWMA($AC$137,dfactor,Z102,AC203)-2*_xll.VOLATILITE.EWMA($AC$137,dfactor,Z102,AC203)</f>
        <v>#VALUE!</v>
      </c>
      <c r="AE102" s="258" t="e">
        <f>_xll.MOYENNE.EWMA($AC$137,dfactor,Z102,AC203)+2*_xll.VOLATILITE.EWMA($AC$137,dfactor,Z102,AC203)</f>
        <v>#VALUE!</v>
      </c>
      <c r="AF102" s="248" t="e">
        <f t="shared" si="6"/>
        <v>#VALUE!</v>
      </c>
      <c r="AG102" s="259" t="e">
        <f>_xll.MOYENNE.EWMA($AF$137,dfactor,Z102,AF203)-2*_xll.VOLATILITE.EWMA($AF$137,dfactor,Z102,AF203)</f>
        <v>#VALUE!</v>
      </c>
      <c r="AH102" s="259" t="e">
        <f>_xll.MOYENNE.EWMA($AF$137,dfactor,Z102,AF203)+2*_xll.VOLATILITE.EWMA($AF$137,dfactor,Z102,AF203)</f>
        <v>#VALUE!</v>
      </c>
      <c r="AI102" s="245" t="e">
        <f t="shared" si="5"/>
        <v>#VALUE!</v>
      </c>
      <c r="AJ102" s="260" t="e">
        <f>_xll.MOYENNE.EWMA($AI$137,dfactor,Z102,AI203)-2*_xll.VOLATILITE.EWMA($AI$137,dfactor,Z102,AI203)</f>
        <v>#VALUE!</v>
      </c>
      <c r="AK102" s="260" t="e">
        <f>_xll.MOYENNE.EWMA($AI$137,dfactor,Z102,AI203)+2*_xll.VOLATILITE.EWMA($AI$137,dfactor,Z102,AI203)</f>
        <v>#VALUE!</v>
      </c>
    </row>
    <row r="103" spans="26:37" x14ac:dyDescent="0.2">
      <c r="Z103" s="255" t="e">
        <f ca="1">_xll.JOURS.OUVRES.FINANCE($Z102,"USD",-1)</f>
        <v>#NAME?</v>
      </c>
      <c r="AA103" s="256">
        <v>2.8558783398270426</v>
      </c>
      <c r="AB103" s="256">
        <v>1.6597124764890012</v>
      </c>
      <c r="AC103" s="257">
        <f t="shared" si="7"/>
        <v>2.8558783398270426</v>
      </c>
      <c r="AD103" s="258" t="e">
        <f>_xll.MOYENNE.EWMA($AC$137,dfactor,Z103,AC204)-2*_xll.VOLATILITE.EWMA($AC$137,dfactor,Z103,AC204)</f>
        <v>#VALUE!</v>
      </c>
      <c r="AE103" s="258" t="e">
        <f>_xll.MOYENNE.EWMA($AC$137,dfactor,Z103,AC204)+2*_xll.VOLATILITE.EWMA($AC$137,dfactor,Z103,AC204)</f>
        <v>#VALUE!</v>
      </c>
      <c r="AF103" s="248" t="e">
        <f t="shared" si="6"/>
        <v>#VALUE!</v>
      </c>
      <c r="AG103" s="259" t="e">
        <f>_xll.MOYENNE.EWMA($AF$137,dfactor,Z103,AF204)-2*_xll.VOLATILITE.EWMA($AF$137,dfactor,Z103,AF204)</f>
        <v>#VALUE!</v>
      </c>
      <c r="AH103" s="259" t="e">
        <f>_xll.MOYENNE.EWMA($AF$137,dfactor,Z103,AF204)+2*_xll.VOLATILITE.EWMA($AF$137,dfactor,Z103,AF204)</f>
        <v>#VALUE!</v>
      </c>
      <c r="AI103" s="245" t="e">
        <f t="shared" si="5"/>
        <v>#VALUE!</v>
      </c>
      <c r="AJ103" s="260" t="e">
        <f>_xll.MOYENNE.EWMA($AI$137,dfactor,Z103,AI204)-2*_xll.VOLATILITE.EWMA($AI$137,dfactor,Z103,AI204)</f>
        <v>#VALUE!</v>
      </c>
      <c r="AK103" s="260" t="e">
        <f>_xll.MOYENNE.EWMA($AI$137,dfactor,Z103,AI204)+2*_xll.VOLATILITE.EWMA($AI$137,dfactor,Z103,AI204)</f>
        <v>#VALUE!</v>
      </c>
    </row>
    <row r="104" spans="26:37" x14ac:dyDescent="0.2">
      <c r="Z104" s="255" t="e">
        <f ca="1">_xll.JOURS.OUVRES.FINANCE($Z103,"USD",-1)</f>
        <v>#NAME?</v>
      </c>
      <c r="AA104" s="256">
        <v>3.3621227690129234</v>
      </c>
      <c r="AB104" s="256">
        <v>1.8053370419134389</v>
      </c>
      <c r="AC104" s="257">
        <f t="shared" si="7"/>
        <v>3.3621227690129234</v>
      </c>
      <c r="AD104" s="258" t="e">
        <f>_xll.MOYENNE.EWMA($AC$137,dfactor,Z104,AC205)-2*_xll.VOLATILITE.EWMA($AC$137,dfactor,Z104,AC205)</f>
        <v>#VALUE!</v>
      </c>
      <c r="AE104" s="258" t="e">
        <f>_xll.MOYENNE.EWMA($AC$137,dfactor,Z104,AC205)+2*_xll.VOLATILITE.EWMA($AC$137,dfactor,Z104,AC205)</f>
        <v>#VALUE!</v>
      </c>
      <c r="AF104" s="248" t="e">
        <f t="shared" si="6"/>
        <v>#VALUE!</v>
      </c>
      <c r="AG104" s="259" t="e">
        <f>_xll.MOYENNE.EWMA($AF$137,dfactor,Z104,AF205)-2*_xll.VOLATILITE.EWMA($AF$137,dfactor,Z104,AF205)</f>
        <v>#VALUE!</v>
      </c>
      <c r="AH104" s="259" t="e">
        <f>_xll.MOYENNE.EWMA($AF$137,dfactor,Z104,AF205)+2*_xll.VOLATILITE.EWMA($AF$137,dfactor,Z104,AF205)</f>
        <v>#VALUE!</v>
      </c>
      <c r="AI104" s="245" t="e">
        <f t="shared" si="5"/>
        <v>#VALUE!</v>
      </c>
      <c r="AJ104" s="260" t="e">
        <f>_xll.MOYENNE.EWMA($AI$137,dfactor,Z104,AI205)-2*_xll.VOLATILITE.EWMA($AI$137,dfactor,Z104,AI205)</f>
        <v>#VALUE!</v>
      </c>
      <c r="AK104" s="260" t="e">
        <f>_xll.MOYENNE.EWMA($AI$137,dfactor,Z104,AI205)+2*_xll.VOLATILITE.EWMA($AI$137,dfactor,Z104,AI205)</f>
        <v>#VALUE!</v>
      </c>
    </row>
    <row r="105" spans="26:37" x14ac:dyDescent="0.2">
      <c r="Z105" s="255" t="e">
        <f ca="1">_xll.JOURS.OUVRES.FINANCE($Z104,"USD",-1)</f>
        <v>#NAME?</v>
      </c>
      <c r="AA105" s="256">
        <v>4.0650764999745252</v>
      </c>
      <c r="AB105" s="256">
        <v>3.1732596537616629</v>
      </c>
      <c r="AC105" s="257">
        <f t="shared" si="7"/>
        <v>4.0650764999745252</v>
      </c>
      <c r="AD105" s="258" t="e">
        <f>_xll.MOYENNE.EWMA($AC$137,dfactor,Z105,AC206)-2*_xll.VOLATILITE.EWMA($AC$137,dfactor,Z105,AC206)</f>
        <v>#VALUE!</v>
      </c>
      <c r="AE105" s="258" t="e">
        <f>_xll.MOYENNE.EWMA($AC$137,dfactor,Z105,AC206)+2*_xll.VOLATILITE.EWMA($AC$137,dfactor,Z105,AC206)</f>
        <v>#VALUE!</v>
      </c>
      <c r="AF105" s="248" t="e">
        <f t="shared" si="6"/>
        <v>#VALUE!</v>
      </c>
      <c r="AG105" s="259" t="e">
        <f>_xll.MOYENNE.EWMA($AF$137,dfactor,Z105,AF206)-2*_xll.VOLATILITE.EWMA($AF$137,dfactor,Z105,AF206)</f>
        <v>#VALUE!</v>
      </c>
      <c r="AH105" s="259" t="e">
        <f>_xll.MOYENNE.EWMA($AF$137,dfactor,Z105,AF206)+2*_xll.VOLATILITE.EWMA($AF$137,dfactor,Z105,AF206)</f>
        <v>#VALUE!</v>
      </c>
      <c r="AI105" s="245" t="e">
        <f t="shared" si="5"/>
        <v>#VALUE!</v>
      </c>
      <c r="AJ105" s="260" t="e">
        <f>_xll.MOYENNE.EWMA($AI$137,dfactor,Z105,AI206)-2*_xll.VOLATILITE.EWMA($AI$137,dfactor,Z105,AI206)</f>
        <v>#VALUE!</v>
      </c>
      <c r="AK105" s="260" t="e">
        <f>_xll.MOYENNE.EWMA($AI$137,dfactor,Z105,AI206)+2*_xll.VOLATILITE.EWMA($AI$137,dfactor,Z105,AI206)</f>
        <v>#VALUE!</v>
      </c>
    </row>
    <row r="106" spans="26:37" x14ac:dyDescent="0.2">
      <c r="Z106" s="255" t="e">
        <f ca="1">_xll.JOURS.OUVRES.FINANCE($Z105,"USD",-1)</f>
        <v>#NAME?</v>
      </c>
      <c r="AA106" s="256">
        <v>4.1995462906151495</v>
      </c>
      <c r="AB106" s="256">
        <v>1.3783200791150332</v>
      </c>
      <c r="AC106" s="257">
        <f t="shared" si="7"/>
        <v>4.1995462906151495</v>
      </c>
      <c r="AD106" s="258" t="e">
        <f>_xll.MOYENNE.EWMA($AC$137,dfactor,Z106,AC207)-2*_xll.VOLATILITE.EWMA($AC$137,dfactor,Z106,AC207)</f>
        <v>#VALUE!</v>
      </c>
      <c r="AE106" s="258" t="e">
        <f>_xll.MOYENNE.EWMA($AC$137,dfactor,Z106,AC207)+2*_xll.VOLATILITE.EWMA($AC$137,dfactor,Z106,AC207)</f>
        <v>#VALUE!</v>
      </c>
      <c r="AF106" s="248" t="e">
        <f t="shared" si="6"/>
        <v>#VALUE!</v>
      </c>
      <c r="AG106" s="259" t="e">
        <f>_xll.MOYENNE.EWMA($AF$137,dfactor,Z106,AF207)-2*_xll.VOLATILITE.EWMA($AF$137,dfactor,Z106,AF207)</f>
        <v>#VALUE!</v>
      </c>
      <c r="AH106" s="259" t="e">
        <f>_xll.MOYENNE.EWMA($AF$137,dfactor,Z106,AF207)+2*_xll.VOLATILITE.EWMA($AF$137,dfactor,Z106,AF207)</f>
        <v>#VALUE!</v>
      </c>
      <c r="AI106" s="245" t="e">
        <f t="shared" si="5"/>
        <v>#VALUE!</v>
      </c>
      <c r="AJ106" s="260" t="e">
        <f>_xll.MOYENNE.EWMA($AI$137,dfactor,Z106,AI207)-2*_xll.VOLATILITE.EWMA($AI$137,dfactor,Z106,AI207)</f>
        <v>#VALUE!</v>
      </c>
      <c r="AK106" s="260" t="e">
        <f>_xll.MOYENNE.EWMA($AI$137,dfactor,Z106,AI207)+2*_xll.VOLATILITE.EWMA($AI$137,dfactor,Z106,AI207)</f>
        <v>#VALUE!</v>
      </c>
    </row>
    <row r="107" spans="26:37" x14ac:dyDescent="0.2">
      <c r="Z107" s="255" t="e">
        <f ca="1">_xll.JOURS.OUVRES.FINANCE($Z106,"USD",-1)</f>
        <v>#NAME?</v>
      </c>
      <c r="AA107" s="256">
        <v>3.1912196839393059</v>
      </c>
      <c r="AB107" s="256">
        <v>4.0035641079239275</v>
      </c>
      <c r="AC107" s="257">
        <f t="shared" si="7"/>
        <v>3.1912196839393059</v>
      </c>
      <c r="AD107" s="258" t="e">
        <f>_xll.MOYENNE.EWMA($AC$137,dfactor,Z107,AC208)-2*_xll.VOLATILITE.EWMA($AC$137,dfactor,Z107,AC208)</f>
        <v>#VALUE!</v>
      </c>
      <c r="AE107" s="258" t="e">
        <f>_xll.MOYENNE.EWMA($AC$137,dfactor,Z107,AC208)+2*_xll.VOLATILITE.EWMA($AC$137,dfactor,Z107,AC208)</f>
        <v>#VALUE!</v>
      </c>
      <c r="AF107" s="248" t="e">
        <f t="shared" si="6"/>
        <v>#VALUE!</v>
      </c>
      <c r="AG107" s="259" t="e">
        <f>_xll.MOYENNE.EWMA($AF$137,dfactor,Z107,AF208)-2*_xll.VOLATILITE.EWMA($AF$137,dfactor,Z107,AF208)</f>
        <v>#VALUE!</v>
      </c>
      <c r="AH107" s="259" t="e">
        <f>_xll.MOYENNE.EWMA($AF$137,dfactor,Z107,AF208)+2*_xll.VOLATILITE.EWMA($AF$137,dfactor,Z107,AF208)</f>
        <v>#VALUE!</v>
      </c>
      <c r="AI107" s="245" t="e">
        <f t="shared" si="5"/>
        <v>#VALUE!</v>
      </c>
      <c r="AJ107" s="260" t="e">
        <f>_xll.MOYENNE.EWMA($AI$137,dfactor,Z107,AI208)-2*_xll.VOLATILITE.EWMA($AI$137,dfactor,Z107,AI208)</f>
        <v>#VALUE!</v>
      </c>
      <c r="AK107" s="260" t="e">
        <f>_xll.MOYENNE.EWMA($AI$137,dfactor,Z107,AI208)+2*_xll.VOLATILITE.EWMA($AI$137,dfactor,Z107,AI208)</f>
        <v>#VALUE!</v>
      </c>
    </row>
    <row r="108" spans="26:37" x14ac:dyDescent="0.2">
      <c r="Z108" s="255" t="e">
        <f ca="1">_xll.JOURS.OUVRES.FINANCE($Z107,"USD",-1)</f>
        <v>#NAME?</v>
      </c>
      <c r="AA108" s="256">
        <v>3.4655530953708471</v>
      </c>
      <c r="AB108" s="256">
        <v>3.9837990419134028</v>
      </c>
      <c r="AC108" s="257">
        <f t="shared" si="7"/>
        <v>3.4655530953708471</v>
      </c>
      <c r="AD108" s="258" t="e">
        <f>_xll.MOYENNE.EWMA($AC$137,dfactor,Z108,AC209)-2*_xll.VOLATILITE.EWMA($AC$137,dfactor,Z108,AC209)</f>
        <v>#VALUE!</v>
      </c>
      <c r="AE108" s="258" t="e">
        <f>_xll.MOYENNE.EWMA($AC$137,dfactor,Z108,AC209)+2*_xll.VOLATILITE.EWMA($AC$137,dfactor,Z108,AC209)</f>
        <v>#VALUE!</v>
      </c>
      <c r="AF108" s="248" t="e">
        <f t="shared" si="6"/>
        <v>#VALUE!</v>
      </c>
      <c r="AG108" s="259" t="e">
        <f>_xll.MOYENNE.EWMA($AF$137,dfactor,Z108,AF209)-2*_xll.VOLATILITE.EWMA($AF$137,dfactor,Z108,AF209)</f>
        <v>#VALUE!</v>
      </c>
      <c r="AH108" s="259" t="e">
        <f>_xll.MOYENNE.EWMA($AF$137,dfactor,Z108,AF209)+2*_xll.VOLATILITE.EWMA($AF$137,dfactor,Z108,AF209)</f>
        <v>#VALUE!</v>
      </c>
      <c r="AI108" s="245" t="e">
        <f t="shared" si="5"/>
        <v>#VALUE!</v>
      </c>
      <c r="AJ108" s="260" t="e">
        <f>_xll.MOYENNE.EWMA($AI$137,dfactor,Z108,AI209)-2*_xll.VOLATILITE.EWMA($AI$137,dfactor,Z108,AI209)</f>
        <v>#VALUE!</v>
      </c>
      <c r="AK108" s="260" t="e">
        <f>_xll.MOYENNE.EWMA($AI$137,dfactor,Z108,AI209)+2*_xll.VOLATILITE.EWMA($AI$137,dfactor,Z108,AI209)</f>
        <v>#VALUE!</v>
      </c>
    </row>
    <row r="109" spans="26:37" x14ac:dyDescent="0.2">
      <c r="Z109" s="255" t="e">
        <f ca="1">_xll.JOURS.OUVRES.FINANCE($Z108,"USD",-1)</f>
        <v>#NAME?</v>
      </c>
      <c r="AA109" s="256">
        <v>4.3214193992261691</v>
      </c>
      <c r="AB109" s="256">
        <v>3.3966261678251706</v>
      </c>
      <c r="AC109" s="257">
        <f t="shared" si="7"/>
        <v>4.3214193992261691</v>
      </c>
      <c r="AD109" s="258" t="e">
        <f>_xll.MOYENNE.EWMA($AC$137,dfactor,Z109,AC210)-2*_xll.VOLATILITE.EWMA($AC$137,dfactor,Z109,AC210)</f>
        <v>#VALUE!</v>
      </c>
      <c r="AE109" s="258" t="e">
        <f>_xll.MOYENNE.EWMA($AC$137,dfactor,Z109,AC210)+2*_xll.VOLATILITE.EWMA($AC$137,dfactor,Z109,AC210)</f>
        <v>#VALUE!</v>
      </c>
      <c r="AF109" s="248" t="e">
        <f t="shared" si="6"/>
        <v>#VALUE!</v>
      </c>
      <c r="AG109" s="259" t="e">
        <f>_xll.MOYENNE.EWMA($AF$137,dfactor,Z109,AF210)-2*_xll.VOLATILITE.EWMA($AF$137,dfactor,Z109,AF210)</f>
        <v>#VALUE!</v>
      </c>
      <c r="AH109" s="259" t="e">
        <f>_xll.MOYENNE.EWMA($AF$137,dfactor,Z109,AF210)+2*_xll.VOLATILITE.EWMA($AF$137,dfactor,Z109,AF210)</f>
        <v>#VALUE!</v>
      </c>
      <c r="AI109" s="245" t="e">
        <f t="shared" si="5"/>
        <v>#VALUE!</v>
      </c>
      <c r="AJ109" s="260" t="e">
        <f>_xll.MOYENNE.EWMA($AI$137,dfactor,Z109,AI210)-2*_xll.VOLATILITE.EWMA($AI$137,dfactor,Z109,AI210)</f>
        <v>#VALUE!</v>
      </c>
      <c r="AK109" s="260" t="e">
        <f>_xll.MOYENNE.EWMA($AI$137,dfactor,Z109,AI210)+2*_xll.VOLATILITE.EWMA($AI$137,dfactor,Z109,AI210)</f>
        <v>#VALUE!</v>
      </c>
    </row>
    <row r="110" spans="26:37" x14ac:dyDescent="0.2">
      <c r="Z110" s="255" t="e">
        <f ca="1">_xll.JOURS.OUVRES.FINANCE($Z109,"USD",-1)</f>
        <v>#NAME?</v>
      </c>
      <c r="AA110" s="256">
        <v>3.98278637235263</v>
      </c>
      <c r="AB110" s="256">
        <v>3.6281661905115143</v>
      </c>
      <c r="AC110" s="257">
        <f t="shared" si="7"/>
        <v>3.98278637235263</v>
      </c>
      <c r="AD110" s="258" t="e">
        <f>_xll.MOYENNE.EWMA($AC$137,dfactor,Z110,AC211)-2*_xll.VOLATILITE.EWMA($AC$137,dfactor,Z110,AC211)</f>
        <v>#VALUE!</v>
      </c>
      <c r="AE110" s="258" t="e">
        <f>_xll.MOYENNE.EWMA($AC$137,dfactor,Z110,AC211)+2*_xll.VOLATILITE.EWMA($AC$137,dfactor,Z110,AC211)</f>
        <v>#VALUE!</v>
      </c>
      <c r="AF110" s="248" t="e">
        <f t="shared" si="6"/>
        <v>#VALUE!</v>
      </c>
      <c r="AG110" s="259" t="e">
        <f>_xll.MOYENNE.EWMA($AF$137,dfactor,Z110,AF211)-2*_xll.VOLATILITE.EWMA($AF$137,dfactor,Z110,AF211)</f>
        <v>#VALUE!</v>
      </c>
      <c r="AH110" s="259" t="e">
        <f>_xll.MOYENNE.EWMA($AF$137,dfactor,Z110,AF211)+2*_xll.VOLATILITE.EWMA($AF$137,dfactor,Z110,AF211)</f>
        <v>#VALUE!</v>
      </c>
      <c r="AI110" s="245" t="e">
        <f t="shared" si="5"/>
        <v>#VALUE!</v>
      </c>
      <c r="AJ110" s="260" t="e">
        <f>_xll.MOYENNE.EWMA($AI$137,dfactor,Z110,AI211)-2*_xll.VOLATILITE.EWMA($AI$137,dfactor,Z110,AI211)</f>
        <v>#VALUE!</v>
      </c>
      <c r="AK110" s="260" t="e">
        <f>_xll.MOYENNE.EWMA($AI$137,dfactor,Z110,AI211)+2*_xll.VOLATILITE.EWMA($AI$137,dfactor,Z110,AI211)</f>
        <v>#VALUE!</v>
      </c>
    </row>
    <row r="111" spans="26:37" x14ac:dyDescent="0.2">
      <c r="Z111" s="255" t="e">
        <f ca="1">_xll.JOURS.OUVRES.FINANCE($Z110,"USD",-1)</f>
        <v>#NAME?</v>
      </c>
      <c r="AA111" s="256">
        <v>4.4946452231327765</v>
      </c>
      <c r="AB111" s="256">
        <v>2.9336133376835196</v>
      </c>
      <c r="AC111" s="257">
        <f t="shared" si="7"/>
        <v>4.4946452231327765</v>
      </c>
      <c r="AD111" s="258" t="e">
        <f>_xll.MOYENNE.EWMA($AC$137,dfactor,Z111,AC212)-2*_xll.VOLATILITE.EWMA($AC$137,dfactor,Z111,AC212)</f>
        <v>#VALUE!</v>
      </c>
      <c r="AE111" s="258" t="e">
        <f>_xll.MOYENNE.EWMA($AC$137,dfactor,Z111,AC212)+2*_xll.VOLATILITE.EWMA($AC$137,dfactor,Z111,AC212)</f>
        <v>#VALUE!</v>
      </c>
      <c r="AF111" s="248" t="e">
        <f t="shared" si="6"/>
        <v>#VALUE!</v>
      </c>
      <c r="AG111" s="259" t="e">
        <f>_xll.MOYENNE.EWMA($AF$137,dfactor,Z111,AF212)-2*_xll.VOLATILITE.EWMA($AF$137,dfactor,Z111,AF212)</f>
        <v>#VALUE!</v>
      </c>
      <c r="AH111" s="259" t="e">
        <f>_xll.MOYENNE.EWMA($AF$137,dfactor,Z111,AF212)+2*_xll.VOLATILITE.EWMA($AF$137,dfactor,Z111,AF212)</f>
        <v>#VALUE!</v>
      </c>
      <c r="AI111" s="245" t="e">
        <f t="shared" si="5"/>
        <v>#VALUE!</v>
      </c>
      <c r="AJ111" s="260" t="e">
        <f>_xll.MOYENNE.EWMA($AI$137,dfactor,Z111,AI212)-2*_xll.VOLATILITE.EWMA($AI$137,dfactor,Z111,AI212)</f>
        <v>#VALUE!</v>
      </c>
      <c r="AK111" s="260" t="e">
        <f>_xll.MOYENNE.EWMA($AI$137,dfactor,Z111,AI212)+2*_xll.VOLATILITE.EWMA($AI$137,dfactor,Z111,AI212)</f>
        <v>#VALUE!</v>
      </c>
    </row>
    <row r="112" spans="26:37" x14ac:dyDescent="0.2">
      <c r="Z112" s="255" t="e">
        <f ca="1">_xll.JOURS.OUVRES.FINANCE($Z111,"USD",-1)</f>
        <v>#NAME?</v>
      </c>
      <c r="AA112" s="256">
        <v>5.7518174008255869</v>
      </c>
      <c r="AB112" s="256">
        <v>2.4562544527473142</v>
      </c>
      <c r="AC112" s="257">
        <f t="shared" si="7"/>
        <v>5.7518174008255869</v>
      </c>
      <c r="AD112" s="258" t="e">
        <f>_xll.MOYENNE.EWMA($AC$137,dfactor,Z112,AC213)-2*_xll.VOLATILITE.EWMA($AC$137,dfactor,Z112,AC213)</f>
        <v>#VALUE!</v>
      </c>
      <c r="AE112" s="258" t="e">
        <f>_xll.MOYENNE.EWMA($AC$137,dfactor,Z112,AC213)+2*_xll.VOLATILITE.EWMA($AC$137,dfactor,Z112,AC213)</f>
        <v>#VALUE!</v>
      </c>
      <c r="AF112" s="248" t="e">
        <f t="shared" si="6"/>
        <v>#VALUE!</v>
      </c>
      <c r="AG112" s="259" t="e">
        <f>_xll.MOYENNE.EWMA($AF$137,dfactor,Z112,AF213)-2*_xll.VOLATILITE.EWMA($AF$137,dfactor,Z112,AF213)</f>
        <v>#VALUE!</v>
      </c>
      <c r="AH112" s="259" t="e">
        <f>_xll.MOYENNE.EWMA($AF$137,dfactor,Z112,AF213)+2*_xll.VOLATILITE.EWMA($AF$137,dfactor,Z112,AF213)</f>
        <v>#VALUE!</v>
      </c>
      <c r="AI112" s="245" t="e">
        <f t="shared" si="5"/>
        <v>#VALUE!</v>
      </c>
      <c r="AJ112" s="260" t="e">
        <f>_xll.MOYENNE.EWMA($AI$137,dfactor,Z112,AI213)-2*_xll.VOLATILITE.EWMA($AI$137,dfactor,Z112,AI213)</f>
        <v>#VALUE!</v>
      </c>
      <c r="AK112" s="260" t="e">
        <f>_xll.MOYENNE.EWMA($AI$137,dfactor,Z112,AI213)+2*_xll.VOLATILITE.EWMA($AI$137,dfactor,Z112,AI213)</f>
        <v>#VALUE!</v>
      </c>
    </row>
    <row r="113" spans="26:37" x14ac:dyDescent="0.2">
      <c r="Z113" s="255" t="e">
        <f ca="1">_xll.JOURS.OUVRES.FINANCE($Z112,"USD",-1)</f>
        <v>#NAME?</v>
      </c>
      <c r="AA113" s="256">
        <v>5.4113761603852497</v>
      </c>
      <c r="AB113" s="256">
        <v>3.3263343329929973</v>
      </c>
      <c r="AC113" s="257">
        <f t="shared" si="7"/>
        <v>5.4113761603852497</v>
      </c>
      <c r="AD113" s="258" t="e">
        <f>_xll.MOYENNE.EWMA($AC$137,dfactor,Z113,AC214)-2*_xll.VOLATILITE.EWMA($AC$137,dfactor,Z113,AC214)</f>
        <v>#VALUE!</v>
      </c>
      <c r="AE113" s="258" t="e">
        <f>_xll.MOYENNE.EWMA($AC$137,dfactor,Z113,AC214)+2*_xll.VOLATILITE.EWMA($AC$137,dfactor,Z113,AC214)</f>
        <v>#VALUE!</v>
      </c>
      <c r="AF113" s="248" t="e">
        <f t="shared" si="6"/>
        <v>#VALUE!</v>
      </c>
      <c r="AG113" s="259" t="e">
        <f>_xll.MOYENNE.EWMA($AF$137,dfactor,Z113,AF214)-2*_xll.VOLATILITE.EWMA($AF$137,dfactor,Z113,AF214)</f>
        <v>#VALUE!</v>
      </c>
      <c r="AH113" s="259" t="e">
        <f>_xll.MOYENNE.EWMA($AF$137,dfactor,Z113,AF214)+2*_xll.VOLATILITE.EWMA($AF$137,dfactor,Z113,AF214)</f>
        <v>#VALUE!</v>
      </c>
      <c r="AI113" s="245" t="e">
        <f t="shared" si="5"/>
        <v>#VALUE!</v>
      </c>
      <c r="AJ113" s="260" t="e">
        <f>_xll.MOYENNE.EWMA($AI$137,dfactor,Z113,AI214)-2*_xll.VOLATILITE.EWMA($AI$137,dfactor,Z113,AI214)</f>
        <v>#VALUE!</v>
      </c>
      <c r="AK113" s="260" t="e">
        <f>_xll.MOYENNE.EWMA($AI$137,dfactor,Z113,AI214)+2*_xll.VOLATILITE.EWMA($AI$137,dfactor,Z113,AI214)</f>
        <v>#VALUE!</v>
      </c>
    </row>
    <row r="114" spans="26:37" x14ac:dyDescent="0.2">
      <c r="Z114" s="255" t="e">
        <f ca="1">_xll.JOURS.OUVRES.FINANCE($Z113,"USD",-1)</f>
        <v>#NAME?</v>
      </c>
      <c r="AA114" s="256">
        <v>5.0220272948114646</v>
      </c>
      <c r="AB114" s="256">
        <v>3.0097178413964696</v>
      </c>
      <c r="AC114" s="257">
        <f t="shared" si="7"/>
        <v>5.0220272948114646</v>
      </c>
      <c r="AD114" s="258" t="e">
        <f>_xll.MOYENNE.EWMA($AC$137,dfactor,Z114,AC215)-2*_xll.VOLATILITE.EWMA($AC$137,dfactor,Z114,AC215)</f>
        <v>#VALUE!</v>
      </c>
      <c r="AE114" s="258" t="e">
        <f>_xll.MOYENNE.EWMA($AC$137,dfactor,Z114,AC215)+2*_xll.VOLATILITE.EWMA($AC$137,dfactor,Z114,AC215)</f>
        <v>#VALUE!</v>
      </c>
      <c r="AF114" s="248" t="e">
        <f t="shared" si="6"/>
        <v>#VALUE!</v>
      </c>
      <c r="AG114" s="259" t="e">
        <f>_xll.MOYENNE.EWMA($AF$137,dfactor,Z114,AF215)-2*_xll.VOLATILITE.EWMA($AF$137,dfactor,Z114,AF215)</f>
        <v>#VALUE!</v>
      </c>
      <c r="AH114" s="259" t="e">
        <f>_xll.MOYENNE.EWMA($AF$137,dfactor,Z114,AF215)+2*_xll.VOLATILITE.EWMA($AF$137,dfactor,Z114,AF215)</f>
        <v>#VALUE!</v>
      </c>
      <c r="AI114" s="245" t="e">
        <f t="shared" si="5"/>
        <v>#VALUE!</v>
      </c>
      <c r="AJ114" s="260" t="e">
        <f>_xll.MOYENNE.EWMA($AI$137,dfactor,Z114,AI215)-2*_xll.VOLATILITE.EWMA($AI$137,dfactor,Z114,AI215)</f>
        <v>#VALUE!</v>
      </c>
      <c r="AK114" s="260" t="e">
        <f>_xll.MOYENNE.EWMA($AI$137,dfactor,Z114,AI215)+2*_xll.VOLATILITE.EWMA($AI$137,dfactor,Z114,AI215)</f>
        <v>#VALUE!</v>
      </c>
    </row>
    <row r="115" spans="26:37" x14ac:dyDescent="0.2">
      <c r="Z115" s="255" t="e">
        <f ca="1">_xll.JOURS.OUVRES.FINANCE($Z114,"USD",-1)</f>
        <v>#NAME?</v>
      </c>
      <c r="AA115" s="256">
        <v>4.9100898226835774</v>
      </c>
      <c r="AB115" s="256">
        <v>2.1029414061121123</v>
      </c>
      <c r="AC115" s="257">
        <f t="shared" si="7"/>
        <v>4.9100898226835774</v>
      </c>
      <c r="AD115" s="258" t="e">
        <f>_xll.MOYENNE.EWMA($AC$137,dfactor,Z115,AC216)-2*_xll.VOLATILITE.EWMA($AC$137,dfactor,Z115,AC216)</f>
        <v>#VALUE!</v>
      </c>
      <c r="AE115" s="258" t="e">
        <f>_xll.MOYENNE.EWMA($AC$137,dfactor,Z115,AC216)+2*_xll.VOLATILITE.EWMA($AC$137,dfactor,Z115,AC216)</f>
        <v>#VALUE!</v>
      </c>
      <c r="AF115" s="248" t="e">
        <f t="shared" si="6"/>
        <v>#VALUE!</v>
      </c>
      <c r="AG115" s="259" t="e">
        <f>_xll.MOYENNE.EWMA($AF$137,dfactor,Z115,AF216)-2*_xll.VOLATILITE.EWMA($AF$137,dfactor,Z115,AF216)</f>
        <v>#VALUE!</v>
      </c>
      <c r="AH115" s="259" t="e">
        <f>_xll.MOYENNE.EWMA($AF$137,dfactor,Z115,AF216)+2*_xll.VOLATILITE.EWMA($AF$137,dfactor,Z115,AF216)</f>
        <v>#VALUE!</v>
      </c>
      <c r="AI115" s="245" t="e">
        <f t="shared" si="5"/>
        <v>#VALUE!</v>
      </c>
      <c r="AJ115" s="260" t="e">
        <f>_xll.MOYENNE.EWMA($AI$137,dfactor,Z115,AI216)-2*_xll.VOLATILITE.EWMA($AI$137,dfactor,Z115,AI216)</f>
        <v>#VALUE!</v>
      </c>
      <c r="AK115" s="260" t="e">
        <f>_xll.MOYENNE.EWMA($AI$137,dfactor,Z115,AI216)+2*_xll.VOLATILITE.EWMA($AI$137,dfactor,Z115,AI216)</f>
        <v>#VALUE!</v>
      </c>
    </row>
    <row r="116" spans="26:37" x14ac:dyDescent="0.2">
      <c r="Z116" s="255" t="e">
        <f ca="1">_xll.JOURS.OUVRES.FINANCE($Z115,"USD",-1)</f>
        <v>#NAME?</v>
      </c>
      <c r="AA116" s="256">
        <v>5.3701314274262124</v>
      </c>
      <c r="AB116" s="256">
        <v>3.7160578547445402</v>
      </c>
      <c r="AC116" s="257">
        <f t="shared" si="7"/>
        <v>5.3701314274262124</v>
      </c>
      <c r="AD116" s="258" t="e">
        <f>_xll.MOYENNE.EWMA($AC$137,dfactor,Z116,AC217)-2*_xll.VOLATILITE.EWMA($AC$137,dfactor,Z116,AC217)</f>
        <v>#VALUE!</v>
      </c>
      <c r="AE116" s="258" t="e">
        <f>_xll.MOYENNE.EWMA($AC$137,dfactor,Z116,AC217)+2*_xll.VOLATILITE.EWMA($AC$137,dfactor,Z116,AC217)</f>
        <v>#VALUE!</v>
      </c>
      <c r="AF116" s="248" t="e">
        <f t="shared" si="6"/>
        <v>#VALUE!</v>
      </c>
      <c r="AG116" s="259" t="e">
        <f>_xll.MOYENNE.EWMA($AF$137,dfactor,Z116,AF217)-2*_xll.VOLATILITE.EWMA($AF$137,dfactor,Z116,AF217)</f>
        <v>#VALUE!</v>
      </c>
      <c r="AH116" s="259" t="e">
        <f>_xll.MOYENNE.EWMA($AF$137,dfactor,Z116,AF217)+2*_xll.VOLATILITE.EWMA($AF$137,dfactor,Z116,AF217)</f>
        <v>#VALUE!</v>
      </c>
      <c r="AI116" s="245" t="e">
        <f t="shared" si="5"/>
        <v>#VALUE!</v>
      </c>
      <c r="AJ116" s="260" t="e">
        <f>_xll.MOYENNE.EWMA($AI$137,dfactor,Z116,AI217)-2*_xll.VOLATILITE.EWMA($AI$137,dfactor,Z116,AI217)</f>
        <v>#VALUE!</v>
      </c>
      <c r="AK116" s="260" t="e">
        <f>_xll.MOYENNE.EWMA($AI$137,dfactor,Z116,AI217)+2*_xll.VOLATILITE.EWMA($AI$137,dfactor,Z116,AI217)</f>
        <v>#VALUE!</v>
      </c>
    </row>
    <row r="117" spans="26:37" x14ac:dyDescent="0.2">
      <c r="Z117" s="255" t="e">
        <f ca="1">_xll.JOURS.OUVRES.FINANCE($Z116,"USD",-1)</f>
        <v>#NAME?</v>
      </c>
      <c r="AA117" s="256">
        <v>5.3759095586616041</v>
      </c>
      <c r="AB117" s="256">
        <v>3.5517454503390353</v>
      </c>
      <c r="AC117" s="257">
        <f t="shared" si="7"/>
        <v>5.3759095586616041</v>
      </c>
      <c r="AD117" s="258" t="e">
        <f>_xll.MOYENNE.EWMA($AC$137,dfactor,Z117,AC218)-2*_xll.VOLATILITE.EWMA($AC$137,dfactor,Z117,AC218)</f>
        <v>#VALUE!</v>
      </c>
      <c r="AE117" s="258" t="e">
        <f>_xll.MOYENNE.EWMA($AC$137,dfactor,Z117,AC218)+2*_xll.VOLATILITE.EWMA($AC$137,dfactor,Z117,AC218)</f>
        <v>#VALUE!</v>
      </c>
      <c r="AF117" s="248" t="e">
        <f t="shared" si="6"/>
        <v>#VALUE!</v>
      </c>
      <c r="AG117" s="259" t="e">
        <f>_xll.MOYENNE.EWMA($AF$137,dfactor,Z117,AF218)-2*_xll.VOLATILITE.EWMA($AF$137,dfactor,Z117,AF218)</f>
        <v>#VALUE!</v>
      </c>
      <c r="AH117" s="259" t="e">
        <f>_xll.MOYENNE.EWMA($AF$137,dfactor,Z117,AF218)+2*_xll.VOLATILITE.EWMA($AF$137,dfactor,Z117,AF218)</f>
        <v>#VALUE!</v>
      </c>
      <c r="AI117" s="245" t="e">
        <f t="shared" si="5"/>
        <v>#VALUE!</v>
      </c>
      <c r="AJ117" s="260" t="e">
        <f>_xll.MOYENNE.EWMA($AI$137,dfactor,Z117,AI218)-2*_xll.VOLATILITE.EWMA($AI$137,dfactor,Z117,AI218)</f>
        <v>#VALUE!</v>
      </c>
      <c r="AK117" s="260" t="e">
        <f>_xll.MOYENNE.EWMA($AI$137,dfactor,Z117,AI218)+2*_xll.VOLATILITE.EWMA($AI$137,dfactor,Z117,AI218)</f>
        <v>#VALUE!</v>
      </c>
    </row>
    <row r="118" spans="26:37" x14ac:dyDescent="0.2">
      <c r="Z118" s="255" t="e">
        <f ca="1">_xll.JOURS.OUVRES.FINANCE($Z117,"USD",-1)</f>
        <v>#NAME?</v>
      </c>
      <c r="AA118" s="256">
        <v>6.5037874014919801</v>
      </c>
      <c r="AB118" s="256">
        <v>5.6559903573934864</v>
      </c>
      <c r="AC118" s="257">
        <f t="shared" si="7"/>
        <v>6.5037874014919801</v>
      </c>
      <c r="AD118" s="258" t="e">
        <f>_xll.MOYENNE.EWMA($AC$137,dfactor,Z118,AC219)-2*_xll.VOLATILITE.EWMA($AC$137,dfactor,Z118,AC219)</f>
        <v>#VALUE!</v>
      </c>
      <c r="AE118" s="258" t="e">
        <f>_xll.MOYENNE.EWMA($AC$137,dfactor,Z118,AC219)+2*_xll.VOLATILITE.EWMA($AC$137,dfactor,Z118,AC219)</f>
        <v>#VALUE!</v>
      </c>
      <c r="AF118" s="248" t="e">
        <f t="shared" si="6"/>
        <v>#VALUE!</v>
      </c>
      <c r="AG118" s="259" t="e">
        <f>_xll.MOYENNE.EWMA($AF$137,dfactor,Z118,AF219)-2*_xll.VOLATILITE.EWMA($AF$137,dfactor,Z118,AF219)</f>
        <v>#VALUE!</v>
      </c>
      <c r="AH118" s="259" t="e">
        <f>_xll.MOYENNE.EWMA($AF$137,dfactor,Z118,AF219)+2*_xll.VOLATILITE.EWMA($AF$137,dfactor,Z118,AF219)</f>
        <v>#VALUE!</v>
      </c>
      <c r="AI118" s="245" t="e">
        <f t="shared" si="5"/>
        <v>#VALUE!</v>
      </c>
      <c r="AJ118" s="260" t="e">
        <f>_xll.MOYENNE.EWMA($AI$137,dfactor,Z118,AI219)-2*_xll.VOLATILITE.EWMA($AI$137,dfactor,Z118,AI219)</f>
        <v>#VALUE!</v>
      </c>
      <c r="AK118" s="260" t="e">
        <f>_xll.MOYENNE.EWMA($AI$137,dfactor,Z118,AI219)+2*_xll.VOLATILITE.EWMA($AI$137,dfactor,Z118,AI219)</f>
        <v>#VALUE!</v>
      </c>
    </row>
    <row r="119" spans="26:37" x14ac:dyDescent="0.2">
      <c r="Z119" s="255" t="e">
        <f ca="1">_xll.JOURS.OUVRES.FINANCE($Z118,"USD",-1)</f>
        <v>#NAME?</v>
      </c>
      <c r="AA119" s="256">
        <v>5.0898960464936458</v>
      </c>
      <c r="AB119" s="256">
        <v>6.0068408013027383</v>
      </c>
      <c r="AC119" s="257">
        <f t="shared" si="7"/>
        <v>5.0898960464936458</v>
      </c>
      <c r="AD119" s="258" t="e">
        <f>_xll.MOYENNE.EWMA($AC$137,dfactor,Z119,AC220)-2*_xll.VOLATILITE.EWMA($AC$137,dfactor,Z119,AC220)</f>
        <v>#VALUE!</v>
      </c>
      <c r="AE119" s="258" t="e">
        <f>_xll.MOYENNE.EWMA($AC$137,dfactor,Z119,AC220)+2*_xll.VOLATILITE.EWMA($AC$137,dfactor,Z119,AC220)</f>
        <v>#VALUE!</v>
      </c>
      <c r="AF119" s="248" t="e">
        <f t="shared" si="6"/>
        <v>#VALUE!</v>
      </c>
      <c r="AG119" s="259" t="e">
        <f>_xll.MOYENNE.EWMA($AF$137,dfactor,Z119,AF220)-2*_xll.VOLATILITE.EWMA($AF$137,dfactor,Z119,AF220)</f>
        <v>#VALUE!</v>
      </c>
      <c r="AH119" s="259" t="e">
        <f>_xll.MOYENNE.EWMA($AF$137,dfactor,Z119,AF220)+2*_xll.VOLATILITE.EWMA($AF$137,dfactor,Z119,AF220)</f>
        <v>#VALUE!</v>
      </c>
      <c r="AI119" s="245" t="e">
        <f t="shared" si="5"/>
        <v>#VALUE!</v>
      </c>
      <c r="AJ119" s="260" t="e">
        <f>_xll.MOYENNE.EWMA($AI$137,dfactor,Z119,AI220)-2*_xll.VOLATILITE.EWMA($AI$137,dfactor,Z119,AI220)</f>
        <v>#VALUE!</v>
      </c>
      <c r="AK119" s="260" t="e">
        <f>_xll.MOYENNE.EWMA($AI$137,dfactor,Z119,AI220)+2*_xll.VOLATILITE.EWMA($AI$137,dfactor,Z119,AI220)</f>
        <v>#VALUE!</v>
      </c>
    </row>
    <row r="120" spans="26:37" x14ac:dyDescent="0.2">
      <c r="Z120" s="255" t="e">
        <f ca="1">_xll.JOURS.OUVRES.FINANCE($Z119,"USD",-1)</f>
        <v>#NAME?</v>
      </c>
      <c r="AA120" s="256">
        <v>2.7111747408818876</v>
      </c>
      <c r="AB120" s="256">
        <v>3.8523022298353085</v>
      </c>
      <c r="AC120" s="257">
        <f t="shared" si="7"/>
        <v>2.7111747408818876</v>
      </c>
      <c r="AD120" s="258" t="e">
        <f>_xll.MOYENNE.EWMA($AC$137,dfactor,Z120,AC221)-2*_xll.VOLATILITE.EWMA($AC$137,dfactor,Z120,AC221)</f>
        <v>#VALUE!</v>
      </c>
      <c r="AE120" s="258" t="e">
        <f>_xll.MOYENNE.EWMA($AC$137,dfactor,Z120,AC221)+2*_xll.VOLATILITE.EWMA($AC$137,dfactor,Z120,AC221)</f>
        <v>#VALUE!</v>
      </c>
      <c r="AF120" s="248" t="e">
        <f t="shared" si="6"/>
        <v>#VALUE!</v>
      </c>
      <c r="AG120" s="259" t="e">
        <f>_xll.MOYENNE.EWMA($AF$137,dfactor,Z120,AF221)-2*_xll.VOLATILITE.EWMA($AF$137,dfactor,Z120,AF221)</f>
        <v>#VALUE!</v>
      </c>
      <c r="AH120" s="259" t="e">
        <f>_xll.MOYENNE.EWMA($AF$137,dfactor,Z120,AF221)+2*_xll.VOLATILITE.EWMA($AF$137,dfactor,Z120,AF221)</f>
        <v>#VALUE!</v>
      </c>
      <c r="AI120" s="245" t="e">
        <f t="shared" si="5"/>
        <v>#VALUE!</v>
      </c>
      <c r="AJ120" s="260" t="e">
        <f>_xll.MOYENNE.EWMA($AI$137,dfactor,Z120,AI221)-2*_xll.VOLATILITE.EWMA($AI$137,dfactor,Z120,AI221)</f>
        <v>#VALUE!</v>
      </c>
      <c r="AK120" s="260" t="e">
        <f>_xll.MOYENNE.EWMA($AI$137,dfactor,Z120,AI221)+2*_xll.VOLATILITE.EWMA($AI$137,dfactor,Z120,AI221)</f>
        <v>#VALUE!</v>
      </c>
    </row>
    <row r="121" spans="26:37" x14ac:dyDescent="0.2">
      <c r="Z121" s="255" t="e">
        <f ca="1">_xll.JOURS.OUVRES.FINANCE($Z120,"USD",-1)</f>
        <v>#NAME?</v>
      </c>
      <c r="AA121" s="256">
        <v>2.5508981182928605</v>
      </c>
      <c r="AB121" s="256">
        <v>3.7541519740204756</v>
      </c>
      <c r="AC121" s="257">
        <f t="shared" si="7"/>
        <v>2.5508981182928605</v>
      </c>
      <c r="AD121" s="258" t="e">
        <f>_xll.MOYENNE.EWMA($AC$137,dfactor,Z121,AC222)-2*_xll.VOLATILITE.EWMA($AC$137,dfactor,Z121,AC222)</f>
        <v>#VALUE!</v>
      </c>
      <c r="AE121" s="258" t="e">
        <f>_xll.MOYENNE.EWMA($AC$137,dfactor,Z121,AC222)+2*_xll.VOLATILITE.EWMA($AC$137,dfactor,Z121,AC222)</f>
        <v>#VALUE!</v>
      </c>
      <c r="AF121" s="248" t="e">
        <f t="shared" si="6"/>
        <v>#VALUE!</v>
      </c>
      <c r="AG121" s="259" t="e">
        <f>_xll.MOYENNE.EWMA($AF$137,dfactor,Z121,AF222)-2*_xll.VOLATILITE.EWMA($AF$137,dfactor,Z121,AF222)</f>
        <v>#VALUE!</v>
      </c>
      <c r="AH121" s="259" t="e">
        <f>_xll.MOYENNE.EWMA($AF$137,dfactor,Z121,AF222)+2*_xll.VOLATILITE.EWMA($AF$137,dfactor,Z121,AF222)</f>
        <v>#VALUE!</v>
      </c>
      <c r="AI121" s="245" t="e">
        <f t="shared" si="5"/>
        <v>#VALUE!</v>
      </c>
      <c r="AJ121" s="260" t="e">
        <f>_xll.MOYENNE.EWMA($AI$137,dfactor,Z121,AI222)-2*_xll.VOLATILITE.EWMA($AI$137,dfactor,Z121,AI222)</f>
        <v>#VALUE!</v>
      </c>
      <c r="AK121" s="260" t="e">
        <f>_xll.MOYENNE.EWMA($AI$137,dfactor,Z121,AI222)+2*_xll.VOLATILITE.EWMA($AI$137,dfactor,Z121,AI222)</f>
        <v>#VALUE!</v>
      </c>
    </row>
    <row r="122" spans="26:37" x14ac:dyDescent="0.2">
      <c r="Z122" s="255" t="e">
        <f ca="1">_xll.JOURS.OUVRES.FINANCE($Z121,"USD",-1)</f>
        <v>#NAME?</v>
      </c>
      <c r="AA122" s="256">
        <v>3.2011724783802169</v>
      </c>
      <c r="AB122" s="256">
        <v>3.935738368532927</v>
      </c>
      <c r="AC122" s="257">
        <f t="shared" si="7"/>
        <v>3.2011724783802169</v>
      </c>
      <c r="AD122" s="258" t="e">
        <f>_xll.MOYENNE.EWMA($AC$137,dfactor,Z122,AC223)-2*_xll.VOLATILITE.EWMA($AC$137,dfactor,Z122,AC223)</f>
        <v>#VALUE!</v>
      </c>
      <c r="AE122" s="258" t="e">
        <f>_xll.MOYENNE.EWMA($AC$137,dfactor,Z122,AC223)+2*_xll.VOLATILITE.EWMA($AC$137,dfactor,Z122,AC223)</f>
        <v>#VALUE!</v>
      </c>
      <c r="AF122" s="248" t="e">
        <f t="shared" si="6"/>
        <v>#VALUE!</v>
      </c>
      <c r="AG122" s="259" t="e">
        <f>_xll.MOYENNE.EWMA($AF$137,dfactor,Z122,AF223)-2*_xll.VOLATILITE.EWMA($AF$137,dfactor,Z122,AF223)</f>
        <v>#VALUE!</v>
      </c>
      <c r="AH122" s="259" t="e">
        <f>_xll.MOYENNE.EWMA($AF$137,dfactor,Z122,AF223)+2*_xll.VOLATILITE.EWMA($AF$137,dfactor,Z122,AF223)</f>
        <v>#VALUE!</v>
      </c>
      <c r="AI122" s="245" t="e">
        <f t="shared" si="5"/>
        <v>#VALUE!</v>
      </c>
      <c r="AJ122" s="260" t="e">
        <f>_xll.MOYENNE.EWMA($AI$137,dfactor,Z122,AI223)-2*_xll.VOLATILITE.EWMA($AI$137,dfactor,Z122,AI223)</f>
        <v>#VALUE!</v>
      </c>
      <c r="AK122" s="260" t="e">
        <f>_xll.MOYENNE.EWMA($AI$137,dfactor,Z122,AI223)+2*_xll.VOLATILITE.EWMA($AI$137,dfactor,Z122,AI223)</f>
        <v>#VALUE!</v>
      </c>
    </row>
    <row r="123" spans="26:37" x14ac:dyDescent="0.2">
      <c r="Z123" s="255" t="e">
        <f ca="1">_xll.JOURS.OUVRES.FINANCE($Z122,"USD",-1)</f>
        <v>#NAME?</v>
      </c>
      <c r="AA123" s="256">
        <v>2.7190829930641507</v>
      </c>
      <c r="AB123" s="256">
        <v>2.4937386912352357</v>
      </c>
      <c r="AC123" s="257">
        <f t="shared" si="7"/>
        <v>2.7190829930641507</v>
      </c>
      <c r="AD123" s="258" t="e">
        <f>_xll.MOYENNE.EWMA($AC$137,dfactor,Z123,AC224)-2*_xll.VOLATILITE.EWMA($AC$137,dfactor,Z123,AC224)</f>
        <v>#VALUE!</v>
      </c>
      <c r="AE123" s="258" t="e">
        <f>_xll.MOYENNE.EWMA($AC$137,dfactor,Z123,AC224)+2*_xll.VOLATILITE.EWMA($AC$137,dfactor,Z123,AC224)</f>
        <v>#VALUE!</v>
      </c>
      <c r="AF123" s="248" t="e">
        <f t="shared" si="6"/>
        <v>#VALUE!</v>
      </c>
      <c r="AG123" s="259" t="e">
        <f>_xll.MOYENNE.EWMA($AF$137,dfactor,Z123,AF224)-2*_xll.VOLATILITE.EWMA($AF$137,dfactor,Z123,AF224)</f>
        <v>#VALUE!</v>
      </c>
      <c r="AH123" s="259" t="e">
        <f>_xll.MOYENNE.EWMA($AF$137,dfactor,Z123,AF224)+2*_xll.VOLATILITE.EWMA($AF$137,dfactor,Z123,AF224)</f>
        <v>#VALUE!</v>
      </c>
      <c r="AI123" s="245" t="e">
        <f t="shared" si="5"/>
        <v>#VALUE!</v>
      </c>
      <c r="AJ123" s="260" t="e">
        <f>_xll.MOYENNE.EWMA($AI$137,dfactor,Z123,AI224)-2*_xll.VOLATILITE.EWMA($AI$137,dfactor,Z123,AI224)</f>
        <v>#VALUE!</v>
      </c>
      <c r="AK123" s="260" t="e">
        <f>_xll.MOYENNE.EWMA($AI$137,dfactor,Z123,AI224)+2*_xll.VOLATILITE.EWMA($AI$137,dfactor,Z123,AI224)</f>
        <v>#VALUE!</v>
      </c>
    </row>
    <row r="124" spans="26:37" x14ac:dyDescent="0.2">
      <c r="Z124" s="255" t="e">
        <f ca="1">_xll.JOURS.OUVRES.FINANCE($Z123,"USD",-1)</f>
        <v>#NAME?</v>
      </c>
      <c r="AA124" s="256">
        <v>1.7105946144030324</v>
      </c>
      <c r="AB124" s="256">
        <v>1.952045939534611</v>
      </c>
      <c r="AC124" s="257">
        <f t="shared" si="7"/>
        <v>1.7105946144030324</v>
      </c>
      <c r="AD124" s="258" t="e">
        <f>_xll.MOYENNE.EWMA($AC$137,dfactor,Z124,AC225)-2*_xll.VOLATILITE.EWMA($AC$137,dfactor,Z124,AC225)</f>
        <v>#VALUE!</v>
      </c>
      <c r="AE124" s="258" t="e">
        <f>_xll.MOYENNE.EWMA($AC$137,dfactor,Z124,AC225)+2*_xll.VOLATILITE.EWMA($AC$137,dfactor,Z124,AC225)</f>
        <v>#VALUE!</v>
      </c>
      <c r="AF124" s="248" t="e">
        <f t="shared" si="6"/>
        <v>#VALUE!</v>
      </c>
      <c r="AG124" s="259" t="e">
        <f>_xll.MOYENNE.EWMA($AF$137,dfactor,Z124,AF225)-2*_xll.VOLATILITE.EWMA($AF$137,dfactor,Z124,AF225)</f>
        <v>#VALUE!</v>
      </c>
      <c r="AH124" s="259" t="e">
        <f>_xll.MOYENNE.EWMA($AF$137,dfactor,Z124,AF225)+2*_xll.VOLATILITE.EWMA($AF$137,dfactor,Z124,AF225)</f>
        <v>#VALUE!</v>
      </c>
      <c r="AI124" s="245" t="e">
        <f t="shared" si="5"/>
        <v>#VALUE!</v>
      </c>
      <c r="AJ124" s="260" t="e">
        <f>_xll.MOYENNE.EWMA($AI$137,dfactor,Z124,AI225)-2*_xll.VOLATILITE.EWMA($AI$137,dfactor,Z124,AI225)</f>
        <v>#VALUE!</v>
      </c>
      <c r="AK124" s="260" t="e">
        <f>_xll.MOYENNE.EWMA($AI$137,dfactor,Z124,AI225)+2*_xll.VOLATILITE.EWMA($AI$137,dfactor,Z124,AI225)</f>
        <v>#VALUE!</v>
      </c>
    </row>
    <row r="125" spans="26:37" x14ac:dyDescent="0.2">
      <c r="Z125" s="255" t="e">
        <f ca="1">_xll.JOURS.OUVRES.FINANCE($Z124,"USD",-1)</f>
        <v>#NAME?</v>
      </c>
      <c r="AA125" s="256">
        <v>3.3968366340868204</v>
      </c>
      <c r="AB125" s="256">
        <v>2.8023483596859364</v>
      </c>
      <c r="AC125" s="257">
        <f t="shared" si="7"/>
        <v>3.3968366340868204</v>
      </c>
      <c r="AD125" s="258" t="e">
        <f>_xll.MOYENNE.EWMA($AC$137,dfactor,Z125,AC226)-2*_xll.VOLATILITE.EWMA($AC$137,dfactor,Z125,AC226)</f>
        <v>#VALUE!</v>
      </c>
      <c r="AE125" s="258" t="e">
        <f>_xll.MOYENNE.EWMA($AC$137,dfactor,Z125,AC226)+2*_xll.VOLATILITE.EWMA($AC$137,dfactor,Z125,AC226)</f>
        <v>#VALUE!</v>
      </c>
      <c r="AF125" s="248" t="e">
        <f t="shared" si="6"/>
        <v>#VALUE!</v>
      </c>
      <c r="AG125" s="259" t="e">
        <f>_xll.MOYENNE.EWMA($AF$137,dfactor,Z125,AF226)-2*_xll.VOLATILITE.EWMA($AF$137,dfactor,Z125,AF226)</f>
        <v>#VALUE!</v>
      </c>
      <c r="AH125" s="259" t="e">
        <f>_xll.MOYENNE.EWMA($AF$137,dfactor,Z125,AF226)+2*_xll.VOLATILITE.EWMA($AF$137,dfactor,Z125,AF226)</f>
        <v>#VALUE!</v>
      </c>
      <c r="AI125" s="245" t="e">
        <f t="shared" si="5"/>
        <v>#VALUE!</v>
      </c>
      <c r="AJ125" s="260" t="e">
        <f>_xll.MOYENNE.EWMA($AI$137,dfactor,Z125,AI226)-2*_xll.VOLATILITE.EWMA($AI$137,dfactor,Z125,AI226)</f>
        <v>#VALUE!</v>
      </c>
      <c r="AK125" s="260" t="e">
        <f>_xll.MOYENNE.EWMA($AI$137,dfactor,Z125,AI226)+2*_xll.VOLATILITE.EWMA($AI$137,dfactor,Z125,AI226)</f>
        <v>#VALUE!</v>
      </c>
    </row>
    <row r="126" spans="26:37" x14ac:dyDescent="0.2">
      <c r="Z126" s="255" t="e">
        <f ca="1">_xll.JOURS.OUVRES.FINANCE($Z125,"USD",-1)</f>
        <v>#NAME?</v>
      </c>
      <c r="AA126" s="256">
        <v>2.5507919761741751</v>
      </c>
      <c r="AB126" s="256">
        <v>1.9707323600645792</v>
      </c>
      <c r="AC126" s="257">
        <f t="shared" si="7"/>
        <v>2.5507919761741751</v>
      </c>
      <c r="AD126" s="258" t="e">
        <f>_xll.MOYENNE.EWMA($AC$137,dfactor,Z126,AC227)-2*_xll.VOLATILITE.EWMA($AC$137,dfactor,Z126,AC227)</f>
        <v>#VALUE!</v>
      </c>
      <c r="AE126" s="258" t="e">
        <f>_xll.MOYENNE.EWMA($AC$137,dfactor,Z126,AC227)+2*_xll.VOLATILITE.EWMA($AC$137,dfactor,Z126,AC227)</f>
        <v>#VALUE!</v>
      </c>
      <c r="AF126" s="248" t="e">
        <f t="shared" si="6"/>
        <v>#VALUE!</v>
      </c>
      <c r="AG126" s="259" t="e">
        <f>_xll.MOYENNE.EWMA($AF$137,dfactor,Z126,AF227)-2*_xll.VOLATILITE.EWMA($AF$137,dfactor,Z126,AF227)</f>
        <v>#VALUE!</v>
      </c>
      <c r="AH126" s="259" t="e">
        <f>_xll.MOYENNE.EWMA($AF$137,dfactor,Z126,AF227)+2*_xll.VOLATILITE.EWMA($AF$137,dfactor,Z126,AF227)</f>
        <v>#VALUE!</v>
      </c>
      <c r="AI126" s="245" t="e">
        <f t="shared" si="5"/>
        <v>#VALUE!</v>
      </c>
      <c r="AJ126" s="260" t="e">
        <f>_xll.MOYENNE.EWMA($AI$137,dfactor,Z126,AI227)-2*_xll.VOLATILITE.EWMA($AI$137,dfactor,Z126,AI227)</f>
        <v>#VALUE!</v>
      </c>
      <c r="AK126" s="260" t="e">
        <f>_xll.MOYENNE.EWMA($AI$137,dfactor,Z126,AI227)+2*_xll.VOLATILITE.EWMA($AI$137,dfactor,Z126,AI227)</f>
        <v>#VALUE!</v>
      </c>
    </row>
    <row r="127" spans="26:37" x14ac:dyDescent="0.2">
      <c r="Z127" s="255" t="e">
        <f ca="1">_xll.JOURS.OUVRES.FINANCE($Z126,"USD",-1)</f>
        <v>#NAME?</v>
      </c>
      <c r="AA127" s="256">
        <v>3.6690790163830806</v>
      </c>
      <c r="AB127" s="256">
        <v>5.0963761933966252</v>
      </c>
      <c r="AC127" s="257">
        <f t="shared" si="7"/>
        <v>3.6690790163830806</v>
      </c>
      <c r="AD127" s="258" t="e">
        <f>_xll.MOYENNE.EWMA($AC$137,dfactor,Z127,AC228)-2*_xll.VOLATILITE.EWMA($AC$137,dfactor,Z127,AC228)</f>
        <v>#VALUE!</v>
      </c>
      <c r="AE127" s="258" t="e">
        <f>_xll.MOYENNE.EWMA($AC$137,dfactor,Z127,AC228)+2*_xll.VOLATILITE.EWMA($AC$137,dfactor,Z127,AC228)</f>
        <v>#VALUE!</v>
      </c>
      <c r="AF127" s="248" t="e">
        <f t="shared" si="6"/>
        <v>#VALUE!</v>
      </c>
      <c r="AG127" s="259" t="e">
        <f>_xll.MOYENNE.EWMA($AF$137,dfactor,Z127,AF228)-2*_xll.VOLATILITE.EWMA($AF$137,dfactor,Z127,AF228)</f>
        <v>#VALUE!</v>
      </c>
      <c r="AH127" s="259" t="e">
        <f>_xll.MOYENNE.EWMA($AF$137,dfactor,Z127,AF228)+2*_xll.VOLATILITE.EWMA($AF$137,dfactor,Z127,AF228)</f>
        <v>#VALUE!</v>
      </c>
      <c r="AI127" s="245" t="e">
        <f t="shared" si="5"/>
        <v>#VALUE!</v>
      </c>
      <c r="AJ127" s="260" t="e">
        <f>_xll.MOYENNE.EWMA($AI$137,dfactor,Z127,AI228)-2*_xll.VOLATILITE.EWMA($AI$137,dfactor,Z127,AI228)</f>
        <v>#VALUE!</v>
      </c>
      <c r="AK127" s="260" t="e">
        <f>_xll.MOYENNE.EWMA($AI$137,dfactor,Z127,AI228)+2*_xll.VOLATILITE.EWMA($AI$137,dfactor,Z127,AI228)</f>
        <v>#VALUE!</v>
      </c>
    </row>
    <row r="128" spans="26:37" x14ac:dyDescent="0.2">
      <c r="Z128" s="255" t="e">
        <f ca="1">_xll.JOURS.OUVRES.FINANCE($Z127,"USD",-1)</f>
        <v>#NAME?</v>
      </c>
      <c r="AA128" s="256">
        <v>2.1743373056841921</v>
      </c>
      <c r="AB128" s="256">
        <v>3.3002788472239315</v>
      </c>
      <c r="AC128" s="257">
        <f t="shared" si="7"/>
        <v>2.1743373056841921</v>
      </c>
      <c r="AD128" s="258" t="e">
        <f>_xll.MOYENNE.EWMA($AC$137,dfactor,Z128,AC229)-2*_xll.VOLATILITE.EWMA($AC$137,dfactor,Z128,AC229)</f>
        <v>#VALUE!</v>
      </c>
      <c r="AE128" s="258" t="e">
        <f>_xll.MOYENNE.EWMA($AC$137,dfactor,Z128,AC229)+2*_xll.VOLATILITE.EWMA($AC$137,dfactor,Z128,AC229)</f>
        <v>#VALUE!</v>
      </c>
      <c r="AF128" s="248" t="e">
        <f t="shared" si="6"/>
        <v>#VALUE!</v>
      </c>
      <c r="AG128" s="259" t="e">
        <f>_xll.MOYENNE.EWMA($AF$137,dfactor,Z128,AF229)-2*_xll.VOLATILITE.EWMA($AF$137,dfactor,Z128,AF229)</f>
        <v>#VALUE!</v>
      </c>
      <c r="AH128" s="259" t="e">
        <f>_xll.MOYENNE.EWMA($AF$137,dfactor,Z128,AF229)+2*_xll.VOLATILITE.EWMA($AF$137,dfactor,Z128,AF229)</f>
        <v>#VALUE!</v>
      </c>
      <c r="AI128" s="245" t="e">
        <f t="shared" si="5"/>
        <v>#VALUE!</v>
      </c>
      <c r="AJ128" s="260" t="e">
        <f>_xll.MOYENNE.EWMA($AI$137,dfactor,Z128,AI229)-2*_xll.VOLATILITE.EWMA($AI$137,dfactor,Z128,AI229)</f>
        <v>#VALUE!</v>
      </c>
      <c r="AK128" s="260" t="e">
        <f>_xll.MOYENNE.EWMA($AI$137,dfactor,Z128,AI229)+2*_xll.VOLATILITE.EWMA($AI$137,dfactor,Z128,AI229)</f>
        <v>#VALUE!</v>
      </c>
    </row>
    <row r="129" spans="26:37" x14ac:dyDescent="0.2">
      <c r="Z129" s="255" t="e">
        <f ca="1">_xll.JOURS.OUVRES.FINANCE($Z128,"USD",-1)</f>
        <v>#NAME?</v>
      </c>
      <c r="AA129" s="256">
        <v>3.7901142880511869</v>
      </c>
      <c r="AB129" s="256">
        <v>3.2996577477502234</v>
      </c>
      <c r="AC129" s="257">
        <f t="shared" si="7"/>
        <v>3.7901142880511869</v>
      </c>
      <c r="AD129" s="258" t="e">
        <f>_xll.MOYENNE.EWMA($AC$137,dfactor,Z129,AC230)-2*_xll.VOLATILITE.EWMA($AC$137,dfactor,Z129,AC230)</f>
        <v>#VALUE!</v>
      </c>
      <c r="AE129" s="258" t="e">
        <f>_xll.MOYENNE.EWMA($AC$137,dfactor,Z129,AC230)+2*_xll.VOLATILITE.EWMA($AC$137,dfactor,Z129,AC230)</f>
        <v>#VALUE!</v>
      </c>
      <c r="AF129" s="248" t="e">
        <f t="shared" si="6"/>
        <v>#VALUE!</v>
      </c>
      <c r="AG129" s="259" t="e">
        <f>_xll.MOYENNE.EWMA($AF$137,dfactor,Z129,AF230)-2*_xll.VOLATILITE.EWMA($AF$137,dfactor,Z129,AF230)</f>
        <v>#VALUE!</v>
      </c>
      <c r="AH129" s="259" t="e">
        <f>_xll.MOYENNE.EWMA($AF$137,dfactor,Z129,AF230)+2*_xll.VOLATILITE.EWMA($AF$137,dfactor,Z129,AF230)</f>
        <v>#VALUE!</v>
      </c>
      <c r="AI129" s="245" t="e">
        <f t="shared" si="5"/>
        <v>#VALUE!</v>
      </c>
      <c r="AJ129" s="260" t="e">
        <f>_xll.MOYENNE.EWMA($AI$137,dfactor,Z129,AI230)-2*_xll.VOLATILITE.EWMA($AI$137,dfactor,Z129,AI230)</f>
        <v>#VALUE!</v>
      </c>
      <c r="AK129" s="260" t="e">
        <f>_xll.MOYENNE.EWMA($AI$137,dfactor,Z129,AI230)+2*_xll.VOLATILITE.EWMA($AI$137,dfactor,Z129,AI230)</f>
        <v>#VALUE!</v>
      </c>
    </row>
    <row r="130" spans="26:37" x14ac:dyDescent="0.2">
      <c r="Z130" s="255" t="e">
        <f ca="1">_xll.JOURS.OUVRES.FINANCE($Z129,"USD",-1)</f>
        <v>#NAME?</v>
      </c>
      <c r="AA130" s="256">
        <v>3.6969475433503605</v>
      </c>
      <c r="AB130" s="256">
        <v>3.313746929457186</v>
      </c>
      <c r="AC130" s="257">
        <f t="shared" si="7"/>
        <v>3.6969475433503605</v>
      </c>
      <c r="AD130" s="258" t="e">
        <f>_xll.MOYENNE.EWMA($AC$137,dfactor,Z130,AC231)-2*_xll.VOLATILITE.EWMA($AC$137,dfactor,Z130,AC231)</f>
        <v>#VALUE!</v>
      </c>
      <c r="AE130" s="258" t="e">
        <f>_xll.MOYENNE.EWMA($AC$137,dfactor,Z130,AC231)+2*_xll.VOLATILITE.EWMA($AC$137,dfactor,Z130,AC231)</f>
        <v>#VALUE!</v>
      </c>
      <c r="AF130" s="248" t="e">
        <f t="shared" si="6"/>
        <v>#VALUE!</v>
      </c>
      <c r="AG130" s="259" t="e">
        <f>_xll.MOYENNE.EWMA($AF$137,dfactor,Z130,AF231)-2*_xll.VOLATILITE.EWMA($AF$137,dfactor,Z130,AF231)</f>
        <v>#VALUE!</v>
      </c>
      <c r="AH130" s="259" t="e">
        <f>_xll.MOYENNE.EWMA($AF$137,dfactor,Z130,AF231)+2*_xll.VOLATILITE.EWMA($AF$137,dfactor,Z130,AF231)</f>
        <v>#VALUE!</v>
      </c>
      <c r="AI130" s="245" t="e">
        <f t="shared" si="5"/>
        <v>#VALUE!</v>
      </c>
      <c r="AJ130" s="260" t="e">
        <f>_xll.MOYENNE.EWMA($AI$137,dfactor,Z130,AI231)-2*_xll.VOLATILITE.EWMA($AI$137,dfactor,Z130,AI231)</f>
        <v>#VALUE!</v>
      </c>
      <c r="AK130" s="260" t="e">
        <f>_xll.MOYENNE.EWMA($AI$137,dfactor,Z130,AI231)+2*_xll.VOLATILITE.EWMA($AI$137,dfactor,Z130,AI231)</f>
        <v>#VALUE!</v>
      </c>
    </row>
    <row r="131" spans="26:37" x14ac:dyDescent="0.2">
      <c r="Z131" s="255" t="e">
        <f ca="1">_xll.JOURS.OUVRES.FINANCE($Z130,"USD",-1)</f>
        <v>#NAME?</v>
      </c>
      <c r="AA131" s="256">
        <v>2.7523774334416027</v>
      </c>
      <c r="AB131" s="256">
        <v>2.4675194041717385</v>
      </c>
      <c r="AC131" s="257">
        <f t="shared" si="7"/>
        <v>2.7523774334416027</v>
      </c>
      <c r="AD131" s="258" t="e">
        <f>_xll.MOYENNE.EWMA($AC$137,dfactor,Z131,AC232)-2*_xll.VOLATILITE.EWMA($AC$137,dfactor,Z131,AC232)</f>
        <v>#VALUE!</v>
      </c>
      <c r="AE131" s="258" t="e">
        <f>_xll.MOYENNE.EWMA($AC$137,dfactor,Z131,AC232)+2*_xll.VOLATILITE.EWMA($AC$137,dfactor,Z131,AC232)</f>
        <v>#VALUE!</v>
      </c>
      <c r="AF131" s="248" t="e">
        <f t="shared" si="6"/>
        <v>#VALUE!</v>
      </c>
      <c r="AG131" s="259" t="e">
        <f>_xll.MOYENNE.EWMA($AF$137,dfactor,Z131,AF232)-2*_xll.VOLATILITE.EWMA($AF$137,dfactor,Z131,AF232)</f>
        <v>#VALUE!</v>
      </c>
      <c r="AH131" s="259" t="e">
        <f>_xll.MOYENNE.EWMA($AF$137,dfactor,Z131,AF232)+2*_xll.VOLATILITE.EWMA($AF$137,dfactor,Z131,AF232)</f>
        <v>#VALUE!</v>
      </c>
      <c r="AI131" s="245" t="e">
        <f t="shared" si="5"/>
        <v>#VALUE!</v>
      </c>
      <c r="AJ131" s="260" t="e">
        <f>_xll.MOYENNE.EWMA($AI$137,dfactor,Z131,AI232)-2*_xll.VOLATILITE.EWMA($AI$137,dfactor,Z131,AI232)</f>
        <v>#VALUE!</v>
      </c>
      <c r="AK131" s="260" t="e">
        <f>_xll.MOYENNE.EWMA($AI$137,dfactor,Z131,AI232)+2*_xll.VOLATILITE.EWMA($AI$137,dfactor,Z131,AI232)</f>
        <v>#VALUE!</v>
      </c>
    </row>
    <row r="132" spans="26:37" x14ac:dyDescent="0.2">
      <c r="Z132" s="255" t="e">
        <f ca="1">_xll.JOURS.OUVRES.FINANCE($Z131,"USD",-1)</f>
        <v>#NAME?</v>
      </c>
      <c r="AA132" s="256">
        <v>2.3864554785522265</v>
      </c>
      <c r="AB132" s="256">
        <v>2.8121159117586885</v>
      </c>
      <c r="AC132" s="257">
        <f t="shared" si="7"/>
        <v>2.3864554785522265</v>
      </c>
      <c r="AD132" s="258" t="e">
        <f>_xll.MOYENNE.EWMA($AC$137,dfactor,Z132,AC233)-2*_xll.VOLATILITE.EWMA($AC$137,dfactor,Z132,AC233)</f>
        <v>#VALUE!</v>
      </c>
      <c r="AE132" s="258" t="e">
        <f>_xll.MOYENNE.EWMA($AC$137,dfactor,Z132,AC233)+2*_xll.VOLATILITE.EWMA($AC$137,dfactor,Z132,AC233)</f>
        <v>#VALUE!</v>
      </c>
      <c r="AF132" s="248" t="e">
        <f t="shared" si="6"/>
        <v>#VALUE!</v>
      </c>
      <c r="AG132" s="259" t="e">
        <f>_xll.MOYENNE.EWMA($AF$137,dfactor,Z132,AF233)-2*_xll.VOLATILITE.EWMA($AF$137,dfactor,Z132,AF233)</f>
        <v>#VALUE!</v>
      </c>
      <c r="AH132" s="259" t="e">
        <f>_xll.MOYENNE.EWMA($AF$137,dfactor,Z132,AF233)+2*_xll.VOLATILITE.EWMA($AF$137,dfactor,Z132,AF233)</f>
        <v>#VALUE!</v>
      </c>
      <c r="AI132" s="245" t="e">
        <f t="shared" si="5"/>
        <v>#VALUE!</v>
      </c>
      <c r="AJ132" s="260" t="e">
        <f>_xll.MOYENNE.EWMA($AI$137,dfactor,Z132,AI233)-2*_xll.VOLATILITE.EWMA($AI$137,dfactor,Z132,AI233)</f>
        <v>#VALUE!</v>
      </c>
      <c r="AK132" s="260" t="e">
        <f>_xll.MOYENNE.EWMA($AI$137,dfactor,Z132,AI233)+2*_xll.VOLATILITE.EWMA($AI$137,dfactor,Z132,AI233)</f>
        <v>#VALUE!</v>
      </c>
    </row>
    <row r="133" spans="26:37" x14ac:dyDescent="0.2">
      <c r="Z133" s="255" t="e">
        <f ca="1">_xll.JOURS.OUVRES.FINANCE($Z132,"USD",-1)</f>
        <v>#NAME?</v>
      </c>
      <c r="AA133" s="256">
        <v>2.0429261418444522</v>
      </c>
      <c r="AB133" s="256">
        <v>2.6797330715064338</v>
      </c>
      <c r="AC133" s="257">
        <f t="shared" si="7"/>
        <v>2.0429261418444522</v>
      </c>
      <c r="AD133" s="258" t="e">
        <f>_xll.MOYENNE.EWMA($AC$137,dfactor,Z133,AC234)-2*_xll.VOLATILITE.EWMA($AC$137,dfactor,Z133,AC234)</f>
        <v>#VALUE!</v>
      </c>
      <c r="AE133" s="258" t="e">
        <f>_xll.MOYENNE.EWMA($AC$137,dfactor,Z133,AC234)+2*_xll.VOLATILITE.EWMA($AC$137,dfactor,Z133,AC234)</f>
        <v>#VALUE!</v>
      </c>
      <c r="AF133" s="248" t="e">
        <f t="shared" si="6"/>
        <v>#VALUE!</v>
      </c>
      <c r="AG133" s="259" t="e">
        <f>_xll.MOYENNE.EWMA($AF$137,dfactor,Z133,AF234)-2*_xll.VOLATILITE.EWMA($AF$137,dfactor,Z133,AF234)</f>
        <v>#VALUE!</v>
      </c>
      <c r="AH133" s="259" t="e">
        <f>_xll.MOYENNE.EWMA($AF$137,dfactor,Z133,AF234)+2*_xll.VOLATILITE.EWMA($AF$137,dfactor,Z133,AF234)</f>
        <v>#VALUE!</v>
      </c>
      <c r="AI133" s="245" t="e">
        <f t="shared" si="5"/>
        <v>#VALUE!</v>
      </c>
      <c r="AJ133" s="260" t="e">
        <f>_xll.MOYENNE.EWMA($AI$137,dfactor,Z133,AI234)-2*_xll.VOLATILITE.EWMA($AI$137,dfactor,Z133,AI234)</f>
        <v>#VALUE!</v>
      </c>
      <c r="AK133" s="260" t="e">
        <f>_xll.MOYENNE.EWMA($AI$137,dfactor,Z133,AI234)+2*_xll.VOLATILITE.EWMA($AI$137,dfactor,Z133,AI234)</f>
        <v>#VALUE!</v>
      </c>
    </row>
    <row r="134" spans="26:37" x14ac:dyDescent="0.2">
      <c r="Z134" s="255" t="e">
        <f ca="1">_xll.JOURS.OUVRES.FINANCE($Z133,"USD",-1)</f>
        <v>#NAME?</v>
      </c>
      <c r="AA134" s="256">
        <v>-0.26753933839284855</v>
      </c>
      <c r="AB134" s="256">
        <v>1.1504381519999569</v>
      </c>
      <c r="AC134" s="257">
        <f t="shared" si="7"/>
        <v>-0.26753933839284855</v>
      </c>
      <c r="AD134" s="258" t="e">
        <f>_xll.MOYENNE.EWMA($AC$137,dfactor,Z134,AC235)-2*_xll.VOLATILITE.EWMA($AC$137,dfactor,Z134,AC235)</f>
        <v>#VALUE!</v>
      </c>
      <c r="AE134" s="258" t="e">
        <f>_xll.MOYENNE.EWMA($AC$137,dfactor,Z134,AC235)+2*_xll.VOLATILITE.EWMA($AC$137,dfactor,Z134,AC235)</f>
        <v>#VALUE!</v>
      </c>
      <c r="AF134" s="248" t="e">
        <f t="shared" si="6"/>
        <v>#VALUE!</v>
      </c>
      <c r="AG134" s="259" t="e">
        <f>_xll.MOYENNE.EWMA($AF$137,dfactor,Z134,AF235)-2*_xll.VOLATILITE.EWMA($AF$137,dfactor,Z134,AF235)</f>
        <v>#VALUE!</v>
      </c>
      <c r="AH134" s="259" t="e">
        <f>_xll.MOYENNE.EWMA($AF$137,dfactor,Z134,AF235)+2*_xll.VOLATILITE.EWMA($AF$137,dfactor,Z134,AF235)</f>
        <v>#VALUE!</v>
      </c>
      <c r="AI134" s="245" t="e">
        <f t="shared" si="5"/>
        <v>#VALUE!</v>
      </c>
      <c r="AJ134" s="260" t="e">
        <f>_xll.MOYENNE.EWMA($AI$137,dfactor,Z134,AI235)-2*_xll.VOLATILITE.EWMA($AI$137,dfactor,Z134,AI235)</f>
        <v>#VALUE!</v>
      </c>
      <c r="AK134" s="260" t="e">
        <f>_xll.MOYENNE.EWMA($AI$137,dfactor,Z134,AI235)+2*_xll.VOLATILITE.EWMA($AI$137,dfactor,Z134,AI235)</f>
        <v>#VALUE!</v>
      </c>
    </row>
    <row r="135" spans="26:37" x14ac:dyDescent="0.2">
      <c r="Z135" s="255" t="e">
        <f ca="1">_xll.JOURS.OUVRES.FINANCE($Z134,"USD",-1)</f>
        <v>#NAME?</v>
      </c>
      <c r="AA135" s="256">
        <v>0.11443487924758949</v>
      </c>
      <c r="AB135" s="256">
        <v>1.8481104001394282</v>
      </c>
      <c r="AC135" s="257">
        <f t="shared" si="7"/>
        <v>0.11443487924758949</v>
      </c>
      <c r="AD135" s="258" t="e">
        <f>_xll.MOYENNE.EWMA($AC$137,dfactor,Z135,AC236)-2*_xll.VOLATILITE.EWMA($AC$137,dfactor,Z135,AC236)</f>
        <v>#VALUE!</v>
      </c>
      <c r="AE135" s="258" t="e">
        <f>_xll.MOYENNE.EWMA($AC$137,dfactor,Z135,AC236)+2*_xll.VOLATILITE.EWMA($AC$137,dfactor,Z135,AC236)</f>
        <v>#VALUE!</v>
      </c>
      <c r="AF135" s="248" t="e">
        <f t="shared" si="6"/>
        <v>#VALUE!</v>
      </c>
      <c r="AG135" s="259" t="e">
        <f>_xll.MOYENNE.EWMA($AF$137,dfactor,Z135,AF236)-2*_xll.VOLATILITE.EWMA($AF$137,dfactor,Z135,AF236)</f>
        <v>#VALUE!</v>
      </c>
      <c r="AH135" s="259" t="e">
        <f>_xll.MOYENNE.EWMA($AF$137,dfactor,Z135,AF236)+2*_xll.VOLATILITE.EWMA($AF$137,dfactor,Z135,AF236)</f>
        <v>#VALUE!</v>
      </c>
      <c r="AI135" s="245" t="e">
        <f t="shared" si="5"/>
        <v>#VALUE!</v>
      </c>
      <c r="AJ135" s="260" t="e">
        <f>_xll.MOYENNE.EWMA($AI$137,dfactor,Z135,AI236)-2*_xll.VOLATILITE.EWMA($AI$137,dfactor,Z135,AI236)</f>
        <v>#VALUE!</v>
      </c>
      <c r="AK135" s="260" t="e">
        <f>_xll.MOYENNE.EWMA($AI$137,dfactor,Z135,AI236)+2*_xll.VOLATILITE.EWMA($AI$137,dfactor,Z135,AI236)</f>
        <v>#VALUE!</v>
      </c>
    </row>
    <row r="136" spans="26:37" x14ac:dyDescent="0.2"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</row>
    <row r="137" spans="26:37" x14ac:dyDescent="0.2">
      <c r="Z137" s="282" t="s">
        <v>811</v>
      </c>
      <c r="AA137" s="282"/>
      <c r="AB137" s="282"/>
      <c r="AC137" s="282" t="s">
        <v>812</v>
      </c>
      <c r="AD137" s="282"/>
      <c r="AE137" s="282" t="s">
        <v>811</v>
      </c>
      <c r="AF137" s="282" t="s">
        <v>813</v>
      </c>
      <c r="AG137" s="282"/>
      <c r="AH137" s="282" t="s">
        <v>811</v>
      </c>
      <c r="AI137" s="282" t="s">
        <v>814</v>
      </c>
      <c r="AJ137" s="282"/>
      <c r="AK137" s="282"/>
    </row>
    <row r="138" spans="26:37" x14ac:dyDescent="0.2">
      <c r="Z138" s="282" t="s">
        <v>815</v>
      </c>
      <c r="AA138" s="282"/>
      <c r="AB138" s="282"/>
      <c r="AC138" s="282" t="str">
        <f ca="1">_xll.INSTANCE.SERIE.TEMPORELLE(AC137,$Z$37:$Z$135,AC37:AC135,AC37:AC135)</f>
        <v>Parameter 'trigger' has error value</v>
      </c>
      <c r="AD138" s="282"/>
      <c r="AE138" s="282" t="s">
        <v>815</v>
      </c>
      <c r="AF138" s="282" t="str">
        <f ca="1">_xll.INSTANCE.SERIE.TEMPORELLE(AF137,$Z$37:$Z$135,AF37:AF135,AF37:AF135)</f>
        <v>Parameter 'trigger' has error value</v>
      </c>
      <c r="AG138" s="282"/>
      <c r="AH138" s="282" t="s">
        <v>815</v>
      </c>
      <c r="AI138" s="282" t="str">
        <f ca="1">_xll.INSTANCE.SERIE.TEMPORELLE(AI137,$Z$37:$Z$135,AI37:AI135,AI37:AI135)</f>
        <v>Parameter 'trigger' has error value</v>
      </c>
      <c r="AJ138" s="282"/>
      <c r="AK138" s="282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D36" sqref="D36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24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26</v>
      </c>
      <c r="B2" s="1" t="s">
        <v>35</v>
      </c>
      <c r="C2" s="9" t="s">
        <v>922</v>
      </c>
      <c r="D2" s="9" t="s">
        <v>923</v>
      </c>
      <c r="E2" s="9"/>
      <c r="F2" s="9"/>
      <c r="G2" s="9">
        <v>414000000</v>
      </c>
      <c r="H2" s="9">
        <v>414000000</v>
      </c>
      <c r="I2" s="9">
        <v>414000000</v>
      </c>
      <c r="J2" s="9">
        <v>414000000</v>
      </c>
      <c r="K2" s="9">
        <v>414000000</v>
      </c>
      <c r="L2" s="9">
        <v>414000000</v>
      </c>
      <c r="M2" s="9"/>
      <c r="N2" s="9"/>
      <c r="O2" s="9"/>
      <c r="P2" s="9"/>
      <c r="Q2" s="9"/>
    </row>
    <row r="3" spans="1:17" x14ac:dyDescent="0.2">
      <c r="A3" s="1" t="s">
        <v>26</v>
      </c>
      <c r="B3" s="9" t="s">
        <v>35</v>
      </c>
      <c r="C3" s="9" t="s">
        <v>939</v>
      </c>
      <c r="D3" s="9" t="s">
        <v>940</v>
      </c>
      <c r="E3" s="9">
        <v>400000000</v>
      </c>
      <c r="F3" s="9">
        <v>400000000</v>
      </c>
      <c r="G3" s="9">
        <v>400000000</v>
      </c>
      <c r="H3" s="9">
        <v>400000000</v>
      </c>
      <c r="I3" s="9">
        <v>400000000</v>
      </c>
      <c r="J3" s="9">
        <v>400000000</v>
      </c>
      <c r="K3" s="9">
        <v>400000000</v>
      </c>
      <c r="L3" s="9">
        <v>400000000</v>
      </c>
      <c r="M3" s="9"/>
      <c r="N3" s="9"/>
      <c r="O3" s="9"/>
      <c r="P3" s="9"/>
      <c r="Q3" s="9"/>
    </row>
    <row r="4" spans="1:17" x14ac:dyDescent="0.2">
      <c r="A4" s="1" t="s">
        <v>26</v>
      </c>
      <c r="B4" s="9" t="s">
        <v>35</v>
      </c>
      <c r="C4" s="9" t="s">
        <v>651</v>
      </c>
      <c r="D4" s="9" t="s">
        <v>430</v>
      </c>
      <c r="E4" s="9"/>
      <c r="F4" s="9"/>
      <c r="G4" s="9">
        <v>500000000</v>
      </c>
      <c r="H4" s="9">
        <v>500000000</v>
      </c>
      <c r="I4" s="9">
        <v>500000000</v>
      </c>
      <c r="J4" s="9">
        <v>1000000000</v>
      </c>
      <c r="K4" s="9">
        <v>1000000000</v>
      </c>
      <c r="L4" s="9">
        <v>1000000000</v>
      </c>
      <c r="M4" s="9"/>
      <c r="N4" s="9"/>
      <c r="O4" s="9"/>
      <c r="P4" s="9"/>
      <c r="Q4" s="9"/>
    </row>
    <row r="5" spans="1:17" x14ac:dyDescent="0.2">
      <c r="A5" s="1" t="s">
        <v>26</v>
      </c>
      <c r="B5" s="1" t="s">
        <v>35</v>
      </c>
      <c r="C5" s="9" t="s">
        <v>49</v>
      </c>
      <c r="D5" s="9" t="s">
        <v>50</v>
      </c>
      <c r="E5" s="9">
        <v>252000000</v>
      </c>
      <c r="F5" s="9">
        <v>252000000</v>
      </c>
      <c r="G5" s="9">
        <v>252000000</v>
      </c>
      <c r="H5" s="9">
        <v>252000000</v>
      </c>
      <c r="I5" s="9">
        <v>252000000</v>
      </c>
      <c r="J5" s="9">
        <v>252000000</v>
      </c>
      <c r="K5" s="9">
        <v>252000000</v>
      </c>
      <c r="L5" s="9">
        <v>252000000</v>
      </c>
      <c r="M5" s="9"/>
      <c r="N5" s="9"/>
      <c r="O5" s="9"/>
      <c r="P5" s="9"/>
    </row>
    <row r="6" spans="1:17" x14ac:dyDescent="0.2">
      <c r="A6" s="1" t="s">
        <v>26</v>
      </c>
      <c r="B6" s="1" t="s">
        <v>35</v>
      </c>
      <c r="C6" s="9" t="s">
        <v>753</v>
      </c>
      <c r="D6" s="9" t="s">
        <v>754</v>
      </c>
      <c r="E6" s="9">
        <v>267000000</v>
      </c>
      <c r="F6" s="9">
        <v>267000000</v>
      </c>
      <c r="G6" s="9">
        <v>267000000</v>
      </c>
      <c r="H6" s="9">
        <v>267000000</v>
      </c>
      <c r="I6" s="9">
        <v>267000000</v>
      </c>
      <c r="J6" s="9">
        <v>267000000</v>
      </c>
      <c r="K6" s="9">
        <v>267000000</v>
      </c>
      <c r="L6" s="9">
        <v>478000000</v>
      </c>
      <c r="M6" s="9"/>
      <c r="N6" s="9"/>
      <c r="O6" s="9"/>
      <c r="P6" s="9"/>
      <c r="Q6" s="9"/>
    </row>
    <row r="7" spans="1:17" x14ac:dyDescent="0.2">
      <c r="A7" s="1" t="s">
        <v>26</v>
      </c>
      <c r="B7" s="1" t="s">
        <v>35</v>
      </c>
      <c r="C7" s="1" t="s">
        <v>926</v>
      </c>
      <c r="D7" s="35" t="s">
        <v>919</v>
      </c>
      <c r="E7" s="9">
        <v>210000000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">
      <c r="A8" s="1" t="s">
        <v>26</v>
      </c>
      <c r="B8" s="9" t="s">
        <v>35</v>
      </c>
      <c r="C8" s="9" t="s">
        <v>189</v>
      </c>
      <c r="D8" s="9" t="s">
        <v>190</v>
      </c>
      <c r="E8" s="9">
        <v>456000000</v>
      </c>
      <c r="F8" s="9">
        <v>456000000</v>
      </c>
      <c r="G8" s="9">
        <v>456000000</v>
      </c>
      <c r="H8" s="9">
        <v>456000000</v>
      </c>
      <c r="I8" s="9">
        <v>456000000</v>
      </c>
      <c r="J8" s="9">
        <v>456000000</v>
      </c>
      <c r="K8" s="9">
        <v>456000000</v>
      </c>
      <c r="L8" s="9">
        <v>456000000</v>
      </c>
      <c r="M8" s="9"/>
      <c r="N8" s="9"/>
      <c r="O8" s="9"/>
      <c r="P8" s="9"/>
      <c r="Q8" s="9"/>
    </row>
    <row r="9" spans="1:17" x14ac:dyDescent="0.2">
      <c r="A9" s="1" t="s">
        <v>26</v>
      </c>
      <c r="B9" s="1" t="s">
        <v>35</v>
      </c>
      <c r="C9" s="9" t="s">
        <v>40</v>
      </c>
      <c r="D9" s="9" t="s">
        <v>41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">
      <c r="A10" s="1" t="s">
        <v>26</v>
      </c>
      <c r="B10" s="1" t="s">
        <v>35</v>
      </c>
      <c r="C10" s="9" t="s">
        <v>962</v>
      </c>
      <c r="D10" s="9" t="s">
        <v>963</v>
      </c>
      <c r="E10" s="9"/>
      <c r="F10" s="9">
        <v>194000000</v>
      </c>
      <c r="G10" s="9">
        <v>194000000</v>
      </c>
      <c r="H10" s="9">
        <v>194000000</v>
      </c>
      <c r="I10" s="9">
        <v>194000000</v>
      </c>
      <c r="J10" s="9">
        <v>194000000</v>
      </c>
      <c r="K10" s="9">
        <v>194000000</v>
      </c>
      <c r="L10" s="9">
        <v>194000000</v>
      </c>
      <c r="M10" s="9"/>
      <c r="N10" s="9"/>
      <c r="O10" s="9"/>
      <c r="P10" s="9"/>
    </row>
    <row r="11" spans="1:17" x14ac:dyDescent="0.2">
      <c r="A11" s="1" t="s">
        <v>26</v>
      </c>
      <c r="B11" s="9" t="s">
        <v>35</v>
      </c>
      <c r="C11" s="9" t="s">
        <v>72</v>
      </c>
      <c r="D11" s="9" t="s">
        <v>73</v>
      </c>
      <c r="E11" s="9"/>
      <c r="F11" s="9"/>
      <c r="G11" s="9"/>
      <c r="H11" s="9"/>
      <c r="I11" s="9"/>
      <c r="J11" s="9"/>
      <c r="K11" s="9"/>
      <c r="L11" s="9">
        <v>470000000</v>
      </c>
      <c r="M11" s="9"/>
      <c r="N11" s="9"/>
      <c r="O11" s="9"/>
      <c r="P11" s="9"/>
      <c r="Q11" s="9"/>
    </row>
    <row r="12" spans="1:17" x14ac:dyDescent="0.2">
      <c r="A12" s="1" t="s">
        <v>26</v>
      </c>
      <c r="B12" s="9" t="s">
        <v>35</v>
      </c>
      <c r="C12" s="9" t="s">
        <v>51</v>
      </c>
      <c r="D12" s="9" t="s">
        <v>52</v>
      </c>
      <c r="E12" s="9">
        <v>505000000</v>
      </c>
      <c r="F12" s="9">
        <v>505000000</v>
      </c>
      <c r="G12" s="9">
        <v>505000000</v>
      </c>
      <c r="H12" s="9">
        <v>505000000</v>
      </c>
      <c r="I12" s="9">
        <v>505000000</v>
      </c>
      <c r="J12" s="9">
        <v>1505000000</v>
      </c>
      <c r="K12" s="9">
        <v>1505000000</v>
      </c>
      <c r="L12" s="9">
        <v>1505000000</v>
      </c>
      <c r="M12" s="9"/>
      <c r="N12" s="9"/>
      <c r="O12" s="9"/>
      <c r="P12" s="9"/>
    </row>
    <row r="13" spans="1:17" x14ac:dyDescent="0.2">
      <c r="A13" s="1" t="s">
        <v>26</v>
      </c>
      <c r="B13" s="1" t="s">
        <v>35</v>
      </c>
      <c r="C13" s="8" t="s">
        <v>195</v>
      </c>
      <c r="D13" s="8" t="s">
        <v>196</v>
      </c>
      <c r="E13" s="9">
        <v>183000000</v>
      </c>
      <c r="F13" s="9">
        <v>183000000</v>
      </c>
      <c r="G13" s="9">
        <v>183000000</v>
      </c>
      <c r="H13" s="9">
        <v>183000000</v>
      </c>
      <c r="I13" s="9">
        <v>183000000</v>
      </c>
      <c r="J13" s="9">
        <v>433000000</v>
      </c>
      <c r="K13" s="9">
        <v>433000000</v>
      </c>
      <c r="L13" s="9">
        <v>433000000</v>
      </c>
      <c r="M13" s="9"/>
      <c r="N13" s="9"/>
      <c r="O13" s="9"/>
      <c r="P13" s="9"/>
    </row>
    <row r="14" spans="1:17" x14ac:dyDescent="0.2">
      <c r="A14" s="1" t="s">
        <v>26</v>
      </c>
      <c r="B14" s="9" t="s">
        <v>35</v>
      </c>
      <c r="C14" s="9" t="s">
        <v>53</v>
      </c>
      <c r="D14" s="9" t="s">
        <v>54</v>
      </c>
      <c r="E14" s="9"/>
      <c r="F14" s="9"/>
      <c r="G14" s="9"/>
      <c r="H14" s="9"/>
      <c r="I14" s="9">
        <v>685000000</v>
      </c>
      <c r="J14" s="9">
        <v>685000000</v>
      </c>
      <c r="K14" s="9">
        <v>685000000</v>
      </c>
      <c r="L14" s="9">
        <v>685000000</v>
      </c>
      <c r="M14" s="9"/>
      <c r="N14" s="9"/>
      <c r="O14" s="9"/>
      <c r="P14" s="9"/>
      <c r="Q14" s="9"/>
    </row>
    <row r="15" spans="1:17" x14ac:dyDescent="0.2">
      <c r="A15" s="1" t="s">
        <v>26</v>
      </c>
      <c r="B15" s="9" t="s">
        <v>35</v>
      </c>
      <c r="C15" s="9" t="s">
        <v>55</v>
      </c>
      <c r="D15" s="9" t="s">
        <v>56</v>
      </c>
      <c r="E15" s="9">
        <v>637000000</v>
      </c>
      <c r="F15" s="9">
        <v>637000000</v>
      </c>
      <c r="G15" s="9">
        <v>637000000</v>
      </c>
      <c r="H15" s="9">
        <v>1137000000</v>
      </c>
      <c r="I15" s="9">
        <v>1137000000</v>
      </c>
      <c r="J15" s="9">
        <v>1137000000</v>
      </c>
      <c r="K15" s="9">
        <v>1137000000</v>
      </c>
      <c r="L15" s="9">
        <v>1137000000</v>
      </c>
      <c r="M15" s="9"/>
      <c r="N15" s="9"/>
      <c r="O15" s="9"/>
      <c r="P15" s="9"/>
      <c r="Q15" s="9"/>
    </row>
    <row r="16" spans="1:17" x14ac:dyDescent="0.2">
      <c r="A16" s="1" t="s">
        <v>26</v>
      </c>
      <c r="B16" s="9" t="s">
        <v>35</v>
      </c>
      <c r="C16" s="9" t="s">
        <v>57</v>
      </c>
      <c r="D16" s="9" t="s">
        <v>58</v>
      </c>
      <c r="E16" s="9">
        <v>208000000</v>
      </c>
      <c r="F16" s="9">
        <v>208000000</v>
      </c>
      <c r="G16" s="9">
        <v>208000000</v>
      </c>
      <c r="H16" s="9">
        <v>208000000</v>
      </c>
      <c r="I16" s="9">
        <v>208000000</v>
      </c>
      <c r="J16" s="9">
        <v>208000000</v>
      </c>
      <c r="K16" s="9">
        <v>1046000000</v>
      </c>
      <c r="L16" s="9">
        <v>1046000000</v>
      </c>
      <c r="M16" s="9"/>
      <c r="N16" s="9"/>
      <c r="O16" s="9"/>
      <c r="P16" s="9"/>
    </row>
    <row r="17" spans="1:17" x14ac:dyDescent="0.2">
      <c r="A17" s="1" t="s">
        <v>26</v>
      </c>
      <c r="B17" s="1" t="s">
        <v>35</v>
      </c>
      <c r="C17" s="1" t="s">
        <v>648</v>
      </c>
      <c r="D17" s="35" t="s">
        <v>649</v>
      </c>
      <c r="E17" s="9">
        <v>312000000</v>
      </c>
      <c r="F17" s="9">
        <v>312000000</v>
      </c>
      <c r="G17" s="9">
        <v>312000000</v>
      </c>
      <c r="H17" s="9">
        <v>312000000</v>
      </c>
      <c r="I17" s="9">
        <v>312000000</v>
      </c>
      <c r="J17" s="9">
        <v>312000000</v>
      </c>
      <c r="K17" s="9">
        <v>312000000</v>
      </c>
      <c r="L17" s="9">
        <v>312000000</v>
      </c>
      <c r="M17" s="9"/>
      <c r="N17" s="9"/>
      <c r="O17" s="9"/>
      <c r="P17" s="9"/>
      <c r="Q17" s="9"/>
    </row>
    <row r="18" spans="1:17" x14ac:dyDescent="0.2">
      <c r="A18" s="1" t="s">
        <v>26</v>
      </c>
      <c r="B18" s="9" t="s">
        <v>35</v>
      </c>
      <c r="C18" s="9" t="s">
        <v>941</v>
      </c>
      <c r="D18" s="9" t="s">
        <v>942</v>
      </c>
      <c r="E18" s="9"/>
      <c r="F18" s="9"/>
      <c r="G18" s="9">
        <v>211000000</v>
      </c>
      <c r="H18" s="9">
        <v>211000000</v>
      </c>
      <c r="I18" s="9">
        <v>211000000</v>
      </c>
      <c r="J18" s="9">
        <v>211000000</v>
      </c>
      <c r="K18" s="9">
        <v>211000000</v>
      </c>
      <c r="L18" s="9">
        <v>211000000</v>
      </c>
      <c r="M18" s="9"/>
      <c r="N18" s="9"/>
      <c r="O18" s="9"/>
      <c r="P18" s="9"/>
      <c r="Q18" s="9"/>
    </row>
    <row r="19" spans="1:17" x14ac:dyDescent="0.2">
      <c r="A19" s="1" t="s">
        <v>26</v>
      </c>
      <c r="B19" s="9" t="s">
        <v>35</v>
      </c>
      <c r="C19" s="9" t="s">
        <v>34</v>
      </c>
      <c r="D19" s="9" t="s">
        <v>37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x14ac:dyDescent="0.2">
      <c r="A20" s="1" t="s">
        <v>26</v>
      </c>
      <c r="B20" s="1" t="s">
        <v>35</v>
      </c>
      <c r="C20" s="9" t="s">
        <v>36</v>
      </c>
      <c r="D20" s="9" t="s">
        <v>38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x14ac:dyDescent="0.2">
      <c r="A21" s="1" t="s">
        <v>26</v>
      </c>
      <c r="B21" s="9" t="s">
        <v>35</v>
      </c>
      <c r="C21" s="9" t="s">
        <v>27</v>
      </c>
      <c r="D21" s="9" t="s">
        <v>39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</row>
    <row r="22" spans="1:17" x14ac:dyDescent="0.2">
      <c r="A22" s="1" t="s">
        <v>26</v>
      </c>
      <c r="B22" s="9" t="s">
        <v>35</v>
      </c>
      <c r="C22" s="9" t="s">
        <v>60</v>
      </c>
      <c r="D22" s="9" t="s">
        <v>61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x14ac:dyDescent="0.2">
      <c r="A23" s="1" t="s">
        <v>26</v>
      </c>
      <c r="B23" s="9" t="s">
        <v>35</v>
      </c>
      <c r="C23" s="9" t="s">
        <v>62</v>
      </c>
      <c r="D23" s="9" t="s">
        <v>63</v>
      </c>
      <c r="E23" s="9">
        <v>33000000</v>
      </c>
      <c r="F23" s="9">
        <v>33000000</v>
      </c>
      <c r="G23" s="9">
        <v>33000000</v>
      </c>
      <c r="H23" s="9">
        <v>33000000</v>
      </c>
      <c r="I23" s="9">
        <v>33000000</v>
      </c>
      <c r="J23" s="9">
        <v>33000000</v>
      </c>
      <c r="K23" s="9">
        <v>33000000</v>
      </c>
      <c r="L23" s="9">
        <v>33000000</v>
      </c>
      <c r="M23" s="9"/>
      <c r="N23" s="9"/>
      <c r="O23" s="9"/>
      <c r="P23" s="9"/>
    </row>
    <row r="24" spans="1:17" x14ac:dyDescent="0.2">
      <c r="A24" s="1" t="s">
        <v>26</v>
      </c>
      <c r="B24" s="1" t="s">
        <v>35</v>
      </c>
      <c r="C24" s="9" t="s">
        <v>913</v>
      </c>
      <c r="D24" s="9" t="s">
        <v>914</v>
      </c>
      <c r="E24" s="9">
        <v>477000000</v>
      </c>
      <c r="F24" s="9">
        <v>477000000</v>
      </c>
      <c r="G24" s="9">
        <v>477000000</v>
      </c>
      <c r="H24" s="9">
        <v>477000000</v>
      </c>
      <c r="I24" s="9">
        <v>477000000</v>
      </c>
      <c r="J24" s="9">
        <v>477000000</v>
      </c>
      <c r="K24" s="9">
        <v>477000000</v>
      </c>
      <c r="L24" s="9">
        <v>477000000</v>
      </c>
      <c r="M24" s="9"/>
      <c r="N24" s="9"/>
      <c r="O24" s="9"/>
      <c r="P24" s="9"/>
      <c r="Q24" s="9"/>
    </row>
    <row r="25" spans="1:17" x14ac:dyDescent="0.2">
      <c r="A25" s="1" t="s">
        <v>26</v>
      </c>
      <c r="B25" s="9" t="s">
        <v>35</v>
      </c>
      <c r="C25" s="9" t="s">
        <v>951</v>
      </c>
      <c r="D25" s="9" t="s">
        <v>952</v>
      </c>
      <c r="E25" s="9"/>
      <c r="F25" s="9"/>
      <c r="G25" s="9">
        <v>346000000</v>
      </c>
      <c r="H25" s="9">
        <v>346000000</v>
      </c>
      <c r="I25" s="9">
        <v>346000000</v>
      </c>
      <c r="J25" s="9">
        <v>346000000</v>
      </c>
      <c r="K25" s="9">
        <v>346000000</v>
      </c>
      <c r="L25" s="9">
        <v>346000000</v>
      </c>
      <c r="M25" s="9"/>
      <c r="N25" s="9"/>
      <c r="O25" s="9"/>
      <c r="P25" s="9"/>
    </row>
    <row r="26" spans="1:17" x14ac:dyDescent="0.2">
      <c r="A26" s="1" t="s">
        <v>26</v>
      </c>
      <c r="B26" s="1" t="s">
        <v>35</v>
      </c>
      <c r="C26" s="1" t="s">
        <v>64</v>
      </c>
      <c r="D26" s="35" t="s">
        <v>65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7" x14ac:dyDescent="0.2">
      <c r="A27" s="1" t="s">
        <v>26</v>
      </c>
      <c r="B27" s="9" t="s">
        <v>35</v>
      </c>
      <c r="C27" s="9" t="s">
        <v>66</v>
      </c>
      <c r="D27" s="9" t="s">
        <v>67</v>
      </c>
      <c r="E27" s="9">
        <v>212000000</v>
      </c>
      <c r="F27" s="9">
        <v>212000000</v>
      </c>
      <c r="G27" s="9">
        <v>212000000</v>
      </c>
      <c r="H27" s="9">
        <v>212000000</v>
      </c>
      <c r="I27" s="9">
        <v>212000000</v>
      </c>
      <c r="J27" s="9">
        <v>212000000</v>
      </c>
      <c r="K27" s="9">
        <v>212000000</v>
      </c>
      <c r="L27" s="9">
        <v>212000000</v>
      </c>
      <c r="M27" s="9"/>
      <c r="N27" s="9"/>
      <c r="O27" s="9"/>
      <c r="P27" s="9"/>
    </row>
    <row r="28" spans="1:17" x14ac:dyDescent="0.2">
      <c r="A28" s="1" t="s">
        <v>26</v>
      </c>
      <c r="B28" s="9" t="s">
        <v>35</v>
      </c>
      <c r="C28" s="9" t="s">
        <v>866</v>
      </c>
      <c r="D28" s="9" t="s">
        <v>867</v>
      </c>
      <c r="E28" s="9">
        <v>153000000</v>
      </c>
      <c r="F28" s="9">
        <v>268000000</v>
      </c>
      <c r="G28" s="9">
        <v>268000000</v>
      </c>
      <c r="H28" s="9">
        <v>268000000</v>
      </c>
      <c r="I28" s="9">
        <v>268000000</v>
      </c>
      <c r="J28" s="9">
        <v>268000000</v>
      </c>
      <c r="K28" s="9">
        <v>268000000</v>
      </c>
      <c r="L28" s="9">
        <v>268000000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35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35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35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35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35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35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35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35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35"/>
      <c r="G53" s="34"/>
      <c r="H53" s="35"/>
      <c r="I53" s="35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35"/>
      <c r="G54" s="34"/>
      <c r="H54" s="35"/>
      <c r="I54" s="35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35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F14" sqref="F14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28</v>
      </c>
      <c r="C1" s="37" t="s">
        <v>28</v>
      </c>
      <c r="D1" s="37" t="s">
        <v>28</v>
      </c>
      <c r="E1" s="37" t="s">
        <v>28</v>
      </c>
      <c r="F1" s="37" t="s">
        <v>28</v>
      </c>
      <c r="G1" s="37" t="s">
        <v>28</v>
      </c>
      <c r="H1" s="37" t="s">
        <v>28</v>
      </c>
      <c r="I1" s="37" t="s">
        <v>28</v>
      </c>
    </row>
    <row r="2" spans="1:11" x14ac:dyDescent="0.2">
      <c r="B2" s="37" t="s">
        <v>29</v>
      </c>
      <c r="C2" s="37" t="s">
        <v>30</v>
      </c>
      <c r="D2" s="37" t="s">
        <v>31</v>
      </c>
      <c r="E2" s="37" t="s">
        <v>25</v>
      </c>
      <c r="F2" s="37" t="s">
        <v>42</v>
      </c>
      <c r="G2" s="37" t="s">
        <v>32</v>
      </c>
      <c r="H2" s="37" t="s">
        <v>33</v>
      </c>
      <c r="I2" s="37" t="s">
        <v>70</v>
      </c>
    </row>
    <row r="3" spans="1:11" x14ac:dyDescent="0.2">
      <c r="A3" s="39" t="s">
        <v>24</v>
      </c>
      <c r="B3" s="37">
        <v>-161416235.22999999</v>
      </c>
      <c r="C3" s="37">
        <v>52892896.270000003</v>
      </c>
      <c r="D3" s="37">
        <v>-9087244.6300000008</v>
      </c>
      <c r="E3" s="37">
        <v>243771559.53999999</v>
      </c>
      <c r="F3" s="37">
        <v>28910126.98</v>
      </c>
      <c r="G3" s="37">
        <v>101695007.44</v>
      </c>
      <c r="H3" s="37">
        <v>2051655.95</v>
      </c>
      <c r="I3" s="37">
        <v>258817766.31</v>
      </c>
      <c r="J3" s="40"/>
      <c r="K3" s="40"/>
    </row>
    <row r="4" spans="1:11" x14ac:dyDescent="0.2">
      <c r="A4" s="41">
        <v>41089</v>
      </c>
      <c r="B4" s="37">
        <v>-148878735.22999999</v>
      </c>
      <c r="C4" s="37">
        <v>52892896.270000003</v>
      </c>
      <c r="D4" s="37">
        <v>-9087244.6300000008</v>
      </c>
      <c r="E4" s="37">
        <v>242782675.63999999</v>
      </c>
      <c r="F4" s="37">
        <v>28910126.98</v>
      </c>
      <c r="G4" s="37">
        <v>101695007.44</v>
      </c>
      <c r="H4" s="37">
        <v>2051655.95</v>
      </c>
      <c r="I4" s="37">
        <v>270366382.41000003</v>
      </c>
      <c r="J4" s="40"/>
      <c r="K4" s="40"/>
    </row>
    <row r="5" spans="1:11" x14ac:dyDescent="0.2">
      <c r="A5" s="41">
        <v>41092</v>
      </c>
      <c r="B5" s="37">
        <v>131202844.03</v>
      </c>
      <c r="C5" s="37">
        <v>52892896.270000003</v>
      </c>
      <c r="D5" s="37">
        <v>-9087244.6300000008</v>
      </c>
      <c r="E5" s="37">
        <v>-1384442027.28</v>
      </c>
      <c r="F5" s="37">
        <v>28910126.98</v>
      </c>
      <c r="G5" s="37">
        <v>101695007.44</v>
      </c>
      <c r="H5" s="37">
        <v>2051655.95</v>
      </c>
      <c r="I5" s="37">
        <v>-1076776741.25</v>
      </c>
      <c r="J5" s="40"/>
      <c r="K5" s="40"/>
    </row>
    <row r="6" spans="1:11" x14ac:dyDescent="0.2">
      <c r="A6" s="41">
        <v>41093</v>
      </c>
      <c r="B6" s="37">
        <v>131202844.03</v>
      </c>
      <c r="C6" s="37">
        <v>52892896.270000003</v>
      </c>
      <c r="D6" s="37">
        <v>-9087244.6300000008</v>
      </c>
      <c r="E6" s="37">
        <v>-983601541.16999996</v>
      </c>
      <c r="F6" s="37">
        <v>28910126.98</v>
      </c>
      <c r="G6" s="37">
        <v>101695007.44</v>
      </c>
      <c r="H6" s="37">
        <v>2051655.95</v>
      </c>
      <c r="I6" s="37">
        <v>-675936255.13999999</v>
      </c>
      <c r="J6" s="40"/>
      <c r="K6" s="40"/>
    </row>
    <row r="7" spans="1:11" x14ac:dyDescent="0.2">
      <c r="A7" s="41">
        <v>41095</v>
      </c>
      <c r="B7" s="37">
        <v>131202844.03</v>
      </c>
      <c r="C7" s="37">
        <v>52892896.270000003</v>
      </c>
      <c r="D7" s="37">
        <v>-9087244.6300000008</v>
      </c>
      <c r="E7" s="37">
        <v>-1483747383.6700001</v>
      </c>
      <c r="F7" s="37">
        <v>28910127</v>
      </c>
      <c r="G7" s="37">
        <v>101695007.44</v>
      </c>
      <c r="H7" s="37">
        <v>2051655.95</v>
      </c>
      <c r="I7" s="37">
        <v>-1176082097.6400001</v>
      </c>
      <c r="J7" s="40"/>
      <c r="K7" s="40"/>
    </row>
    <row r="8" spans="1:11" x14ac:dyDescent="0.2">
      <c r="A8" s="41">
        <v>41096</v>
      </c>
      <c r="B8" s="37">
        <v>131202844.03</v>
      </c>
      <c r="C8" s="37">
        <v>52892896.270000003</v>
      </c>
      <c r="D8" s="37">
        <v>-9087244.6300000008</v>
      </c>
      <c r="E8" s="37">
        <v>-2168581228.02</v>
      </c>
      <c r="F8" s="37">
        <v>28910127</v>
      </c>
      <c r="G8" s="37">
        <v>101695007.44</v>
      </c>
      <c r="H8" s="37">
        <v>2051655.95</v>
      </c>
      <c r="I8" s="37">
        <v>-1860915941.99</v>
      </c>
      <c r="J8" s="40"/>
      <c r="K8" s="40"/>
    </row>
    <row r="9" spans="1:11" x14ac:dyDescent="0.2">
      <c r="A9" s="41">
        <v>41099</v>
      </c>
      <c r="B9" s="37">
        <v>131202844.03</v>
      </c>
      <c r="C9" s="37">
        <v>52892896.270000003</v>
      </c>
      <c r="D9" s="37">
        <v>-9087244.6300000008</v>
      </c>
      <c r="E9" s="37">
        <v>-3917033931.8400002</v>
      </c>
      <c r="F9" s="37">
        <v>28910127</v>
      </c>
      <c r="G9" s="37">
        <v>101695007.44</v>
      </c>
      <c r="H9" s="37">
        <v>2051655.95</v>
      </c>
      <c r="I9" s="37">
        <v>-3609368645.8099999</v>
      </c>
      <c r="J9" s="40"/>
      <c r="K9" s="40"/>
    </row>
    <row r="10" spans="1:11" x14ac:dyDescent="0.2">
      <c r="A10" s="41">
        <v>41100</v>
      </c>
      <c r="B10" s="37">
        <v>131202844.03</v>
      </c>
      <c r="C10" s="37">
        <v>52892896.270000003</v>
      </c>
      <c r="D10" s="37">
        <v>-9087244.6300000008</v>
      </c>
      <c r="E10" s="37">
        <v>-3916036431.8400002</v>
      </c>
      <c r="F10" s="37">
        <v>28910127</v>
      </c>
      <c r="G10" s="37">
        <v>101695007.44</v>
      </c>
      <c r="H10" s="37">
        <v>2051655.95</v>
      </c>
      <c r="I10" s="37">
        <v>-3608371145.8099999</v>
      </c>
      <c r="J10" s="40"/>
      <c r="K10" s="40"/>
    </row>
    <row r="11" spans="1:11" x14ac:dyDescent="0.2">
      <c r="A11" s="41">
        <v>41101</v>
      </c>
      <c r="B11" s="37">
        <v>131202844.03</v>
      </c>
      <c r="C11" s="37">
        <v>52892896.270000003</v>
      </c>
      <c r="D11" s="37">
        <v>-9087244.6300000008</v>
      </c>
      <c r="E11" s="37">
        <v>-3916147136.4899998</v>
      </c>
      <c r="F11" s="37">
        <v>28910127</v>
      </c>
      <c r="G11" s="37">
        <v>101695007.44</v>
      </c>
      <c r="H11" s="37">
        <v>2051655.95</v>
      </c>
      <c r="I11" s="37">
        <v>-3608481850.46</v>
      </c>
      <c r="J11" s="40"/>
      <c r="K11" s="40"/>
    </row>
    <row r="12" spans="1:11" x14ac:dyDescent="0.2">
      <c r="A12" s="41">
        <v>41102</v>
      </c>
      <c r="B12" s="37">
        <v>131202844.03</v>
      </c>
      <c r="C12" s="37">
        <v>52892896.270000003</v>
      </c>
      <c r="D12" s="37">
        <v>-9087244.6300000008</v>
      </c>
      <c r="E12" s="37">
        <v>-4303814696.3599997</v>
      </c>
      <c r="F12" s="37">
        <v>28910127</v>
      </c>
      <c r="G12" s="37">
        <v>101695007.44</v>
      </c>
      <c r="H12" s="37">
        <v>2051655.95</v>
      </c>
      <c r="I12" s="37">
        <v>-3996149410.3299999</v>
      </c>
      <c r="J12" s="40"/>
      <c r="K12" s="40"/>
    </row>
    <row r="13" spans="1:11" x14ac:dyDescent="0.2">
      <c r="A13" s="41">
        <v>41103</v>
      </c>
      <c r="B13" s="37">
        <v>131202844.03</v>
      </c>
      <c r="C13" s="37">
        <v>52892896.270000003</v>
      </c>
      <c r="D13" s="37">
        <v>-9087244.6300000008</v>
      </c>
      <c r="E13" s="37">
        <v>-4153814696.3600001</v>
      </c>
      <c r="F13" s="37">
        <v>28910127</v>
      </c>
      <c r="G13" s="37">
        <v>101695007.44</v>
      </c>
      <c r="H13" s="37">
        <v>2051655.95</v>
      </c>
      <c r="I13" s="37">
        <v>-3846149410.3299999</v>
      </c>
      <c r="J13" s="40"/>
      <c r="K13" s="40"/>
    </row>
    <row r="14" spans="1:11" x14ac:dyDescent="0.2">
      <c r="A14" s="41">
        <v>41106</v>
      </c>
      <c r="B14" s="37">
        <v>139070321.96000001</v>
      </c>
      <c r="C14" s="37">
        <v>52892896.270000003</v>
      </c>
      <c r="D14" s="37">
        <v>-9087244.6300000008</v>
      </c>
      <c r="E14" s="37">
        <v>-4835512762.25</v>
      </c>
      <c r="F14" s="37">
        <v>31910328.739999998</v>
      </c>
      <c r="G14" s="37">
        <v>101695007.44</v>
      </c>
      <c r="H14" s="37">
        <v>2051655.95</v>
      </c>
      <c r="I14" s="37">
        <v>-4516979796.5299997</v>
      </c>
      <c r="J14" s="40"/>
      <c r="K14" s="40"/>
    </row>
    <row r="15" spans="1:11" x14ac:dyDescent="0.2">
      <c r="A15" s="41">
        <v>41107</v>
      </c>
      <c r="B15" s="37">
        <v>139679696.96000001</v>
      </c>
      <c r="C15" s="37">
        <v>52892896.270000003</v>
      </c>
      <c r="D15" s="37">
        <v>-9087244.6300000008</v>
      </c>
      <c r="E15" s="37">
        <v>-4460158873.3599997</v>
      </c>
      <c r="F15" s="37">
        <v>31910328.739999998</v>
      </c>
      <c r="G15" s="37">
        <v>101695007.44</v>
      </c>
      <c r="H15" s="37">
        <v>2051655.95</v>
      </c>
      <c r="I15" s="37">
        <v>-4141016532.6399999</v>
      </c>
      <c r="J15" s="40"/>
      <c r="K15" s="40"/>
    </row>
    <row r="16" spans="1:11" x14ac:dyDescent="0.2">
      <c r="A16" s="41">
        <v>41108</v>
      </c>
      <c r="B16" s="37">
        <v>139679696.96000001</v>
      </c>
      <c r="C16" s="37">
        <v>52892896.270000003</v>
      </c>
      <c r="D16" s="37">
        <v>-9087244.6300000008</v>
      </c>
      <c r="E16" s="37">
        <v>-4310158873.3599997</v>
      </c>
      <c r="F16" s="37">
        <v>31910328.739999998</v>
      </c>
      <c r="G16" s="37">
        <v>101695007.44</v>
      </c>
      <c r="H16" s="37">
        <v>2051655.95</v>
      </c>
      <c r="I16" s="37">
        <v>-3991016532.6399999</v>
      </c>
      <c r="J16" s="40"/>
      <c r="K16" s="40"/>
    </row>
    <row r="17" spans="1:11" x14ac:dyDescent="0.2">
      <c r="A17" s="41">
        <v>41109</v>
      </c>
      <c r="B17" s="37">
        <v>141052196.96000001</v>
      </c>
      <c r="C17" s="37">
        <v>52892896.270000003</v>
      </c>
      <c r="D17" s="37">
        <v>-9087244.6300000008</v>
      </c>
      <c r="E17" s="37">
        <v>-3960161273.4099998</v>
      </c>
      <c r="F17" s="37">
        <v>31910328.739999998</v>
      </c>
      <c r="G17" s="37">
        <v>101695007.44</v>
      </c>
      <c r="H17" s="37">
        <v>2051655.95</v>
      </c>
      <c r="I17" s="37">
        <v>-3639646432.6900001</v>
      </c>
      <c r="J17" s="40"/>
      <c r="K17" s="40"/>
    </row>
    <row r="18" spans="1:11" x14ac:dyDescent="0.2">
      <c r="A18" s="41">
        <v>41110</v>
      </c>
      <c r="B18" s="37">
        <v>141052196.96000001</v>
      </c>
      <c r="C18" s="37">
        <v>52892896.270000003</v>
      </c>
      <c r="D18" s="37">
        <v>-9087244.6300000008</v>
      </c>
      <c r="E18" s="37">
        <v>-3660106215.0999999</v>
      </c>
      <c r="F18" s="37">
        <v>31910328.739999998</v>
      </c>
      <c r="G18" s="37">
        <v>101695007.44</v>
      </c>
      <c r="H18" s="37">
        <v>2051655.95</v>
      </c>
      <c r="I18" s="37">
        <v>-3339591374.3800001</v>
      </c>
      <c r="J18" s="40"/>
      <c r="K18" s="40"/>
    </row>
    <row r="19" spans="1:11" x14ac:dyDescent="0.2">
      <c r="A19" s="41">
        <v>41113</v>
      </c>
      <c r="B19" s="37">
        <v>141728546.96000001</v>
      </c>
      <c r="C19" s="37">
        <v>52892896.270000003</v>
      </c>
      <c r="D19" s="37">
        <v>-9087244.6300000008</v>
      </c>
      <c r="E19" s="37">
        <v>-3167440881.0300002</v>
      </c>
      <c r="F19" s="37">
        <v>31910328.739999998</v>
      </c>
      <c r="G19" s="37">
        <v>101695007.44</v>
      </c>
      <c r="H19" s="37">
        <v>2051655.95</v>
      </c>
      <c r="I19" s="37">
        <v>-2846249690.3099999</v>
      </c>
      <c r="J19" s="40"/>
      <c r="K19" s="40"/>
    </row>
    <row r="20" spans="1:11" x14ac:dyDescent="0.2">
      <c r="A20" s="41">
        <v>41114</v>
      </c>
      <c r="B20" s="37">
        <v>141728546.96000001</v>
      </c>
      <c r="C20" s="37">
        <v>52892896.270000003</v>
      </c>
      <c r="D20" s="37">
        <v>-9087244.6300000008</v>
      </c>
      <c r="E20" s="37">
        <v>-1770985318.4000001</v>
      </c>
      <c r="F20" s="37">
        <v>31910328.739999998</v>
      </c>
      <c r="G20" s="37">
        <v>101695007.44</v>
      </c>
      <c r="H20" s="37">
        <v>2051655.95</v>
      </c>
      <c r="I20" s="37">
        <v>-1449794127.6800001</v>
      </c>
      <c r="J20" s="40"/>
      <c r="K20" s="40"/>
    </row>
    <row r="21" spans="1:11" x14ac:dyDescent="0.2">
      <c r="A21" s="41">
        <v>41116</v>
      </c>
      <c r="B21" s="37">
        <v>141728546.96000001</v>
      </c>
      <c r="C21" s="37">
        <v>52892896.270000003</v>
      </c>
      <c r="D21" s="37">
        <v>-9087244.6300000008</v>
      </c>
      <c r="E21" s="37">
        <v>-1252139801.3399999</v>
      </c>
      <c r="F21" s="37">
        <v>31910328.739999998</v>
      </c>
      <c r="G21" s="37">
        <v>101695007.44</v>
      </c>
      <c r="H21" s="37">
        <v>2051655.95</v>
      </c>
      <c r="I21" s="37">
        <v>-930948610.62</v>
      </c>
      <c r="J21" s="40"/>
      <c r="K21" s="40"/>
    </row>
    <row r="22" spans="1:11" x14ac:dyDescent="0.2">
      <c r="A22" s="41">
        <v>41120</v>
      </c>
      <c r="B22" s="37">
        <v>141728546.96000001</v>
      </c>
      <c r="C22" s="37">
        <v>52892896.270000003</v>
      </c>
      <c r="D22" s="37">
        <v>-9087244.6300000008</v>
      </c>
      <c r="E22" s="37">
        <v>-946893328.20000005</v>
      </c>
      <c r="F22" s="37">
        <v>31910328.739999998</v>
      </c>
      <c r="G22" s="37">
        <v>101695007.44</v>
      </c>
      <c r="H22" s="37">
        <v>2051655.95</v>
      </c>
      <c r="I22" s="37">
        <v>-625702137.48000002</v>
      </c>
      <c r="J22" s="40"/>
      <c r="K22" s="40"/>
    </row>
    <row r="23" spans="1:11" x14ac:dyDescent="0.2">
      <c r="A23" s="41">
        <v>41121</v>
      </c>
      <c r="B23" s="37">
        <v>141728546.96000001</v>
      </c>
      <c r="C23" s="37">
        <v>52892896.270000003</v>
      </c>
      <c r="D23" s="37">
        <v>-9087244.6300000008</v>
      </c>
      <c r="E23" s="37">
        <v>-419123343.38</v>
      </c>
      <c r="F23" s="37">
        <v>31910328.739999998</v>
      </c>
      <c r="G23" s="37">
        <v>101695007.44</v>
      </c>
      <c r="H23" s="37">
        <v>2051655.95</v>
      </c>
      <c r="I23" s="37">
        <v>-97932152.659999996</v>
      </c>
      <c r="J23" s="40"/>
      <c r="K23" s="40"/>
    </row>
    <row r="24" spans="1:11" x14ac:dyDescent="0.2">
      <c r="A24" s="41">
        <v>41122</v>
      </c>
      <c r="B24" s="37">
        <v>142369171.96000001</v>
      </c>
      <c r="C24" s="37">
        <v>52892896.270000003</v>
      </c>
      <c r="D24" s="37">
        <v>-9087244.6300000008</v>
      </c>
      <c r="E24" s="37">
        <v>-419123343.38</v>
      </c>
      <c r="F24" s="37">
        <v>31910328.739999998</v>
      </c>
      <c r="G24" s="37">
        <v>101695007.44</v>
      </c>
      <c r="H24" s="37">
        <v>2051655.95</v>
      </c>
      <c r="I24" s="37">
        <v>-97291527.659999996</v>
      </c>
      <c r="J24" s="40"/>
      <c r="K24" s="40"/>
    </row>
    <row r="25" spans="1:11" x14ac:dyDescent="0.2">
      <c r="A25" s="41">
        <v>41123</v>
      </c>
      <c r="B25" s="37">
        <v>142369171.96000001</v>
      </c>
      <c r="C25" s="37">
        <v>52892896.270000003</v>
      </c>
      <c r="D25" s="37">
        <v>-9087244.6300000008</v>
      </c>
      <c r="E25" s="37">
        <v>31298427.949999999</v>
      </c>
      <c r="F25" s="37">
        <v>31910328.739999998</v>
      </c>
      <c r="G25" s="37">
        <v>101695007.44</v>
      </c>
      <c r="H25" s="37">
        <v>2051655.95</v>
      </c>
      <c r="I25" s="37">
        <v>353130243.67000002</v>
      </c>
      <c r="J25" s="40"/>
      <c r="K25" s="40"/>
    </row>
    <row r="26" spans="1:11" x14ac:dyDescent="0.2">
      <c r="A26" s="41">
        <v>41128</v>
      </c>
      <c r="B26" s="37">
        <v>142369171.96000001</v>
      </c>
      <c r="C26" s="37">
        <v>52892896.270000003</v>
      </c>
      <c r="D26" s="37">
        <v>-9087244.6300000008</v>
      </c>
      <c r="E26" s="37">
        <v>632601761.28999996</v>
      </c>
      <c r="F26" s="37">
        <v>31910328.739999998</v>
      </c>
      <c r="G26" s="37">
        <v>101695007.44</v>
      </c>
      <c r="H26" s="37">
        <v>2051655.95</v>
      </c>
      <c r="I26" s="37">
        <v>954433577.00999999</v>
      </c>
      <c r="J26" s="40"/>
      <c r="K26" s="40"/>
    </row>
    <row r="27" spans="1:11" x14ac:dyDescent="0.2">
      <c r="A27" s="41">
        <v>41129</v>
      </c>
      <c r="B27" s="37">
        <v>142369171.96000001</v>
      </c>
      <c r="C27" s="37">
        <v>52892896.270000003</v>
      </c>
      <c r="D27" s="37">
        <v>-9087244.6300000008</v>
      </c>
      <c r="E27" s="37">
        <v>833020872.39999998</v>
      </c>
      <c r="F27" s="37">
        <v>31910328.739999998</v>
      </c>
      <c r="G27" s="37">
        <v>101695007.44</v>
      </c>
      <c r="H27" s="37">
        <v>2051655.95</v>
      </c>
      <c r="I27" s="37">
        <v>1154852688.1199999</v>
      </c>
      <c r="J27" s="40"/>
      <c r="K27" s="40"/>
    </row>
    <row r="28" spans="1:11" x14ac:dyDescent="0.2">
      <c r="A28" s="41">
        <v>41130</v>
      </c>
      <c r="B28" s="37">
        <v>142369171.96000001</v>
      </c>
      <c r="C28" s="37">
        <v>52892896.270000003</v>
      </c>
      <c r="D28" s="37">
        <v>-9087244.6300000008</v>
      </c>
      <c r="E28" s="37">
        <v>983342872.39999998</v>
      </c>
      <c r="F28" s="37">
        <v>31910328.739999998</v>
      </c>
      <c r="G28" s="37">
        <v>101695007.44</v>
      </c>
      <c r="H28" s="37">
        <v>2051655.95</v>
      </c>
      <c r="I28" s="37">
        <v>1305174688.1199999</v>
      </c>
      <c r="J28" s="40"/>
      <c r="K28" s="40"/>
    </row>
    <row r="29" spans="1:11" x14ac:dyDescent="0.2">
      <c r="A29" s="41">
        <v>41136</v>
      </c>
      <c r="B29" s="37">
        <v>221526671.96000001</v>
      </c>
      <c r="C29" s="37">
        <v>52892896.270000003</v>
      </c>
      <c r="D29" s="37">
        <v>-9087244.6300000008</v>
      </c>
      <c r="E29" s="37">
        <v>985462872.39999998</v>
      </c>
      <c r="F29" s="37">
        <v>31910328.739999998</v>
      </c>
      <c r="G29" s="37">
        <v>101695007.44</v>
      </c>
      <c r="H29" s="37">
        <v>2051655.95</v>
      </c>
      <c r="I29" s="37">
        <v>1386452188.1199999</v>
      </c>
      <c r="J29" s="40"/>
      <c r="K29" s="40"/>
    </row>
    <row r="30" spans="1:11" x14ac:dyDescent="0.2">
      <c r="A30" s="41">
        <v>41137</v>
      </c>
      <c r="B30" s="37">
        <v>223232921.96000001</v>
      </c>
      <c r="C30" s="37">
        <v>52892896.270000003</v>
      </c>
      <c r="D30" s="37">
        <v>-9087244.6300000008</v>
      </c>
      <c r="E30" s="37">
        <v>1085674705.73</v>
      </c>
      <c r="F30" s="37">
        <v>31910328.739999998</v>
      </c>
      <c r="G30" s="37">
        <v>101695007.44</v>
      </c>
      <c r="H30" s="37">
        <v>2051655.95</v>
      </c>
      <c r="I30" s="37">
        <v>1488370271.45</v>
      </c>
      <c r="J30" s="40"/>
      <c r="K30" s="40"/>
    </row>
    <row r="31" spans="1:11" x14ac:dyDescent="0.2">
      <c r="A31" s="41">
        <v>41138</v>
      </c>
      <c r="B31" s="37">
        <v>223232921.96000001</v>
      </c>
      <c r="C31" s="37">
        <v>52892896.270000003</v>
      </c>
      <c r="D31" s="37">
        <v>-9087244.6300000008</v>
      </c>
      <c r="E31" s="37">
        <v>1486533372.4000001</v>
      </c>
      <c r="F31" s="37">
        <v>31910328.739999998</v>
      </c>
      <c r="G31" s="37">
        <v>101695007.44</v>
      </c>
      <c r="H31" s="37">
        <v>2051655.95</v>
      </c>
      <c r="I31" s="37">
        <v>1889228938.1199999</v>
      </c>
      <c r="J31" s="40"/>
      <c r="K31" s="40"/>
    </row>
    <row r="32" spans="1:11" x14ac:dyDescent="0.2">
      <c r="A32" s="41">
        <v>41141</v>
      </c>
      <c r="B32" s="37">
        <v>223232921.96000001</v>
      </c>
      <c r="C32" s="37">
        <v>52892896.270000003</v>
      </c>
      <c r="D32" s="37">
        <v>-9087244.6300000008</v>
      </c>
      <c r="E32" s="37">
        <v>1889117611.1700001</v>
      </c>
      <c r="F32" s="37">
        <v>31910328.739999998</v>
      </c>
      <c r="G32" s="37">
        <v>101695007.44</v>
      </c>
      <c r="H32" s="37">
        <v>2051655.95</v>
      </c>
      <c r="I32" s="37">
        <v>2291813176.8899999</v>
      </c>
      <c r="J32" s="40"/>
      <c r="K32" s="40"/>
    </row>
    <row r="33" spans="1:11" x14ac:dyDescent="0.2">
      <c r="A33" s="41">
        <v>41142</v>
      </c>
      <c r="B33" s="37">
        <v>223232921.96000001</v>
      </c>
      <c r="C33" s="37">
        <v>52892896.270000003</v>
      </c>
      <c r="D33" s="37">
        <v>-9087244.6300000008</v>
      </c>
      <c r="E33" s="37">
        <v>2139699000.0599999</v>
      </c>
      <c r="F33" s="37">
        <v>31910328.739999998</v>
      </c>
      <c r="G33" s="37">
        <v>101695007.44</v>
      </c>
      <c r="H33" s="37">
        <v>2051655.95</v>
      </c>
      <c r="I33" s="37">
        <v>2542394565.7800002</v>
      </c>
      <c r="J33" s="40"/>
      <c r="K33" s="40"/>
    </row>
    <row r="34" spans="1:11" x14ac:dyDescent="0.2">
      <c r="A34" s="41">
        <v>41143</v>
      </c>
      <c r="B34" s="37">
        <v>223232921.96000001</v>
      </c>
      <c r="C34" s="37">
        <v>52892896.270000003</v>
      </c>
      <c r="D34" s="37">
        <v>-9087244.6300000008</v>
      </c>
      <c r="E34" s="37">
        <v>2340159000.0599999</v>
      </c>
      <c r="F34" s="37">
        <v>31910328.739999998</v>
      </c>
      <c r="G34" s="37">
        <v>101695007.44</v>
      </c>
      <c r="H34" s="37">
        <v>2051655.95</v>
      </c>
      <c r="I34" s="37">
        <v>2742854565.7800002</v>
      </c>
      <c r="J34" s="40"/>
      <c r="K34" s="40"/>
    </row>
    <row r="35" spans="1:11" x14ac:dyDescent="0.2">
      <c r="A35" s="41">
        <v>41145</v>
      </c>
      <c r="B35" s="37">
        <v>223232921.96000001</v>
      </c>
      <c r="C35" s="37">
        <v>52892896.270000003</v>
      </c>
      <c r="D35" s="37">
        <v>-9087244.6300000008</v>
      </c>
      <c r="E35" s="37">
        <v>2490504000.0599999</v>
      </c>
      <c r="F35" s="37">
        <v>31910328.739999998</v>
      </c>
      <c r="G35" s="37">
        <v>101695007.44</v>
      </c>
      <c r="H35" s="37">
        <v>2051655.95</v>
      </c>
      <c r="I35" s="37">
        <v>2893199565.7800002</v>
      </c>
      <c r="J35" s="40"/>
      <c r="K35" s="40"/>
    </row>
    <row r="36" spans="1:11" x14ac:dyDescent="0.2">
      <c r="A36" s="41">
        <v>41148</v>
      </c>
      <c r="B36" s="37">
        <v>223282921.96000001</v>
      </c>
      <c r="C36" s="37">
        <v>52892896.270000003</v>
      </c>
      <c r="D36" s="37">
        <v>-9087244.6300000008</v>
      </c>
      <c r="E36" s="37">
        <v>2580696700.0599999</v>
      </c>
      <c r="F36" s="37">
        <v>31910328.739999998</v>
      </c>
      <c r="G36" s="37">
        <v>101695007.44</v>
      </c>
      <c r="H36" s="37">
        <v>2051655.95</v>
      </c>
      <c r="I36" s="37">
        <v>2983442265.7800002</v>
      </c>
      <c r="J36" s="40"/>
      <c r="K36" s="40"/>
    </row>
    <row r="37" spans="1:11" x14ac:dyDescent="0.2">
      <c r="A37" s="41">
        <v>41151</v>
      </c>
      <c r="B37" s="37">
        <v>223282921.96000001</v>
      </c>
      <c r="C37" s="37">
        <v>52892896.270000003</v>
      </c>
      <c r="D37" s="37">
        <v>-9087244.6300000008</v>
      </c>
      <c r="E37" s="37">
        <v>2831284477.8400002</v>
      </c>
      <c r="F37" s="37">
        <v>31910328.739999998</v>
      </c>
      <c r="G37" s="37">
        <v>101695007.44</v>
      </c>
      <c r="H37" s="37">
        <v>2051655.95</v>
      </c>
      <c r="I37" s="37">
        <v>3234030043.5599999</v>
      </c>
      <c r="J37" s="40"/>
      <c r="K37" s="40"/>
    </row>
    <row r="38" spans="1:11" x14ac:dyDescent="0.2">
      <c r="A38" s="41">
        <v>41152</v>
      </c>
      <c r="B38" s="37">
        <v>223282921.96000001</v>
      </c>
      <c r="C38" s="37">
        <v>52892896.270000003</v>
      </c>
      <c r="D38" s="37">
        <v>-9087244.6300000008</v>
      </c>
      <c r="E38" s="37">
        <v>3181547871.1500001</v>
      </c>
      <c r="F38" s="37">
        <v>31910329</v>
      </c>
      <c r="G38" s="37">
        <v>101695007.44</v>
      </c>
      <c r="H38" s="37">
        <v>2051655.95</v>
      </c>
      <c r="I38" s="37">
        <v>3584293436.8699999</v>
      </c>
      <c r="J38" s="40"/>
      <c r="K38" s="40"/>
    </row>
    <row r="39" spans="1:11" x14ac:dyDescent="0.2">
      <c r="A39" s="41">
        <v>41156</v>
      </c>
      <c r="B39" s="37">
        <v>223282921.96000001</v>
      </c>
      <c r="C39" s="37">
        <v>52892896.270000003</v>
      </c>
      <c r="D39" s="37">
        <v>-9087244.6300000008</v>
      </c>
      <c r="E39" s="37">
        <v>3234235371.1500001</v>
      </c>
      <c r="F39" s="37">
        <v>31910329</v>
      </c>
      <c r="G39" s="37">
        <v>101695007.44</v>
      </c>
      <c r="H39" s="37">
        <v>2051655.95</v>
      </c>
      <c r="I39" s="37">
        <v>3636980936.8699999</v>
      </c>
      <c r="J39" s="40"/>
      <c r="K39" s="40"/>
    </row>
    <row r="40" spans="1:11" x14ac:dyDescent="0.2">
      <c r="A40" s="41">
        <v>41157</v>
      </c>
      <c r="B40" s="37">
        <v>223282921.96000001</v>
      </c>
      <c r="C40" s="37">
        <v>52892896.270000003</v>
      </c>
      <c r="D40" s="37">
        <v>-9087244.6300000008</v>
      </c>
      <c r="E40" s="37">
        <v>3615109371.1500001</v>
      </c>
      <c r="F40" s="37">
        <v>31910329</v>
      </c>
      <c r="G40" s="37">
        <v>101695007.44</v>
      </c>
      <c r="H40" s="37">
        <v>2051655.95</v>
      </c>
      <c r="I40" s="37">
        <v>4017854936.8699999</v>
      </c>
      <c r="J40" s="40"/>
      <c r="K40" s="40"/>
    </row>
    <row r="41" spans="1:11" x14ac:dyDescent="0.2">
      <c r="A41" s="41">
        <v>41159</v>
      </c>
      <c r="B41" s="37">
        <v>223282921.96000001</v>
      </c>
      <c r="C41" s="37">
        <v>52892896.270000003</v>
      </c>
      <c r="D41" s="37">
        <v>-9087244.6300000008</v>
      </c>
      <c r="E41" s="37">
        <v>3865997121.1500001</v>
      </c>
      <c r="F41" s="37">
        <v>31910329</v>
      </c>
      <c r="G41" s="37">
        <v>101695007.44</v>
      </c>
      <c r="H41" s="37">
        <v>2051655.95</v>
      </c>
      <c r="I41" s="37">
        <v>4268742686.8699999</v>
      </c>
      <c r="J41" s="40"/>
      <c r="K41" s="40"/>
    </row>
    <row r="42" spans="1:11" x14ac:dyDescent="0.2">
      <c r="A42" s="41">
        <v>41162</v>
      </c>
      <c r="B42" s="37">
        <v>223282921.96000001</v>
      </c>
      <c r="C42" s="37">
        <v>52892896.270000003</v>
      </c>
      <c r="D42" s="37">
        <v>-9087244.6300000008</v>
      </c>
      <c r="E42" s="37">
        <v>3866722121.1500001</v>
      </c>
      <c r="F42" s="37">
        <v>31910329</v>
      </c>
      <c r="G42" s="37">
        <v>101695007.44</v>
      </c>
      <c r="H42" s="37">
        <v>2051655.95</v>
      </c>
      <c r="I42" s="37">
        <v>4269467686.8699999</v>
      </c>
      <c r="J42" s="40"/>
      <c r="K42" s="40"/>
    </row>
    <row r="43" spans="1:11" x14ac:dyDescent="0.2">
      <c r="A43" s="41">
        <v>41164</v>
      </c>
      <c r="B43" s="37">
        <v>223282921.96000001</v>
      </c>
      <c r="C43" s="37">
        <v>52892896.270000003</v>
      </c>
      <c r="D43" s="37">
        <v>-9087244.6300000008</v>
      </c>
      <c r="E43" s="37">
        <v>4518236287.8199997</v>
      </c>
      <c r="F43" s="37">
        <v>31910329</v>
      </c>
      <c r="G43" s="37">
        <v>101695007.44</v>
      </c>
      <c r="H43" s="37">
        <v>2051655.95</v>
      </c>
      <c r="I43" s="37">
        <v>4920981853.54</v>
      </c>
      <c r="J43" s="40"/>
      <c r="K43" s="40"/>
    </row>
    <row r="44" spans="1:11" x14ac:dyDescent="0.2">
      <c r="A44" s="41">
        <v>41169</v>
      </c>
      <c r="B44" s="37">
        <v>239854796.96000001</v>
      </c>
      <c r="C44" s="37">
        <v>52892896.270000003</v>
      </c>
      <c r="D44" s="37">
        <v>-9087244.6300000008</v>
      </c>
      <c r="E44" s="37">
        <v>4841495335.6499996</v>
      </c>
      <c r="F44" s="37">
        <v>31910329</v>
      </c>
      <c r="G44" s="37">
        <v>101695007.44</v>
      </c>
      <c r="H44" s="37">
        <v>2051655.95</v>
      </c>
      <c r="I44" s="37">
        <v>5260812776.3699999</v>
      </c>
      <c r="J44" s="40"/>
      <c r="K44" s="40"/>
    </row>
    <row r="45" spans="1:11" x14ac:dyDescent="0.2">
      <c r="A45" s="41">
        <v>41171</v>
      </c>
      <c r="B45" s="37">
        <v>239927296.96000001</v>
      </c>
      <c r="C45" s="37">
        <v>52892896.270000003</v>
      </c>
      <c r="D45" s="37">
        <v>-9087244.6300000008</v>
      </c>
      <c r="E45" s="37">
        <v>4841541964.6999998</v>
      </c>
      <c r="F45" s="37">
        <v>31910329</v>
      </c>
      <c r="G45" s="37">
        <v>101695007.44</v>
      </c>
      <c r="H45" s="37">
        <v>2051655.95</v>
      </c>
      <c r="I45" s="37">
        <v>5260931905.4200001</v>
      </c>
      <c r="J45" s="40"/>
      <c r="K45" s="40"/>
    </row>
    <row r="46" spans="1:11" x14ac:dyDescent="0.2">
      <c r="A46" s="41">
        <v>41172</v>
      </c>
      <c r="B46" s="37">
        <v>248196046.96000001</v>
      </c>
      <c r="C46" s="37">
        <v>52892896.270000003</v>
      </c>
      <c r="D46" s="37">
        <v>-9087244.6300000008</v>
      </c>
      <c r="E46" s="37">
        <v>5294888186.9300003</v>
      </c>
      <c r="F46" s="37">
        <v>31910329</v>
      </c>
      <c r="G46" s="37">
        <v>101695007.44</v>
      </c>
      <c r="H46" s="37">
        <v>2051655.95</v>
      </c>
      <c r="I46" s="37">
        <v>5722546877.6499996</v>
      </c>
      <c r="J46" s="40"/>
      <c r="K46" s="40"/>
    </row>
    <row r="47" spans="1:11" x14ac:dyDescent="0.2">
      <c r="A47" s="41">
        <v>41177</v>
      </c>
      <c r="B47" s="37">
        <v>248196046.96000001</v>
      </c>
      <c r="C47" s="37">
        <v>52892896.270000003</v>
      </c>
      <c r="D47" s="37">
        <v>-9087244.6300000008</v>
      </c>
      <c r="E47" s="37">
        <v>5295763186.9300003</v>
      </c>
      <c r="F47" s="37">
        <v>31910329</v>
      </c>
      <c r="G47" s="37">
        <v>101695007.44</v>
      </c>
      <c r="H47" s="37">
        <v>2051655.95</v>
      </c>
      <c r="I47" s="37">
        <v>5723421877.6499996</v>
      </c>
      <c r="J47" s="40"/>
      <c r="K47" s="40"/>
    </row>
    <row r="48" spans="1:11" x14ac:dyDescent="0.2">
      <c r="A48" s="41">
        <v>41179</v>
      </c>
      <c r="B48" s="37">
        <v>248196046.96000001</v>
      </c>
      <c r="C48" s="37">
        <v>52892896.270000003</v>
      </c>
      <c r="D48" s="37">
        <v>-9087244.6300000008</v>
      </c>
      <c r="E48" s="37">
        <v>5546338186.9300003</v>
      </c>
      <c r="F48" s="37">
        <v>31910329</v>
      </c>
      <c r="G48" s="37">
        <v>101695007.44</v>
      </c>
      <c r="H48" s="37">
        <v>2051655.95</v>
      </c>
      <c r="I48" s="37">
        <v>5973996877.6499996</v>
      </c>
      <c r="J48" s="40"/>
      <c r="K48" s="40"/>
    </row>
    <row r="49" spans="1:11" x14ac:dyDescent="0.2">
      <c r="A49" s="41">
        <v>41180</v>
      </c>
      <c r="B49" s="37">
        <v>248283546.96000001</v>
      </c>
      <c r="C49" s="37">
        <v>52892896.270000003</v>
      </c>
      <c r="D49" s="37">
        <v>-9087244.6300000008</v>
      </c>
      <c r="E49" s="37">
        <v>5544617511.71</v>
      </c>
      <c r="F49" s="37">
        <v>31910329</v>
      </c>
      <c r="G49" s="37">
        <v>101695007.44</v>
      </c>
      <c r="H49" s="37">
        <v>2051655.95</v>
      </c>
      <c r="I49" s="37">
        <v>5972363702.4300003</v>
      </c>
      <c r="J49" s="40"/>
      <c r="K49" s="40"/>
    </row>
    <row r="50" spans="1:11" x14ac:dyDescent="0.2">
      <c r="A50" s="41">
        <v>41183</v>
      </c>
      <c r="B50" s="37">
        <v>248283546.96000001</v>
      </c>
      <c r="C50" s="37">
        <v>52892896.270000003</v>
      </c>
      <c r="D50" s="37">
        <v>-9087244.6300000008</v>
      </c>
      <c r="E50" s="37">
        <v>5747579525.6000004</v>
      </c>
      <c r="F50" s="37">
        <v>31910329</v>
      </c>
      <c r="G50" s="37">
        <v>101695007.44</v>
      </c>
      <c r="H50" s="37">
        <v>2051655.95</v>
      </c>
      <c r="I50" s="37">
        <v>6175325716.3199997</v>
      </c>
      <c r="J50" s="40"/>
      <c r="K50" s="40"/>
    </row>
    <row r="51" spans="1:11" x14ac:dyDescent="0.2">
      <c r="A51" s="41">
        <v>41185</v>
      </c>
      <c r="B51" s="37">
        <v>248283546.96000001</v>
      </c>
      <c r="C51" s="37">
        <v>52892896.270000003</v>
      </c>
      <c r="D51" s="37">
        <v>-9087244.6300000008</v>
      </c>
      <c r="E51" s="37">
        <v>5747579525.6000004</v>
      </c>
      <c r="F51" s="37">
        <v>31910329</v>
      </c>
      <c r="G51" s="37">
        <v>101695007.44</v>
      </c>
      <c r="H51" s="37">
        <v>2051655.95</v>
      </c>
      <c r="I51" s="37">
        <v>6175325716.3199997</v>
      </c>
      <c r="J51" s="40"/>
      <c r="K51" s="40"/>
    </row>
    <row r="52" spans="1:11" x14ac:dyDescent="0.2">
      <c r="A52" s="41">
        <v>41187</v>
      </c>
      <c r="B52" s="37">
        <v>257679773.21000001</v>
      </c>
      <c r="C52" s="37">
        <v>52892896.270000003</v>
      </c>
      <c r="D52" s="37">
        <v>-9087244.6300000008</v>
      </c>
      <c r="E52" s="37">
        <v>5788004525.6000004</v>
      </c>
      <c r="F52" s="37">
        <v>31910329</v>
      </c>
      <c r="G52" s="37">
        <v>101695007.44</v>
      </c>
      <c r="H52" s="37">
        <v>2051655.95</v>
      </c>
      <c r="I52" s="37">
        <v>6225146942.5699997</v>
      </c>
      <c r="J52" s="40"/>
      <c r="K52" s="40"/>
    </row>
    <row r="53" spans="1:11" x14ac:dyDescent="0.2">
      <c r="A53" s="41">
        <v>41191</v>
      </c>
      <c r="B53" s="37">
        <v>257679773.21000001</v>
      </c>
      <c r="C53" s="37">
        <v>52892896.270000003</v>
      </c>
      <c r="D53" s="37">
        <v>-9087244.6300000008</v>
      </c>
      <c r="E53" s="37">
        <v>5788503275.6000004</v>
      </c>
      <c r="F53" s="37">
        <v>31910329</v>
      </c>
      <c r="G53" s="37">
        <v>101695007.44</v>
      </c>
      <c r="H53" s="37">
        <v>2051655.95</v>
      </c>
      <c r="I53" s="37">
        <v>6225645692.5699997</v>
      </c>
      <c r="J53" s="40"/>
      <c r="K53" s="40"/>
    </row>
    <row r="54" spans="1:11" x14ac:dyDescent="0.2">
      <c r="A54" s="41">
        <v>41193</v>
      </c>
      <c r="B54" s="37">
        <v>257679773.21000001</v>
      </c>
      <c r="C54" s="37">
        <v>52892896.270000003</v>
      </c>
      <c r="D54" s="37">
        <v>-9087244.6300000008</v>
      </c>
      <c r="E54" s="37">
        <v>5788560284.8299999</v>
      </c>
      <c r="F54" s="37">
        <v>31910329</v>
      </c>
      <c r="G54" s="37">
        <v>101695007.44</v>
      </c>
      <c r="H54" s="37">
        <v>2051655.95</v>
      </c>
      <c r="I54" s="37">
        <v>6225702701.8000002</v>
      </c>
      <c r="J54" s="40"/>
      <c r="K54" s="40"/>
    </row>
    <row r="55" spans="1:11" x14ac:dyDescent="0.2">
      <c r="A55" s="41">
        <v>41197</v>
      </c>
      <c r="B55" s="37">
        <v>257679773.21000001</v>
      </c>
      <c r="C55" s="37">
        <v>52892896.270000003</v>
      </c>
      <c r="D55" s="37">
        <v>-9087244.6300000008</v>
      </c>
      <c r="E55" s="37">
        <v>5788560284.8299999</v>
      </c>
      <c r="F55" s="37">
        <v>32457212.239999998</v>
      </c>
      <c r="G55" s="37">
        <v>101695007.44</v>
      </c>
      <c r="H55" s="37">
        <v>2051655.95</v>
      </c>
      <c r="I55" s="37">
        <v>6226249585.3000002</v>
      </c>
      <c r="J55" s="40"/>
      <c r="K55" s="40"/>
    </row>
    <row r="56" spans="1:11" x14ac:dyDescent="0.2">
      <c r="A56" s="41">
        <v>41198</v>
      </c>
      <c r="B56" s="37">
        <v>257692273.21000001</v>
      </c>
      <c r="C56" s="37">
        <v>52892896.270000003</v>
      </c>
      <c r="D56" s="37">
        <v>-9087244.6300000008</v>
      </c>
      <c r="E56" s="37">
        <v>5887864034.8299999</v>
      </c>
      <c r="F56" s="37">
        <v>32457212.239999998</v>
      </c>
      <c r="G56" s="37">
        <v>101695007.44</v>
      </c>
      <c r="H56" s="37">
        <v>2051655.95</v>
      </c>
      <c r="I56" s="37">
        <v>6325565835.3000002</v>
      </c>
      <c r="J56" s="40"/>
      <c r="K56" s="40"/>
    </row>
    <row r="57" spans="1:11" x14ac:dyDescent="0.2">
      <c r="A57" s="41">
        <v>41204</v>
      </c>
      <c r="B57" s="37">
        <v>257692273.21000001</v>
      </c>
      <c r="C57" s="37">
        <v>52892896.270000003</v>
      </c>
      <c r="D57" s="37">
        <v>-9087244.6300000008</v>
      </c>
      <c r="E57" s="37">
        <v>5890656534.1999998</v>
      </c>
      <c r="F57" s="37">
        <v>32457212.239999998</v>
      </c>
      <c r="G57" s="37">
        <v>101695007.44</v>
      </c>
      <c r="H57" s="37">
        <v>2051655.95</v>
      </c>
      <c r="I57" s="37">
        <v>6328358334.6800003</v>
      </c>
      <c r="J57" s="40"/>
      <c r="K57" s="40"/>
    </row>
    <row r="58" spans="1:11" x14ac:dyDescent="0.2">
      <c r="A58" s="41">
        <v>41208</v>
      </c>
      <c r="B58" s="37">
        <v>257822273.21000001</v>
      </c>
      <c r="C58" s="37">
        <v>52892896.270000003</v>
      </c>
      <c r="D58" s="37">
        <v>-9087244.6300000008</v>
      </c>
      <c r="E58" s="37">
        <v>5890656534.1999998</v>
      </c>
      <c r="F58" s="37">
        <v>32457212.239999998</v>
      </c>
      <c r="G58" s="37">
        <v>101695007.44</v>
      </c>
      <c r="H58" s="37">
        <v>2051655.95</v>
      </c>
      <c r="I58" s="37">
        <v>6328488334.6800003</v>
      </c>
      <c r="J58" s="40"/>
      <c r="K58" s="40"/>
    </row>
    <row r="59" spans="1:11" x14ac:dyDescent="0.2">
      <c r="A59" s="41">
        <v>41213</v>
      </c>
      <c r="B59" s="37">
        <v>257822273.21000001</v>
      </c>
      <c r="C59" s="37">
        <v>52892896.270000003</v>
      </c>
      <c r="D59" s="37">
        <v>-9087244.6300000008</v>
      </c>
      <c r="E59" s="37">
        <v>5892375284.1999998</v>
      </c>
      <c r="F59" s="37">
        <v>32457212.239999998</v>
      </c>
      <c r="G59" s="37">
        <v>101695007.44</v>
      </c>
      <c r="H59" s="37">
        <v>2051655.95</v>
      </c>
      <c r="I59" s="37">
        <v>6330207084.6800003</v>
      </c>
      <c r="J59" s="40"/>
      <c r="K59" s="40"/>
    </row>
    <row r="60" spans="1:11" x14ac:dyDescent="0.2">
      <c r="A60" s="41">
        <v>41215</v>
      </c>
      <c r="B60" s="37">
        <v>262547273.21000001</v>
      </c>
      <c r="C60" s="37">
        <v>52892896.270000003</v>
      </c>
      <c r="D60" s="37">
        <v>-9087244.6300000008</v>
      </c>
      <c r="E60" s="37">
        <v>5892277164.2600002</v>
      </c>
      <c r="F60" s="37">
        <v>32457212.239999998</v>
      </c>
      <c r="G60" s="37">
        <v>101695007.44</v>
      </c>
      <c r="H60" s="37">
        <v>2051655.95</v>
      </c>
      <c r="I60" s="37">
        <v>6334833964.7399998</v>
      </c>
      <c r="J60" s="40"/>
      <c r="K60" s="40"/>
    </row>
    <row r="61" spans="1:11" x14ac:dyDescent="0.2">
      <c r="A61" s="41">
        <v>41218</v>
      </c>
      <c r="B61" s="37">
        <v>262547273.21000001</v>
      </c>
      <c r="C61" s="37">
        <v>52892896.270000003</v>
      </c>
      <c r="D61" s="37">
        <v>-9087244.6300000008</v>
      </c>
      <c r="E61" s="37">
        <v>5892483414.2600002</v>
      </c>
      <c r="F61" s="37">
        <v>32457212.239999998</v>
      </c>
      <c r="G61" s="37">
        <v>101695007.44</v>
      </c>
      <c r="H61" s="37">
        <v>2051655.95</v>
      </c>
      <c r="I61" s="37">
        <v>6335040214.7399998</v>
      </c>
      <c r="J61" s="40"/>
      <c r="K61" s="40"/>
    </row>
    <row r="62" spans="1:11" x14ac:dyDescent="0.2">
      <c r="A62" s="41">
        <v>41228</v>
      </c>
      <c r="B62" s="37">
        <v>587774773.21000004</v>
      </c>
      <c r="C62" s="37">
        <v>52892896.270000003</v>
      </c>
      <c r="D62" s="37">
        <v>-9087244.6300000008</v>
      </c>
      <c r="E62" s="37">
        <v>5894828414.2600002</v>
      </c>
      <c r="F62" s="37">
        <v>32457212.239999998</v>
      </c>
      <c r="G62" s="37">
        <v>101695007.44</v>
      </c>
      <c r="H62" s="37">
        <v>2051655.95</v>
      </c>
      <c r="I62" s="37">
        <v>6662612714.7399998</v>
      </c>
      <c r="J62" s="40"/>
      <c r="K62" s="40"/>
    </row>
    <row r="63" spans="1:11" x14ac:dyDescent="0.2">
      <c r="A63" s="41">
        <v>41232</v>
      </c>
      <c r="B63" s="37">
        <v>587909773.21000004</v>
      </c>
      <c r="C63" s="37">
        <v>52892896.270000003</v>
      </c>
      <c r="D63" s="37">
        <v>-9087244.6300000008</v>
      </c>
      <c r="E63" s="37">
        <v>5894828414.2600002</v>
      </c>
      <c r="F63" s="37">
        <v>32457212.239999998</v>
      </c>
      <c r="G63" s="37">
        <v>101695007.44</v>
      </c>
      <c r="H63" s="37">
        <v>2051655.95</v>
      </c>
      <c r="I63" s="37">
        <v>6662747714.7399998</v>
      </c>
      <c r="J63" s="40"/>
      <c r="K63" s="40"/>
    </row>
    <row r="64" spans="1:11" x14ac:dyDescent="0.2">
      <c r="A64" s="41">
        <v>41236</v>
      </c>
      <c r="B64" s="37">
        <v>587909773.21000004</v>
      </c>
      <c r="C64" s="37">
        <v>52892896.270000003</v>
      </c>
      <c r="D64" s="37">
        <v>-9087244.6300000008</v>
      </c>
      <c r="E64" s="37">
        <v>5995074664.2600002</v>
      </c>
      <c r="F64" s="37">
        <v>32457212.239999998</v>
      </c>
      <c r="G64" s="37">
        <v>101695007.44</v>
      </c>
      <c r="H64" s="37">
        <v>2051655.95</v>
      </c>
      <c r="I64" s="37">
        <v>6762993964.7399998</v>
      </c>
      <c r="J64" s="40"/>
      <c r="K64" s="40"/>
    </row>
    <row r="65" spans="1:11" x14ac:dyDescent="0.2">
      <c r="A65" s="41">
        <v>41239</v>
      </c>
      <c r="B65" s="37">
        <v>587909773.21000004</v>
      </c>
      <c r="C65" s="37">
        <v>52892896.270000003</v>
      </c>
      <c r="D65" s="37">
        <v>-9087244.6300000008</v>
      </c>
      <c r="E65" s="37">
        <v>5997574664.2600002</v>
      </c>
      <c r="F65" s="37">
        <v>32457212.239999998</v>
      </c>
      <c r="G65" s="37">
        <v>101695007.44</v>
      </c>
      <c r="H65" s="37">
        <v>2051655.95</v>
      </c>
      <c r="I65" s="37">
        <v>6765493964.7399998</v>
      </c>
      <c r="J65" s="40"/>
      <c r="K65" s="40"/>
    </row>
    <row r="66" spans="1:11" x14ac:dyDescent="0.2">
      <c r="A66" s="41">
        <v>41243</v>
      </c>
      <c r="B66" s="37">
        <v>609897273.21000004</v>
      </c>
      <c r="C66" s="37">
        <v>52892896.270000003</v>
      </c>
      <c r="D66" s="37">
        <v>-9087244.6300000008</v>
      </c>
      <c r="E66" s="37">
        <v>6001061539.2600002</v>
      </c>
      <c r="F66" s="37">
        <v>32457212.239999998</v>
      </c>
      <c r="G66" s="37">
        <v>101695007.44</v>
      </c>
      <c r="H66" s="37">
        <v>2051655.95</v>
      </c>
      <c r="I66" s="37">
        <v>6790968339.7399998</v>
      </c>
      <c r="J66" s="40"/>
      <c r="K66" s="40"/>
    </row>
    <row r="67" spans="1:11" x14ac:dyDescent="0.2">
      <c r="A67" s="41">
        <v>41249</v>
      </c>
      <c r="B67" s="37">
        <v>609897273.21000004</v>
      </c>
      <c r="C67" s="37">
        <v>52892896.270000003</v>
      </c>
      <c r="D67" s="37">
        <v>-9087244.6300000008</v>
      </c>
      <c r="E67" s="37">
        <v>6415061539.2600002</v>
      </c>
      <c r="F67" s="37">
        <v>32457212.239999998</v>
      </c>
      <c r="G67" s="37">
        <v>101695007.44</v>
      </c>
      <c r="H67" s="37">
        <v>2051655.95</v>
      </c>
      <c r="I67" s="37">
        <v>7204968339.7399998</v>
      </c>
      <c r="J67" s="40"/>
      <c r="K67" s="40"/>
    </row>
    <row r="68" spans="1:11" x14ac:dyDescent="0.2">
      <c r="A68" s="41">
        <v>41255</v>
      </c>
      <c r="B68" s="37">
        <v>612667273.21000004</v>
      </c>
      <c r="C68" s="37">
        <v>52892896.270000003</v>
      </c>
      <c r="D68" s="37">
        <v>-9087244.6300000008</v>
      </c>
      <c r="E68" s="37">
        <v>6415330289.2600002</v>
      </c>
      <c r="F68" s="37">
        <v>32457212.239999998</v>
      </c>
      <c r="G68" s="37">
        <v>101695007.44</v>
      </c>
      <c r="H68" s="37">
        <v>2051655.95</v>
      </c>
      <c r="I68" s="37">
        <v>7208007089.7399998</v>
      </c>
      <c r="J68" s="40"/>
      <c r="K68" s="40"/>
    </row>
    <row r="69" spans="1:11" x14ac:dyDescent="0.2">
      <c r="A69" s="41">
        <v>41257</v>
      </c>
      <c r="B69" s="37">
        <v>612667273.21000004</v>
      </c>
      <c r="C69" s="37">
        <v>52892896.270000003</v>
      </c>
      <c r="D69" s="37">
        <v>-9087244.6300000008</v>
      </c>
      <c r="E69" s="37">
        <v>6434510789.2600002</v>
      </c>
      <c r="F69" s="37">
        <v>32457212.239999998</v>
      </c>
      <c r="G69" s="37">
        <v>101695007.44</v>
      </c>
      <c r="H69" s="37">
        <v>2051655.95</v>
      </c>
      <c r="I69" s="37">
        <v>7227187589.7399998</v>
      </c>
      <c r="J69" s="40"/>
      <c r="K69" s="40"/>
    </row>
    <row r="70" spans="1:11" x14ac:dyDescent="0.2">
      <c r="A70" s="41">
        <v>41260</v>
      </c>
      <c r="B70" s="37">
        <v>655302898.21000004</v>
      </c>
      <c r="C70" s="37">
        <v>52892896.270000003</v>
      </c>
      <c r="D70" s="37">
        <v>-9087244.6300000008</v>
      </c>
      <c r="E70" s="37">
        <v>6434888810.1499996</v>
      </c>
      <c r="F70" s="37">
        <v>32457212.239999998</v>
      </c>
      <c r="G70" s="37">
        <v>101695007.44</v>
      </c>
      <c r="H70" s="37">
        <v>2051655.95</v>
      </c>
      <c r="I70" s="37">
        <v>7270201235.6300001</v>
      </c>
      <c r="J70" s="40"/>
      <c r="K70" s="40"/>
    </row>
    <row r="71" spans="1:11" x14ac:dyDescent="0.2">
      <c r="A71" s="41">
        <v>41261</v>
      </c>
      <c r="B71" s="37">
        <v>664052898.21000004</v>
      </c>
      <c r="C71" s="37">
        <v>52892896.270000003</v>
      </c>
      <c r="D71" s="37">
        <v>-9087244.6300000008</v>
      </c>
      <c r="E71" s="37">
        <v>6434888810.1499996</v>
      </c>
      <c r="F71" s="37">
        <v>32457212.239999998</v>
      </c>
      <c r="G71" s="37">
        <v>101695007.44</v>
      </c>
      <c r="H71" s="37">
        <v>2051655.95</v>
      </c>
      <c r="I71" s="37">
        <v>7278951235.6300001</v>
      </c>
      <c r="J71" s="40"/>
      <c r="K71" s="40"/>
    </row>
    <row r="72" spans="1:11" x14ac:dyDescent="0.2">
      <c r="A72" s="41">
        <v>41262</v>
      </c>
      <c r="B72" s="37">
        <v>664117398.21000004</v>
      </c>
      <c r="C72" s="37">
        <v>52892896.270000003</v>
      </c>
      <c r="D72" s="37">
        <v>-9087244.6300000008</v>
      </c>
      <c r="E72" s="37">
        <v>6434344919.3999996</v>
      </c>
      <c r="F72" s="37">
        <v>32457212.239999998</v>
      </c>
      <c r="G72" s="37">
        <v>101695007.44</v>
      </c>
      <c r="H72" s="37">
        <v>2051655.95</v>
      </c>
      <c r="I72" s="37">
        <v>7278471844.8800001</v>
      </c>
      <c r="J72" s="40"/>
      <c r="K72" s="40"/>
    </row>
    <row r="73" spans="1:11" x14ac:dyDescent="0.2">
      <c r="A73" s="41">
        <v>41269</v>
      </c>
      <c r="B73" s="37">
        <v>664117398.21000004</v>
      </c>
      <c r="C73" s="37">
        <v>52892896.270000003</v>
      </c>
      <c r="D73" s="37">
        <v>-9087244.6300000008</v>
      </c>
      <c r="E73" s="37">
        <v>6434798044.3999996</v>
      </c>
      <c r="F73" s="37">
        <v>32457212.239999998</v>
      </c>
      <c r="G73" s="37">
        <v>101695007.44</v>
      </c>
      <c r="H73" s="37">
        <v>2051655.95</v>
      </c>
      <c r="I73" s="37">
        <v>7278924969.8800001</v>
      </c>
      <c r="J73" s="40"/>
      <c r="K73" s="40"/>
    </row>
    <row r="74" spans="1:11" x14ac:dyDescent="0.2">
      <c r="A74" s="41">
        <v>41270</v>
      </c>
      <c r="B74" s="37">
        <v>664942398.21000004</v>
      </c>
      <c r="C74" s="37">
        <v>52892896.270000003</v>
      </c>
      <c r="D74" s="37">
        <v>-9087244.6300000008</v>
      </c>
      <c r="E74" s="37">
        <v>6834798044.3999996</v>
      </c>
      <c r="F74" s="37">
        <v>32457212.239999998</v>
      </c>
      <c r="G74" s="37">
        <v>101695007.44</v>
      </c>
      <c r="H74" s="37">
        <v>2051655.95</v>
      </c>
      <c r="I74" s="37">
        <v>7679749969.8800001</v>
      </c>
      <c r="J74" s="40"/>
      <c r="K74" s="40"/>
    </row>
    <row r="75" spans="1:11" x14ac:dyDescent="0.2">
      <c r="A75" s="41">
        <v>41271</v>
      </c>
      <c r="B75" s="37">
        <v>664942398.21000004</v>
      </c>
      <c r="C75" s="37">
        <v>52892896.270000003</v>
      </c>
      <c r="D75" s="37">
        <v>-9087244.6300000008</v>
      </c>
      <c r="E75" s="37">
        <v>6835028581.0699997</v>
      </c>
      <c r="F75" s="37">
        <v>32457212.239999998</v>
      </c>
      <c r="G75" s="37">
        <v>101695007.44</v>
      </c>
      <c r="H75" s="37">
        <v>2051655.95</v>
      </c>
      <c r="I75" s="37">
        <v>7679980506.5500002</v>
      </c>
      <c r="J75" s="40"/>
      <c r="K75" s="40"/>
    </row>
    <row r="76" spans="1:11" x14ac:dyDescent="0.2">
      <c r="A76" s="41">
        <v>41274</v>
      </c>
      <c r="B76" s="37">
        <v>682452398.21000004</v>
      </c>
      <c r="C76" s="37">
        <v>52892896.270000003</v>
      </c>
      <c r="D76" s="37">
        <v>-9087244.6300000008</v>
      </c>
      <c r="E76" s="37">
        <v>6836946894.4399996</v>
      </c>
      <c r="F76" s="37">
        <v>32457212</v>
      </c>
      <c r="G76" s="37">
        <v>101695007.44</v>
      </c>
      <c r="H76" s="37">
        <v>2051655.95</v>
      </c>
      <c r="I76" s="37">
        <v>7699408819.9200001</v>
      </c>
      <c r="J76" s="40"/>
      <c r="K76" s="40"/>
    </row>
    <row r="77" spans="1:11" x14ac:dyDescent="0.2">
      <c r="A77" s="41">
        <v>41284</v>
      </c>
      <c r="B77" s="37">
        <v>682452398.21000004</v>
      </c>
      <c r="C77" s="37">
        <v>52892896.270000003</v>
      </c>
      <c r="D77" s="37">
        <v>-9087244.6300000008</v>
      </c>
      <c r="E77" s="37">
        <v>6877844394.4399996</v>
      </c>
      <c r="F77" s="37">
        <v>32457212</v>
      </c>
      <c r="G77" s="37">
        <v>101695007.44</v>
      </c>
      <c r="H77" s="37">
        <v>2051655.95</v>
      </c>
      <c r="I77" s="37">
        <v>7740306319.9200001</v>
      </c>
      <c r="J77" s="40"/>
      <c r="K77" s="40"/>
    </row>
    <row r="78" spans="1:11" x14ac:dyDescent="0.2">
      <c r="A78" s="41">
        <v>41285</v>
      </c>
      <c r="B78" s="37">
        <v>682452398.21000004</v>
      </c>
      <c r="C78" s="37">
        <v>52892896.270000003</v>
      </c>
      <c r="D78" s="37">
        <v>-9087244.6300000008</v>
      </c>
      <c r="E78" s="37">
        <v>6877731490.2399998</v>
      </c>
      <c r="F78" s="37">
        <v>32457212</v>
      </c>
      <c r="G78" s="37">
        <v>101695007.44</v>
      </c>
      <c r="H78" s="37">
        <v>2051655.95</v>
      </c>
      <c r="I78" s="37">
        <v>7740193415.71</v>
      </c>
      <c r="J78" s="40"/>
      <c r="K78" s="40"/>
    </row>
    <row r="79" spans="1:11" x14ac:dyDescent="0.2">
      <c r="A79" s="41">
        <v>41289</v>
      </c>
      <c r="B79" s="37">
        <v>816052398.21000004</v>
      </c>
      <c r="C79" s="37">
        <v>52892896.270000003</v>
      </c>
      <c r="D79" s="37">
        <v>-9087244.6300000008</v>
      </c>
      <c r="E79" s="37">
        <v>6877731490.2399998</v>
      </c>
      <c r="F79" s="37">
        <v>35457414</v>
      </c>
      <c r="G79" s="37">
        <v>101695007.44</v>
      </c>
      <c r="H79" s="37">
        <v>2051655.95</v>
      </c>
      <c r="I79" s="37">
        <v>7876793617.4700003</v>
      </c>
      <c r="J79" s="40"/>
      <c r="K79" s="40"/>
    </row>
    <row r="80" spans="1:11" x14ac:dyDescent="0.2">
      <c r="A80" s="41">
        <v>41290</v>
      </c>
      <c r="B80" s="37">
        <v>818032376.13999999</v>
      </c>
      <c r="C80" s="37">
        <v>52892896.270000003</v>
      </c>
      <c r="D80" s="37">
        <v>-9087244.6300000008</v>
      </c>
      <c r="E80" s="37">
        <v>6877731490.2399998</v>
      </c>
      <c r="F80" s="37">
        <v>35457414</v>
      </c>
      <c r="G80" s="37">
        <v>101695007.44</v>
      </c>
      <c r="H80" s="37">
        <v>2051655.95</v>
      </c>
      <c r="I80" s="37">
        <v>7878773595.3999996</v>
      </c>
      <c r="J80" s="40"/>
      <c r="K80" s="40"/>
    </row>
    <row r="81" spans="1:11" x14ac:dyDescent="0.2">
      <c r="A81" s="41">
        <v>41291</v>
      </c>
      <c r="B81" s="37">
        <v>818641751.13999999</v>
      </c>
      <c r="C81" s="37">
        <v>52892896.270000003</v>
      </c>
      <c r="D81" s="37">
        <v>-9087244.6300000008</v>
      </c>
      <c r="E81" s="37">
        <v>6877731490.2399998</v>
      </c>
      <c r="F81" s="37">
        <v>35457414</v>
      </c>
      <c r="G81" s="37">
        <v>101695007.44</v>
      </c>
      <c r="H81" s="37">
        <v>2051655.95</v>
      </c>
      <c r="I81" s="37">
        <v>7879382970.3999996</v>
      </c>
      <c r="J81" s="40"/>
      <c r="K81" s="40"/>
    </row>
    <row r="82" spans="1:11" x14ac:dyDescent="0.2">
      <c r="A82" s="41">
        <v>41296</v>
      </c>
      <c r="B82" s="37">
        <v>820690601.13999999</v>
      </c>
      <c r="C82" s="37">
        <v>52892896.270000003</v>
      </c>
      <c r="D82" s="37">
        <v>-9087244.6300000008</v>
      </c>
      <c r="E82" s="37">
        <v>6877441769.0699997</v>
      </c>
      <c r="F82" s="37">
        <v>35457414</v>
      </c>
      <c r="G82" s="37">
        <v>101695007.44</v>
      </c>
      <c r="H82" s="37">
        <v>2051655.95</v>
      </c>
      <c r="I82" s="37">
        <v>7881142099.2399998</v>
      </c>
      <c r="J82" s="40"/>
      <c r="K82" s="40"/>
    </row>
    <row r="83" spans="1:11" x14ac:dyDescent="0.2">
      <c r="A83" s="41">
        <v>41297</v>
      </c>
      <c r="B83" s="37">
        <v>820690601.13999999</v>
      </c>
      <c r="C83" s="37">
        <v>52892896.270000003</v>
      </c>
      <c r="D83" s="37">
        <v>-9087244.6300000008</v>
      </c>
      <c r="E83" s="37">
        <v>6927441769.0699997</v>
      </c>
      <c r="F83" s="37">
        <v>35457414</v>
      </c>
      <c r="G83" s="37">
        <v>101695007.44</v>
      </c>
      <c r="H83" s="37">
        <v>2051655.95</v>
      </c>
      <c r="I83" s="37">
        <v>7931142099.2399998</v>
      </c>
      <c r="J83" s="40"/>
      <c r="K83" s="40"/>
    </row>
    <row r="84" spans="1:11" x14ac:dyDescent="0.2">
      <c r="A84" s="41">
        <v>41302</v>
      </c>
      <c r="B84" s="37">
        <v>820690601.13999999</v>
      </c>
      <c r="C84" s="37">
        <v>52892896.270000003</v>
      </c>
      <c r="D84" s="37">
        <v>-9087244.6300000008</v>
      </c>
      <c r="E84" s="37">
        <v>6954535519.0699997</v>
      </c>
      <c r="F84" s="37">
        <v>35457414</v>
      </c>
      <c r="G84" s="37">
        <v>101695007.44</v>
      </c>
      <c r="H84" s="37">
        <v>2051655.95</v>
      </c>
      <c r="I84" s="37">
        <v>7958235849.2399998</v>
      </c>
      <c r="J84" s="40"/>
      <c r="K84" s="40"/>
    </row>
    <row r="85" spans="1:11" x14ac:dyDescent="0.2">
      <c r="A85" s="41">
        <v>41305</v>
      </c>
      <c r="B85" s="37">
        <v>820690601.13999999</v>
      </c>
      <c r="C85" s="37">
        <v>52892896.270000003</v>
      </c>
      <c r="D85" s="37">
        <v>-9087244.6300000008</v>
      </c>
      <c r="E85" s="37">
        <v>6956838019.0699997</v>
      </c>
      <c r="F85" s="37">
        <v>35457414</v>
      </c>
      <c r="G85" s="37">
        <v>101695007.44</v>
      </c>
      <c r="H85" s="37">
        <v>2051655.95</v>
      </c>
      <c r="I85" s="37">
        <v>7960538349.2399998</v>
      </c>
      <c r="J85" s="40"/>
      <c r="K85" s="40"/>
    </row>
    <row r="86" spans="1:11" x14ac:dyDescent="0.2">
      <c r="A86" s="41">
        <v>41306</v>
      </c>
      <c r="B86" s="37">
        <v>821331226.13999999</v>
      </c>
      <c r="C86" s="37">
        <v>52892896.270000003</v>
      </c>
      <c r="D86" s="37">
        <v>-9087244.6300000008</v>
      </c>
      <c r="E86" s="37">
        <v>6956838019.0699997</v>
      </c>
      <c r="F86" s="37">
        <v>35457414</v>
      </c>
      <c r="G86" s="37">
        <v>101695007.44</v>
      </c>
      <c r="H86" s="37">
        <v>2051655.95</v>
      </c>
      <c r="I86" s="37">
        <v>7961178974.2399998</v>
      </c>
      <c r="J86" s="40"/>
      <c r="K86" s="40"/>
    </row>
    <row r="87" spans="1:11" x14ac:dyDescent="0.2">
      <c r="A87" s="41">
        <v>41309</v>
      </c>
      <c r="B87" s="37">
        <v>821331226.13999999</v>
      </c>
      <c r="C87" s="37">
        <v>52892896.270000003</v>
      </c>
      <c r="D87" s="37">
        <v>-9087244.6300000008</v>
      </c>
      <c r="E87" s="37">
        <v>6996850055.1800003</v>
      </c>
      <c r="F87" s="37">
        <v>35457414</v>
      </c>
      <c r="G87" s="37">
        <v>101695007.44</v>
      </c>
      <c r="H87" s="37">
        <v>2051655.95</v>
      </c>
      <c r="I87" s="37">
        <v>8001191010.3400002</v>
      </c>
      <c r="J87" s="40"/>
      <c r="K87" s="40"/>
    </row>
    <row r="88" spans="1:11" x14ac:dyDescent="0.2">
      <c r="A88" s="41">
        <v>41318</v>
      </c>
      <c r="B88" s="37">
        <v>821331226.13999999</v>
      </c>
      <c r="C88" s="37">
        <v>52892896.270000003</v>
      </c>
      <c r="D88" s="37">
        <v>-9087244.6300000008</v>
      </c>
      <c r="E88" s="37">
        <v>7146850055.1800003</v>
      </c>
      <c r="F88" s="37">
        <v>35457414</v>
      </c>
      <c r="G88" s="37">
        <v>101695007.44</v>
      </c>
      <c r="H88" s="37">
        <v>2051655.95</v>
      </c>
      <c r="I88" s="37">
        <v>8151191010.3400002</v>
      </c>
      <c r="J88" s="40"/>
      <c r="K88" s="40"/>
    </row>
    <row r="89" spans="1:11" x14ac:dyDescent="0.2">
      <c r="A89" s="41">
        <v>41320</v>
      </c>
      <c r="B89" s="37">
        <v>849394976.13999999</v>
      </c>
      <c r="C89" s="37">
        <v>52892896.270000003</v>
      </c>
      <c r="D89" s="37">
        <v>-9087244.6300000008</v>
      </c>
      <c r="E89" s="37">
        <v>7148970055.1800003</v>
      </c>
      <c r="F89" s="37">
        <v>35457414</v>
      </c>
      <c r="G89" s="37">
        <v>101695007.44</v>
      </c>
      <c r="H89" s="37">
        <v>2051655.95</v>
      </c>
      <c r="I89" s="37">
        <v>8181374760.3400002</v>
      </c>
      <c r="J89" s="40"/>
      <c r="K89" s="40"/>
    </row>
    <row r="90" spans="1:11" x14ac:dyDescent="0.2">
      <c r="A90" s="41">
        <v>41324</v>
      </c>
      <c r="B90" s="37">
        <v>856351226.13999999</v>
      </c>
      <c r="C90" s="37">
        <v>52892896.270000003</v>
      </c>
      <c r="D90" s="37">
        <v>-9087244.6300000008</v>
      </c>
      <c r="E90" s="37">
        <v>7148970055.1800003</v>
      </c>
      <c r="F90" s="37">
        <v>35457414</v>
      </c>
      <c r="G90" s="37">
        <v>101695007.44</v>
      </c>
      <c r="H90" s="37">
        <v>2051655.95</v>
      </c>
      <c r="I90" s="37">
        <v>8188331010.3400002</v>
      </c>
      <c r="J90" s="40"/>
      <c r="K90" s="40"/>
    </row>
    <row r="91" spans="1:11" x14ac:dyDescent="0.2">
      <c r="A91" s="41">
        <v>41332</v>
      </c>
      <c r="B91" s="37">
        <v>856401226.13999999</v>
      </c>
      <c r="C91" s="37">
        <v>52892896.270000003</v>
      </c>
      <c r="D91" s="37">
        <v>-9087244.6300000008</v>
      </c>
      <c r="E91" s="37">
        <v>7233970055.1800003</v>
      </c>
      <c r="F91" s="37">
        <v>35457414</v>
      </c>
      <c r="G91" s="37">
        <v>101695007.44</v>
      </c>
      <c r="H91" s="37">
        <v>2051655.95</v>
      </c>
      <c r="I91" s="37">
        <v>8273381010.3400002</v>
      </c>
      <c r="J91" s="40"/>
      <c r="K91" s="40"/>
    </row>
    <row r="92" spans="1:11" x14ac:dyDescent="0.2">
      <c r="A92" s="41">
        <v>41333</v>
      </c>
      <c r="B92" s="37">
        <v>856401226.13999999</v>
      </c>
      <c r="C92" s="37">
        <v>52892896.270000003</v>
      </c>
      <c r="D92" s="37">
        <v>-9087244.6300000008</v>
      </c>
      <c r="E92" s="37">
        <v>7233970055.1800003</v>
      </c>
      <c r="F92" s="37">
        <v>35457414</v>
      </c>
      <c r="G92" s="37">
        <v>101695007.44</v>
      </c>
      <c r="H92" s="37">
        <v>2051655.95</v>
      </c>
      <c r="I92" s="37">
        <v>8273381010.3400002</v>
      </c>
      <c r="J92" s="40"/>
      <c r="K92" s="40"/>
    </row>
    <row r="93" spans="1:11" x14ac:dyDescent="0.2">
      <c r="A93" s="41">
        <v>41340</v>
      </c>
      <c r="B93" s="37">
        <v>856401226.13999999</v>
      </c>
      <c r="C93" s="37">
        <v>52892896.270000003</v>
      </c>
      <c r="D93" s="37">
        <v>-9087244.6300000008</v>
      </c>
      <c r="E93" s="37">
        <v>7234282805.1800003</v>
      </c>
      <c r="F93" s="37">
        <v>35457414</v>
      </c>
      <c r="G93" s="37">
        <v>101695007.44</v>
      </c>
      <c r="H93" s="37">
        <v>2051655.95</v>
      </c>
      <c r="I93" s="37">
        <v>8273693760.3400002</v>
      </c>
      <c r="J93" s="40"/>
      <c r="K93" s="40"/>
    </row>
    <row r="94" spans="1:11" x14ac:dyDescent="0.2">
      <c r="A94" s="41">
        <v>41344</v>
      </c>
      <c r="B94" s="37">
        <v>856401226.13999999</v>
      </c>
      <c r="C94" s="37">
        <v>52892896.270000003</v>
      </c>
      <c r="D94" s="37">
        <v>-9087244.6300000008</v>
      </c>
      <c r="E94" s="37">
        <v>7236535305.1800003</v>
      </c>
      <c r="F94" s="37">
        <v>35457414</v>
      </c>
      <c r="G94" s="37">
        <v>101695007.44</v>
      </c>
      <c r="H94" s="37">
        <v>2051655.95</v>
      </c>
      <c r="I94" s="37">
        <v>8275946260.3400002</v>
      </c>
      <c r="J94" s="40"/>
      <c r="K94" s="40"/>
    </row>
    <row r="95" spans="1:11" x14ac:dyDescent="0.2">
      <c r="A95" s="41">
        <v>41348</v>
      </c>
      <c r="B95" s="37">
        <v>872973101.13999999</v>
      </c>
      <c r="C95" s="37">
        <v>52892896.270000003</v>
      </c>
      <c r="D95" s="37">
        <v>-9087244.6300000008</v>
      </c>
      <c r="E95" s="37">
        <v>7236566553.1999998</v>
      </c>
      <c r="F95" s="37">
        <v>35457414</v>
      </c>
      <c r="G95" s="37">
        <v>101695007.44</v>
      </c>
      <c r="H95" s="37">
        <v>2051655.95</v>
      </c>
      <c r="I95" s="37">
        <v>8292549383.3599997</v>
      </c>
      <c r="J95" s="40"/>
      <c r="K95" s="40"/>
    </row>
    <row r="96" spans="1:11" x14ac:dyDescent="0.2">
      <c r="A96" s="41">
        <v>41351</v>
      </c>
      <c r="B96" s="37">
        <v>872973101.13999999</v>
      </c>
      <c r="C96" s="37">
        <v>52892896.270000003</v>
      </c>
      <c r="D96" s="37">
        <v>-9087244.6300000008</v>
      </c>
      <c r="E96" s="37">
        <v>7236534740.2299995</v>
      </c>
      <c r="F96" s="37">
        <v>35457414</v>
      </c>
      <c r="G96" s="37">
        <v>101695007.44</v>
      </c>
      <c r="H96" s="37">
        <v>2051655.95</v>
      </c>
      <c r="I96" s="37">
        <v>8292517570.3999996</v>
      </c>
      <c r="J96" s="40"/>
      <c r="K96" s="40"/>
    </row>
    <row r="97" spans="1:11" x14ac:dyDescent="0.2">
      <c r="A97" s="41">
        <v>41352</v>
      </c>
      <c r="B97" s="37">
        <v>873045601.13999999</v>
      </c>
      <c r="C97" s="37">
        <v>52892896.270000003</v>
      </c>
      <c r="D97" s="37">
        <v>-9087244.6300000008</v>
      </c>
      <c r="E97" s="37">
        <v>7236582903.25</v>
      </c>
      <c r="F97" s="37">
        <v>35457414</v>
      </c>
      <c r="G97" s="37">
        <v>101695007.44</v>
      </c>
      <c r="H97" s="37">
        <v>2051655.95</v>
      </c>
      <c r="I97" s="37">
        <v>8292638233.4099998</v>
      </c>
      <c r="J97" s="40"/>
      <c r="K97" s="40"/>
    </row>
    <row r="98" spans="1:11" x14ac:dyDescent="0.2">
      <c r="A98" s="41">
        <v>41353</v>
      </c>
      <c r="B98" s="37">
        <v>881314351.13999999</v>
      </c>
      <c r="C98" s="37">
        <v>52892896.270000003</v>
      </c>
      <c r="D98" s="37">
        <v>-9087244.6300000008</v>
      </c>
      <c r="E98" s="37">
        <v>7236582903.25</v>
      </c>
      <c r="F98" s="37">
        <v>35457414</v>
      </c>
      <c r="G98" s="37">
        <v>101695007.44</v>
      </c>
      <c r="H98" s="37">
        <v>2051655.95</v>
      </c>
      <c r="I98" s="37">
        <v>8300906983.4099998</v>
      </c>
      <c r="J98" s="40"/>
      <c r="K98" s="40"/>
    </row>
    <row r="99" spans="1:11" x14ac:dyDescent="0.2">
      <c r="A99" s="41">
        <v>41358</v>
      </c>
      <c r="B99" s="37">
        <v>881314351.13999999</v>
      </c>
      <c r="C99" s="37">
        <v>52892896.270000003</v>
      </c>
      <c r="D99" s="37">
        <v>-9087244.6300000008</v>
      </c>
      <c r="E99" s="37">
        <v>7237457903.25</v>
      </c>
      <c r="F99" s="37">
        <v>35457414</v>
      </c>
      <c r="G99" s="37">
        <v>101695007.44</v>
      </c>
      <c r="H99" s="37">
        <v>2051655.95</v>
      </c>
      <c r="I99" s="37">
        <v>8301781983.4099998</v>
      </c>
      <c r="J99" s="40"/>
      <c r="K99" s="40"/>
    </row>
    <row r="100" spans="1:11" x14ac:dyDescent="0.2">
      <c r="A100" s="41">
        <v>41361</v>
      </c>
      <c r="B100" s="37">
        <v>881401851.13999999</v>
      </c>
      <c r="C100" s="37">
        <v>52892896.270000003</v>
      </c>
      <c r="D100" s="37">
        <v>-9087244.6300000008</v>
      </c>
      <c r="E100" s="37">
        <v>7235752101.3400002</v>
      </c>
      <c r="F100" s="37">
        <v>35457414</v>
      </c>
      <c r="G100" s="37">
        <v>101695007.44</v>
      </c>
      <c r="H100" s="37">
        <v>2051655.95</v>
      </c>
      <c r="I100" s="37">
        <v>8300163681.5</v>
      </c>
      <c r="J100" s="40"/>
      <c r="K100" s="40"/>
    </row>
    <row r="101" spans="1:11" x14ac:dyDescent="0.2">
      <c r="A101" s="41">
        <v>41365</v>
      </c>
      <c r="B101" s="37">
        <v>881401851.13999999</v>
      </c>
      <c r="C101" s="37">
        <v>52892896.270000003</v>
      </c>
      <c r="D101" s="37">
        <v>-9087244.6300000008</v>
      </c>
      <c r="E101" s="37">
        <v>7238165226.3400002</v>
      </c>
      <c r="F101" s="37">
        <v>35457414</v>
      </c>
      <c r="G101" s="37">
        <v>101695007.44</v>
      </c>
      <c r="H101" s="37">
        <v>2051655.95</v>
      </c>
      <c r="I101" s="37">
        <v>8302576806.5</v>
      </c>
      <c r="J101" s="40"/>
      <c r="K101" s="40"/>
    </row>
    <row r="102" spans="1:11" x14ac:dyDescent="0.2">
      <c r="A102" s="41">
        <v>41368</v>
      </c>
      <c r="B102" s="37">
        <v>881401851.13999999</v>
      </c>
      <c r="C102" s="37">
        <v>52892896.270000003</v>
      </c>
      <c r="D102" s="37">
        <v>-9087244.6300000008</v>
      </c>
      <c r="E102" s="37">
        <v>8238165226.3400002</v>
      </c>
      <c r="F102" s="37">
        <v>35457414</v>
      </c>
      <c r="G102" s="37">
        <v>101695007.44</v>
      </c>
      <c r="H102" s="37">
        <v>2051655.95</v>
      </c>
      <c r="I102" s="37">
        <v>9302576806.5</v>
      </c>
      <c r="J102" s="40"/>
      <c r="K102" s="40"/>
    </row>
    <row r="103" spans="1:11" x14ac:dyDescent="0.2">
      <c r="A103" s="41">
        <v>41372</v>
      </c>
      <c r="B103" s="37">
        <v>881401851.13999999</v>
      </c>
      <c r="C103" s="37">
        <v>52892896.270000003</v>
      </c>
      <c r="D103" s="37">
        <v>-9087244.6300000008</v>
      </c>
      <c r="E103" s="37">
        <v>8238663976.3400002</v>
      </c>
      <c r="F103" s="37">
        <v>35457414</v>
      </c>
      <c r="G103" s="37">
        <v>101695007.44</v>
      </c>
      <c r="H103" s="37">
        <v>2051655.95</v>
      </c>
      <c r="I103" s="37">
        <v>9303075556.5</v>
      </c>
      <c r="J103" s="40"/>
      <c r="K103" s="40"/>
    </row>
    <row r="104" spans="1:11" x14ac:dyDescent="0.2">
      <c r="A104" s="41">
        <v>41374</v>
      </c>
      <c r="B104" s="37">
        <v>886401851.13999999</v>
      </c>
      <c r="C104" s="37">
        <v>52892896.270000003</v>
      </c>
      <c r="D104" s="37">
        <v>-9087244.6300000008</v>
      </c>
      <c r="E104" s="37">
        <v>8238663976.3400002</v>
      </c>
      <c r="F104" s="37">
        <v>35457414</v>
      </c>
      <c r="G104" s="37">
        <v>101695007.44</v>
      </c>
      <c r="H104" s="37">
        <v>2051655.95</v>
      </c>
      <c r="I104" s="37">
        <v>9308075556.5</v>
      </c>
      <c r="J104" s="40"/>
      <c r="K104" s="40"/>
    </row>
    <row r="105" spans="1:11" x14ac:dyDescent="0.2">
      <c r="A105" s="41">
        <v>41375</v>
      </c>
      <c r="B105" s="37">
        <v>886401851.13999999</v>
      </c>
      <c r="C105" s="37">
        <v>52892896.270000003</v>
      </c>
      <c r="D105" s="37">
        <v>-9087244.6300000008</v>
      </c>
      <c r="E105" s="37">
        <v>8238727581.6000004</v>
      </c>
      <c r="F105" s="37">
        <v>35457414</v>
      </c>
      <c r="G105" s="37">
        <v>101695007.44</v>
      </c>
      <c r="H105" s="37">
        <v>2051655.95</v>
      </c>
      <c r="I105" s="37">
        <v>9308139161.7700005</v>
      </c>
      <c r="J105" s="40"/>
      <c r="K105" s="40"/>
    </row>
    <row r="106" spans="1:11" x14ac:dyDescent="0.2">
      <c r="A106" s="41">
        <v>41379</v>
      </c>
      <c r="B106" s="37">
        <v>886401851.13999999</v>
      </c>
      <c r="C106" s="37">
        <v>52892896.270000003</v>
      </c>
      <c r="D106" s="37">
        <v>-9087244.6300000008</v>
      </c>
      <c r="E106" s="37">
        <v>8239727581.6000004</v>
      </c>
      <c r="F106" s="37">
        <v>36004297.5</v>
      </c>
      <c r="G106" s="37">
        <v>101695007.44</v>
      </c>
      <c r="H106" s="37">
        <v>2051655.95</v>
      </c>
      <c r="I106" s="37">
        <v>9309686045.2800007</v>
      </c>
      <c r="J106" s="40"/>
      <c r="K106" s="40"/>
    </row>
    <row r="107" spans="1:11" x14ac:dyDescent="0.2">
      <c r="A107" s="41">
        <v>41380</v>
      </c>
      <c r="B107" s="37">
        <v>886414351.13999999</v>
      </c>
      <c r="C107" s="37">
        <v>52892896.270000003</v>
      </c>
      <c r="D107" s="37">
        <v>-9087244.6300000008</v>
      </c>
      <c r="E107" s="37">
        <v>8239727581.6000004</v>
      </c>
      <c r="F107" s="37">
        <v>36004297.5</v>
      </c>
      <c r="G107" s="37">
        <v>101695007.44</v>
      </c>
      <c r="H107" s="37">
        <v>2051655.95</v>
      </c>
      <c r="I107" s="37">
        <v>9309698545.2800007</v>
      </c>
      <c r="J107" s="40"/>
      <c r="K107" s="40"/>
    </row>
    <row r="108" spans="1:11" x14ac:dyDescent="0.2">
      <c r="A108" s="41">
        <v>41386</v>
      </c>
      <c r="B108" s="37">
        <v>886414351.13999999</v>
      </c>
      <c r="C108" s="37">
        <v>52892896.270000003</v>
      </c>
      <c r="D108" s="37">
        <v>-9087244.6300000008</v>
      </c>
      <c r="E108" s="37">
        <v>8444036696.6199999</v>
      </c>
      <c r="F108" s="37">
        <v>36004297.5</v>
      </c>
      <c r="G108" s="37">
        <v>101695007.44</v>
      </c>
      <c r="H108" s="37">
        <v>2051655.95</v>
      </c>
      <c r="I108" s="37">
        <v>9514007660.2900009</v>
      </c>
      <c r="J108" s="40"/>
      <c r="K108" s="40"/>
    </row>
    <row r="109" spans="1:11" x14ac:dyDescent="0.2">
      <c r="A109" s="41">
        <v>41390</v>
      </c>
      <c r="B109" s="37">
        <v>886544351.13999999</v>
      </c>
      <c r="C109" s="37">
        <v>52892896.270000003</v>
      </c>
      <c r="D109" s="37">
        <v>-9087244.6300000008</v>
      </c>
      <c r="E109" s="37">
        <v>8444036696.6199999</v>
      </c>
      <c r="F109" s="37">
        <v>36004297.5</v>
      </c>
      <c r="G109" s="37">
        <v>101695007.44</v>
      </c>
      <c r="H109" s="37">
        <v>2051655.95</v>
      </c>
      <c r="I109" s="37">
        <v>9514137660.2900009</v>
      </c>
      <c r="J109" s="40"/>
      <c r="K109" s="40"/>
    </row>
    <row r="110" spans="1:11" x14ac:dyDescent="0.2">
      <c r="A110" s="41">
        <v>41393</v>
      </c>
      <c r="B110" s="37">
        <v>886544351.13999999</v>
      </c>
      <c r="C110" s="37">
        <v>52892896.270000003</v>
      </c>
      <c r="D110" s="37">
        <v>-9087244.6300000008</v>
      </c>
      <c r="E110" s="37">
        <v>8444736696.6199999</v>
      </c>
      <c r="F110" s="37">
        <v>36004297.5</v>
      </c>
      <c r="G110" s="37">
        <v>101695007.44</v>
      </c>
      <c r="H110" s="37">
        <v>2051655.95</v>
      </c>
      <c r="I110" s="37">
        <v>9514837660.2900009</v>
      </c>
      <c r="J110" s="40"/>
      <c r="K110" s="40"/>
    </row>
    <row r="111" spans="1:11" x14ac:dyDescent="0.2">
      <c r="A111" s="41">
        <v>41394</v>
      </c>
      <c r="B111" s="37">
        <v>886544351.13999999</v>
      </c>
      <c r="C111" s="37">
        <v>52892896.270000003</v>
      </c>
      <c r="D111" s="37">
        <v>-9087244.6300000008</v>
      </c>
      <c r="E111" s="37">
        <v>8698455446.6200008</v>
      </c>
      <c r="F111" s="37">
        <v>36004297.5</v>
      </c>
      <c r="G111" s="37">
        <v>101695007.44</v>
      </c>
      <c r="H111" s="37">
        <v>2051655.95</v>
      </c>
      <c r="I111" s="37">
        <v>9768556410.2900009</v>
      </c>
      <c r="J111" s="40"/>
      <c r="K111" s="40"/>
    </row>
    <row r="112" spans="1:11" x14ac:dyDescent="0.2">
      <c r="A112" s="41">
        <v>41396</v>
      </c>
      <c r="B112" s="37">
        <v>886544351.13999999</v>
      </c>
      <c r="C112" s="37">
        <v>52892896.270000003</v>
      </c>
      <c r="D112" s="37">
        <v>-9087244.6300000008</v>
      </c>
      <c r="E112" s="37">
        <v>9176357216.1000004</v>
      </c>
      <c r="F112" s="37">
        <v>36004297.5</v>
      </c>
      <c r="G112" s="37">
        <v>101695007.44</v>
      </c>
      <c r="H112" s="37">
        <v>2051655.95</v>
      </c>
      <c r="I112" s="37">
        <v>10246458179.77</v>
      </c>
      <c r="J112" s="40"/>
      <c r="K112" s="40"/>
    </row>
    <row r="113" spans="1:11" x14ac:dyDescent="0.2">
      <c r="A113" s="41">
        <v>41400</v>
      </c>
      <c r="B113" s="37">
        <v>886544351.13999999</v>
      </c>
      <c r="C113" s="37">
        <v>52892896.270000003</v>
      </c>
      <c r="D113" s="37">
        <v>-9087244.6300000008</v>
      </c>
      <c r="E113" s="37">
        <v>9176563466.1000004</v>
      </c>
      <c r="F113" s="37">
        <v>36004297.5</v>
      </c>
      <c r="G113" s="37">
        <v>101695007.44</v>
      </c>
      <c r="H113" s="37">
        <v>2051655.95</v>
      </c>
      <c r="I113" s="37">
        <v>10246664429.77</v>
      </c>
      <c r="J113" s="40"/>
      <c r="K113" s="40"/>
    </row>
    <row r="114" spans="1:11" x14ac:dyDescent="0.2">
      <c r="A114" s="41">
        <v>41409</v>
      </c>
      <c r="B114" s="37">
        <v>1054731851.14</v>
      </c>
      <c r="C114" s="37">
        <v>52892896.270000003</v>
      </c>
      <c r="D114" s="37">
        <v>-9087244.6300000008</v>
      </c>
      <c r="E114" s="37">
        <v>9178908466.1000004</v>
      </c>
      <c r="F114" s="37">
        <v>36004297.5</v>
      </c>
      <c r="G114" s="37">
        <v>101695007.44</v>
      </c>
      <c r="H114" s="37">
        <v>2051655.95</v>
      </c>
      <c r="I114" s="37">
        <v>10417196929.77</v>
      </c>
      <c r="J114" s="40"/>
      <c r="K114" s="40"/>
    </row>
    <row r="115" spans="1:11" x14ac:dyDescent="0.2">
      <c r="A115" s="41">
        <v>41410</v>
      </c>
      <c r="B115" s="37">
        <v>1058481851.14</v>
      </c>
      <c r="C115" s="37">
        <v>52892896.270000003</v>
      </c>
      <c r="D115" s="37">
        <v>-9087244.6300000008</v>
      </c>
      <c r="E115" s="37">
        <v>9180408466.1000004</v>
      </c>
      <c r="F115" s="37">
        <v>36004297.5</v>
      </c>
      <c r="G115" s="37">
        <v>101695007.44</v>
      </c>
      <c r="H115" s="37">
        <v>2051655.95</v>
      </c>
      <c r="I115" s="37">
        <v>10422446929.77</v>
      </c>
      <c r="J115" s="40"/>
      <c r="K115" s="40"/>
    </row>
    <row r="116" spans="1:11" x14ac:dyDescent="0.2">
      <c r="A116" s="41">
        <v>41411</v>
      </c>
      <c r="B116" s="37">
        <v>1058616851.14</v>
      </c>
      <c r="C116" s="37">
        <v>52892896.270000003</v>
      </c>
      <c r="D116" s="37">
        <v>-9087244.6300000008</v>
      </c>
      <c r="E116" s="37">
        <v>9180408466.1000004</v>
      </c>
      <c r="F116" s="37">
        <v>36004297.5</v>
      </c>
      <c r="G116" s="37">
        <v>101695007.44</v>
      </c>
      <c r="H116" s="37">
        <v>2051655.95</v>
      </c>
      <c r="I116" s="37">
        <v>10422581929.77</v>
      </c>
      <c r="J116" s="40"/>
      <c r="K116" s="40"/>
    </row>
    <row r="117" spans="1:11" x14ac:dyDescent="0.2">
      <c r="A117" s="41">
        <v>41424</v>
      </c>
      <c r="B117" s="37">
        <v>1058616851.14</v>
      </c>
      <c r="C117" s="37">
        <v>52892896.270000003</v>
      </c>
      <c r="D117" s="37">
        <v>-9087244.6300000008</v>
      </c>
      <c r="E117" s="37">
        <v>9180408466.1000004</v>
      </c>
      <c r="F117" s="37">
        <v>36004297.5</v>
      </c>
      <c r="G117" s="37">
        <v>101695007.44</v>
      </c>
      <c r="H117" s="37">
        <v>2051655.95</v>
      </c>
      <c r="I117" s="37">
        <v>10422581929.77</v>
      </c>
      <c r="J117" s="40"/>
      <c r="K117" s="40"/>
    </row>
    <row r="118" spans="1:11" x14ac:dyDescent="0.2">
      <c r="A118" s="41">
        <v>41425</v>
      </c>
      <c r="B118" s="37">
        <v>1058616851.14</v>
      </c>
      <c r="C118" s="37">
        <v>52892896.270000003</v>
      </c>
      <c r="D118" s="37">
        <v>-9087244.6300000008</v>
      </c>
      <c r="E118" s="37">
        <v>9639895341.1000004</v>
      </c>
      <c r="F118" s="37">
        <v>36004297.5</v>
      </c>
      <c r="G118" s="37">
        <v>101695007.44</v>
      </c>
      <c r="H118" s="37">
        <v>2051655.95</v>
      </c>
      <c r="I118" s="37">
        <v>10882068804.77</v>
      </c>
      <c r="J118" s="40"/>
      <c r="K118" s="40"/>
    </row>
    <row r="119" spans="1:11" x14ac:dyDescent="0.2">
      <c r="A119" s="41">
        <v>41435</v>
      </c>
      <c r="B119" s="37">
        <v>1058616851.14</v>
      </c>
      <c r="C119" s="37">
        <v>52892896.270000003</v>
      </c>
      <c r="D119" s="37">
        <v>-9087244.6300000008</v>
      </c>
      <c r="E119" s="37">
        <v>9640520341.1000004</v>
      </c>
      <c r="F119" s="37">
        <v>36004297.5</v>
      </c>
      <c r="G119" s="37">
        <v>101695007.44</v>
      </c>
      <c r="H119" s="37">
        <v>2051655.95</v>
      </c>
      <c r="I119" s="37">
        <v>10882693804.77</v>
      </c>
      <c r="J119" s="40"/>
      <c r="K119" s="40"/>
    </row>
    <row r="120" spans="1:11" x14ac:dyDescent="0.2">
      <c r="A120" s="41">
        <v>41437</v>
      </c>
      <c r="B120" s="37">
        <v>1061386851.14</v>
      </c>
      <c r="C120" s="37">
        <v>52892896.270000003</v>
      </c>
      <c r="D120" s="37">
        <v>-9087244.6300000008</v>
      </c>
      <c r="E120" s="37">
        <v>9640789091.1000004</v>
      </c>
      <c r="F120" s="37">
        <v>36004297.5</v>
      </c>
      <c r="G120" s="37">
        <v>101695007.44</v>
      </c>
      <c r="H120" s="37">
        <v>2051655.95</v>
      </c>
      <c r="I120" s="37">
        <v>10885732554.77</v>
      </c>
      <c r="J120" s="40"/>
      <c r="K120" s="40"/>
    </row>
    <row r="121" spans="1:11" x14ac:dyDescent="0.2">
      <c r="A121" s="41">
        <v>41442</v>
      </c>
      <c r="B121" s="37">
        <v>1066839976.14</v>
      </c>
      <c r="C121" s="37">
        <v>52892896.270000003</v>
      </c>
      <c r="D121" s="37">
        <v>-9087244.6300000008</v>
      </c>
      <c r="E121" s="37">
        <v>9666720434.4799995</v>
      </c>
      <c r="F121" s="37">
        <v>36004297.5</v>
      </c>
      <c r="G121" s="37">
        <v>101695007.44</v>
      </c>
      <c r="H121" s="37">
        <v>2051655.95</v>
      </c>
      <c r="I121" s="37">
        <v>10917117023.15</v>
      </c>
      <c r="J121" s="40"/>
      <c r="K121" s="40"/>
    </row>
    <row r="122" spans="1:11" x14ac:dyDescent="0.2">
      <c r="A122" s="41">
        <v>41444</v>
      </c>
      <c r="B122" s="37">
        <v>1069716976.14</v>
      </c>
      <c r="C122" s="37">
        <v>52892896.270000003</v>
      </c>
      <c r="D122" s="37">
        <v>-9087244.6300000008</v>
      </c>
      <c r="E122" s="37">
        <v>9666181475.0499992</v>
      </c>
      <c r="F122" s="37">
        <v>36004297.5</v>
      </c>
      <c r="G122" s="37">
        <v>101695007.44</v>
      </c>
      <c r="H122" s="37">
        <v>2051655.95</v>
      </c>
      <c r="I122" s="37">
        <v>10919455063.719999</v>
      </c>
      <c r="J122" s="40"/>
      <c r="K122" s="40"/>
    </row>
    <row r="123" spans="1:11" x14ac:dyDescent="0.2">
      <c r="A123" s="41">
        <v>41450</v>
      </c>
      <c r="B123" s="37">
        <v>1069716976.14</v>
      </c>
      <c r="C123" s="37">
        <v>52892896.270000003</v>
      </c>
      <c r="D123" s="37">
        <v>-9087244.6300000008</v>
      </c>
      <c r="E123" s="37">
        <v>9666634600.0499992</v>
      </c>
      <c r="F123" s="37">
        <v>36004297.5</v>
      </c>
      <c r="G123" s="37">
        <v>101695007.44</v>
      </c>
      <c r="H123" s="37">
        <v>2051655.95</v>
      </c>
      <c r="I123" s="37">
        <v>10919908188.719999</v>
      </c>
      <c r="J123" s="40"/>
      <c r="K123" s="40"/>
    </row>
    <row r="124" spans="1:11" x14ac:dyDescent="0.2">
      <c r="A124" s="41">
        <v>41452</v>
      </c>
      <c r="B124" s="37">
        <v>1070541976.14</v>
      </c>
      <c r="C124" s="37">
        <v>52892896.270000003</v>
      </c>
      <c r="D124" s="37">
        <v>-9087244.6300000008</v>
      </c>
      <c r="E124" s="37">
        <v>9860634600.0499992</v>
      </c>
      <c r="F124" s="37">
        <v>36004297.5</v>
      </c>
      <c r="G124" s="37">
        <v>101695007.44</v>
      </c>
      <c r="H124" s="37">
        <v>2051655.95</v>
      </c>
      <c r="I124" s="37">
        <v>11114733188.719999</v>
      </c>
      <c r="J124" s="40"/>
      <c r="K124" s="40"/>
    </row>
    <row r="125" spans="1:11" x14ac:dyDescent="0.2">
      <c r="A125" s="41">
        <v>41453</v>
      </c>
      <c r="B125" s="37">
        <v>1070541976.14</v>
      </c>
      <c r="C125" s="37">
        <v>52892896.270000003</v>
      </c>
      <c r="D125" s="37">
        <v>-9087244.6300000008</v>
      </c>
      <c r="E125" s="37">
        <v>9860901170.2299995</v>
      </c>
      <c r="F125" s="37">
        <v>36004297.5</v>
      </c>
      <c r="G125" s="37">
        <v>101695007.44</v>
      </c>
      <c r="H125" s="37">
        <v>2051655.95</v>
      </c>
      <c r="I125" s="37">
        <v>11114999758.91</v>
      </c>
      <c r="J125" s="40"/>
      <c r="K125" s="40"/>
    </row>
    <row r="126" spans="1:11" x14ac:dyDescent="0.2">
      <c r="A126" s="41">
        <v>41456</v>
      </c>
      <c r="B126" s="37">
        <v>1083079476.1400001</v>
      </c>
      <c r="C126" s="37">
        <v>52892896.270000003</v>
      </c>
      <c r="D126" s="37">
        <v>-9087244.6300000008</v>
      </c>
      <c r="E126" s="37">
        <v>9863204920.2299995</v>
      </c>
      <c r="F126" s="37">
        <v>36004298</v>
      </c>
      <c r="G126" s="37">
        <v>101695007.44</v>
      </c>
      <c r="H126" s="37">
        <v>2051655.95</v>
      </c>
      <c r="I126" s="37">
        <v>11129841008.91</v>
      </c>
      <c r="J126" s="40"/>
      <c r="K126" s="40"/>
    </row>
    <row r="127" spans="1:11" x14ac:dyDescent="0.2">
      <c r="A127" s="41">
        <v>41466</v>
      </c>
      <c r="B127" s="37">
        <v>1083079476.1400001</v>
      </c>
      <c r="C127" s="37">
        <v>52892896.270000003</v>
      </c>
      <c r="D127" s="37">
        <v>-9087244.6300000008</v>
      </c>
      <c r="E127" s="37">
        <v>9863101169.8099995</v>
      </c>
      <c r="F127" s="37">
        <v>36004298</v>
      </c>
      <c r="G127" s="37">
        <v>101695007.44</v>
      </c>
      <c r="H127" s="37">
        <v>2051655.95</v>
      </c>
      <c r="I127" s="37">
        <v>11129737258.48</v>
      </c>
      <c r="J127" s="40"/>
      <c r="K127" s="40"/>
    </row>
    <row r="128" spans="1:11" x14ac:dyDescent="0.2">
      <c r="A128" s="41">
        <v>41470</v>
      </c>
      <c r="B128" s="37">
        <v>1245966976.1400001</v>
      </c>
      <c r="C128" s="37">
        <v>52892896.270000003</v>
      </c>
      <c r="D128" s="37">
        <v>-9087244.6300000008</v>
      </c>
      <c r="E128" s="37">
        <v>9888601169.8099995</v>
      </c>
      <c r="F128" s="37">
        <v>39004499.259999998</v>
      </c>
      <c r="G128" s="37">
        <v>101695007.44</v>
      </c>
      <c r="H128" s="37">
        <v>2051655.95</v>
      </c>
      <c r="I128" s="37">
        <v>11321124960.23</v>
      </c>
      <c r="J128" s="40"/>
      <c r="K128" s="40"/>
    </row>
    <row r="129" spans="1:11" x14ac:dyDescent="0.2">
      <c r="A129" s="41">
        <v>41471</v>
      </c>
      <c r="B129" s="37">
        <v>1247946954.0699999</v>
      </c>
      <c r="C129" s="37">
        <v>52892896.270000003</v>
      </c>
      <c r="D129" s="37">
        <v>-9087244.6300000008</v>
      </c>
      <c r="E129" s="37">
        <v>9888601169.8099995</v>
      </c>
      <c r="F129" s="37">
        <v>39004499.259999998</v>
      </c>
      <c r="G129" s="37">
        <v>101695007.44</v>
      </c>
      <c r="H129" s="37">
        <v>2051655.95</v>
      </c>
      <c r="I129" s="37">
        <v>11323104938.16</v>
      </c>
      <c r="J129" s="40"/>
      <c r="K129" s="40"/>
    </row>
    <row r="130" spans="1:11" x14ac:dyDescent="0.2">
      <c r="A130" s="41">
        <v>41472</v>
      </c>
      <c r="B130" s="37">
        <v>1248556329.0699999</v>
      </c>
      <c r="C130" s="37">
        <v>52892896.270000003</v>
      </c>
      <c r="D130" s="37">
        <v>-9087244.6300000008</v>
      </c>
      <c r="E130" s="37">
        <v>9888601169.8099995</v>
      </c>
      <c r="F130" s="37">
        <v>39004499.259999998</v>
      </c>
      <c r="G130" s="37">
        <v>101695007.44</v>
      </c>
      <c r="H130" s="37">
        <v>2051655.95</v>
      </c>
      <c r="I130" s="37">
        <v>11323714313.16</v>
      </c>
      <c r="J130" s="40"/>
      <c r="K130" s="40"/>
    </row>
    <row r="131" spans="1:11" x14ac:dyDescent="0.2">
      <c r="A131" s="41">
        <v>41474</v>
      </c>
      <c r="B131" s="37">
        <v>1249928829.0699999</v>
      </c>
      <c r="C131" s="37">
        <v>52892896.270000003</v>
      </c>
      <c r="D131" s="37">
        <v>-9087244.6300000008</v>
      </c>
      <c r="E131" s="37">
        <v>9888660544.8099995</v>
      </c>
      <c r="F131" s="37">
        <v>39004499.259999998</v>
      </c>
      <c r="G131" s="37">
        <v>101695007.44</v>
      </c>
      <c r="H131" s="37">
        <v>2051655.95</v>
      </c>
      <c r="I131" s="37">
        <v>11325146188.16</v>
      </c>
      <c r="J131" s="40"/>
      <c r="K131" s="40"/>
    </row>
    <row r="132" spans="1:11" x14ac:dyDescent="0.2">
      <c r="A132" s="41">
        <v>41477</v>
      </c>
      <c r="B132" s="37">
        <v>1250605179.0699999</v>
      </c>
      <c r="C132" s="37">
        <v>52892896.270000003</v>
      </c>
      <c r="D132" s="37">
        <v>-9087244.6300000008</v>
      </c>
      <c r="E132" s="37">
        <v>9888343112.1900005</v>
      </c>
      <c r="F132" s="37">
        <v>39004499.259999998</v>
      </c>
      <c r="G132" s="37">
        <v>101695007.44</v>
      </c>
      <c r="H132" s="37">
        <v>2051655.95</v>
      </c>
      <c r="I132" s="37">
        <v>11325505105.549999</v>
      </c>
      <c r="J132" s="40"/>
      <c r="K132" s="40"/>
    </row>
    <row r="133" spans="1:11" x14ac:dyDescent="0.2">
      <c r="A133" s="41">
        <v>41481</v>
      </c>
      <c r="B133" s="37">
        <v>1250605179.0699999</v>
      </c>
      <c r="C133" s="37">
        <v>52892896.270000003</v>
      </c>
      <c r="D133" s="37">
        <v>-9087244.6300000008</v>
      </c>
      <c r="E133" s="37">
        <v>9889436862.1900005</v>
      </c>
      <c r="F133" s="37">
        <v>39004499.259999998</v>
      </c>
      <c r="G133" s="37">
        <v>101695007.44</v>
      </c>
      <c r="H133" s="37">
        <v>2051655.95</v>
      </c>
      <c r="I133" s="37">
        <v>11326598855.549999</v>
      </c>
      <c r="J133" s="40"/>
      <c r="K133" s="40"/>
    </row>
    <row r="134" spans="1:11" x14ac:dyDescent="0.2">
      <c r="A134" s="41">
        <v>41484</v>
      </c>
      <c r="B134" s="37">
        <v>1250605179.0699999</v>
      </c>
      <c r="C134" s="37">
        <v>52892896.270000003</v>
      </c>
      <c r="D134" s="37">
        <v>-9087244.6300000008</v>
      </c>
      <c r="E134" s="37">
        <v>9907684362.1900005</v>
      </c>
      <c r="F134" s="37">
        <v>39004499.259999998</v>
      </c>
      <c r="G134" s="37">
        <v>101695007.44</v>
      </c>
      <c r="H134" s="37">
        <v>2051655.95</v>
      </c>
      <c r="I134" s="37">
        <v>11344846355.549999</v>
      </c>
      <c r="J134" s="40"/>
      <c r="K134" s="40"/>
    </row>
    <row r="135" spans="1:11" x14ac:dyDescent="0.2">
      <c r="A135" s="41">
        <v>41486</v>
      </c>
      <c r="B135" s="37">
        <v>1250605179.0699999</v>
      </c>
      <c r="C135" s="37">
        <v>52892896.270000003</v>
      </c>
      <c r="D135" s="37">
        <v>-9087244.6300000008</v>
      </c>
      <c r="E135" s="37">
        <v>10379986862.190001</v>
      </c>
      <c r="F135" s="37">
        <v>39004499.259999998</v>
      </c>
      <c r="G135" s="37">
        <v>101695007.44</v>
      </c>
      <c r="H135" s="37">
        <v>2051655.95</v>
      </c>
      <c r="I135" s="37">
        <v>11817148855.549999</v>
      </c>
      <c r="J135" s="40"/>
      <c r="K135" s="40"/>
    </row>
    <row r="136" spans="1:11" x14ac:dyDescent="0.2">
      <c r="A136" s="41">
        <v>41487</v>
      </c>
      <c r="B136" s="37">
        <v>1251245804.0699999</v>
      </c>
      <c r="C136" s="37">
        <v>52892896.270000003</v>
      </c>
      <c r="D136" s="37">
        <v>-9087244.6300000008</v>
      </c>
      <c r="E136" s="37">
        <v>10379986862.190001</v>
      </c>
      <c r="F136" s="37">
        <v>39004499.259999998</v>
      </c>
      <c r="G136" s="37">
        <v>101695007.44</v>
      </c>
      <c r="H136" s="37">
        <v>2051655.95</v>
      </c>
      <c r="I136" s="37">
        <v>11817789480.549999</v>
      </c>
      <c r="J136" s="40"/>
      <c r="K136" s="40"/>
    </row>
    <row r="137" spans="1:11" x14ac:dyDescent="0.2">
      <c r="A137" s="41">
        <v>41488</v>
      </c>
      <c r="B137" s="37">
        <v>1251245804.0699999</v>
      </c>
      <c r="C137" s="37">
        <v>52892896.270000003</v>
      </c>
      <c r="D137" s="37">
        <v>-9087244.6300000008</v>
      </c>
      <c r="E137" s="37">
        <v>10380000411.459999</v>
      </c>
      <c r="F137" s="37">
        <v>39004499.259999998</v>
      </c>
      <c r="G137" s="37">
        <v>101695007.44</v>
      </c>
      <c r="H137" s="37">
        <v>2051655.95</v>
      </c>
      <c r="I137" s="37">
        <v>11817803029.82</v>
      </c>
      <c r="J137" s="40"/>
      <c r="K137" s="40"/>
    </row>
    <row r="138" spans="1:11" x14ac:dyDescent="0.2">
      <c r="A138" s="41">
        <v>41501</v>
      </c>
      <c r="B138" s="37">
        <v>1374309554.0699999</v>
      </c>
      <c r="C138" s="37">
        <v>52892896.270000003</v>
      </c>
      <c r="D138" s="37">
        <v>-9087244.6300000008</v>
      </c>
      <c r="E138" s="37">
        <v>10382120411.459999</v>
      </c>
      <c r="F138" s="37">
        <v>39004499.259999998</v>
      </c>
      <c r="G138" s="37">
        <v>101695007.44</v>
      </c>
      <c r="H138" s="37">
        <v>2051655.95</v>
      </c>
      <c r="I138" s="37">
        <v>11942986779.82</v>
      </c>
      <c r="J138" s="40"/>
      <c r="K138" s="40"/>
    </row>
    <row r="139" spans="1:11" x14ac:dyDescent="0.2">
      <c r="A139" s="41">
        <v>41502</v>
      </c>
      <c r="B139" s="37">
        <v>1376015804.0699999</v>
      </c>
      <c r="C139" s="37">
        <v>52892896.270000003</v>
      </c>
      <c r="D139" s="37">
        <v>-9087244.6300000008</v>
      </c>
      <c r="E139" s="37">
        <v>10382120411.459999</v>
      </c>
      <c r="F139" s="37">
        <v>39004499.259999998</v>
      </c>
      <c r="G139" s="37">
        <v>101695007.44</v>
      </c>
      <c r="H139" s="37">
        <v>2051655.95</v>
      </c>
      <c r="I139" s="37">
        <v>11944693029.82</v>
      </c>
      <c r="J139" s="40"/>
      <c r="K139" s="40"/>
    </row>
    <row r="140" spans="1:11" x14ac:dyDescent="0.2">
      <c r="A140" s="41">
        <v>41513</v>
      </c>
      <c r="B140" s="37">
        <v>1376065804.0699999</v>
      </c>
      <c r="C140" s="37">
        <v>52892896.270000003</v>
      </c>
      <c r="D140" s="37">
        <v>-9087244.6300000008</v>
      </c>
      <c r="E140" s="37">
        <v>10382120411.459999</v>
      </c>
      <c r="F140" s="37">
        <v>39004499.259999998</v>
      </c>
      <c r="G140" s="37">
        <v>101695007.44</v>
      </c>
      <c r="H140" s="37">
        <v>2051655.95</v>
      </c>
      <c r="I140" s="37">
        <v>11944743029.82</v>
      </c>
      <c r="J140" s="40"/>
      <c r="K140" s="40"/>
    </row>
    <row r="141" spans="1:11" x14ac:dyDescent="0.2">
      <c r="A141" s="41">
        <v>41520</v>
      </c>
      <c r="B141" s="37">
        <v>1376065804.0699999</v>
      </c>
      <c r="C141" s="37">
        <v>52892896.270000003</v>
      </c>
      <c r="D141" s="37">
        <v>-9087244.6300000008</v>
      </c>
      <c r="E141" s="37">
        <v>10382120411.459999</v>
      </c>
      <c r="F141" s="37">
        <v>39004499</v>
      </c>
      <c r="G141" s="37">
        <v>101695007.44</v>
      </c>
      <c r="H141" s="37">
        <v>2051655.95</v>
      </c>
      <c r="I141" s="37">
        <v>11944743029.82</v>
      </c>
      <c r="J141" s="40"/>
      <c r="K141" s="40"/>
    </row>
    <row r="142" spans="1:11" x14ac:dyDescent="0.2">
      <c r="A142" s="41">
        <v>41526</v>
      </c>
      <c r="B142" s="37">
        <v>1376065804.0699999</v>
      </c>
      <c r="C142" s="37">
        <v>52892896.270000003</v>
      </c>
      <c r="D142" s="37">
        <v>-9087244.6300000008</v>
      </c>
      <c r="E142" s="37">
        <v>10382433161.459999</v>
      </c>
      <c r="F142" s="37">
        <v>39004499</v>
      </c>
      <c r="G142" s="37">
        <v>101695007.44</v>
      </c>
      <c r="H142" s="37">
        <v>2051655.95</v>
      </c>
      <c r="I142" s="37">
        <v>11945055779.82</v>
      </c>
      <c r="J142" s="40"/>
      <c r="K142" s="40"/>
    </row>
    <row r="143" spans="1:11" x14ac:dyDescent="0.2">
      <c r="A143" s="41">
        <v>41527</v>
      </c>
      <c r="B143" s="37">
        <v>1376065804.0699999</v>
      </c>
      <c r="C143" s="37">
        <v>52892896.270000003</v>
      </c>
      <c r="D143" s="37">
        <v>-9087244.6300000008</v>
      </c>
      <c r="E143" s="37">
        <v>10383158161.459999</v>
      </c>
      <c r="F143" s="37">
        <v>39004499</v>
      </c>
      <c r="G143" s="37">
        <v>101695007.44</v>
      </c>
      <c r="H143" s="37">
        <v>2051655.95</v>
      </c>
      <c r="I143" s="37">
        <v>11945780779.82</v>
      </c>
      <c r="J143" s="40"/>
      <c r="K143" s="40"/>
    </row>
    <row r="144" spans="1:11" x14ac:dyDescent="0.2">
      <c r="A144" s="41">
        <v>41533</v>
      </c>
      <c r="B144" s="37">
        <v>1392637679.0699999</v>
      </c>
      <c r="C144" s="37">
        <v>52892896.270000003</v>
      </c>
      <c r="D144" s="37">
        <v>-9087244.6300000008</v>
      </c>
      <c r="E144" s="37">
        <v>10383169293.85</v>
      </c>
      <c r="F144" s="37">
        <v>39004499</v>
      </c>
      <c r="G144" s="37">
        <v>101695007.44</v>
      </c>
      <c r="H144" s="37">
        <v>2051655.95</v>
      </c>
      <c r="I144" s="37">
        <v>11962363787.209999</v>
      </c>
      <c r="J144" s="40"/>
      <c r="K144" s="40"/>
    </row>
    <row r="145" spans="1:11" x14ac:dyDescent="0.2">
      <c r="A145" s="41">
        <v>41536</v>
      </c>
      <c r="B145" s="37">
        <v>1392710179.0699999</v>
      </c>
      <c r="C145" s="37">
        <v>52892896.270000003</v>
      </c>
      <c r="D145" s="37">
        <v>-9087244.6300000008</v>
      </c>
      <c r="E145" s="37">
        <v>10383223422.74</v>
      </c>
      <c r="F145" s="37">
        <v>39004499</v>
      </c>
      <c r="G145" s="37">
        <v>101695007.44</v>
      </c>
      <c r="H145" s="37">
        <v>2051655.95</v>
      </c>
      <c r="I145" s="37">
        <v>11962490416.1</v>
      </c>
      <c r="J145" s="40"/>
      <c r="K145" s="40"/>
    </row>
    <row r="146" spans="1:11" x14ac:dyDescent="0.2">
      <c r="A146" s="41">
        <v>41537</v>
      </c>
      <c r="B146" s="37">
        <v>1400978929.0699999</v>
      </c>
      <c r="C146" s="37">
        <v>52892896.270000003</v>
      </c>
      <c r="D146" s="37">
        <v>-9087244.6300000008</v>
      </c>
      <c r="E146" s="37">
        <v>10570535922.74</v>
      </c>
      <c r="F146" s="37">
        <v>39004499</v>
      </c>
      <c r="G146" s="37">
        <v>101695007.44</v>
      </c>
      <c r="H146" s="37">
        <v>2051655.95</v>
      </c>
      <c r="I146" s="37">
        <v>12158071666.1</v>
      </c>
      <c r="J146" s="40"/>
      <c r="K146" s="40"/>
    </row>
    <row r="147" spans="1:11" x14ac:dyDescent="0.2">
      <c r="A147" s="41">
        <v>41542</v>
      </c>
      <c r="B147" s="37">
        <v>1400978929.0699999</v>
      </c>
      <c r="C147" s="37">
        <v>52892896.270000003</v>
      </c>
      <c r="D147" s="37">
        <v>-9087244.6300000008</v>
      </c>
      <c r="E147" s="37">
        <v>10571410922.74</v>
      </c>
      <c r="F147" s="37">
        <v>39004499</v>
      </c>
      <c r="G147" s="37">
        <v>101695007.44</v>
      </c>
      <c r="H147" s="37">
        <v>2051655.95</v>
      </c>
      <c r="I147" s="37">
        <v>12158946666.1</v>
      </c>
      <c r="J147" s="40"/>
      <c r="K147" s="40"/>
    </row>
    <row r="148" spans="1:11" x14ac:dyDescent="0.2">
      <c r="A148" s="41">
        <v>41547</v>
      </c>
      <c r="B148" s="37">
        <v>1401066429.0699999</v>
      </c>
      <c r="C148" s="37">
        <v>52892896.270000003</v>
      </c>
      <c r="D148" s="37">
        <v>-9087244.6300000008</v>
      </c>
      <c r="E148" s="37">
        <v>12078229625.290001</v>
      </c>
      <c r="F148" s="37">
        <v>39004499</v>
      </c>
      <c r="G148" s="37">
        <v>101695007.44</v>
      </c>
      <c r="H148" s="37">
        <v>2051655.95</v>
      </c>
      <c r="I148" s="37">
        <v>13665852868.65</v>
      </c>
      <c r="J148" s="40"/>
      <c r="K148" s="40"/>
    </row>
    <row r="149" spans="1:11" x14ac:dyDescent="0.2">
      <c r="A149" s="41">
        <v>41554</v>
      </c>
      <c r="B149" s="37">
        <v>1410462655.3199999</v>
      </c>
      <c r="C149" s="37">
        <v>52892896.270000003</v>
      </c>
      <c r="D149" s="37">
        <v>-9087244.6300000008</v>
      </c>
      <c r="E149" s="37">
        <v>12078728375.290001</v>
      </c>
      <c r="F149" s="37">
        <v>39004499</v>
      </c>
      <c r="G149" s="37">
        <v>101695007.44</v>
      </c>
      <c r="H149" s="37">
        <v>2051655.95</v>
      </c>
      <c r="I149" s="37">
        <v>13675747844.9</v>
      </c>
      <c r="J149" s="40"/>
      <c r="K149" s="40"/>
    </row>
    <row r="150" spans="1:11" x14ac:dyDescent="0.2">
      <c r="A150" s="41">
        <v>41558</v>
      </c>
      <c r="B150" s="37">
        <v>1410462655.3199999</v>
      </c>
      <c r="C150" s="37">
        <v>52892896.270000003</v>
      </c>
      <c r="D150" s="37">
        <v>-9087244.6300000008</v>
      </c>
      <c r="E150" s="37">
        <v>12078798545.870001</v>
      </c>
      <c r="F150" s="37">
        <v>39004499</v>
      </c>
      <c r="G150" s="37">
        <v>101695007.44</v>
      </c>
      <c r="H150" s="37">
        <v>2051655.95</v>
      </c>
      <c r="I150" s="37">
        <v>13675818015.48</v>
      </c>
      <c r="J150" s="40"/>
      <c r="K150" s="40"/>
    </row>
    <row r="151" spans="1:11" x14ac:dyDescent="0.2">
      <c r="A151" s="41">
        <v>41562</v>
      </c>
      <c r="B151" s="37">
        <v>1410462655.3199999</v>
      </c>
      <c r="C151" s="37">
        <v>52892896.270000003</v>
      </c>
      <c r="D151" s="37">
        <v>-9087244.6300000008</v>
      </c>
      <c r="E151" s="37">
        <v>12078798545.870001</v>
      </c>
      <c r="F151" s="37">
        <v>39551382.770000003</v>
      </c>
      <c r="G151" s="37">
        <v>101695007.44</v>
      </c>
      <c r="H151" s="37">
        <v>2051655.95</v>
      </c>
      <c r="I151" s="37">
        <v>13676364898.99</v>
      </c>
      <c r="J151" s="40"/>
      <c r="K151" s="40"/>
    </row>
    <row r="152" spans="1:11" x14ac:dyDescent="0.2">
      <c r="A152" s="41">
        <v>41563</v>
      </c>
      <c r="B152" s="37">
        <v>1410475155.3199999</v>
      </c>
      <c r="C152" s="37">
        <v>52892896.270000003</v>
      </c>
      <c r="D152" s="37">
        <v>-9087244.6300000008</v>
      </c>
      <c r="E152" s="37">
        <v>12078798545.870001</v>
      </c>
      <c r="F152" s="37">
        <v>39551382.770000003</v>
      </c>
      <c r="G152" s="37">
        <v>101695007.44</v>
      </c>
      <c r="H152" s="37">
        <v>2051655.95</v>
      </c>
      <c r="I152" s="37">
        <v>13676377398.99</v>
      </c>
      <c r="J152" s="40"/>
      <c r="K152" s="40"/>
    </row>
    <row r="153" spans="1:11" x14ac:dyDescent="0.2">
      <c r="A153" s="41">
        <v>41568</v>
      </c>
      <c r="B153" s="37">
        <v>1410475155.3199999</v>
      </c>
      <c r="C153" s="37">
        <v>52892896.270000003</v>
      </c>
      <c r="D153" s="37">
        <v>-9087244.6300000008</v>
      </c>
      <c r="E153" s="37">
        <v>12079490297.370001</v>
      </c>
      <c r="F153" s="37">
        <v>39551382.770000003</v>
      </c>
      <c r="G153" s="37">
        <v>101695007.44</v>
      </c>
      <c r="H153" s="37">
        <v>2051655.95</v>
      </c>
      <c r="I153" s="37">
        <v>13677069150.48</v>
      </c>
      <c r="J153" s="40"/>
      <c r="K153" s="40"/>
    </row>
    <row r="154" spans="1:11" x14ac:dyDescent="0.2">
      <c r="A154" s="41">
        <v>41575</v>
      </c>
      <c r="B154" s="37">
        <v>1410605155.3199999</v>
      </c>
      <c r="C154" s="37">
        <v>52892896.270000003</v>
      </c>
      <c r="D154" s="37">
        <v>-9087244.6300000008</v>
      </c>
      <c r="E154" s="37">
        <v>12079490297.370001</v>
      </c>
      <c r="F154" s="37">
        <v>39551382.770000003</v>
      </c>
      <c r="G154" s="37">
        <v>101695007.44</v>
      </c>
      <c r="H154" s="37">
        <v>2051655.95</v>
      </c>
      <c r="I154" s="37">
        <v>13677199150.48</v>
      </c>
      <c r="J154" s="40"/>
      <c r="K154" s="40"/>
    </row>
    <row r="155" spans="1:11" x14ac:dyDescent="0.2">
      <c r="A155" s="41">
        <v>41578</v>
      </c>
      <c r="B155" s="37">
        <v>1410605155.3199999</v>
      </c>
      <c r="C155" s="37">
        <v>52892896.270000003</v>
      </c>
      <c r="D155" s="37">
        <v>-9087244.6300000008</v>
      </c>
      <c r="E155" s="37">
        <v>12513421547.370001</v>
      </c>
      <c r="F155" s="37">
        <v>39551382.770000003</v>
      </c>
      <c r="G155" s="37">
        <v>101695007.44</v>
      </c>
      <c r="H155" s="37">
        <v>2051655.95</v>
      </c>
      <c r="I155" s="37">
        <v>14111130400.48</v>
      </c>
      <c r="J155" s="40"/>
      <c r="K155" s="40"/>
    </row>
    <row r="156" spans="1:11" x14ac:dyDescent="0.2">
      <c r="A156" s="41">
        <v>41582</v>
      </c>
      <c r="B156" s="37">
        <v>1415330155.3199999</v>
      </c>
      <c r="C156" s="37">
        <v>52892896.270000003</v>
      </c>
      <c r="D156" s="37">
        <v>-9087244.6300000008</v>
      </c>
      <c r="E156" s="37">
        <v>12513324190.299999</v>
      </c>
      <c r="F156" s="37">
        <v>39551382.770000003</v>
      </c>
      <c r="G156" s="37">
        <v>101695007.44</v>
      </c>
      <c r="H156" s="37">
        <v>2051655.95</v>
      </c>
      <c r="I156" s="37">
        <v>14115758043.41</v>
      </c>
      <c r="J156" s="40"/>
      <c r="K156" s="40"/>
    </row>
    <row r="157" spans="1:11" x14ac:dyDescent="0.2">
      <c r="A157" s="41">
        <v>41583</v>
      </c>
      <c r="B157" s="37">
        <v>1415330155.3199999</v>
      </c>
      <c r="C157" s="37">
        <v>52892896.270000003</v>
      </c>
      <c r="D157" s="37">
        <v>-9087244.6300000008</v>
      </c>
      <c r="E157" s="37">
        <v>12513530440.299999</v>
      </c>
      <c r="F157" s="37">
        <v>39551382.770000003</v>
      </c>
      <c r="G157" s="37">
        <v>101695007.44</v>
      </c>
      <c r="H157" s="37">
        <v>2051655.95</v>
      </c>
      <c r="I157" s="37">
        <v>14115964293.41</v>
      </c>
      <c r="J157" s="40"/>
      <c r="K157" s="40"/>
    </row>
    <row r="158" spans="1:11" x14ac:dyDescent="0.2">
      <c r="A158" s="41">
        <v>41593</v>
      </c>
      <c r="B158" s="37">
        <v>1719705155.3199999</v>
      </c>
      <c r="C158" s="37">
        <v>52892896.270000003</v>
      </c>
      <c r="D158" s="37">
        <v>-9087244.6300000008</v>
      </c>
      <c r="E158" s="37">
        <v>12515875440.299999</v>
      </c>
      <c r="F158" s="37">
        <v>39551382.770000003</v>
      </c>
      <c r="G158" s="37">
        <v>101695007.44</v>
      </c>
      <c r="H158" s="37">
        <v>2051655.95</v>
      </c>
      <c r="I158" s="37">
        <v>14422684293.41</v>
      </c>
      <c r="J158" s="40"/>
      <c r="K158" s="40"/>
    </row>
    <row r="159" spans="1:11" x14ac:dyDescent="0.2">
      <c r="A159" s="41">
        <v>41596</v>
      </c>
      <c r="B159" s="37">
        <v>1719840155.3199999</v>
      </c>
      <c r="C159" s="37">
        <v>52892896.270000003</v>
      </c>
      <c r="D159" s="37">
        <v>-9087244.6300000008</v>
      </c>
      <c r="E159" s="37">
        <v>12515875440.299999</v>
      </c>
      <c r="F159" s="37">
        <v>39551382.770000003</v>
      </c>
      <c r="G159" s="37">
        <v>101695007.44</v>
      </c>
      <c r="H159" s="37">
        <v>2051655.95</v>
      </c>
      <c r="I159" s="37">
        <v>14422819293.41</v>
      </c>
      <c r="J159" s="40"/>
      <c r="K159" s="40"/>
    </row>
    <row r="160" spans="1:11" x14ac:dyDescent="0.2">
      <c r="A160" s="41">
        <v>41603</v>
      </c>
      <c r="B160" s="37">
        <v>1719840155.3199999</v>
      </c>
      <c r="C160" s="37">
        <v>52892896.270000003</v>
      </c>
      <c r="D160" s="37">
        <v>-9087244.6300000008</v>
      </c>
      <c r="E160" s="37">
        <v>12718375440.299999</v>
      </c>
      <c r="F160" s="37">
        <v>39551382.770000003</v>
      </c>
      <c r="G160" s="37">
        <v>101695007.44</v>
      </c>
      <c r="H160" s="37">
        <v>2051655.95</v>
      </c>
      <c r="I160" s="37">
        <v>14625319293.41</v>
      </c>
      <c r="J160" s="40"/>
      <c r="K160" s="40"/>
    </row>
    <row r="161" spans="1:11" x14ac:dyDescent="0.2">
      <c r="A161" s="41">
        <v>41610</v>
      </c>
      <c r="B161" s="37">
        <v>1741827655.3199999</v>
      </c>
      <c r="C161" s="37">
        <v>52892896.270000003</v>
      </c>
      <c r="D161" s="37">
        <v>-9087244.6300000008</v>
      </c>
      <c r="E161" s="37">
        <v>13405722315.299999</v>
      </c>
      <c r="F161" s="37">
        <v>39551382.770000003</v>
      </c>
      <c r="G161" s="37">
        <v>101695007.44</v>
      </c>
      <c r="H161" s="37">
        <v>2051655.95</v>
      </c>
      <c r="I161" s="37">
        <v>15334653668.41</v>
      </c>
      <c r="J161" s="40"/>
      <c r="K161" s="40"/>
    </row>
    <row r="162" spans="1:11" x14ac:dyDescent="0.2">
      <c r="A162" s="41">
        <v>41620</v>
      </c>
      <c r="B162" s="37">
        <v>1744597655.3199999</v>
      </c>
      <c r="C162" s="37">
        <v>52892896.270000003</v>
      </c>
      <c r="D162" s="37">
        <v>-9087244.6300000008</v>
      </c>
      <c r="E162" s="37">
        <v>13405991065.299999</v>
      </c>
      <c r="F162" s="37">
        <v>39551382.770000003</v>
      </c>
      <c r="G162" s="37">
        <v>101695007.44</v>
      </c>
      <c r="H162" s="37">
        <v>2051655.95</v>
      </c>
      <c r="I162" s="37">
        <v>15337692418.41</v>
      </c>
      <c r="J162" s="40"/>
      <c r="K162" s="40"/>
    </row>
    <row r="163" spans="1:11" x14ac:dyDescent="0.2">
      <c r="A163" s="41">
        <v>41624</v>
      </c>
      <c r="B163" s="37">
        <v>1785405155.3199999</v>
      </c>
      <c r="C163" s="37">
        <v>52892896.270000003</v>
      </c>
      <c r="D163" s="37">
        <v>-9087244.6300000008</v>
      </c>
      <c r="E163" s="37">
        <v>13406166713.26</v>
      </c>
      <c r="F163" s="37">
        <v>39551382.770000003</v>
      </c>
      <c r="G163" s="37">
        <v>101695007.44</v>
      </c>
      <c r="H163" s="37">
        <v>2051655.95</v>
      </c>
      <c r="I163" s="37">
        <v>15378675566.370001</v>
      </c>
      <c r="J163" s="40"/>
      <c r="K163" s="40"/>
    </row>
    <row r="164" spans="1:11" x14ac:dyDescent="0.2">
      <c r="A164" s="41">
        <v>41625</v>
      </c>
      <c r="B164" s="37">
        <v>1787233280.3199999</v>
      </c>
      <c r="C164" s="37">
        <v>52892896.270000003</v>
      </c>
      <c r="D164" s="37">
        <v>-9087244.6300000008</v>
      </c>
      <c r="E164" s="37">
        <v>13406166713.26</v>
      </c>
      <c r="F164" s="37">
        <v>39551382.770000003</v>
      </c>
      <c r="G164" s="37">
        <v>101695007.44</v>
      </c>
      <c r="H164" s="37">
        <v>2051655.95</v>
      </c>
      <c r="I164" s="37">
        <v>15380503691.370001</v>
      </c>
      <c r="J164" s="40"/>
      <c r="K164" s="40"/>
    </row>
    <row r="165" spans="1:11" x14ac:dyDescent="0.2">
      <c r="A165" s="41">
        <v>41626</v>
      </c>
      <c r="B165" s="37">
        <v>1795983280.3199999</v>
      </c>
      <c r="C165" s="37">
        <v>52892896.270000003</v>
      </c>
      <c r="D165" s="37">
        <v>-9087244.6300000008</v>
      </c>
      <c r="E165" s="37">
        <v>13406166713.26</v>
      </c>
      <c r="F165" s="37">
        <v>39551382.770000003</v>
      </c>
      <c r="G165" s="37">
        <v>101695007.44</v>
      </c>
      <c r="H165" s="37">
        <v>2051655.95</v>
      </c>
      <c r="I165" s="37">
        <v>15389253691.370001</v>
      </c>
      <c r="J165" s="40"/>
      <c r="K165" s="40"/>
    </row>
    <row r="166" spans="1:11" x14ac:dyDescent="0.2">
      <c r="A166" s="41">
        <v>41627</v>
      </c>
      <c r="B166" s="37">
        <v>1796047780.3199999</v>
      </c>
      <c r="C166" s="37">
        <v>52892896.270000003</v>
      </c>
      <c r="D166" s="37">
        <v>-9087244.6300000008</v>
      </c>
      <c r="E166" s="37">
        <v>13405632080.290001</v>
      </c>
      <c r="F166" s="37">
        <v>39551382.770000003</v>
      </c>
      <c r="G166" s="37">
        <v>101695007.44</v>
      </c>
      <c r="H166" s="37">
        <v>2051655.95</v>
      </c>
      <c r="I166" s="37">
        <v>15388783558.4</v>
      </c>
      <c r="J166" s="40"/>
      <c r="K166" s="40"/>
    </row>
    <row r="167" spans="1:11" x14ac:dyDescent="0.2">
      <c r="A167" s="41">
        <v>41634</v>
      </c>
      <c r="B167" s="37">
        <v>1796047780.3199999</v>
      </c>
      <c r="C167" s="37">
        <v>52892896.270000003</v>
      </c>
      <c r="D167" s="37">
        <v>-9087244.6300000008</v>
      </c>
      <c r="E167" s="37">
        <v>13406085205.290001</v>
      </c>
      <c r="F167" s="37">
        <v>39551382.770000003</v>
      </c>
      <c r="G167" s="37">
        <v>101695007.44</v>
      </c>
      <c r="H167" s="37">
        <v>2051655.95</v>
      </c>
      <c r="I167" s="37">
        <v>15389236683.4</v>
      </c>
      <c r="J167" s="40"/>
      <c r="K167" s="40"/>
    </row>
    <row r="168" spans="1:11" x14ac:dyDescent="0.2">
      <c r="A168" s="41">
        <v>41635</v>
      </c>
      <c r="B168" s="37">
        <v>1796872780.3199999</v>
      </c>
      <c r="C168" s="37">
        <v>52892896.270000003</v>
      </c>
      <c r="D168" s="37">
        <v>-9087244.6300000008</v>
      </c>
      <c r="E168" s="37">
        <v>13406085205.290001</v>
      </c>
      <c r="F168" s="37">
        <v>39551382.770000003</v>
      </c>
      <c r="G168" s="37">
        <v>101695007.44</v>
      </c>
      <c r="H168" s="37">
        <v>2051655.95</v>
      </c>
      <c r="I168" s="37">
        <v>15390061683.4</v>
      </c>
      <c r="J168" s="40"/>
      <c r="K168" s="40"/>
    </row>
    <row r="169" spans="1:11" x14ac:dyDescent="0.2">
      <c r="A169" s="41">
        <v>41638</v>
      </c>
      <c r="B169" s="37">
        <v>1796872780.3199999</v>
      </c>
      <c r="C169" s="37">
        <v>52892896.270000003</v>
      </c>
      <c r="D169" s="37">
        <v>-9087244.6300000008</v>
      </c>
      <c r="E169" s="37">
        <v>13406375172.379999</v>
      </c>
      <c r="F169" s="37">
        <v>39551382.770000003</v>
      </c>
      <c r="G169" s="37">
        <v>101695007.44</v>
      </c>
      <c r="H169" s="37">
        <v>2051655.95</v>
      </c>
      <c r="I169" s="37">
        <v>15390351650.5</v>
      </c>
      <c r="J169" s="40"/>
      <c r="K169" s="40"/>
    </row>
    <row r="170" spans="1:11" x14ac:dyDescent="0.2">
      <c r="A170" s="41">
        <v>41639</v>
      </c>
      <c r="B170" s="37">
        <v>1814382780.3199999</v>
      </c>
      <c r="C170" s="37">
        <v>52892896.270000003</v>
      </c>
      <c r="D170" s="37">
        <v>-9087244.6300000008</v>
      </c>
      <c r="E170" s="37">
        <v>13407936422.379999</v>
      </c>
      <c r="F170" s="37">
        <v>39551383</v>
      </c>
      <c r="G170" s="37">
        <v>101695007.44</v>
      </c>
      <c r="H170" s="37">
        <v>2051655.95</v>
      </c>
      <c r="I170" s="37">
        <v>15409422900.5</v>
      </c>
      <c r="J170" s="40"/>
      <c r="K170" s="40"/>
    </row>
    <row r="171" spans="1:11" x14ac:dyDescent="0.2">
      <c r="A171" s="41">
        <v>41652</v>
      </c>
      <c r="B171" s="37">
        <v>1814382780.3199999</v>
      </c>
      <c r="C171" s="37">
        <v>52892896.270000003</v>
      </c>
      <c r="D171" s="37">
        <v>-9087244.6300000008</v>
      </c>
      <c r="E171" s="37">
        <v>13407835629.389999</v>
      </c>
      <c r="F171" s="37">
        <v>39551383</v>
      </c>
      <c r="G171" s="37">
        <v>101695007.44</v>
      </c>
      <c r="H171" s="37">
        <v>2051655.95</v>
      </c>
      <c r="I171" s="37">
        <v>15409322107.5</v>
      </c>
      <c r="J171" s="40"/>
      <c r="K171" s="40"/>
    </row>
    <row r="172" spans="1:11" x14ac:dyDescent="0.2">
      <c r="A172" s="41">
        <v>41654</v>
      </c>
      <c r="B172" s="37">
        <v>1814382780.3199999</v>
      </c>
      <c r="C172" s="37">
        <v>52892896.270000003</v>
      </c>
      <c r="D172" s="37">
        <v>-9087244.6300000008</v>
      </c>
      <c r="E172" s="37">
        <v>13407835629.389999</v>
      </c>
      <c r="F172" s="37">
        <v>42551584.520000003</v>
      </c>
      <c r="G172" s="37">
        <v>101695007.44</v>
      </c>
      <c r="H172" s="37">
        <v>2051655.95</v>
      </c>
      <c r="I172" s="37">
        <v>15412322309.26</v>
      </c>
      <c r="J172" s="40"/>
      <c r="K172" s="40"/>
    </row>
    <row r="173" spans="1:11" x14ac:dyDescent="0.2">
      <c r="A173" s="41">
        <v>41655</v>
      </c>
      <c r="B173" s="37">
        <v>1816362758.25</v>
      </c>
      <c r="C173" s="37">
        <v>52892896.270000003</v>
      </c>
      <c r="D173" s="37">
        <v>-9087244.6300000008</v>
      </c>
      <c r="E173" s="37">
        <v>13407835629.389999</v>
      </c>
      <c r="F173" s="37">
        <v>42551584.520000003</v>
      </c>
      <c r="G173" s="37">
        <v>101695007.44</v>
      </c>
      <c r="H173" s="37">
        <v>2051655.95</v>
      </c>
      <c r="I173" s="37">
        <v>15414302287.190001</v>
      </c>
      <c r="J173" s="40"/>
      <c r="K173" s="40"/>
    </row>
    <row r="174" spans="1:11" x14ac:dyDescent="0.2">
      <c r="A174" s="41">
        <v>41656</v>
      </c>
      <c r="B174" s="37">
        <v>1816972133.25</v>
      </c>
      <c r="C174" s="37">
        <v>52892896.270000003</v>
      </c>
      <c r="D174" s="37">
        <v>-9087244.6300000008</v>
      </c>
      <c r="E174" s="37">
        <v>13407835629.389999</v>
      </c>
      <c r="F174" s="37">
        <v>42551584.520000003</v>
      </c>
      <c r="G174" s="37">
        <v>101695007.44</v>
      </c>
      <c r="H174" s="37">
        <v>2051655.95</v>
      </c>
      <c r="I174" s="37">
        <v>15414911662.190001</v>
      </c>
      <c r="J174" s="40"/>
      <c r="K174" s="40"/>
    </row>
    <row r="175" spans="1:11" x14ac:dyDescent="0.2">
      <c r="A175" s="41">
        <v>41660</v>
      </c>
      <c r="B175" s="37">
        <v>1819020983.25</v>
      </c>
      <c r="C175" s="37">
        <v>52892896.270000003</v>
      </c>
      <c r="D175" s="37">
        <v>-9087244.6300000008</v>
      </c>
      <c r="E175" s="37">
        <v>13407609899.290001</v>
      </c>
      <c r="F175" s="37">
        <v>42551584.520000003</v>
      </c>
      <c r="G175" s="37">
        <v>101695007.44</v>
      </c>
      <c r="H175" s="37">
        <v>2051655.95</v>
      </c>
      <c r="I175" s="37">
        <v>15416734782.09</v>
      </c>
      <c r="J175" s="40"/>
      <c r="K175" s="40"/>
    </row>
    <row r="176" spans="1:11" x14ac:dyDescent="0.2">
      <c r="A176" s="41">
        <v>41666</v>
      </c>
      <c r="B176" s="37">
        <v>1819020983.25</v>
      </c>
      <c r="C176" s="37">
        <v>52892896.270000003</v>
      </c>
      <c r="D176" s="37">
        <v>-9087244.6300000008</v>
      </c>
      <c r="E176" s="37">
        <v>13408703649.290001</v>
      </c>
      <c r="F176" s="37">
        <v>42551584.520000003</v>
      </c>
      <c r="G176" s="37">
        <v>101695007.44</v>
      </c>
      <c r="H176" s="37">
        <v>2051655.95</v>
      </c>
      <c r="I176" s="37">
        <v>15417828532.09</v>
      </c>
      <c r="J176" s="40"/>
      <c r="K176" s="40"/>
    </row>
    <row r="177" spans="1:11" x14ac:dyDescent="0.2">
      <c r="A177" s="41">
        <v>41670</v>
      </c>
      <c r="B177" s="37">
        <v>1819020983.25</v>
      </c>
      <c r="C177" s="37">
        <v>52892896.270000003</v>
      </c>
      <c r="D177" s="37">
        <v>-9087244.6300000008</v>
      </c>
      <c r="E177" s="37">
        <v>14547124899.290001</v>
      </c>
      <c r="F177" s="37">
        <v>42551584.520000003</v>
      </c>
      <c r="G177" s="37">
        <v>101695007.44</v>
      </c>
      <c r="H177" s="37">
        <v>2051655.95</v>
      </c>
      <c r="I177" s="37">
        <v>16556249782.09</v>
      </c>
      <c r="J177" s="40"/>
      <c r="K177" s="40"/>
    </row>
    <row r="178" spans="1:11" x14ac:dyDescent="0.2">
      <c r="A178" s="41">
        <v>41673</v>
      </c>
      <c r="B178" s="37">
        <v>1819661608.25</v>
      </c>
      <c r="C178" s="37">
        <v>52892896.270000003</v>
      </c>
      <c r="D178" s="37">
        <v>-9087244.6300000008</v>
      </c>
      <c r="E178" s="37">
        <v>14547139592.030001</v>
      </c>
      <c r="F178" s="37">
        <v>42551584.520000003</v>
      </c>
      <c r="G178" s="37">
        <v>101695007.44</v>
      </c>
      <c r="H178" s="37">
        <v>2051655.95</v>
      </c>
      <c r="I178" s="37">
        <v>16556905099.83</v>
      </c>
      <c r="J178" s="40"/>
      <c r="K178" s="40"/>
    </row>
    <row r="179" spans="1:11" x14ac:dyDescent="0.2">
      <c r="A179" s="41">
        <v>41688</v>
      </c>
      <c r="B179" s="37">
        <v>1952662858.25</v>
      </c>
      <c r="C179" s="37">
        <v>52892896.270000003</v>
      </c>
      <c r="D179" s="37">
        <v>-9087244.6300000008</v>
      </c>
      <c r="E179" s="37">
        <v>14549259592.030001</v>
      </c>
      <c r="F179" s="37">
        <v>42551584.520000003</v>
      </c>
      <c r="G179" s="37">
        <v>101695007.44</v>
      </c>
      <c r="H179" s="37">
        <v>2051655.95</v>
      </c>
      <c r="I179" s="37">
        <v>16692026349.83</v>
      </c>
      <c r="J179" s="40"/>
      <c r="K179" s="40"/>
    </row>
    <row r="180" spans="1:11" x14ac:dyDescent="0.2">
      <c r="A180" s="41">
        <v>41697</v>
      </c>
      <c r="B180" s="37">
        <v>1952712858.25</v>
      </c>
      <c r="C180" s="37">
        <v>52892896.270000003</v>
      </c>
      <c r="D180" s="37">
        <v>-9087244.6300000008</v>
      </c>
      <c r="E180" s="37">
        <v>14549259592.030001</v>
      </c>
      <c r="F180" s="37">
        <v>42551584.520000003</v>
      </c>
      <c r="G180" s="37">
        <v>101695007.44</v>
      </c>
      <c r="H180" s="37">
        <v>2051655.95</v>
      </c>
      <c r="I180" s="37">
        <v>16692076349.83</v>
      </c>
      <c r="J180" s="40"/>
      <c r="K180" s="40"/>
    </row>
    <row r="181" spans="1:11" x14ac:dyDescent="0.2">
      <c r="A181" s="41">
        <v>41698</v>
      </c>
      <c r="B181" s="37">
        <v>1952712858.25</v>
      </c>
      <c r="C181" s="37">
        <v>52892896.270000003</v>
      </c>
      <c r="D181" s="37">
        <v>-9087244.6300000008</v>
      </c>
      <c r="E181" s="37">
        <v>14549259592.030001</v>
      </c>
      <c r="F181" s="37">
        <v>42551585</v>
      </c>
      <c r="G181" s="37">
        <v>101695007.44</v>
      </c>
      <c r="H181" s="37">
        <v>2051655.95</v>
      </c>
      <c r="I181" s="37">
        <v>16692076349.83</v>
      </c>
      <c r="J181" s="40"/>
      <c r="K181" s="40"/>
    </row>
    <row r="182" spans="1:11" x14ac:dyDescent="0.2">
      <c r="A182" s="41">
        <v>41705</v>
      </c>
      <c r="B182" s="37">
        <v>1952712858.25</v>
      </c>
      <c r="C182" s="37">
        <v>52892896.270000003</v>
      </c>
      <c r="D182" s="37">
        <v>-9087244.6300000008</v>
      </c>
      <c r="E182" s="37">
        <v>14577372342.030001</v>
      </c>
      <c r="F182" s="37">
        <v>42551585</v>
      </c>
      <c r="G182" s="37">
        <v>101695007.44</v>
      </c>
      <c r="H182" s="37">
        <v>2051655.95</v>
      </c>
      <c r="I182" s="37">
        <v>16720189099.83</v>
      </c>
      <c r="J182" s="40"/>
      <c r="K182" s="40"/>
    </row>
    <row r="183" spans="1:11" x14ac:dyDescent="0.2">
      <c r="A183" s="41">
        <v>41708</v>
      </c>
      <c r="B183" s="37">
        <v>1952712858.25</v>
      </c>
      <c r="C183" s="37">
        <v>52892896.270000003</v>
      </c>
      <c r="D183" s="37">
        <v>-9087244.6300000008</v>
      </c>
      <c r="E183" s="37">
        <v>14673624842.030001</v>
      </c>
      <c r="F183" s="37">
        <v>42551585</v>
      </c>
      <c r="G183" s="37">
        <v>101695007.44</v>
      </c>
      <c r="H183" s="37">
        <v>2051655.95</v>
      </c>
      <c r="I183" s="37">
        <v>16816441599.83</v>
      </c>
      <c r="J183" s="40"/>
      <c r="K183" s="40"/>
    </row>
    <row r="184" spans="1:11" x14ac:dyDescent="0.2">
      <c r="A184" s="41">
        <v>41715</v>
      </c>
      <c r="B184" s="37">
        <v>1969284733.25</v>
      </c>
      <c r="C184" s="37">
        <v>52892896.270000003</v>
      </c>
      <c r="D184" s="37">
        <v>-9087244.6300000008</v>
      </c>
      <c r="E184" s="37">
        <v>14673637888.34</v>
      </c>
      <c r="F184" s="37">
        <v>42551585</v>
      </c>
      <c r="G184" s="37">
        <v>101695007.44</v>
      </c>
      <c r="H184" s="37">
        <v>2051655.95</v>
      </c>
      <c r="I184" s="37">
        <v>16833026521.129999</v>
      </c>
      <c r="J184" s="40"/>
      <c r="K184" s="40"/>
    </row>
    <row r="185" spans="1:11" x14ac:dyDescent="0.2">
      <c r="A185" s="41">
        <v>41717</v>
      </c>
      <c r="B185" s="37">
        <v>1969357233.25</v>
      </c>
      <c r="C185" s="37">
        <v>52892896.270000003</v>
      </c>
      <c r="D185" s="37">
        <v>-9087244.6300000008</v>
      </c>
      <c r="E185" s="37">
        <v>14673695403.91</v>
      </c>
      <c r="F185" s="37">
        <v>42551585</v>
      </c>
      <c r="G185" s="37">
        <v>101695007.44</v>
      </c>
      <c r="H185" s="37">
        <v>2051655.95</v>
      </c>
      <c r="I185" s="37">
        <v>16833156536.709999</v>
      </c>
      <c r="J185" s="40"/>
      <c r="K185" s="40"/>
    </row>
    <row r="186" spans="1:11" x14ac:dyDescent="0.2">
      <c r="A186" s="41">
        <v>41718</v>
      </c>
      <c r="B186" s="37">
        <v>1977625983.25</v>
      </c>
      <c r="C186" s="37">
        <v>52892896.270000003</v>
      </c>
      <c r="D186" s="37">
        <v>-9087244.6300000008</v>
      </c>
      <c r="E186" s="37">
        <v>14673695403.91</v>
      </c>
      <c r="F186" s="37">
        <v>42551585</v>
      </c>
      <c r="G186" s="37">
        <v>101695007.44</v>
      </c>
      <c r="H186" s="37">
        <v>2051655.95</v>
      </c>
      <c r="I186" s="37">
        <v>16841425286.709999</v>
      </c>
      <c r="J186" s="40"/>
      <c r="K186" s="40"/>
    </row>
    <row r="187" spans="1:11" x14ac:dyDescent="0.2">
      <c r="A187" s="41">
        <v>41723</v>
      </c>
      <c r="B187" s="37">
        <v>1977625983.25</v>
      </c>
      <c r="C187" s="37">
        <v>52892896.270000003</v>
      </c>
      <c r="D187" s="37">
        <v>-9087244.6300000008</v>
      </c>
      <c r="E187" s="37">
        <v>14674570403.91</v>
      </c>
      <c r="F187" s="37">
        <v>42551585</v>
      </c>
      <c r="G187" s="37">
        <v>101695007.44</v>
      </c>
      <c r="H187" s="37">
        <v>2051655.95</v>
      </c>
      <c r="I187" s="37">
        <v>16842300286.709999</v>
      </c>
      <c r="J187" s="40"/>
      <c r="K187" s="40"/>
    </row>
    <row r="188" spans="1:11" x14ac:dyDescent="0.2">
      <c r="A188" s="41">
        <v>41726</v>
      </c>
      <c r="B188" s="37">
        <v>1977713483.25</v>
      </c>
      <c r="C188" s="37">
        <v>52892896.270000003</v>
      </c>
      <c r="D188" s="37">
        <v>-9087244.6300000008</v>
      </c>
      <c r="E188" s="37">
        <v>14713005983.1</v>
      </c>
      <c r="F188" s="37">
        <v>42551585</v>
      </c>
      <c r="G188" s="37">
        <v>101695007.44</v>
      </c>
      <c r="H188" s="37">
        <v>2051655.95</v>
      </c>
      <c r="I188" s="37">
        <v>16880823365.9</v>
      </c>
      <c r="J188" s="40"/>
      <c r="K188" s="40"/>
    </row>
    <row r="189" spans="1:11" x14ac:dyDescent="0.2">
      <c r="A189" s="41">
        <v>41729</v>
      </c>
      <c r="B189" s="37">
        <v>1977713483.25</v>
      </c>
      <c r="C189" s="37">
        <v>52892896.270000003</v>
      </c>
      <c r="D189" s="37">
        <v>-9087244.6300000008</v>
      </c>
      <c r="E189" s="37">
        <v>15760478483.1</v>
      </c>
      <c r="F189" s="37">
        <v>42551585</v>
      </c>
      <c r="G189" s="37">
        <v>101695007.44</v>
      </c>
      <c r="H189" s="37">
        <v>2051655.95</v>
      </c>
      <c r="I189" s="37">
        <v>17928295865.900002</v>
      </c>
      <c r="J189" s="40"/>
      <c r="K189" s="40"/>
    </row>
    <row r="190" spans="1:11" x14ac:dyDescent="0.2">
      <c r="A190" s="41">
        <v>41736</v>
      </c>
      <c r="B190" s="37">
        <v>1977713483.25</v>
      </c>
      <c r="C190" s="37">
        <v>52892896.270000003</v>
      </c>
      <c r="D190" s="37">
        <v>-9087244.6300000008</v>
      </c>
      <c r="E190" s="37">
        <v>15760977233.1</v>
      </c>
      <c r="F190" s="37">
        <v>42551585</v>
      </c>
      <c r="G190" s="37">
        <v>101695007.44</v>
      </c>
      <c r="H190" s="37">
        <v>2051655.95</v>
      </c>
      <c r="I190" s="37">
        <v>17928794615.900002</v>
      </c>
      <c r="J190" s="40"/>
      <c r="K190" s="40"/>
    </row>
    <row r="191" spans="1:11" x14ac:dyDescent="0.2">
      <c r="A191" s="41">
        <v>41739</v>
      </c>
      <c r="B191" s="37">
        <v>1982713483.25</v>
      </c>
      <c r="C191" s="37">
        <v>52892896.270000003</v>
      </c>
      <c r="D191" s="37">
        <v>-9087244.6300000008</v>
      </c>
      <c r="E191" s="37">
        <v>15760977233.1</v>
      </c>
      <c r="F191" s="37">
        <v>42551585</v>
      </c>
      <c r="G191" s="37">
        <v>101695007.44</v>
      </c>
      <c r="H191" s="37">
        <v>2051655.95</v>
      </c>
      <c r="I191" s="37">
        <v>17933794615.900002</v>
      </c>
      <c r="J191" s="40"/>
      <c r="K191" s="40"/>
    </row>
    <row r="192" spans="1:11" x14ac:dyDescent="0.2">
      <c r="A192" s="41">
        <v>41740</v>
      </c>
      <c r="B192" s="37">
        <v>1982713483.25</v>
      </c>
      <c r="C192" s="37">
        <v>52892896.270000003</v>
      </c>
      <c r="D192" s="37">
        <v>-9087244.6300000008</v>
      </c>
      <c r="E192" s="37">
        <v>15761049622.4</v>
      </c>
      <c r="F192" s="37">
        <v>42551585</v>
      </c>
      <c r="G192" s="37">
        <v>101695007.44</v>
      </c>
      <c r="H192" s="37">
        <v>2051655.95</v>
      </c>
      <c r="I192" s="37">
        <v>17933867005.200001</v>
      </c>
      <c r="J192" s="40"/>
      <c r="K192" s="40"/>
    </row>
    <row r="193" spans="1:11" x14ac:dyDescent="0.2">
      <c r="A193" s="41">
        <v>41744</v>
      </c>
      <c r="B193" s="37">
        <v>1982713483.25</v>
      </c>
      <c r="C193" s="37">
        <v>52892896.270000003</v>
      </c>
      <c r="D193" s="37">
        <v>-9087244.6300000008</v>
      </c>
      <c r="E193" s="37">
        <v>15762049622.4</v>
      </c>
      <c r="F193" s="37">
        <v>55601153.030000001</v>
      </c>
      <c r="G193" s="37">
        <v>101695007.44</v>
      </c>
      <c r="H193" s="37">
        <v>2051655.95</v>
      </c>
      <c r="I193" s="37">
        <v>17947916573.709999</v>
      </c>
      <c r="J193" s="40"/>
      <c r="K193" s="40"/>
    </row>
    <row r="194" spans="1:11" x14ac:dyDescent="0.2">
      <c r="A194" s="41">
        <v>41745</v>
      </c>
      <c r="B194" s="37">
        <v>1982725983.25</v>
      </c>
      <c r="C194" s="37">
        <v>52892896.270000003</v>
      </c>
      <c r="D194" s="37">
        <v>-9087244.6300000008</v>
      </c>
      <c r="E194" s="37">
        <v>15762049622.4</v>
      </c>
      <c r="F194" s="37">
        <v>55601153.030000001</v>
      </c>
      <c r="G194" s="37">
        <v>101695007.44</v>
      </c>
      <c r="H194" s="37">
        <v>2051655.95</v>
      </c>
      <c r="I194" s="37">
        <v>17947929073.709999</v>
      </c>
      <c r="J194" s="40"/>
      <c r="K194" s="40"/>
    </row>
    <row r="195" spans="1:11" x14ac:dyDescent="0.2">
      <c r="A195" s="41">
        <v>41750</v>
      </c>
      <c r="B195" s="37">
        <v>1982725983.25</v>
      </c>
      <c r="C195" s="37">
        <v>52892896.270000003</v>
      </c>
      <c r="D195" s="37">
        <v>-9087244.6300000008</v>
      </c>
      <c r="E195" s="37">
        <v>15762462122.4</v>
      </c>
      <c r="F195" s="37">
        <v>55601153.030000001</v>
      </c>
      <c r="G195" s="37">
        <v>101695007.44</v>
      </c>
      <c r="H195" s="37">
        <v>2051655.95</v>
      </c>
      <c r="I195" s="37">
        <v>17948341573.709999</v>
      </c>
      <c r="J195" s="40"/>
      <c r="K195" s="40"/>
    </row>
    <row r="196" spans="1:11" x14ac:dyDescent="0.2">
      <c r="A196" s="41">
        <v>41757</v>
      </c>
      <c r="B196" s="37">
        <v>1982855983.25</v>
      </c>
      <c r="C196" s="37">
        <v>52892896.270000003</v>
      </c>
      <c r="D196" s="37">
        <v>-9087244.6300000008</v>
      </c>
      <c r="E196" s="37">
        <v>15763162122.4</v>
      </c>
      <c r="F196" s="37">
        <v>55601153.030000001</v>
      </c>
      <c r="G196" s="37">
        <v>101695007.44</v>
      </c>
      <c r="H196" s="37">
        <v>2051655.95</v>
      </c>
      <c r="I196" s="37">
        <v>17949171573.709999</v>
      </c>
      <c r="J196" s="40"/>
      <c r="K196" s="40"/>
    </row>
    <row r="197" spans="1:11" x14ac:dyDescent="0.2">
      <c r="A197" s="41">
        <v>41759</v>
      </c>
      <c r="B197" s="37">
        <v>1982855983.25</v>
      </c>
      <c r="C197" s="37">
        <v>52892896.270000003</v>
      </c>
      <c r="D197" s="37">
        <v>-9087244.6300000008</v>
      </c>
      <c r="E197" s="37">
        <v>16075552122.4</v>
      </c>
      <c r="F197" s="37">
        <v>55601153.030000001</v>
      </c>
      <c r="G197" s="37">
        <v>101695007.44</v>
      </c>
      <c r="H197" s="37">
        <v>2051655.95</v>
      </c>
      <c r="I197" s="37">
        <v>18261561573.709999</v>
      </c>
      <c r="J197" s="40"/>
      <c r="K197" s="40"/>
    </row>
    <row r="198" spans="1:11" x14ac:dyDescent="0.2">
      <c r="A198" s="41">
        <v>41761</v>
      </c>
      <c r="B198" s="37">
        <v>1982855983.25</v>
      </c>
      <c r="C198" s="37">
        <v>52892896.270000003</v>
      </c>
      <c r="D198" s="37">
        <v>-9087244.6300000008</v>
      </c>
      <c r="E198" s="37">
        <v>16075457129.889999</v>
      </c>
      <c r="F198" s="37">
        <v>55601153.030000001</v>
      </c>
      <c r="G198" s="37">
        <v>101695007.44</v>
      </c>
      <c r="H198" s="37">
        <v>2051655.95</v>
      </c>
      <c r="I198" s="37">
        <v>18261466581.200001</v>
      </c>
      <c r="J198" s="40"/>
      <c r="K198" s="40"/>
    </row>
    <row r="199" spans="1:11" x14ac:dyDescent="0.2">
      <c r="A199" s="41">
        <v>41764</v>
      </c>
      <c r="B199" s="37">
        <v>1982855983.25</v>
      </c>
      <c r="C199" s="37">
        <v>52892896.270000003</v>
      </c>
      <c r="D199" s="37">
        <v>-9087244.6300000008</v>
      </c>
      <c r="E199" s="37">
        <v>16075663379.889999</v>
      </c>
      <c r="F199" s="37">
        <v>55601153.030000001</v>
      </c>
      <c r="G199" s="37">
        <v>101695007.44</v>
      </c>
      <c r="H199" s="37">
        <v>2051655.95</v>
      </c>
      <c r="I199" s="37">
        <v>18261672831.200001</v>
      </c>
      <c r="J199" s="40"/>
      <c r="K199" s="40"/>
    </row>
    <row r="200" spans="1:11" x14ac:dyDescent="0.2">
      <c r="A200" s="41">
        <v>41774</v>
      </c>
      <c r="B200" s="37">
        <v>2281173483.25</v>
      </c>
      <c r="C200" s="37">
        <v>52892896.270000003</v>
      </c>
      <c r="D200" s="37">
        <v>-9087244.6300000008</v>
      </c>
      <c r="E200" s="37">
        <v>16078008379.889999</v>
      </c>
      <c r="F200" s="37">
        <v>55601153.030000001</v>
      </c>
      <c r="G200" s="37">
        <v>101695007.44</v>
      </c>
      <c r="H200" s="37">
        <v>2051655.95</v>
      </c>
      <c r="I200" s="37">
        <v>18562335331.200001</v>
      </c>
      <c r="J200" s="40"/>
      <c r="K200" s="40"/>
    </row>
    <row r="201" spans="1:11" x14ac:dyDescent="0.2">
      <c r="A201" s="41">
        <v>41775</v>
      </c>
      <c r="B201" s="37">
        <v>2359923483.25</v>
      </c>
      <c r="C201" s="37">
        <v>52892896.270000003</v>
      </c>
      <c r="D201" s="37">
        <v>-9087244.6300000008</v>
      </c>
      <c r="E201" s="37">
        <v>16109508379.889999</v>
      </c>
      <c r="F201" s="37">
        <v>55601153.030000001</v>
      </c>
      <c r="G201" s="37">
        <v>101695007.44</v>
      </c>
      <c r="H201" s="37">
        <v>2051655.95</v>
      </c>
      <c r="I201" s="37">
        <v>18672585331.200001</v>
      </c>
      <c r="J201" s="40"/>
      <c r="K201" s="40"/>
    </row>
    <row r="202" spans="1:11" x14ac:dyDescent="0.2">
      <c r="A202" s="41">
        <v>41778</v>
      </c>
      <c r="B202" s="37">
        <v>2360058483.25</v>
      </c>
      <c r="C202" s="37">
        <v>52892896.270000003</v>
      </c>
      <c r="D202" s="37">
        <v>-9087244.6300000008</v>
      </c>
      <c r="E202" s="37">
        <v>16109508379.889999</v>
      </c>
      <c r="F202" s="37">
        <v>55601153.030000001</v>
      </c>
      <c r="G202" s="37">
        <v>101695007.44</v>
      </c>
      <c r="H202" s="37">
        <v>2051655.95</v>
      </c>
      <c r="I202" s="37">
        <v>18672720331.200001</v>
      </c>
      <c r="J202" s="40"/>
      <c r="K202" s="40"/>
    </row>
    <row r="203" spans="1:11" x14ac:dyDescent="0.2">
      <c r="A203" s="41">
        <v>41792</v>
      </c>
      <c r="B203" s="37">
        <v>2360058483.25</v>
      </c>
      <c r="C203" s="37">
        <v>52892896.270000003</v>
      </c>
      <c r="D203" s="37">
        <v>-9087244.6300000008</v>
      </c>
      <c r="E203" s="37">
        <v>16110999004.889999</v>
      </c>
      <c r="F203" s="37">
        <v>55601153.030000001</v>
      </c>
      <c r="G203" s="37">
        <v>101695007.44</v>
      </c>
      <c r="H203" s="37">
        <v>2051655.95</v>
      </c>
      <c r="I203" s="37">
        <v>18674210956.200001</v>
      </c>
      <c r="J203" s="40"/>
      <c r="K203" s="40"/>
    </row>
    <row r="204" spans="1:11" x14ac:dyDescent="0.2">
      <c r="A204" s="41">
        <v>41799</v>
      </c>
      <c r="B204" s="37">
        <v>2360058483.25</v>
      </c>
      <c r="C204" s="37">
        <v>52892896.270000003</v>
      </c>
      <c r="D204" s="37">
        <v>-9087244.6300000008</v>
      </c>
      <c r="E204" s="37">
        <v>16161624004.889999</v>
      </c>
      <c r="F204" s="37">
        <v>55601153.030000001</v>
      </c>
      <c r="G204" s="37">
        <v>101695007.44</v>
      </c>
      <c r="H204" s="37">
        <v>2051655.95</v>
      </c>
      <c r="I204" s="37">
        <v>18724835956.200001</v>
      </c>
      <c r="J204" s="40"/>
      <c r="K204" s="40"/>
    </row>
    <row r="205" spans="1:11" x14ac:dyDescent="0.2">
      <c r="A205" s="41">
        <v>41802</v>
      </c>
      <c r="B205" s="37">
        <v>2362828483.25</v>
      </c>
      <c r="C205" s="37">
        <v>52892896.270000003</v>
      </c>
      <c r="D205" s="37">
        <v>-9087244.6300000008</v>
      </c>
      <c r="E205" s="37">
        <v>16161892754.889999</v>
      </c>
      <c r="F205" s="37">
        <v>55601153.030000001</v>
      </c>
      <c r="G205" s="37">
        <v>101695007.44</v>
      </c>
      <c r="H205" s="37">
        <v>2051655.95</v>
      </c>
      <c r="I205" s="37">
        <v>18727874706.200001</v>
      </c>
      <c r="J205" s="40"/>
      <c r="K205" s="40"/>
    </row>
    <row r="206" spans="1:11" x14ac:dyDescent="0.2">
      <c r="A206" s="41">
        <v>41806</v>
      </c>
      <c r="B206" s="37">
        <v>2566453483.25</v>
      </c>
      <c r="C206" s="37">
        <v>52892896.270000003</v>
      </c>
      <c r="D206" s="37">
        <v>-9087244.6300000008</v>
      </c>
      <c r="E206" s="37">
        <v>16162068767.469999</v>
      </c>
      <c r="F206" s="37">
        <v>55601153.030000001</v>
      </c>
      <c r="G206" s="37">
        <v>101695007.44</v>
      </c>
      <c r="H206" s="37">
        <v>2051655.95</v>
      </c>
      <c r="I206" s="37">
        <v>18931675718.779999</v>
      </c>
      <c r="J206" s="40"/>
      <c r="K206" s="40"/>
    </row>
    <row r="207" spans="1:11" x14ac:dyDescent="0.2">
      <c r="A207" s="41">
        <v>41807</v>
      </c>
      <c r="B207" s="37">
        <v>2568281608.25</v>
      </c>
      <c r="C207" s="37">
        <v>52892896.270000003</v>
      </c>
      <c r="D207" s="37">
        <v>-9087244.6300000008</v>
      </c>
      <c r="E207" s="37">
        <v>16162068767.469999</v>
      </c>
      <c r="F207" s="37">
        <v>55601153.030000001</v>
      </c>
      <c r="G207" s="37">
        <v>101695007.44</v>
      </c>
      <c r="H207" s="37">
        <v>2051655.95</v>
      </c>
      <c r="I207" s="37">
        <v>18933503843.779999</v>
      </c>
      <c r="J207" s="40"/>
      <c r="K207" s="40"/>
    </row>
    <row r="208" spans="1:11" x14ac:dyDescent="0.2">
      <c r="A208" s="41">
        <v>41809</v>
      </c>
      <c r="B208" s="37">
        <v>2571158608.25</v>
      </c>
      <c r="C208" s="37">
        <v>52892896.270000003</v>
      </c>
      <c r="D208" s="37">
        <v>-9087244.6300000008</v>
      </c>
      <c r="E208" s="37">
        <v>16161536175.360001</v>
      </c>
      <c r="F208" s="37">
        <v>55601153.030000001</v>
      </c>
      <c r="G208" s="37">
        <v>101695007.44</v>
      </c>
      <c r="H208" s="37">
        <v>2051655.95</v>
      </c>
      <c r="I208" s="37">
        <v>18935848251.669998</v>
      </c>
      <c r="J208" s="40"/>
      <c r="K208" s="40"/>
    </row>
    <row r="209" spans="1:11" x14ac:dyDescent="0.2">
      <c r="A209" s="41">
        <v>41815</v>
      </c>
      <c r="B209" s="37">
        <v>2571158608.25</v>
      </c>
      <c r="C209" s="37">
        <v>52892896.270000003</v>
      </c>
      <c r="D209" s="37">
        <v>-9087244.6300000008</v>
      </c>
      <c r="E209" s="37">
        <v>16186989300.360001</v>
      </c>
      <c r="F209" s="37">
        <v>55601153.030000001</v>
      </c>
      <c r="G209" s="37">
        <v>101695007.44</v>
      </c>
      <c r="H209" s="37">
        <v>2051655.95</v>
      </c>
      <c r="I209" s="37">
        <v>18961301376.669998</v>
      </c>
      <c r="J209" s="40"/>
      <c r="K209" s="40"/>
    </row>
    <row r="210" spans="1:11" x14ac:dyDescent="0.2">
      <c r="A210" s="41">
        <v>41817</v>
      </c>
      <c r="B210" s="37">
        <v>2571983608.25</v>
      </c>
      <c r="C210" s="37">
        <v>52892896.270000003</v>
      </c>
      <c r="D210" s="37">
        <v>-9087244.6300000008</v>
      </c>
      <c r="E210" s="37">
        <v>16186989300.360001</v>
      </c>
      <c r="F210" s="37">
        <v>55601153.030000001</v>
      </c>
      <c r="G210" s="37">
        <v>101695007.44</v>
      </c>
      <c r="H210" s="37">
        <v>2051655.95</v>
      </c>
      <c r="I210" s="37">
        <v>18962126376.669998</v>
      </c>
      <c r="J210" s="40"/>
      <c r="K210" s="40"/>
    </row>
    <row r="211" spans="1:11" x14ac:dyDescent="0.2">
      <c r="A211" s="41">
        <v>41820</v>
      </c>
      <c r="B211" s="37">
        <v>2584521108.25</v>
      </c>
      <c r="C211" s="37">
        <v>52892896.270000003</v>
      </c>
      <c r="D211" s="37">
        <v>-9087244.6300000008</v>
      </c>
      <c r="E211" s="37">
        <v>16399855185.709999</v>
      </c>
      <c r="F211" s="37">
        <v>55601153</v>
      </c>
      <c r="G211" s="37">
        <v>101695007.44</v>
      </c>
      <c r="H211" s="37">
        <v>2051655.95</v>
      </c>
      <c r="I211" s="37">
        <v>19187529762.009998</v>
      </c>
      <c r="J211" s="40"/>
      <c r="K211" s="40"/>
    </row>
    <row r="212" spans="1:11" x14ac:dyDescent="0.2">
      <c r="A212" s="41">
        <v>41821</v>
      </c>
      <c r="B212" s="37">
        <v>2584521108.25</v>
      </c>
      <c r="C212" s="37">
        <v>52892896.270000003</v>
      </c>
      <c r="D212" s="37">
        <v>-9087244.6300000008</v>
      </c>
      <c r="E212" s="37">
        <v>16400597685.709999</v>
      </c>
      <c r="F212" s="37">
        <v>55601153</v>
      </c>
      <c r="G212" s="37">
        <v>101695007.44</v>
      </c>
      <c r="H212" s="37">
        <v>2051655.95</v>
      </c>
      <c r="I212" s="37">
        <v>19188272262.009998</v>
      </c>
      <c r="J212" s="40"/>
      <c r="K212" s="40"/>
    </row>
    <row r="213" spans="1:11" x14ac:dyDescent="0.2">
      <c r="A213" s="41">
        <v>41831</v>
      </c>
      <c r="B213" s="37">
        <v>2584521108.25</v>
      </c>
      <c r="C213" s="37">
        <v>52892896.270000003</v>
      </c>
      <c r="D213" s="37">
        <v>-9087244.6300000008</v>
      </c>
      <c r="E213" s="37">
        <v>16400508046.99</v>
      </c>
      <c r="F213" s="37">
        <v>55601153</v>
      </c>
      <c r="G213" s="37">
        <v>101695007.44</v>
      </c>
      <c r="H213" s="37">
        <v>2051655.95</v>
      </c>
      <c r="I213" s="37">
        <v>19188182623.299999</v>
      </c>
      <c r="J213" s="40"/>
      <c r="K213" s="40"/>
    </row>
    <row r="214" spans="1:11" x14ac:dyDescent="0.2">
      <c r="A214" s="41">
        <v>41835</v>
      </c>
      <c r="B214" s="37">
        <v>2584521108.25</v>
      </c>
      <c r="C214" s="37">
        <v>52892896.270000003</v>
      </c>
      <c r="D214" s="37">
        <v>-9087244.6300000008</v>
      </c>
      <c r="E214" s="37">
        <v>16400508046.99</v>
      </c>
      <c r="F214" s="37">
        <v>58601354.780000001</v>
      </c>
      <c r="G214" s="37">
        <v>101695007.44</v>
      </c>
      <c r="H214" s="37">
        <v>2051655.95</v>
      </c>
      <c r="I214" s="37">
        <v>19191182825.060001</v>
      </c>
      <c r="J214" s="40"/>
      <c r="K214" s="40"/>
    </row>
    <row r="215" spans="1:11" x14ac:dyDescent="0.2">
      <c r="A215" s="41">
        <v>41836</v>
      </c>
      <c r="B215" s="37">
        <v>2586501086.1799998</v>
      </c>
      <c r="C215" s="37">
        <v>52892896.270000003</v>
      </c>
      <c r="D215" s="37">
        <v>-9087244.6300000008</v>
      </c>
      <c r="E215" s="37">
        <v>16400508046.99</v>
      </c>
      <c r="F215" s="37">
        <v>58601354.780000001</v>
      </c>
      <c r="G215" s="37">
        <v>101695007.44</v>
      </c>
      <c r="H215" s="37">
        <v>2051655.95</v>
      </c>
      <c r="I215" s="37">
        <v>19193162802.990002</v>
      </c>
      <c r="J215" s="40"/>
      <c r="K215" s="40"/>
    </row>
    <row r="216" spans="1:11" x14ac:dyDescent="0.2">
      <c r="A216" s="41">
        <v>41837</v>
      </c>
      <c r="B216" s="37">
        <v>2587110461.1799998</v>
      </c>
      <c r="C216" s="37">
        <v>52892896.270000003</v>
      </c>
      <c r="D216" s="37">
        <v>-9087244.6300000008</v>
      </c>
      <c r="E216" s="37">
        <v>16400508046.99</v>
      </c>
      <c r="F216" s="37">
        <v>58601354.780000001</v>
      </c>
      <c r="G216" s="37">
        <v>101695007.44</v>
      </c>
      <c r="H216" s="37">
        <v>2051655.95</v>
      </c>
      <c r="I216" s="37">
        <v>19193772177.990002</v>
      </c>
      <c r="J216" s="40"/>
      <c r="K216" s="40"/>
    </row>
    <row r="217" spans="1:11" x14ac:dyDescent="0.2">
      <c r="A217" s="41">
        <v>41841</v>
      </c>
      <c r="B217" s="37">
        <v>2589159311.1799998</v>
      </c>
      <c r="C217" s="37">
        <v>52892896.270000003</v>
      </c>
      <c r="D217" s="37">
        <v>-9087244.6300000008</v>
      </c>
      <c r="E217" s="37">
        <v>16400567421.99</v>
      </c>
      <c r="F217" s="37">
        <v>58601354.780000001</v>
      </c>
      <c r="G217" s="37">
        <v>101695007.44</v>
      </c>
      <c r="H217" s="37">
        <v>2051655.95</v>
      </c>
      <c r="I217" s="37">
        <v>19195880402.990002</v>
      </c>
      <c r="J217" s="40"/>
      <c r="K217" s="40"/>
    </row>
    <row r="218" spans="1:11" x14ac:dyDescent="0.2">
      <c r="A218" s="41">
        <v>41848</v>
      </c>
      <c r="B218" s="37">
        <v>2589159311.1799998</v>
      </c>
      <c r="C218" s="37">
        <v>52892896.270000003</v>
      </c>
      <c r="D218" s="37">
        <v>-9087244.6300000008</v>
      </c>
      <c r="E218" s="37">
        <v>16401661171.99</v>
      </c>
      <c r="F218" s="37">
        <v>58601354.780000001</v>
      </c>
      <c r="G218" s="37">
        <v>101695007.44</v>
      </c>
      <c r="H218" s="37">
        <v>2051655.95</v>
      </c>
      <c r="I218" s="37">
        <v>19196974152.990002</v>
      </c>
      <c r="J218" s="40"/>
      <c r="K218" s="40"/>
    </row>
    <row r="219" spans="1:11" x14ac:dyDescent="0.2">
      <c r="A219" s="41">
        <v>41852</v>
      </c>
      <c r="B219" s="37">
        <v>2589799936.1799998</v>
      </c>
      <c r="C219" s="37">
        <v>52892896.270000003</v>
      </c>
      <c r="D219" s="37">
        <v>-9087244.6300000008</v>
      </c>
      <c r="E219" s="37">
        <v>16401661171.99</v>
      </c>
      <c r="F219" s="37">
        <v>58601354.780000001</v>
      </c>
      <c r="G219" s="37">
        <v>101695007.44</v>
      </c>
      <c r="H219" s="37">
        <v>2051655.95</v>
      </c>
      <c r="I219" s="37">
        <v>19197614777.990002</v>
      </c>
      <c r="J219" s="40"/>
      <c r="K219" s="40"/>
    </row>
    <row r="220" spans="1:11" x14ac:dyDescent="0.2">
      <c r="A220" s="41">
        <v>41855</v>
      </c>
      <c r="B220" s="37">
        <v>2589799936.1799998</v>
      </c>
      <c r="C220" s="37">
        <v>52892896.270000003</v>
      </c>
      <c r="D220" s="37">
        <v>-9087244.6300000008</v>
      </c>
      <c r="E220" s="37">
        <v>16401676966.52</v>
      </c>
      <c r="F220" s="37">
        <v>58601354.780000001</v>
      </c>
      <c r="G220" s="37">
        <v>101695007.44</v>
      </c>
      <c r="H220" s="37">
        <v>2051655.95</v>
      </c>
      <c r="I220" s="37">
        <v>19197630572.52</v>
      </c>
      <c r="J220" s="40"/>
      <c r="K220" s="40"/>
    </row>
    <row r="221" spans="1:11" x14ac:dyDescent="0.2">
      <c r="A221" s="41">
        <v>41866</v>
      </c>
      <c r="B221" s="37">
        <v>2613844936.1799998</v>
      </c>
      <c r="C221" s="37">
        <v>52892896.270000003</v>
      </c>
      <c r="D221" s="37">
        <v>-9087244.6300000008</v>
      </c>
      <c r="E221" s="37">
        <v>16403796966.52</v>
      </c>
      <c r="F221" s="37">
        <v>58601354.780000001</v>
      </c>
      <c r="G221" s="37">
        <v>101695007.44</v>
      </c>
      <c r="H221" s="37">
        <v>2051655.95</v>
      </c>
      <c r="I221" s="37">
        <v>19223795572.52</v>
      </c>
      <c r="J221" s="40"/>
      <c r="K221" s="40"/>
    </row>
    <row r="222" spans="1:11" x14ac:dyDescent="0.2">
      <c r="A222" s="41">
        <v>41869</v>
      </c>
      <c r="B222" s="37">
        <v>2615551186.1799998</v>
      </c>
      <c r="C222" s="37">
        <v>52892896.270000003</v>
      </c>
      <c r="D222" s="37">
        <v>-9087244.6300000008</v>
      </c>
      <c r="E222" s="37">
        <v>16403796966.52</v>
      </c>
      <c r="F222" s="37">
        <v>58601354.780000001</v>
      </c>
      <c r="G222" s="37">
        <v>101695007.44</v>
      </c>
      <c r="H222" s="37">
        <v>2051655.95</v>
      </c>
      <c r="I222" s="37">
        <v>19225501822.52</v>
      </c>
      <c r="J222" s="40"/>
      <c r="K222" s="40"/>
    </row>
    <row r="223" spans="1:11" x14ac:dyDescent="0.2">
      <c r="A223" s="41">
        <v>41878</v>
      </c>
      <c r="B223" s="37">
        <v>2615601186.1799998</v>
      </c>
      <c r="C223" s="37">
        <v>52892896.270000003</v>
      </c>
      <c r="D223" s="37">
        <v>-9087244.6300000008</v>
      </c>
      <c r="E223" s="37">
        <v>16403796966.52</v>
      </c>
      <c r="F223" s="37">
        <v>58601354.780000001</v>
      </c>
      <c r="G223" s="37">
        <v>101695007.44</v>
      </c>
      <c r="H223" s="37">
        <v>2051655.95</v>
      </c>
      <c r="I223" s="37">
        <v>19225551822.52</v>
      </c>
      <c r="J223" s="40"/>
      <c r="K223" s="40"/>
    </row>
    <row r="224" spans="1:11" x14ac:dyDescent="0.2">
      <c r="A224" s="41">
        <v>41884</v>
      </c>
      <c r="B224" s="37">
        <v>2615601186.1799998</v>
      </c>
      <c r="C224" s="37">
        <v>52892896.270000003</v>
      </c>
      <c r="D224" s="37">
        <v>-9087244.6300000008</v>
      </c>
      <c r="E224" s="37">
        <v>16403796966.52</v>
      </c>
      <c r="F224" s="37">
        <v>58601355</v>
      </c>
      <c r="G224" s="37">
        <v>101695007.44</v>
      </c>
      <c r="H224" s="37">
        <v>2051655.95</v>
      </c>
      <c r="I224" s="37">
        <v>19225551822.52</v>
      </c>
      <c r="J224" s="40"/>
      <c r="K224" s="40"/>
    </row>
    <row r="225" spans="1:11" x14ac:dyDescent="0.2">
      <c r="A225" s="41">
        <v>41892</v>
      </c>
      <c r="B225" s="37">
        <v>2615601186.1799998</v>
      </c>
      <c r="C225" s="37">
        <v>52892896.270000003</v>
      </c>
      <c r="D225" s="37">
        <v>-9087244.6300000008</v>
      </c>
      <c r="E225" s="37">
        <v>16454521966.52</v>
      </c>
      <c r="F225" s="37">
        <v>58601355</v>
      </c>
      <c r="G225" s="37">
        <v>101695007.44</v>
      </c>
      <c r="H225" s="37">
        <v>2051655.95</v>
      </c>
      <c r="I225" s="37">
        <v>19276276822.52</v>
      </c>
      <c r="J225" s="40"/>
      <c r="K225" s="40"/>
    </row>
    <row r="226" spans="1:11" x14ac:dyDescent="0.2">
      <c r="A226" s="41">
        <v>41897</v>
      </c>
      <c r="B226" s="37">
        <v>2632173061.1799998</v>
      </c>
      <c r="C226" s="37">
        <v>52892896.270000003</v>
      </c>
      <c r="D226" s="37">
        <v>-9087244.6300000008</v>
      </c>
      <c r="E226" s="37">
        <v>16454563956.48</v>
      </c>
      <c r="F226" s="37">
        <v>58601355</v>
      </c>
      <c r="G226" s="37">
        <v>101695007.44</v>
      </c>
      <c r="H226" s="37">
        <v>2051655.95</v>
      </c>
      <c r="I226" s="37">
        <v>19292890687.470001</v>
      </c>
      <c r="J226" s="40"/>
      <c r="K226" s="40"/>
    </row>
    <row r="227" spans="1:11" x14ac:dyDescent="0.2">
      <c r="A227" s="41">
        <v>41898</v>
      </c>
      <c r="B227" s="37">
        <v>2632173061.1799998</v>
      </c>
      <c r="C227" s="37">
        <v>52892896.270000003</v>
      </c>
      <c r="D227" s="37">
        <v>-9087244.6300000008</v>
      </c>
      <c r="E227" s="37">
        <v>16454544612.82</v>
      </c>
      <c r="F227" s="37">
        <v>58601355</v>
      </c>
      <c r="G227" s="37">
        <v>101695007.44</v>
      </c>
      <c r="H227" s="37">
        <v>2051655.95</v>
      </c>
      <c r="I227" s="37">
        <v>19292871343.810001</v>
      </c>
      <c r="J227" s="40"/>
      <c r="K227" s="40"/>
    </row>
    <row r="228" spans="1:11" x14ac:dyDescent="0.2">
      <c r="A228" s="41">
        <v>41901</v>
      </c>
      <c r="B228" s="37">
        <v>2632245561.1799998</v>
      </c>
      <c r="C228" s="37">
        <v>52892896.270000003</v>
      </c>
      <c r="D228" s="37">
        <v>-9087244.6300000008</v>
      </c>
      <c r="E228" s="37">
        <v>16454608560.030001</v>
      </c>
      <c r="F228" s="37">
        <v>58601355</v>
      </c>
      <c r="G228" s="37">
        <v>101695007.44</v>
      </c>
      <c r="H228" s="37">
        <v>2051655.95</v>
      </c>
      <c r="I228" s="37">
        <v>19293007791.02</v>
      </c>
      <c r="J228" s="40"/>
      <c r="K228" s="40"/>
    </row>
    <row r="229" spans="1:11" x14ac:dyDescent="0.2">
      <c r="A229" s="41">
        <v>41904</v>
      </c>
      <c r="B229" s="37">
        <v>2640514311.1799998</v>
      </c>
      <c r="C229" s="37">
        <v>52892896.270000003</v>
      </c>
      <c r="D229" s="37">
        <v>-9087244.6300000008</v>
      </c>
      <c r="E229" s="37">
        <v>16454608560.030001</v>
      </c>
      <c r="F229" s="37">
        <v>58601355</v>
      </c>
      <c r="G229" s="37">
        <v>101695007.44</v>
      </c>
      <c r="H229" s="37">
        <v>2051655.95</v>
      </c>
      <c r="I229" s="37">
        <v>19301276541.02</v>
      </c>
      <c r="J229" s="40"/>
      <c r="K229" s="40"/>
    </row>
    <row r="230" spans="1:11" x14ac:dyDescent="0.2">
      <c r="A230" s="41">
        <v>41907</v>
      </c>
      <c r="B230" s="37">
        <v>2640514311.1799998</v>
      </c>
      <c r="C230" s="37">
        <v>52892896.270000003</v>
      </c>
      <c r="D230" s="37">
        <v>-9087244.6300000008</v>
      </c>
      <c r="E230" s="37">
        <v>16455483560.030001</v>
      </c>
      <c r="F230" s="37">
        <v>58601355</v>
      </c>
      <c r="G230" s="37">
        <v>101695007.44</v>
      </c>
      <c r="H230" s="37">
        <v>2051655.95</v>
      </c>
      <c r="I230" s="37">
        <v>19302151541.02</v>
      </c>
      <c r="J230" s="40"/>
      <c r="K230" s="40"/>
    </row>
    <row r="231" spans="1:11" x14ac:dyDescent="0.2">
      <c r="A231" s="41">
        <v>41911</v>
      </c>
      <c r="B231" s="37">
        <v>2640601811.1799998</v>
      </c>
      <c r="C231" s="37">
        <v>52892896.270000003</v>
      </c>
      <c r="D231" s="37">
        <v>-9087244.6300000008</v>
      </c>
      <c r="E231" s="37">
        <v>16454646952.26</v>
      </c>
      <c r="F231" s="37">
        <v>58601355</v>
      </c>
      <c r="G231" s="37">
        <v>101695007.44</v>
      </c>
      <c r="H231" s="37">
        <v>2051655.95</v>
      </c>
      <c r="I231" s="37">
        <v>19301402433.25</v>
      </c>
      <c r="J231" s="40"/>
      <c r="K231" s="40"/>
    </row>
    <row r="232" spans="1:11" x14ac:dyDescent="0.2">
      <c r="A232" s="41">
        <v>41912</v>
      </c>
      <c r="B232" s="37">
        <v>2640601811.1799998</v>
      </c>
      <c r="C232" s="37">
        <v>52892896.270000003</v>
      </c>
      <c r="D232" s="37">
        <v>-9087244.6300000008</v>
      </c>
      <c r="E232" s="37">
        <v>16454811952.26</v>
      </c>
      <c r="F232" s="37">
        <v>58601355</v>
      </c>
      <c r="G232" s="37">
        <v>101695007.44</v>
      </c>
      <c r="H232" s="37">
        <v>2051655.95</v>
      </c>
      <c r="I232" s="37">
        <v>19301567433.25</v>
      </c>
      <c r="J232" s="40"/>
      <c r="K232" s="40"/>
    </row>
    <row r="233" spans="1:11" x14ac:dyDescent="0.2">
      <c r="A233" s="41">
        <v>41918</v>
      </c>
      <c r="B233" s="37">
        <v>2649998037.4299998</v>
      </c>
      <c r="C233" s="37">
        <v>52892896.270000003</v>
      </c>
      <c r="D233" s="37">
        <v>-9087244.6300000008</v>
      </c>
      <c r="E233" s="37">
        <v>16455310702.26</v>
      </c>
      <c r="F233" s="37">
        <v>58601355</v>
      </c>
      <c r="G233" s="37">
        <v>101695007.44</v>
      </c>
      <c r="H233" s="37">
        <v>2051655.95</v>
      </c>
      <c r="I233" s="37">
        <v>19311462409.5</v>
      </c>
      <c r="J233" s="40"/>
      <c r="K233" s="40"/>
    </row>
    <row r="234" spans="1:11" x14ac:dyDescent="0.2">
      <c r="A234" s="41">
        <v>41926</v>
      </c>
      <c r="B234" s="37">
        <v>2649998037.4299998</v>
      </c>
      <c r="C234" s="37">
        <v>52892896.270000003</v>
      </c>
      <c r="D234" s="37">
        <v>-9087244.6300000008</v>
      </c>
      <c r="E234" s="37">
        <v>16455398201.780001</v>
      </c>
      <c r="F234" s="37">
        <v>58601355</v>
      </c>
      <c r="G234" s="37">
        <v>101695007.44</v>
      </c>
      <c r="H234" s="37">
        <v>2051655.95</v>
      </c>
      <c r="I234" s="37">
        <v>19311549909.029999</v>
      </c>
      <c r="J234" s="40"/>
      <c r="K234" s="40"/>
    </row>
    <row r="235" spans="1:11" x14ac:dyDescent="0.2">
      <c r="A235" s="41">
        <v>41927</v>
      </c>
      <c r="B235" s="37">
        <v>2649998037.4299998</v>
      </c>
      <c r="C235" s="37">
        <v>52892896.270000003</v>
      </c>
      <c r="D235" s="37">
        <v>-9087244.6300000008</v>
      </c>
      <c r="E235" s="37">
        <v>16455398201.780001</v>
      </c>
      <c r="F235" s="37">
        <v>59070096.509999998</v>
      </c>
      <c r="G235" s="37">
        <v>101695007.44</v>
      </c>
      <c r="H235" s="37">
        <v>2051655.95</v>
      </c>
      <c r="I235" s="37">
        <v>19312018650.75</v>
      </c>
      <c r="J235" s="40"/>
      <c r="K235" s="40"/>
    </row>
    <row r="236" spans="1:11" x14ac:dyDescent="0.2">
      <c r="A236" s="41">
        <v>41928</v>
      </c>
      <c r="B236" s="37">
        <v>2650010537.4299998</v>
      </c>
      <c r="C236" s="37">
        <v>52892896.270000003</v>
      </c>
      <c r="D236" s="37">
        <v>-9087244.6300000008</v>
      </c>
      <c r="E236" s="37">
        <v>16455398201.780001</v>
      </c>
      <c r="F236" s="37">
        <v>59070096.509999998</v>
      </c>
      <c r="G236" s="37">
        <v>101695007.44</v>
      </c>
      <c r="H236" s="37">
        <v>2051655.95</v>
      </c>
      <c r="I236" s="37">
        <v>19312031150.75</v>
      </c>
      <c r="J236" s="40"/>
      <c r="K236" s="40"/>
    </row>
    <row r="237" spans="1:11" x14ac:dyDescent="0.2">
      <c r="A237" s="41">
        <v>41932</v>
      </c>
      <c r="B237" s="37">
        <v>2650010537.4299998</v>
      </c>
      <c r="C237" s="37">
        <v>52892896.270000003</v>
      </c>
      <c r="D237" s="37">
        <v>-9087244.6300000008</v>
      </c>
      <c r="E237" s="37">
        <v>16521810701.780001</v>
      </c>
      <c r="F237" s="37">
        <v>59070096.509999998</v>
      </c>
      <c r="G237" s="37">
        <v>101695007.44</v>
      </c>
      <c r="H237" s="37">
        <v>2051655.95</v>
      </c>
      <c r="I237" s="37">
        <v>19378443650.75</v>
      </c>
      <c r="J237" s="40"/>
      <c r="K237" s="40"/>
    </row>
    <row r="238" spans="1:11" x14ac:dyDescent="0.2">
      <c r="A238" s="41">
        <v>41939</v>
      </c>
      <c r="B238" s="37">
        <v>2650140537.4299998</v>
      </c>
      <c r="C238" s="37">
        <v>52892896.270000003</v>
      </c>
      <c r="D238" s="37">
        <v>-9087244.6300000008</v>
      </c>
      <c r="E238" s="37">
        <v>16521810701.780001</v>
      </c>
      <c r="F238" s="37">
        <v>59070096.509999998</v>
      </c>
      <c r="G238" s="37">
        <v>101695007.44</v>
      </c>
      <c r="H238" s="37">
        <v>2051655.95</v>
      </c>
      <c r="I238" s="37">
        <v>19378573650.75</v>
      </c>
      <c r="J238" s="40"/>
      <c r="K238" s="40"/>
    </row>
    <row r="239" spans="1:11" x14ac:dyDescent="0.2">
      <c r="A239" s="41">
        <v>41943</v>
      </c>
      <c r="B239" s="37">
        <v>2650140537.4299998</v>
      </c>
      <c r="C239" s="37">
        <v>52892896.270000003</v>
      </c>
      <c r="D239" s="37">
        <v>-9087244.6300000008</v>
      </c>
      <c r="E239" s="37">
        <v>16521810701.780001</v>
      </c>
      <c r="F239" s="37">
        <v>59070096.509999998</v>
      </c>
      <c r="G239" s="37">
        <v>101695007.44</v>
      </c>
      <c r="H239" s="37">
        <v>2051655.95</v>
      </c>
      <c r="I239" s="37">
        <v>19378573650.75</v>
      </c>
      <c r="J239" s="40"/>
      <c r="K239" s="40"/>
    </row>
    <row r="240" spans="1:11" x14ac:dyDescent="0.2">
      <c r="A240" s="41">
        <v>41946</v>
      </c>
      <c r="B240" s="37">
        <v>2654865537.4299998</v>
      </c>
      <c r="C240" s="37">
        <v>52892896.270000003</v>
      </c>
      <c r="D240" s="37">
        <v>-9087244.6300000008</v>
      </c>
      <c r="E240" s="37">
        <v>16521716726.76</v>
      </c>
      <c r="F240" s="37">
        <v>59070096.509999998</v>
      </c>
      <c r="G240" s="37">
        <v>101695007.44</v>
      </c>
      <c r="H240" s="37">
        <v>2051655.95</v>
      </c>
      <c r="I240" s="37">
        <v>19383204675.720001</v>
      </c>
      <c r="J240" s="40"/>
      <c r="K240" s="40"/>
    </row>
    <row r="241" spans="1:11" x14ac:dyDescent="0.2">
      <c r="A241" s="41">
        <v>41948</v>
      </c>
      <c r="B241" s="37">
        <v>2654865537.4299998</v>
      </c>
      <c r="C241" s="37">
        <v>52892896.270000003</v>
      </c>
      <c r="D241" s="37">
        <v>-9087244.6300000008</v>
      </c>
      <c r="E241" s="37">
        <v>16521922976.76</v>
      </c>
      <c r="F241" s="37">
        <v>59070096.509999998</v>
      </c>
      <c r="G241" s="37">
        <v>101695007.44</v>
      </c>
      <c r="H241" s="37">
        <v>2051655.95</v>
      </c>
      <c r="I241" s="37">
        <v>19383410925.720001</v>
      </c>
      <c r="J241" s="40"/>
      <c r="K241" s="40"/>
    </row>
    <row r="242" spans="1:11" x14ac:dyDescent="0.2">
      <c r="A242" s="41">
        <v>41960</v>
      </c>
      <c r="B242" s="37">
        <v>2851689287.4299998</v>
      </c>
      <c r="C242" s="37">
        <v>52892896.270000003</v>
      </c>
      <c r="D242" s="37">
        <v>-9087244.6300000008</v>
      </c>
      <c r="E242" s="37">
        <v>16524267976.76</v>
      </c>
      <c r="F242" s="37">
        <v>59070096.509999998</v>
      </c>
      <c r="G242" s="37">
        <v>101695007.44</v>
      </c>
      <c r="H242" s="37">
        <v>2051655.95</v>
      </c>
      <c r="I242" s="37">
        <v>19582579675.720001</v>
      </c>
      <c r="J242" s="40"/>
      <c r="K242" s="40"/>
    </row>
    <row r="243" spans="1:11" x14ac:dyDescent="0.2">
      <c r="A243" s="41">
        <v>41974</v>
      </c>
      <c r="B243" s="37">
        <v>2873676787.4299998</v>
      </c>
      <c r="C243" s="37">
        <v>52892896.270000003</v>
      </c>
      <c r="D243" s="37">
        <v>-9087244.6300000008</v>
      </c>
      <c r="E243" s="37">
        <v>16525758601.76</v>
      </c>
      <c r="F243" s="37">
        <v>59070096.509999998</v>
      </c>
      <c r="G243" s="37">
        <v>101695007.44</v>
      </c>
      <c r="H243" s="37">
        <v>2051655.95</v>
      </c>
      <c r="I243" s="37">
        <v>19606057800.720001</v>
      </c>
      <c r="J243" s="40"/>
      <c r="K243" s="40"/>
    </row>
    <row r="244" spans="1:11" x14ac:dyDescent="0.2">
      <c r="A244" s="41">
        <v>41985</v>
      </c>
      <c r="B244" s="37">
        <v>2876446787.4299998</v>
      </c>
      <c r="C244" s="37">
        <v>52892896.270000003</v>
      </c>
      <c r="D244" s="37">
        <v>-9087244.6300000008</v>
      </c>
      <c r="E244" s="37">
        <v>16526027351.76</v>
      </c>
      <c r="F244" s="37">
        <v>59070096.509999998</v>
      </c>
      <c r="G244" s="37">
        <v>101695007.44</v>
      </c>
      <c r="H244" s="37">
        <v>2051655.95</v>
      </c>
      <c r="I244" s="37">
        <v>19609096550.720001</v>
      </c>
      <c r="J244" s="40"/>
      <c r="K244" s="40"/>
    </row>
    <row r="245" spans="1:11" x14ac:dyDescent="0.2">
      <c r="A245" s="41">
        <v>41988</v>
      </c>
      <c r="B245" s="37">
        <v>3517441787.4299998</v>
      </c>
      <c r="C245" s="37">
        <v>52892896.270000003</v>
      </c>
      <c r="D245" s="37">
        <v>-9087244.6300000008</v>
      </c>
      <c r="E245" s="37">
        <v>16525784315.040001</v>
      </c>
      <c r="F245" s="37">
        <v>59070096.509999998</v>
      </c>
      <c r="G245" s="37">
        <v>101695007.44</v>
      </c>
      <c r="H245" s="37">
        <v>2051655.95</v>
      </c>
      <c r="I245" s="37">
        <v>20249848514.009998</v>
      </c>
      <c r="J245" s="40"/>
      <c r="K245" s="40"/>
    </row>
    <row r="246" spans="1:11" x14ac:dyDescent="0.2">
      <c r="A246" s="41">
        <v>41989</v>
      </c>
      <c r="B246" s="37">
        <v>3523629287.4299998</v>
      </c>
      <c r="C246" s="37">
        <v>52892896.270000003</v>
      </c>
      <c r="D246" s="37">
        <v>-9087244.6300000008</v>
      </c>
      <c r="E246" s="37">
        <v>16526223506.59</v>
      </c>
      <c r="F246" s="37">
        <v>59070096.509999998</v>
      </c>
      <c r="G246" s="37">
        <v>101695007.44</v>
      </c>
      <c r="H246" s="37">
        <v>2051655.95</v>
      </c>
      <c r="I246" s="37">
        <v>20256475205.560001</v>
      </c>
      <c r="J246" s="40"/>
      <c r="K246" s="40"/>
    </row>
    <row r="247" spans="1:11" x14ac:dyDescent="0.2">
      <c r="A247" s="41">
        <v>41990</v>
      </c>
      <c r="B247" s="37">
        <v>3525457412.4299998</v>
      </c>
      <c r="C247" s="37">
        <v>52892896.270000003</v>
      </c>
      <c r="D247" s="37">
        <v>-9087244.6300000008</v>
      </c>
      <c r="E247" s="37">
        <v>16526223506.59</v>
      </c>
      <c r="F247" s="37">
        <v>59070096.509999998</v>
      </c>
      <c r="G247" s="37">
        <v>101695007.44</v>
      </c>
      <c r="H247" s="37">
        <v>2051655.95</v>
      </c>
      <c r="I247" s="37">
        <v>20258303330.560001</v>
      </c>
      <c r="J247" s="40"/>
      <c r="K247" s="40"/>
    </row>
    <row r="248" spans="1:11" x14ac:dyDescent="0.2">
      <c r="A248" s="41">
        <v>41991</v>
      </c>
      <c r="B248" s="37">
        <v>3534207412.4299998</v>
      </c>
      <c r="C248" s="37">
        <v>52892896.270000003</v>
      </c>
      <c r="D248" s="37">
        <v>-9087244.6300000008</v>
      </c>
      <c r="E248" s="37">
        <v>16526223506.59</v>
      </c>
      <c r="F248" s="37">
        <v>59070096.509999998</v>
      </c>
      <c r="G248" s="37">
        <v>101695007.44</v>
      </c>
      <c r="H248" s="37">
        <v>2051655.95</v>
      </c>
      <c r="I248" s="37">
        <v>20267053330.560001</v>
      </c>
      <c r="J248" s="40"/>
      <c r="K248" s="40"/>
    </row>
    <row r="249" spans="1:11" x14ac:dyDescent="0.2">
      <c r="A249" s="41">
        <v>41992</v>
      </c>
      <c r="B249" s="37">
        <v>3534271912.4299998</v>
      </c>
      <c r="C249" s="37">
        <v>52892896.270000003</v>
      </c>
      <c r="D249" s="37">
        <v>-9087244.6300000008</v>
      </c>
      <c r="E249" s="37">
        <v>16525704840.52</v>
      </c>
      <c r="F249" s="37">
        <v>59070096.509999998</v>
      </c>
      <c r="G249" s="37">
        <v>101695007.44</v>
      </c>
      <c r="H249" s="37">
        <v>2051655.95</v>
      </c>
      <c r="I249" s="37">
        <v>20266599164.48</v>
      </c>
      <c r="J249" s="40"/>
      <c r="K249" s="40"/>
    </row>
    <row r="250" spans="1:11" x14ac:dyDescent="0.2">
      <c r="A250" s="41">
        <v>42002</v>
      </c>
      <c r="B250" s="37">
        <v>3535096912.4299998</v>
      </c>
      <c r="C250" s="37">
        <v>52892896.270000003</v>
      </c>
      <c r="D250" s="37">
        <v>-9087244.6300000008</v>
      </c>
      <c r="E250" s="37">
        <v>16526080538.25</v>
      </c>
      <c r="F250" s="37">
        <v>59070096.509999998</v>
      </c>
      <c r="G250" s="37">
        <v>101695007.44</v>
      </c>
      <c r="H250" s="37">
        <v>2051655.95</v>
      </c>
      <c r="I250" s="37">
        <v>20267799862.209999</v>
      </c>
      <c r="J250" s="40"/>
      <c r="K250" s="40"/>
    </row>
    <row r="251" spans="1:11" x14ac:dyDescent="0.2">
      <c r="A251" s="41">
        <v>42004</v>
      </c>
      <c r="B251" s="37">
        <v>3552606912.4299998</v>
      </c>
      <c r="C251" s="37">
        <v>52892896.270000003</v>
      </c>
      <c r="D251" s="37">
        <v>-9087244.6300000008</v>
      </c>
      <c r="E251" s="37">
        <v>16527378038.25</v>
      </c>
      <c r="F251" s="37">
        <v>59070096.509999998</v>
      </c>
      <c r="G251" s="37">
        <v>101695007.44</v>
      </c>
      <c r="H251" s="37">
        <v>2051655.95</v>
      </c>
      <c r="I251" s="37">
        <v>20286607362.209999</v>
      </c>
      <c r="J251" s="40"/>
      <c r="K251" s="40"/>
    </row>
    <row r="252" spans="1:11" x14ac:dyDescent="0.2">
      <c r="A252" s="41">
        <v>42016</v>
      </c>
      <c r="B252" s="37">
        <v>3552606912.4299998</v>
      </c>
      <c r="C252" s="37">
        <v>52892896.270000003</v>
      </c>
      <c r="D252" s="37">
        <v>-9087244.6300000008</v>
      </c>
      <c r="E252" s="37">
        <v>16527299514.75</v>
      </c>
      <c r="F252" s="37">
        <v>59070096.509999998</v>
      </c>
      <c r="G252" s="37">
        <v>101695007.44</v>
      </c>
      <c r="H252" s="37">
        <v>2051655.95</v>
      </c>
      <c r="I252" s="37">
        <v>20286528838.720001</v>
      </c>
      <c r="J252" s="40"/>
      <c r="K252" s="40"/>
    </row>
    <row r="253" spans="1:11" x14ac:dyDescent="0.2">
      <c r="A253" s="41">
        <v>42019</v>
      </c>
      <c r="B253" s="37">
        <v>3552606912.4299998</v>
      </c>
      <c r="C253" s="37">
        <v>52892896.270000003</v>
      </c>
      <c r="D253" s="37">
        <v>-9087244.6300000008</v>
      </c>
      <c r="E253" s="37">
        <v>16527299514.75</v>
      </c>
      <c r="F253" s="37">
        <v>147623878.25999999</v>
      </c>
      <c r="G253" s="37">
        <v>101695007.44</v>
      </c>
      <c r="H253" s="37">
        <v>2051655.95</v>
      </c>
      <c r="I253" s="37">
        <v>20375082620.470001</v>
      </c>
      <c r="J253" s="40"/>
      <c r="K253" s="40"/>
    </row>
    <row r="254" spans="1:11" x14ac:dyDescent="0.2">
      <c r="A254" s="41">
        <v>42020</v>
      </c>
      <c r="B254" s="37">
        <v>3554586890.3600001</v>
      </c>
      <c r="C254" s="37">
        <v>52892896.270000003</v>
      </c>
      <c r="D254" s="37">
        <v>-9087244.6300000008</v>
      </c>
      <c r="E254" s="37">
        <v>16527299514.75</v>
      </c>
      <c r="F254" s="37">
        <v>147623878.25999999</v>
      </c>
      <c r="G254" s="37">
        <v>101695007.44</v>
      </c>
      <c r="H254" s="37">
        <v>2051655.95</v>
      </c>
      <c r="I254" s="37">
        <v>20377062598.400002</v>
      </c>
      <c r="J254" s="40"/>
      <c r="K254" s="40"/>
    </row>
    <row r="255" spans="1:11" x14ac:dyDescent="0.2">
      <c r="A255" s="41">
        <v>42024</v>
      </c>
      <c r="B255" s="37">
        <v>3556568765.3600001</v>
      </c>
      <c r="C255" s="37">
        <v>52892896.270000003</v>
      </c>
      <c r="D255" s="37">
        <v>-9087244.6300000008</v>
      </c>
      <c r="E255" s="37">
        <v>16527358889.75</v>
      </c>
      <c r="F255" s="37">
        <v>147623878.25999999</v>
      </c>
      <c r="G255" s="37">
        <v>101695007.44</v>
      </c>
      <c r="H255" s="37">
        <v>2051655.95</v>
      </c>
      <c r="I255" s="37">
        <v>20379103848.400002</v>
      </c>
      <c r="J255" s="40"/>
      <c r="K255" s="40"/>
    </row>
    <row r="256" spans="1:11" x14ac:dyDescent="0.2">
      <c r="A256" s="41">
        <v>42025</v>
      </c>
      <c r="B256" s="37">
        <v>3587305115.3600001</v>
      </c>
      <c r="C256" s="37">
        <v>52892896.270000003</v>
      </c>
      <c r="D256" s="37">
        <v>-9087244.6300000008</v>
      </c>
      <c r="E256" s="37">
        <v>16527358889.75</v>
      </c>
      <c r="F256" s="37">
        <v>147623878.25999999</v>
      </c>
      <c r="G256" s="37">
        <v>101695007.44</v>
      </c>
      <c r="H256" s="37">
        <v>2051655.95</v>
      </c>
      <c r="I256" s="37">
        <v>20409840198.400002</v>
      </c>
      <c r="J256" s="40"/>
      <c r="K256" s="40"/>
    </row>
    <row r="257" spans="1:11" x14ac:dyDescent="0.2">
      <c r="A257" s="41">
        <v>42030</v>
      </c>
      <c r="B257" s="37">
        <v>3587305115.3600001</v>
      </c>
      <c r="C257" s="37">
        <v>52892896.270000003</v>
      </c>
      <c r="D257" s="37">
        <v>-9087244.6300000008</v>
      </c>
      <c r="E257" s="37">
        <v>16598452639.75</v>
      </c>
      <c r="F257" s="37">
        <v>147623878.25999999</v>
      </c>
      <c r="G257" s="37">
        <v>101695007.44</v>
      </c>
      <c r="H257" s="37">
        <v>2051655.95</v>
      </c>
      <c r="I257" s="37">
        <v>20480933948.400002</v>
      </c>
      <c r="J257" s="40"/>
      <c r="K257" s="40"/>
    </row>
    <row r="258" spans="1:11" x14ac:dyDescent="0.2">
      <c r="A258" s="41">
        <v>42037</v>
      </c>
      <c r="B258" s="37">
        <v>3587945740.3600001</v>
      </c>
      <c r="C258" s="37">
        <v>52892896.270000003</v>
      </c>
      <c r="D258" s="37">
        <v>-9087244.6300000008</v>
      </c>
      <c r="E258" s="37">
        <v>16598472271.43</v>
      </c>
      <c r="F258" s="37">
        <v>147623878.25999999</v>
      </c>
      <c r="G258" s="37">
        <v>101695007.44</v>
      </c>
      <c r="H258" s="37">
        <v>2051655.95</v>
      </c>
      <c r="I258" s="37">
        <v>20481594205.080002</v>
      </c>
      <c r="J258" s="40"/>
      <c r="K258" s="40"/>
    </row>
    <row r="259" spans="1:11" x14ac:dyDescent="0.2">
      <c r="A259" s="41">
        <v>42052</v>
      </c>
      <c r="B259" s="37">
        <v>3618946990.3600001</v>
      </c>
      <c r="C259" s="37">
        <v>52892896.270000003</v>
      </c>
      <c r="D259" s="37">
        <v>-9087244.6300000008</v>
      </c>
      <c r="E259" s="37">
        <v>16600592271.43</v>
      </c>
      <c r="F259" s="37">
        <v>147623878.25999999</v>
      </c>
      <c r="G259" s="37">
        <v>101695007.44</v>
      </c>
      <c r="H259" s="37">
        <v>2051655.95</v>
      </c>
      <c r="I259" s="37">
        <v>20514715455.080002</v>
      </c>
      <c r="J259" s="40"/>
      <c r="K259" s="40"/>
    </row>
    <row r="260" spans="1:11" x14ac:dyDescent="0.2">
      <c r="A260" s="41">
        <v>42062</v>
      </c>
      <c r="B260" s="37">
        <v>3618996990.3600001</v>
      </c>
      <c r="C260" s="37">
        <v>52892896.270000003</v>
      </c>
      <c r="D260" s="37">
        <v>-9087244.6300000008</v>
      </c>
      <c r="E260" s="37">
        <v>16600592271.43</v>
      </c>
      <c r="F260" s="37">
        <v>147623878.25999999</v>
      </c>
      <c r="G260" s="37">
        <v>101695007.44</v>
      </c>
      <c r="H260" s="37">
        <v>2051655.95</v>
      </c>
      <c r="I260" s="37">
        <v>20514765455.080002</v>
      </c>
      <c r="J260" s="40"/>
      <c r="K260" s="40"/>
    </row>
    <row r="261" spans="1:11" x14ac:dyDescent="0.2">
      <c r="A261" s="41">
        <v>42065</v>
      </c>
      <c r="B261" s="37">
        <v>3618996990.3600001</v>
      </c>
      <c r="C261" s="37">
        <v>52892896.270000003</v>
      </c>
      <c r="D261" s="37">
        <v>-9087244.6300000008</v>
      </c>
      <c r="E261" s="37">
        <v>16600592271.43</v>
      </c>
      <c r="F261" s="37">
        <v>147623878</v>
      </c>
      <c r="G261" s="37">
        <v>101695007.44</v>
      </c>
      <c r="H261" s="37">
        <v>2051655.95</v>
      </c>
      <c r="I261" s="37">
        <v>20514765455.080002</v>
      </c>
      <c r="J261" s="40"/>
      <c r="K261" s="40"/>
    </row>
    <row r="262" spans="1:11" x14ac:dyDescent="0.2">
      <c r="A262" s="41">
        <v>42079</v>
      </c>
      <c r="B262" s="37">
        <v>3860568865.3600001</v>
      </c>
      <c r="C262" s="37">
        <v>52892896.270000003</v>
      </c>
      <c r="D262" s="37">
        <v>-9087244.6300000008</v>
      </c>
      <c r="E262" s="37">
        <v>16600635873.99</v>
      </c>
      <c r="F262" s="37">
        <v>147623878</v>
      </c>
      <c r="G262" s="37">
        <v>101695007.44</v>
      </c>
      <c r="H262" s="37">
        <v>2051655.95</v>
      </c>
      <c r="I262" s="37">
        <v>20756380932.650002</v>
      </c>
      <c r="J262" s="40"/>
      <c r="K262" s="40"/>
    </row>
    <row r="263" spans="1:11" x14ac:dyDescent="0.2">
      <c r="A263" s="41">
        <v>42082</v>
      </c>
      <c r="B263" s="37">
        <v>3860641365.3600001</v>
      </c>
      <c r="C263" s="37">
        <v>52892896.270000003</v>
      </c>
      <c r="D263" s="37">
        <v>-9087244.6300000008</v>
      </c>
      <c r="E263" s="37">
        <v>16600716184.299999</v>
      </c>
      <c r="F263" s="37">
        <v>147623878</v>
      </c>
      <c r="G263" s="37">
        <v>101695007.44</v>
      </c>
      <c r="H263" s="37">
        <v>2051655.95</v>
      </c>
      <c r="I263" s="37">
        <v>20756533742.950001</v>
      </c>
      <c r="J263" s="40"/>
      <c r="K263" s="40"/>
    </row>
    <row r="264" spans="1:11" x14ac:dyDescent="0.2">
      <c r="A264" s="41">
        <v>42083</v>
      </c>
      <c r="B264" s="37">
        <v>3868910115.3600001</v>
      </c>
      <c r="C264" s="37">
        <v>52892896.270000003</v>
      </c>
      <c r="D264" s="37">
        <v>-9087244.6300000008</v>
      </c>
      <c r="E264" s="37">
        <v>16600716184.299999</v>
      </c>
      <c r="F264" s="37">
        <v>147623878</v>
      </c>
      <c r="G264" s="37">
        <v>101695007.44</v>
      </c>
      <c r="H264" s="37">
        <v>2051655.95</v>
      </c>
      <c r="I264" s="37">
        <v>20764802492.950001</v>
      </c>
      <c r="J264" s="40"/>
      <c r="K264" s="40"/>
    </row>
    <row r="265" spans="1:11" x14ac:dyDescent="0.2">
      <c r="A265" s="41">
        <v>42088</v>
      </c>
      <c r="B265" s="37">
        <v>3868910115.3600001</v>
      </c>
      <c r="C265" s="37">
        <v>52892896.270000003</v>
      </c>
      <c r="D265" s="37">
        <v>-9087244.6300000008</v>
      </c>
      <c r="E265" s="37">
        <v>16651591184.299999</v>
      </c>
      <c r="F265" s="37">
        <v>147623878</v>
      </c>
      <c r="G265" s="37">
        <v>101695007.44</v>
      </c>
      <c r="H265" s="37">
        <v>2051655.95</v>
      </c>
      <c r="I265" s="37">
        <v>20815677492.950001</v>
      </c>
      <c r="J265" s="40"/>
      <c r="K265" s="40"/>
    </row>
    <row r="266" spans="1:11" x14ac:dyDescent="0.2">
      <c r="A266" s="41">
        <v>42093</v>
      </c>
      <c r="B266" s="37">
        <v>3868997615.3600001</v>
      </c>
      <c r="C266" s="37">
        <v>52892896.270000003</v>
      </c>
      <c r="D266" s="37">
        <v>-9087244.6300000008</v>
      </c>
      <c r="E266" s="37">
        <v>16650847689.690001</v>
      </c>
      <c r="F266" s="37">
        <v>147623878</v>
      </c>
      <c r="G266" s="37">
        <v>101695007.44</v>
      </c>
      <c r="H266" s="37">
        <v>2051655.95</v>
      </c>
      <c r="I266" s="37">
        <v>20815021498.34</v>
      </c>
      <c r="J266" s="40"/>
      <c r="K266" s="40"/>
    </row>
    <row r="267" spans="1:11" x14ac:dyDescent="0.2">
      <c r="A267" s="41">
        <v>42094</v>
      </c>
      <c r="B267" s="37">
        <v>3868997615.3600001</v>
      </c>
      <c r="C267" s="37">
        <v>52892896.270000003</v>
      </c>
      <c r="D267" s="37">
        <v>-9087244.6300000008</v>
      </c>
      <c r="E267" s="37">
        <v>16651012689.690001</v>
      </c>
      <c r="F267" s="37">
        <v>147623878</v>
      </c>
      <c r="G267" s="37">
        <v>101695007.44</v>
      </c>
      <c r="H267" s="37">
        <v>2051655.95</v>
      </c>
      <c r="I267" s="37">
        <v>20815186498.34</v>
      </c>
      <c r="J267" s="40"/>
      <c r="K267" s="40"/>
    </row>
    <row r="268" spans="1:11" x14ac:dyDescent="0.2">
      <c r="A268" s="41">
        <v>42100</v>
      </c>
      <c r="B268" s="37">
        <v>3868997615.3600001</v>
      </c>
      <c r="C268" s="37">
        <v>52892896.270000003</v>
      </c>
      <c r="D268" s="37">
        <v>-9087244.6300000008</v>
      </c>
      <c r="E268" s="37">
        <v>16651511439.690001</v>
      </c>
      <c r="F268" s="37">
        <v>147623878</v>
      </c>
      <c r="G268" s="37">
        <v>101695007.44</v>
      </c>
      <c r="H268" s="37">
        <v>2051655.95</v>
      </c>
      <c r="I268" s="37">
        <v>20815685248.34</v>
      </c>
      <c r="J268" s="40"/>
      <c r="K268" s="40"/>
    </row>
    <row r="269" spans="1:11" x14ac:dyDescent="0.2">
      <c r="A269" s="41">
        <v>42104</v>
      </c>
      <c r="B269" s="37">
        <v>3873997615.3600001</v>
      </c>
      <c r="C269" s="37">
        <v>52892896.270000003</v>
      </c>
      <c r="D269" s="37">
        <v>-9087244.6300000008</v>
      </c>
      <c r="E269" s="37">
        <v>16651511439.690001</v>
      </c>
      <c r="F269" s="37">
        <v>147623878</v>
      </c>
      <c r="G269" s="37">
        <v>101695007.44</v>
      </c>
      <c r="H269" s="37">
        <v>2051655.95</v>
      </c>
      <c r="I269" s="37">
        <v>20820685248.34</v>
      </c>
      <c r="J269" s="40"/>
      <c r="K269" s="40"/>
    </row>
    <row r="270" spans="1:11" x14ac:dyDescent="0.2">
      <c r="A270" s="41">
        <v>42107</v>
      </c>
      <c r="B270" s="37">
        <v>3873997615.3600001</v>
      </c>
      <c r="C270" s="37">
        <v>52892896.270000003</v>
      </c>
      <c r="D270" s="37">
        <v>-9087244.6300000008</v>
      </c>
      <c r="E270" s="37">
        <v>16651619056.950001</v>
      </c>
      <c r="F270" s="37">
        <v>147623878</v>
      </c>
      <c r="G270" s="37">
        <v>101695007.44</v>
      </c>
      <c r="H270" s="37">
        <v>2051655.95</v>
      </c>
      <c r="I270" s="37">
        <v>20820792865.599998</v>
      </c>
      <c r="J270" s="40"/>
      <c r="K270" s="40"/>
    </row>
    <row r="271" spans="1:11" x14ac:dyDescent="0.2">
      <c r="A271" s="41">
        <v>42109</v>
      </c>
      <c r="B271" s="37">
        <v>3873997615.3600001</v>
      </c>
      <c r="C271" s="37">
        <v>52892896.270000003</v>
      </c>
      <c r="D271" s="37">
        <v>-9087244.6300000008</v>
      </c>
      <c r="E271" s="37">
        <v>16677619056.950001</v>
      </c>
      <c r="F271" s="37">
        <v>283991499.99000001</v>
      </c>
      <c r="G271" s="37">
        <v>101695007.44</v>
      </c>
      <c r="H271" s="37">
        <v>2051655.95</v>
      </c>
      <c r="I271" s="37">
        <v>20983160487.32</v>
      </c>
      <c r="J271" s="40"/>
      <c r="K271" s="40"/>
    </row>
    <row r="272" spans="1:11" x14ac:dyDescent="0.2">
      <c r="A272" s="41">
        <v>42110</v>
      </c>
      <c r="B272" s="37">
        <v>3874010115.3600001</v>
      </c>
      <c r="C272" s="37">
        <v>52892896.270000003</v>
      </c>
      <c r="D272" s="37">
        <v>-9087244.6300000008</v>
      </c>
      <c r="E272" s="37">
        <v>16677619056.950001</v>
      </c>
      <c r="F272" s="37">
        <v>283991499.99000001</v>
      </c>
      <c r="G272" s="37">
        <v>101695007.44</v>
      </c>
      <c r="H272" s="37">
        <v>2051655.95</v>
      </c>
      <c r="I272" s="37">
        <v>20983172987.32</v>
      </c>
      <c r="J272" s="40"/>
      <c r="K272" s="40"/>
    </row>
    <row r="273" spans="1:11" x14ac:dyDescent="0.2">
      <c r="A273" s="41">
        <v>42121</v>
      </c>
      <c r="B273" s="37">
        <v>3874140115.3600001</v>
      </c>
      <c r="C273" s="37">
        <v>52892896.270000003</v>
      </c>
      <c r="D273" s="37">
        <v>-9087244.6300000008</v>
      </c>
      <c r="E273" s="37">
        <v>16748319056.950001</v>
      </c>
      <c r="F273" s="37">
        <v>283991499.99000001</v>
      </c>
      <c r="G273" s="37">
        <v>101695007.44</v>
      </c>
      <c r="H273" s="37">
        <v>2051655.95</v>
      </c>
      <c r="I273" s="37">
        <v>21054002987.32</v>
      </c>
      <c r="J273" s="40"/>
      <c r="K273" s="40"/>
    </row>
    <row r="274" spans="1:11" x14ac:dyDescent="0.2">
      <c r="A274" s="41">
        <v>42124</v>
      </c>
      <c r="B274" s="37">
        <v>3874140115.3600001</v>
      </c>
      <c r="C274" s="37">
        <v>52892896.270000003</v>
      </c>
      <c r="D274" s="37">
        <v>-9087244.6300000008</v>
      </c>
      <c r="E274" s="37">
        <v>16748319056.950001</v>
      </c>
      <c r="F274" s="37">
        <v>283991499.99000001</v>
      </c>
      <c r="G274" s="37">
        <v>101695007.44</v>
      </c>
      <c r="H274" s="37">
        <v>2051655.95</v>
      </c>
      <c r="I274" s="37">
        <v>21054002987.32</v>
      </c>
      <c r="J274" s="40"/>
      <c r="K274" s="40"/>
    </row>
    <row r="275" spans="1:11" x14ac:dyDescent="0.2">
      <c r="A275" s="41">
        <v>42129</v>
      </c>
      <c r="B275" s="37">
        <v>3874140115.3600001</v>
      </c>
      <c r="C275" s="37">
        <v>52892896.270000003</v>
      </c>
      <c r="D275" s="37">
        <v>-9087244.6300000008</v>
      </c>
      <c r="E275" s="37">
        <v>16763435800.379999</v>
      </c>
      <c r="F275" s="37">
        <v>283991499.99000001</v>
      </c>
      <c r="G275" s="37">
        <v>101695007.44</v>
      </c>
      <c r="H275" s="37">
        <v>2051655.95</v>
      </c>
      <c r="I275" s="37">
        <v>21069119730.759998</v>
      </c>
      <c r="J275" s="40"/>
      <c r="K275" s="40"/>
    </row>
    <row r="276" spans="1:11" x14ac:dyDescent="0.2">
      <c r="A276" s="41">
        <v>42139</v>
      </c>
      <c r="B276" s="37">
        <v>4120832615.3600001</v>
      </c>
      <c r="C276" s="37">
        <v>52892896.270000003</v>
      </c>
      <c r="D276" s="37">
        <v>-9087244.6300000008</v>
      </c>
      <c r="E276" s="37">
        <v>16765780800.379999</v>
      </c>
      <c r="F276" s="37">
        <v>283991499.99000001</v>
      </c>
      <c r="G276" s="37">
        <v>101695007.44</v>
      </c>
      <c r="H276" s="37">
        <v>2051655.95</v>
      </c>
      <c r="I276" s="37">
        <v>21318157230.759998</v>
      </c>
      <c r="J276" s="40"/>
      <c r="K276" s="40"/>
    </row>
    <row r="277" spans="1:11" x14ac:dyDescent="0.2">
      <c r="A277" s="41">
        <v>42142</v>
      </c>
      <c r="B277" s="37">
        <v>4120967615.3600001</v>
      </c>
      <c r="C277" s="37">
        <v>52892896.270000003</v>
      </c>
      <c r="D277" s="37">
        <v>-9087244.6300000008</v>
      </c>
      <c r="E277" s="37">
        <v>16765780800.379999</v>
      </c>
      <c r="F277" s="37">
        <v>283991499.99000001</v>
      </c>
      <c r="G277" s="37">
        <v>101695007.44</v>
      </c>
      <c r="H277" s="37">
        <v>2051655.95</v>
      </c>
      <c r="I277" s="37">
        <v>21318292230.759998</v>
      </c>
      <c r="J277" s="40"/>
      <c r="K277" s="40"/>
    </row>
    <row r="278" spans="1:11" x14ac:dyDescent="0.2">
      <c r="A278" s="41">
        <v>42156</v>
      </c>
      <c r="B278" s="37">
        <v>4120967615.3600001</v>
      </c>
      <c r="C278" s="37">
        <v>52892896.270000003</v>
      </c>
      <c r="D278" s="37">
        <v>-9087244.6300000008</v>
      </c>
      <c r="E278" s="37">
        <v>16767271425.379999</v>
      </c>
      <c r="F278" s="37">
        <v>283991499.99000001</v>
      </c>
      <c r="G278" s="37">
        <v>101695007.44</v>
      </c>
      <c r="H278" s="37">
        <v>2051655.95</v>
      </c>
      <c r="I278" s="37">
        <v>21319782855.759998</v>
      </c>
      <c r="J278" s="40"/>
      <c r="K278" s="40"/>
    </row>
    <row r="279" spans="1:11" x14ac:dyDescent="0.2">
      <c r="A279" s="41">
        <v>42167</v>
      </c>
      <c r="B279" s="37">
        <v>4123737615.3600001</v>
      </c>
      <c r="C279" s="37">
        <v>52892896.270000003</v>
      </c>
      <c r="D279" s="37">
        <v>-9087244.6300000008</v>
      </c>
      <c r="E279" s="37">
        <v>16767540175.379999</v>
      </c>
      <c r="F279" s="37">
        <v>283991499.99000001</v>
      </c>
      <c r="G279" s="37">
        <v>101695007.44</v>
      </c>
      <c r="H279" s="37">
        <v>2051655.95</v>
      </c>
      <c r="I279" s="37">
        <v>21322821605.759998</v>
      </c>
      <c r="J279" s="40"/>
      <c r="K279" s="40"/>
    </row>
    <row r="280" spans="1:11" x14ac:dyDescent="0.2">
      <c r="A280" s="41">
        <v>42170</v>
      </c>
      <c r="B280" s="37">
        <v>4123737615.3600001</v>
      </c>
      <c r="C280" s="37">
        <v>52892896.270000003</v>
      </c>
      <c r="D280" s="37">
        <v>-9087244.6300000008</v>
      </c>
      <c r="E280" s="37">
        <v>16767308326.09</v>
      </c>
      <c r="F280" s="37">
        <v>283991499.99000001</v>
      </c>
      <c r="G280" s="37">
        <v>101695007.44</v>
      </c>
      <c r="H280" s="37">
        <v>2051655.95</v>
      </c>
      <c r="I280" s="37">
        <v>21322589756.470001</v>
      </c>
      <c r="J280" s="40"/>
      <c r="K280" s="40"/>
    </row>
    <row r="281" spans="1:11" x14ac:dyDescent="0.2">
      <c r="A281" s="41">
        <v>42171</v>
      </c>
      <c r="B281" s="37">
        <v>4123737615.3600001</v>
      </c>
      <c r="C281" s="37">
        <v>52892896.270000003</v>
      </c>
      <c r="D281" s="37">
        <v>-9087244.6300000008</v>
      </c>
      <c r="E281" s="37">
        <v>16767760438.16</v>
      </c>
      <c r="F281" s="37">
        <v>283991499.99000001</v>
      </c>
      <c r="G281" s="37">
        <v>101695007.44</v>
      </c>
      <c r="H281" s="37">
        <v>2051655.95</v>
      </c>
      <c r="I281" s="37">
        <v>21323041868.540001</v>
      </c>
      <c r="J281" s="40"/>
      <c r="K281" s="40"/>
    </row>
    <row r="282" spans="1:11" x14ac:dyDescent="0.2">
      <c r="A282" s="41">
        <v>42172</v>
      </c>
      <c r="B282" s="37">
        <v>4125565740.3600001</v>
      </c>
      <c r="C282" s="37">
        <v>52892896.270000003</v>
      </c>
      <c r="D282" s="37">
        <v>-9087244.6300000008</v>
      </c>
      <c r="E282" s="37">
        <v>16767760438.16</v>
      </c>
      <c r="F282" s="37">
        <v>283991499.99000001</v>
      </c>
      <c r="G282" s="37">
        <v>101695007.44</v>
      </c>
      <c r="H282" s="37">
        <v>2051655.95</v>
      </c>
      <c r="I282" s="37">
        <v>21324869993.540001</v>
      </c>
      <c r="J282" s="40"/>
      <c r="K282" s="40"/>
    </row>
    <row r="283" spans="1:11" x14ac:dyDescent="0.2">
      <c r="A283" s="41">
        <v>42174</v>
      </c>
      <c r="B283" s="37">
        <v>4128442740.3600001</v>
      </c>
      <c r="C283" s="37">
        <v>52892896.270000003</v>
      </c>
      <c r="D283" s="37">
        <v>-9087244.6300000008</v>
      </c>
      <c r="E283" s="37">
        <v>16767261955.41</v>
      </c>
      <c r="F283" s="37">
        <v>283991499.99000001</v>
      </c>
      <c r="G283" s="37">
        <v>101695007.44</v>
      </c>
      <c r="H283" s="37">
        <v>2051655.95</v>
      </c>
      <c r="I283" s="37">
        <v>21327248510.790001</v>
      </c>
      <c r="J283" s="40"/>
      <c r="K283" s="40"/>
    </row>
    <row r="284" spans="1:11" x14ac:dyDescent="0.2">
      <c r="A284" s="41">
        <v>42184</v>
      </c>
      <c r="B284" s="37">
        <v>4141805240.3600001</v>
      </c>
      <c r="C284" s="37">
        <v>52892896.270000003</v>
      </c>
      <c r="D284" s="37">
        <v>-9087244.6300000008</v>
      </c>
      <c r="E284" s="37">
        <v>16767736803.540001</v>
      </c>
      <c r="F284" s="37">
        <v>283991499.99000001</v>
      </c>
      <c r="G284" s="37">
        <v>101695007.44</v>
      </c>
      <c r="H284" s="37">
        <v>2051655.95</v>
      </c>
      <c r="I284" s="37">
        <v>21341085858.919998</v>
      </c>
      <c r="J284" s="40"/>
      <c r="K284" s="40"/>
    </row>
    <row r="285" spans="1:11" x14ac:dyDescent="0.2">
      <c r="A285" s="41">
        <v>42185</v>
      </c>
      <c r="B285" s="37">
        <v>4141805240.3600001</v>
      </c>
      <c r="C285" s="37">
        <v>52892896.270000003</v>
      </c>
      <c r="D285" s="37">
        <v>-9087244.6300000008</v>
      </c>
      <c r="E285" s="37">
        <v>16769034303.540001</v>
      </c>
      <c r="F285" s="37">
        <v>283991499.99000001</v>
      </c>
      <c r="G285" s="37">
        <v>101695007.44</v>
      </c>
      <c r="H285" s="37">
        <v>2051655.95</v>
      </c>
      <c r="I285" s="37">
        <v>21342383358.919998</v>
      </c>
      <c r="J285" s="40"/>
      <c r="K285" s="40"/>
    </row>
    <row r="286" spans="1:11" x14ac:dyDescent="0.2">
      <c r="A286" s="41">
        <v>42186</v>
      </c>
      <c r="B286" s="37">
        <v>4141805240.3600001</v>
      </c>
      <c r="C286" s="37">
        <v>52892896.270000003</v>
      </c>
      <c r="D286" s="37">
        <v>-9087244.6300000008</v>
      </c>
      <c r="E286" s="37">
        <v>16796776803.540001</v>
      </c>
      <c r="F286" s="37">
        <v>283991499.99000001</v>
      </c>
      <c r="G286" s="37">
        <v>101695007.44</v>
      </c>
      <c r="H286" s="37">
        <v>2051655.95</v>
      </c>
      <c r="I286" s="37">
        <v>21370125858.919998</v>
      </c>
      <c r="J286" s="40"/>
      <c r="K286" s="40"/>
    </row>
    <row r="287" spans="1:11" x14ac:dyDescent="0.2">
      <c r="A287" s="41">
        <v>42198</v>
      </c>
      <c r="B287" s="37">
        <v>4141805240.3600001</v>
      </c>
      <c r="C287" s="37">
        <v>52892896.270000003</v>
      </c>
      <c r="D287" s="37">
        <v>-9087244.6300000008</v>
      </c>
      <c r="E287" s="37">
        <v>16796724554.879999</v>
      </c>
      <c r="F287" s="37">
        <v>283991499.99000001</v>
      </c>
      <c r="G287" s="37">
        <v>101695007.44</v>
      </c>
      <c r="H287" s="37">
        <v>2051655.95</v>
      </c>
      <c r="I287" s="37">
        <v>21370073610.25</v>
      </c>
      <c r="J287" s="40"/>
      <c r="K287" s="40"/>
    </row>
    <row r="288" spans="1:11" x14ac:dyDescent="0.2">
      <c r="A288" s="41">
        <v>42200</v>
      </c>
      <c r="B288" s="37">
        <v>4141805240.3600001</v>
      </c>
      <c r="C288" s="37">
        <v>52892896.270000003</v>
      </c>
      <c r="D288" s="37">
        <v>-9087244.6300000008</v>
      </c>
      <c r="E288" s="37">
        <v>16796724554.879999</v>
      </c>
      <c r="F288" s="37">
        <v>286296578.91000003</v>
      </c>
      <c r="G288" s="37">
        <v>101695007.44</v>
      </c>
      <c r="H288" s="37">
        <v>2051655.95</v>
      </c>
      <c r="I288" s="37">
        <v>21372378689.169998</v>
      </c>
      <c r="J288" s="40"/>
      <c r="K288" s="40"/>
    </row>
    <row r="289" spans="1:11" x14ac:dyDescent="0.2">
      <c r="A289" s="41">
        <v>42201</v>
      </c>
      <c r="B289" s="37">
        <v>4143785218.29</v>
      </c>
      <c r="C289" s="37">
        <v>52892896.270000003</v>
      </c>
      <c r="D289" s="37">
        <v>-9087244.6300000008</v>
      </c>
      <c r="E289" s="37">
        <v>16796724554.879999</v>
      </c>
      <c r="F289" s="37">
        <v>286296578.91000003</v>
      </c>
      <c r="G289" s="37">
        <v>101695007.44</v>
      </c>
      <c r="H289" s="37">
        <v>2051655.95</v>
      </c>
      <c r="I289" s="37">
        <v>21374358667.099998</v>
      </c>
      <c r="J289" s="40"/>
      <c r="K289" s="40"/>
    </row>
    <row r="290" spans="1:11" x14ac:dyDescent="0.2">
      <c r="A290" s="41">
        <v>42202</v>
      </c>
      <c r="B290" s="37">
        <v>4144394593.29</v>
      </c>
      <c r="C290" s="37">
        <v>52892896.270000003</v>
      </c>
      <c r="D290" s="37">
        <v>-9087244.6300000008</v>
      </c>
      <c r="E290" s="37">
        <v>16796724554.879999</v>
      </c>
      <c r="F290" s="37">
        <v>286296578.91000003</v>
      </c>
      <c r="G290" s="37">
        <v>101695007.44</v>
      </c>
      <c r="H290" s="37">
        <v>2051655.95</v>
      </c>
      <c r="I290" s="37">
        <v>21374968042.099998</v>
      </c>
      <c r="J290" s="40"/>
      <c r="K290" s="40"/>
    </row>
    <row r="291" spans="1:11" x14ac:dyDescent="0.2">
      <c r="A291" s="41">
        <v>42205</v>
      </c>
      <c r="B291" s="37">
        <v>4145767093.29</v>
      </c>
      <c r="C291" s="37">
        <v>52892896.270000003</v>
      </c>
      <c r="D291" s="37">
        <v>-9087244.6300000008</v>
      </c>
      <c r="E291" s="37">
        <v>16796783929.879999</v>
      </c>
      <c r="F291" s="37">
        <v>286296578.91000003</v>
      </c>
      <c r="G291" s="37">
        <v>101695007.44</v>
      </c>
      <c r="H291" s="37">
        <v>2051655.95</v>
      </c>
      <c r="I291" s="37">
        <v>21376399917.099998</v>
      </c>
      <c r="J291" s="40"/>
      <c r="K291" s="40"/>
    </row>
    <row r="292" spans="1:11" x14ac:dyDescent="0.2">
      <c r="A292" s="41">
        <v>42219</v>
      </c>
      <c r="B292" s="37">
        <v>4146407718.29</v>
      </c>
      <c r="C292" s="37">
        <v>52892896.270000003</v>
      </c>
      <c r="D292" s="37">
        <v>-9087244.6300000008</v>
      </c>
      <c r="E292" s="37">
        <v>16796808450.290001</v>
      </c>
      <c r="F292" s="37">
        <v>286296578.91000003</v>
      </c>
      <c r="G292" s="37">
        <v>101695007.44</v>
      </c>
      <c r="H292" s="37">
        <v>2051655.95</v>
      </c>
      <c r="I292" s="37">
        <v>21377065062.509998</v>
      </c>
      <c r="J292" s="40"/>
      <c r="K292" s="40"/>
    </row>
    <row r="293" spans="1:11" x14ac:dyDescent="0.2">
      <c r="A293" s="41">
        <v>42233</v>
      </c>
      <c r="B293" s="37">
        <v>4288658968.29</v>
      </c>
      <c r="C293" s="37">
        <v>52892896.270000003</v>
      </c>
      <c r="D293" s="37">
        <v>-9087244.6300000008</v>
      </c>
      <c r="E293" s="37">
        <v>16798928450.290001</v>
      </c>
      <c r="F293" s="37">
        <v>286296578.91000003</v>
      </c>
      <c r="G293" s="37">
        <v>101695007.44</v>
      </c>
      <c r="H293" s="37">
        <v>2051655.95</v>
      </c>
      <c r="I293" s="37">
        <v>21521436312.509998</v>
      </c>
      <c r="J293" s="40"/>
      <c r="K293" s="40"/>
    </row>
    <row r="294" spans="1:11" x14ac:dyDescent="0.2">
      <c r="A294" s="41">
        <v>42243</v>
      </c>
      <c r="B294" s="37">
        <v>4288708968.29</v>
      </c>
      <c r="C294" s="37">
        <v>52892896.270000003</v>
      </c>
      <c r="D294" s="37">
        <v>-9087244.6300000008</v>
      </c>
      <c r="E294" s="37">
        <v>16798928450.290001</v>
      </c>
      <c r="F294" s="37">
        <v>286296578.91000003</v>
      </c>
      <c r="G294" s="37">
        <v>101695007.44</v>
      </c>
      <c r="H294" s="37">
        <v>2051655.95</v>
      </c>
      <c r="I294" s="37">
        <v>21521486312.509998</v>
      </c>
      <c r="J294" s="40"/>
      <c r="K294" s="40"/>
    </row>
    <row r="295" spans="1:11" x14ac:dyDescent="0.2">
      <c r="A295" s="41">
        <v>42247</v>
      </c>
      <c r="B295" s="37">
        <v>4288708968.29</v>
      </c>
      <c r="C295" s="37">
        <v>52892896.270000003</v>
      </c>
      <c r="D295" s="37">
        <v>-9087244.6300000008</v>
      </c>
      <c r="E295" s="37">
        <v>16798928450.290001</v>
      </c>
      <c r="F295" s="37">
        <v>286296579</v>
      </c>
      <c r="G295" s="37">
        <v>101695007.44</v>
      </c>
      <c r="H295" s="37">
        <v>2051655.95</v>
      </c>
      <c r="I295" s="37">
        <v>21521486312.509998</v>
      </c>
      <c r="J295" s="40"/>
      <c r="K295" s="40"/>
    </row>
    <row r="296" spans="1:11" x14ac:dyDescent="0.2">
      <c r="A296" s="41">
        <v>42262</v>
      </c>
      <c r="B296" s="37">
        <v>4300640218.29</v>
      </c>
      <c r="C296" s="37">
        <v>52892896.270000003</v>
      </c>
      <c r="D296" s="37">
        <v>-9087244.6300000008</v>
      </c>
      <c r="E296" s="37">
        <v>16798996983.67</v>
      </c>
      <c r="F296" s="37">
        <v>286296579</v>
      </c>
      <c r="G296" s="37">
        <v>101695007.44</v>
      </c>
      <c r="H296" s="37">
        <v>2051655.95</v>
      </c>
      <c r="I296" s="37">
        <v>21533486095.889999</v>
      </c>
      <c r="J296" s="40"/>
      <c r="K296" s="40"/>
    </row>
    <row r="297" spans="1:11" x14ac:dyDescent="0.2">
      <c r="A297" s="41">
        <v>42263</v>
      </c>
      <c r="B297" s="37">
        <v>4300640218.29</v>
      </c>
      <c r="C297" s="37">
        <v>52892896.270000003</v>
      </c>
      <c r="D297" s="37">
        <v>-9087244.6300000008</v>
      </c>
      <c r="E297" s="37">
        <v>16814001396.59</v>
      </c>
      <c r="F297" s="37">
        <v>286296579</v>
      </c>
      <c r="G297" s="37">
        <v>101695007.44</v>
      </c>
      <c r="H297" s="37">
        <v>2051655.95</v>
      </c>
      <c r="I297" s="37">
        <v>21548490508.82</v>
      </c>
      <c r="J297" s="40"/>
      <c r="K297" s="40"/>
    </row>
    <row r="298" spans="1:11" x14ac:dyDescent="0.2">
      <c r="A298" s="41">
        <v>42268</v>
      </c>
      <c r="B298" s="37">
        <v>4308981468.29</v>
      </c>
      <c r="C298" s="37">
        <v>52892896.270000003</v>
      </c>
      <c r="D298" s="37">
        <v>-9087244.6300000008</v>
      </c>
      <c r="E298" s="37">
        <v>16814107022.24</v>
      </c>
      <c r="F298" s="37">
        <v>286296579</v>
      </c>
      <c r="G298" s="37">
        <v>101695007.44</v>
      </c>
      <c r="H298" s="37">
        <v>2051655.95</v>
      </c>
      <c r="I298" s="37">
        <v>21556937384.470001</v>
      </c>
      <c r="J298" s="40"/>
      <c r="K298" s="40"/>
    </row>
    <row r="299" spans="1:11" x14ac:dyDescent="0.2">
      <c r="A299" s="41">
        <v>42275</v>
      </c>
      <c r="B299" s="37">
        <v>4309068968.29</v>
      </c>
      <c r="C299" s="37">
        <v>52892896.270000003</v>
      </c>
      <c r="D299" s="37">
        <v>-9087244.6300000008</v>
      </c>
      <c r="E299" s="37">
        <v>16813490773.629999</v>
      </c>
      <c r="F299" s="37">
        <v>286296579</v>
      </c>
      <c r="G299" s="37">
        <v>101695007.44</v>
      </c>
      <c r="H299" s="37">
        <v>2051655.95</v>
      </c>
      <c r="I299" s="37">
        <v>21556408635.849998</v>
      </c>
      <c r="J299" s="40"/>
      <c r="K299" s="40"/>
    </row>
    <row r="300" spans="1:11" x14ac:dyDescent="0.2">
      <c r="A300" s="41">
        <v>42277</v>
      </c>
      <c r="B300" s="37">
        <v>4309068968.29</v>
      </c>
      <c r="C300" s="37">
        <v>52892896.270000003</v>
      </c>
      <c r="D300" s="37">
        <v>-9087244.6300000008</v>
      </c>
      <c r="E300" s="37">
        <v>16813655773.629999</v>
      </c>
      <c r="F300" s="37">
        <v>286296579</v>
      </c>
      <c r="G300" s="37">
        <v>101695007.44</v>
      </c>
      <c r="H300" s="37">
        <v>2051655.95</v>
      </c>
      <c r="I300" s="37">
        <v>21556573635.849998</v>
      </c>
      <c r="J300" s="40"/>
      <c r="K300" s="40"/>
    </row>
    <row r="301" spans="1:11" x14ac:dyDescent="0.2">
      <c r="A301" s="41">
        <v>42282</v>
      </c>
      <c r="B301" s="37">
        <v>4318465194.54</v>
      </c>
      <c r="C301" s="37">
        <v>52892896.270000003</v>
      </c>
      <c r="D301" s="37">
        <v>-9087244.6300000008</v>
      </c>
      <c r="E301" s="37">
        <v>16813655773.629999</v>
      </c>
      <c r="F301" s="37">
        <v>286296579</v>
      </c>
      <c r="G301" s="37">
        <v>101695007.44</v>
      </c>
      <c r="H301" s="37">
        <v>2051655.95</v>
      </c>
      <c r="I301" s="37">
        <v>21565969862.099998</v>
      </c>
      <c r="J301" s="40"/>
      <c r="K301" s="40"/>
    </row>
    <row r="302" spans="1:11" x14ac:dyDescent="0.2">
      <c r="A302" s="41">
        <v>42283</v>
      </c>
      <c r="B302" s="37">
        <v>4318465194.54</v>
      </c>
      <c r="C302" s="37">
        <v>52892896.270000003</v>
      </c>
      <c r="D302" s="37">
        <v>-9087244.6300000008</v>
      </c>
      <c r="E302" s="37">
        <v>16871154523.629999</v>
      </c>
      <c r="F302" s="37">
        <v>286296579</v>
      </c>
      <c r="G302" s="37">
        <v>101695007.44</v>
      </c>
      <c r="H302" s="37">
        <v>2051655.95</v>
      </c>
      <c r="I302" s="37">
        <v>21623468612.099998</v>
      </c>
      <c r="J302" s="40"/>
      <c r="K302" s="40"/>
    </row>
    <row r="303" spans="1:11" x14ac:dyDescent="0.2">
      <c r="A303" s="41">
        <v>42290</v>
      </c>
      <c r="B303" s="37">
        <v>4318465194.54</v>
      </c>
      <c r="C303" s="37">
        <v>52892896.270000003</v>
      </c>
      <c r="D303" s="37">
        <v>-9087244.6300000008</v>
      </c>
      <c r="E303" s="37">
        <v>16871290520.709999</v>
      </c>
      <c r="F303" s="37">
        <v>286296579</v>
      </c>
      <c r="G303" s="37">
        <v>101695007.44</v>
      </c>
      <c r="H303" s="37">
        <v>2051655.95</v>
      </c>
      <c r="I303" s="37">
        <v>21623604609.18</v>
      </c>
      <c r="J303" s="40"/>
      <c r="K303" s="40"/>
    </row>
    <row r="304" spans="1:11" x14ac:dyDescent="0.2">
      <c r="A304" s="41">
        <v>42292</v>
      </c>
      <c r="B304" s="37">
        <v>4318465194.54</v>
      </c>
      <c r="C304" s="37">
        <v>52892896.270000003</v>
      </c>
      <c r="D304" s="37">
        <v>-9087244.6300000008</v>
      </c>
      <c r="E304" s="37">
        <v>16871290520.709999</v>
      </c>
      <c r="F304" s="37">
        <v>286425573.43000001</v>
      </c>
      <c r="G304" s="37">
        <v>101695007.44</v>
      </c>
      <c r="H304" s="37">
        <v>2051655.95</v>
      </c>
      <c r="I304" s="37">
        <v>21623733603.709999</v>
      </c>
      <c r="J304" s="40"/>
      <c r="K304" s="40"/>
    </row>
    <row r="305" spans="1:11" x14ac:dyDescent="0.2">
      <c r="A305" s="41">
        <v>42293</v>
      </c>
      <c r="B305" s="37">
        <v>4318477694.54</v>
      </c>
      <c r="C305" s="37">
        <v>52892896.270000003</v>
      </c>
      <c r="D305" s="37">
        <v>-9087244.6300000008</v>
      </c>
      <c r="E305" s="37">
        <v>16871290520.709999</v>
      </c>
      <c r="F305" s="37">
        <v>286425573.43000001</v>
      </c>
      <c r="G305" s="37">
        <v>101695007.44</v>
      </c>
      <c r="H305" s="37">
        <v>2051655.95</v>
      </c>
      <c r="I305" s="37">
        <v>21623746103.709999</v>
      </c>
      <c r="J305" s="40"/>
      <c r="K305" s="40"/>
    </row>
    <row r="306" spans="1:11" x14ac:dyDescent="0.2">
      <c r="A306" s="41">
        <v>42303</v>
      </c>
      <c r="B306" s="37">
        <v>4318607694.54</v>
      </c>
      <c r="C306" s="37">
        <v>52892896.270000003</v>
      </c>
      <c r="D306" s="37">
        <v>-9087244.6300000008</v>
      </c>
      <c r="E306" s="37">
        <v>16871290520.709999</v>
      </c>
      <c r="F306" s="37">
        <v>286425573.43000001</v>
      </c>
      <c r="G306" s="37">
        <v>101695007.44</v>
      </c>
      <c r="H306" s="37">
        <v>2051655.95</v>
      </c>
      <c r="I306" s="37">
        <v>21623876103.709999</v>
      </c>
      <c r="J306" s="40"/>
      <c r="K306" s="40"/>
    </row>
    <row r="307" spans="1:11" x14ac:dyDescent="0.2">
      <c r="A307" s="41">
        <v>42310</v>
      </c>
      <c r="B307" s="37">
        <v>4323332694.54</v>
      </c>
      <c r="C307" s="37">
        <v>52892896.270000003</v>
      </c>
      <c r="D307" s="37">
        <v>-9087244.6300000008</v>
      </c>
      <c r="E307" s="37">
        <v>16871209223.98</v>
      </c>
      <c r="F307" s="37">
        <v>286425573.43000001</v>
      </c>
      <c r="G307" s="37">
        <v>101695007.44</v>
      </c>
      <c r="H307" s="37">
        <v>2051655.95</v>
      </c>
      <c r="I307" s="37">
        <v>21628519806.98</v>
      </c>
      <c r="J307" s="40"/>
      <c r="K307" s="40"/>
    </row>
    <row r="308" spans="1:11" x14ac:dyDescent="0.2">
      <c r="A308" s="41">
        <v>42324</v>
      </c>
      <c r="B308" s="37">
        <v>4502023944.54</v>
      </c>
      <c r="C308" s="37">
        <v>52892896.270000003</v>
      </c>
      <c r="D308" s="37">
        <v>-9087244.6300000008</v>
      </c>
      <c r="E308" s="37">
        <v>16873554223.98</v>
      </c>
      <c r="F308" s="37">
        <v>286425573.43000001</v>
      </c>
      <c r="G308" s="37">
        <v>101695007.44</v>
      </c>
      <c r="H308" s="37">
        <v>2051655.95</v>
      </c>
      <c r="I308" s="37">
        <v>21809556056.98</v>
      </c>
      <c r="J308" s="40"/>
      <c r="K308" s="40"/>
    </row>
    <row r="309" spans="1:11" x14ac:dyDescent="0.2">
      <c r="A309" s="41">
        <v>42325</v>
      </c>
      <c r="B309" s="37">
        <v>4502158944.54</v>
      </c>
      <c r="C309" s="37">
        <v>52892896.270000003</v>
      </c>
      <c r="D309" s="37">
        <v>-9087244.6300000008</v>
      </c>
      <c r="E309" s="37">
        <v>16873554223.98</v>
      </c>
      <c r="F309" s="37">
        <v>286425573.43000001</v>
      </c>
      <c r="G309" s="37">
        <v>101695007.44</v>
      </c>
      <c r="H309" s="37">
        <v>2051655.95</v>
      </c>
      <c r="I309" s="37">
        <v>21809691056.98</v>
      </c>
      <c r="J309" s="40"/>
      <c r="K309" s="40"/>
    </row>
    <row r="310" spans="1:11" x14ac:dyDescent="0.2">
      <c r="A310" s="41">
        <v>42338</v>
      </c>
      <c r="B310" s="37">
        <v>4784146444.54</v>
      </c>
      <c r="C310" s="37">
        <v>52892896.270000003</v>
      </c>
      <c r="D310" s="37">
        <v>-9087244.6300000008</v>
      </c>
      <c r="E310" s="37">
        <v>16875044848.98</v>
      </c>
      <c r="F310" s="37">
        <v>286425573.43000001</v>
      </c>
      <c r="G310" s="37">
        <v>101695007.44</v>
      </c>
      <c r="H310" s="37">
        <v>2051655.95</v>
      </c>
      <c r="I310" s="37">
        <v>22093169181.98</v>
      </c>
      <c r="J310" s="40"/>
      <c r="K310" s="40"/>
    </row>
    <row r="311" spans="1:11" x14ac:dyDescent="0.2">
      <c r="A311" s="41">
        <v>42352</v>
      </c>
      <c r="B311" s="37">
        <v>4786916444.54</v>
      </c>
      <c r="C311" s="37">
        <v>52892896.270000003</v>
      </c>
      <c r="D311" s="37">
        <v>-9087244.6300000008</v>
      </c>
      <c r="E311" s="37">
        <v>16875313598.98</v>
      </c>
      <c r="F311" s="37">
        <v>286425573.43000001</v>
      </c>
      <c r="G311" s="37">
        <v>101695007.44</v>
      </c>
      <c r="H311" s="37">
        <v>2051655.95</v>
      </c>
      <c r="I311" s="37">
        <v>22096207931.98</v>
      </c>
      <c r="J311" s="40"/>
      <c r="K311" s="40"/>
    </row>
    <row r="312" spans="1:11" x14ac:dyDescent="0.2">
      <c r="A312" s="41">
        <v>42353</v>
      </c>
      <c r="B312" s="37">
        <v>4792441444.54</v>
      </c>
      <c r="C312" s="37">
        <v>52892896.270000003</v>
      </c>
      <c r="D312" s="37">
        <v>-9087244.6300000008</v>
      </c>
      <c r="E312" s="37">
        <v>16875096015.08</v>
      </c>
      <c r="F312" s="37">
        <v>286425573.43000001</v>
      </c>
      <c r="G312" s="37">
        <v>101695007.44</v>
      </c>
      <c r="H312" s="37">
        <v>2051655.95</v>
      </c>
      <c r="I312" s="37">
        <v>22101515348.080002</v>
      </c>
      <c r="J312" s="40"/>
      <c r="K312" s="40"/>
    </row>
    <row r="313" spans="1:11" x14ac:dyDescent="0.2">
      <c r="A313" s="41">
        <v>42354</v>
      </c>
      <c r="B313" s="37">
        <v>4798628944.54</v>
      </c>
      <c r="C313" s="37">
        <v>52892896.270000003</v>
      </c>
      <c r="D313" s="37">
        <v>-9087244.6300000008</v>
      </c>
      <c r="E313" s="37">
        <v>16875489140.08</v>
      </c>
      <c r="F313" s="37">
        <v>286425573.43000001</v>
      </c>
      <c r="G313" s="37">
        <v>101695007.44</v>
      </c>
      <c r="H313" s="37">
        <v>2051655.95</v>
      </c>
      <c r="I313" s="37">
        <v>22108095973.080002</v>
      </c>
      <c r="J313" s="40"/>
      <c r="K313" s="40"/>
    </row>
    <row r="314" spans="1:11" x14ac:dyDescent="0.2">
      <c r="A314" s="41">
        <v>42355</v>
      </c>
      <c r="B314" s="37">
        <v>4800457069.54</v>
      </c>
      <c r="C314" s="37">
        <v>52892896.270000003</v>
      </c>
      <c r="D314" s="37">
        <v>-9087244.6300000008</v>
      </c>
      <c r="E314" s="37">
        <v>16875489140.08</v>
      </c>
      <c r="F314" s="37">
        <v>286425573.43000001</v>
      </c>
      <c r="G314" s="37">
        <v>101695007.44</v>
      </c>
      <c r="H314" s="37">
        <v>2051655.95</v>
      </c>
      <c r="I314" s="37">
        <v>22109924098.080002</v>
      </c>
      <c r="J314" s="40"/>
      <c r="K314" s="40"/>
    </row>
    <row r="315" spans="1:11" x14ac:dyDescent="0.2">
      <c r="A315" s="41">
        <v>42356</v>
      </c>
      <c r="B315" s="37">
        <v>4809207069.54</v>
      </c>
      <c r="C315" s="37">
        <v>52892896.270000003</v>
      </c>
      <c r="D315" s="37">
        <v>-9087244.6300000008</v>
      </c>
      <c r="E315" s="37">
        <v>16875489140.08</v>
      </c>
      <c r="F315" s="37">
        <v>286425573.43000001</v>
      </c>
      <c r="G315" s="37">
        <v>101695007.44</v>
      </c>
      <c r="H315" s="37">
        <v>2051655.95</v>
      </c>
      <c r="I315" s="37">
        <v>22118674098.080002</v>
      </c>
      <c r="J315" s="40"/>
      <c r="K315" s="40"/>
    </row>
    <row r="316" spans="1:11" x14ac:dyDescent="0.2">
      <c r="A316" s="41">
        <v>42359</v>
      </c>
      <c r="B316" s="37">
        <v>4809271569.54</v>
      </c>
      <c r="C316" s="37">
        <v>52892896.270000003</v>
      </c>
      <c r="D316" s="37">
        <v>-9087244.6300000008</v>
      </c>
      <c r="E316" s="37">
        <v>16875004819.67</v>
      </c>
      <c r="F316" s="37">
        <v>286425573.43000001</v>
      </c>
      <c r="G316" s="37">
        <v>101695007.44</v>
      </c>
      <c r="H316" s="37">
        <v>2051655.95</v>
      </c>
      <c r="I316" s="37">
        <v>22118254277.669998</v>
      </c>
      <c r="J316" s="40"/>
      <c r="K316" s="40"/>
    </row>
    <row r="317" spans="1:11" x14ac:dyDescent="0.2">
      <c r="A317" s="41">
        <v>42366</v>
      </c>
      <c r="B317" s="37">
        <v>4810096569.54</v>
      </c>
      <c r="C317" s="37">
        <v>52892896.270000003</v>
      </c>
      <c r="D317" s="37">
        <v>-9087244.6300000008</v>
      </c>
      <c r="E317" s="37">
        <v>16875004819.67</v>
      </c>
      <c r="F317" s="37">
        <v>286425573.43000001</v>
      </c>
      <c r="G317" s="37">
        <v>101695007.44</v>
      </c>
      <c r="H317" s="37">
        <v>2051655.95</v>
      </c>
      <c r="I317" s="37">
        <v>22119079277.669998</v>
      </c>
      <c r="J317" s="40"/>
      <c r="K317" s="40"/>
    </row>
    <row r="318" spans="1:11" x14ac:dyDescent="0.2">
      <c r="A318" s="41">
        <v>42367</v>
      </c>
      <c r="B318" s="37">
        <v>4810096569.54</v>
      </c>
      <c r="C318" s="37">
        <v>52892896.270000003</v>
      </c>
      <c r="D318" s="37">
        <v>-9087244.6300000008</v>
      </c>
      <c r="E318" s="37">
        <v>16875595771.42</v>
      </c>
      <c r="F318" s="37">
        <v>286425573.43000001</v>
      </c>
      <c r="G318" s="37">
        <v>101695007.44</v>
      </c>
      <c r="H318" s="37">
        <v>2051655.95</v>
      </c>
      <c r="I318" s="37">
        <v>22119670229.419998</v>
      </c>
      <c r="J318" s="40"/>
      <c r="K318" s="40"/>
    </row>
    <row r="319" spans="1:11" x14ac:dyDescent="0.2">
      <c r="A319" s="41">
        <v>42369</v>
      </c>
      <c r="B319" s="37">
        <v>5239606569.54</v>
      </c>
      <c r="C319" s="37">
        <v>52892896.270000003</v>
      </c>
      <c r="D319" s="37">
        <v>-9087244.6300000008</v>
      </c>
      <c r="E319" s="37">
        <v>16876893271.42</v>
      </c>
      <c r="F319" s="37">
        <v>286425573.43000001</v>
      </c>
      <c r="G319" s="37">
        <v>101695007.44</v>
      </c>
      <c r="H319" s="37">
        <v>2051655.95</v>
      </c>
      <c r="I319" s="37">
        <v>22550477729.419998</v>
      </c>
      <c r="J319" s="40"/>
      <c r="K319" s="40"/>
    </row>
    <row r="320" spans="1:11" x14ac:dyDescent="0.2">
      <c r="A320" s="41">
        <v>42380</v>
      </c>
      <c r="B320" s="37">
        <v>5239606569.54</v>
      </c>
      <c r="C320" s="37">
        <v>52892896.270000003</v>
      </c>
      <c r="D320" s="37">
        <v>-9087244.6300000008</v>
      </c>
      <c r="E320" s="37">
        <v>16906875981.99</v>
      </c>
      <c r="F320" s="37">
        <v>286425573.43000001</v>
      </c>
      <c r="G320" s="37">
        <v>101695007.44</v>
      </c>
      <c r="H320" s="37">
        <v>2051655.95</v>
      </c>
      <c r="I320" s="37">
        <v>22580460439.990002</v>
      </c>
      <c r="J320" s="40"/>
      <c r="K320" s="40"/>
    </row>
    <row r="321" spans="1:11" x14ac:dyDescent="0.2">
      <c r="A321" s="41">
        <v>42384</v>
      </c>
      <c r="B321" s="37">
        <v>5239606569.54</v>
      </c>
      <c r="C321" s="37">
        <v>52892896.270000003</v>
      </c>
      <c r="D321" s="37">
        <v>-9087244.6300000008</v>
      </c>
      <c r="E321" s="37">
        <v>16906875981.99</v>
      </c>
      <c r="F321" s="37">
        <v>288730652.35000002</v>
      </c>
      <c r="G321" s="37">
        <v>101695007.44</v>
      </c>
      <c r="H321" s="37">
        <v>2051655.95</v>
      </c>
      <c r="I321" s="37">
        <v>22582765518.91</v>
      </c>
      <c r="J321" s="40"/>
      <c r="K321" s="40"/>
    </row>
    <row r="322" spans="1:11" x14ac:dyDescent="0.2">
      <c r="A322" s="41">
        <v>42388</v>
      </c>
      <c r="B322" s="37">
        <v>5243568422.4700003</v>
      </c>
      <c r="C322" s="37">
        <v>52892896.270000003</v>
      </c>
      <c r="D322" s="37">
        <v>-9087244.6300000008</v>
      </c>
      <c r="E322" s="37">
        <v>16911935356.99</v>
      </c>
      <c r="F322" s="37">
        <v>288730652.35000002</v>
      </c>
      <c r="G322" s="37">
        <v>101695007.44</v>
      </c>
      <c r="H322" s="37">
        <v>2051655.95</v>
      </c>
      <c r="I322" s="37">
        <v>22591786746.84</v>
      </c>
      <c r="J322" s="40"/>
      <c r="K322" s="40"/>
    </row>
    <row r="323" spans="1:11" x14ac:dyDescent="0.2">
      <c r="A323" s="41">
        <v>42401</v>
      </c>
      <c r="B323" s="37">
        <v>5244209047.4700003</v>
      </c>
      <c r="C323" s="37">
        <v>52892896.270000003</v>
      </c>
      <c r="D323" s="37">
        <v>-9087244.6300000008</v>
      </c>
      <c r="E323" s="37">
        <v>16911935356.99</v>
      </c>
      <c r="F323" s="37">
        <v>288730652.35000002</v>
      </c>
      <c r="G323" s="37">
        <v>101695007.44</v>
      </c>
      <c r="H323" s="37">
        <v>2051655.95</v>
      </c>
      <c r="I323" s="37">
        <v>22592427371.84</v>
      </c>
      <c r="J323" s="40"/>
      <c r="K323" s="40"/>
    </row>
    <row r="324" spans="1:11" x14ac:dyDescent="0.2">
      <c r="A324" s="41">
        <v>42416</v>
      </c>
      <c r="B324" s="37">
        <v>5342734672.4700003</v>
      </c>
      <c r="C324" s="37">
        <v>52892896.270000003</v>
      </c>
      <c r="D324" s="37">
        <v>-9087244.6300000008</v>
      </c>
      <c r="E324" s="37">
        <v>16914055356.99</v>
      </c>
      <c r="F324" s="37">
        <v>288730652.35000002</v>
      </c>
      <c r="G324" s="37">
        <v>101695007.44</v>
      </c>
      <c r="H324" s="37">
        <v>2051655.95</v>
      </c>
      <c r="I324" s="37">
        <v>22693072996.84</v>
      </c>
      <c r="J324" s="40"/>
      <c r="K324" s="40"/>
    </row>
    <row r="325" spans="1:11" x14ac:dyDescent="0.2">
      <c r="A325" s="41">
        <v>42429</v>
      </c>
      <c r="B325" s="37">
        <v>5342784672.4700003</v>
      </c>
      <c r="C325" s="37">
        <v>52892896.270000003</v>
      </c>
      <c r="D325" s="37">
        <v>-9087244.6300000008</v>
      </c>
      <c r="E325" s="37">
        <v>16914055356.99</v>
      </c>
      <c r="F325" s="37">
        <v>288730652</v>
      </c>
      <c r="G325" s="37">
        <v>101695007.44</v>
      </c>
      <c r="H325" s="37">
        <v>2051655.95</v>
      </c>
      <c r="I325" s="37">
        <v>22693122996.84</v>
      </c>
      <c r="J325" s="40"/>
      <c r="K325" s="40"/>
    </row>
    <row r="326" spans="1:11" x14ac:dyDescent="0.2">
      <c r="A326" s="41">
        <v>42444</v>
      </c>
      <c r="B326" s="37">
        <v>5354715922.4700003</v>
      </c>
      <c r="C326" s="37">
        <v>52892896.270000003</v>
      </c>
      <c r="D326" s="37">
        <v>-9087244.6300000008</v>
      </c>
      <c r="E326" s="37">
        <v>16914137624.5</v>
      </c>
      <c r="F326" s="37">
        <v>288730652</v>
      </c>
      <c r="G326" s="37">
        <v>101695007.44</v>
      </c>
      <c r="H326" s="37">
        <v>2051655.95</v>
      </c>
      <c r="I326" s="37">
        <v>22705136514.349998</v>
      </c>
      <c r="J326" s="40"/>
      <c r="K326" s="40"/>
    </row>
    <row r="327" spans="1:11" x14ac:dyDescent="0.2">
      <c r="A327" s="41">
        <v>42450</v>
      </c>
      <c r="B327" s="37">
        <v>5363057172.4700003</v>
      </c>
      <c r="C327" s="37">
        <v>52892896.270000003</v>
      </c>
      <c r="D327" s="37">
        <v>-9087244.6300000008</v>
      </c>
      <c r="E327" s="37">
        <v>16914261768.290001</v>
      </c>
      <c r="F327" s="37">
        <v>288730652</v>
      </c>
      <c r="G327" s="37">
        <v>101695007.44</v>
      </c>
      <c r="H327" s="37">
        <v>2051655.95</v>
      </c>
      <c r="I327" s="37">
        <v>22713601908.139999</v>
      </c>
      <c r="J327" s="40"/>
      <c r="K327" s="40"/>
    </row>
    <row r="328" spans="1:11" x14ac:dyDescent="0.2">
      <c r="A328" s="41">
        <v>42457</v>
      </c>
      <c r="B328" s="37">
        <v>5363144672.4700003</v>
      </c>
      <c r="C328" s="37">
        <v>52892896.270000003</v>
      </c>
      <c r="D328" s="37">
        <v>-9087244.6300000008</v>
      </c>
      <c r="E328" s="37">
        <v>16914261768.290001</v>
      </c>
      <c r="F328" s="37">
        <v>288730652</v>
      </c>
      <c r="G328" s="37">
        <v>101695007.44</v>
      </c>
      <c r="H328" s="37">
        <v>2051655.95</v>
      </c>
      <c r="I328" s="37">
        <v>22713689408.139999</v>
      </c>
      <c r="J328" s="40"/>
      <c r="K328" s="40"/>
    </row>
    <row r="329" spans="1:11" x14ac:dyDescent="0.2">
      <c r="A329" s="41">
        <v>42458</v>
      </c>
      <c r="B329" s="37">
        <v>5363144672.4700003</v>
      </c>
      <c r="C329" s="37">
        <v>52892896.270000003</v>
      </c>
      <c r="D329" s="37">
        <v>-9087244.6300000008</v>
      </c>
      <c r="E329" s="37">
        <v>16913738010.93</v>
      </c>
      <c r="F329" s="37">
        <v>288730652</v>
      </c>
      <c r="G329" s="37">
        <v>101695007.44</v>
      </c>
      <c r="H329" s="37">
        <v>2051655.95</v>
      </c>
      <c r="I329" s="37">
        <v>22713165650.77</v>
      </c>
      <c r="J329" s="40"/>
      <c r="K329" s="40"/>
    </row>
    <row r="330" spans="1:11" x14ac:dyDescent="0.2">
      <c r="A330" s="41">
        <v>42460</v>
      </c>
      <c r="B330" s="37">
        <v>5363144672.4700003</v>
      </c>
      <c r="C330" s="37">
        <v>52892896.270000003</v>
      </c>
      <c r="D330" s="37">
        <v>-9087244.6300000008</v>
      </c>
      <c r="E330" s="37">
        <v>16913903010.93</v>
      </c>
      <c r="F330" s="37">
        <v>288730652</v>
      </c>
      <c r="G330" s="37">
        <v>101695007.44</v>
      </c>
      <c r="H330" s="37">
        <v>2051655.95</v>
      </c>
      <c r="I330" s="37">
        <v>22713330650.77</v>
      </c>
      <c r="J330" s="40"/>
      <c r="K330" s="40"/>
    </row>
    <row r="331" spans="1:11" x14ac:dyDescent="0.2">
      <c r="A331" s="41">
        <v>42471</v>
      </c>
      <c r="B331" s="37">
        <v>5368144672.4700003</v>
      </c>
      <c r="C331" s="37">
        <v>52892896.270000003</v>
      </c>
      <c r="D331" s="37">
        <v>-9087244.6300000008</v>
      </c>
      <c r="E331" s="37">
        <v>16913903010.93</v>
      </c>
      <c r="F331" s="37">
        <v>288730652</v>
      </c>
      <c r="G331" s="37">
        <v>101695007.44</v>
      </c>
      <c r="H331" s="37">
        <v>2051655.95</v>
      </c>
      <c r="I331" s="37">
        <v>22718330650.77</v>
      </c>
      <c r="J331" s="40"/>
      <c r="K331" s="40"/>
    </row>
    <row r="332" spans="1:11" x14ac:dyDescent="0.2">
      <c r="A332" s="41">
        <v>42475</v>
      </c>
      <c r="B332" s="37">
        <v>5368144672.4700003</v>
      </c>
      <c r="C332" s="37">
        <v>52892896.270000003</v>
      </c>
      <c r="D332" s="37">
        <v>-9087244.6300000008</v>
      </c>
      <c r="E332" s="37">
        <v>16913903010.93</v>
      </c>
      <c r="F332" s="37">
        <v>495250886.88</v>
      </c>
      <c r="G332" s="37">
        <v>101695007.44</v>
      </c>
      <c r="H332" s="37">
        <v>2051655.95</v>
      </c>
      <c r="I332" s="37">
        <v>22924850885.299999</v>
      </c>
      <c r="J332" s="40"/>
      <c r="K332" s="40"/>
    </row>
    <row r="333" spans="1:11" x14ac:dyDescent="0.2">
      <c r="A333" s="41">
        <v>42478</v>
      </c>
      <c r="B333" s="37">
        <v>5368157172.4700003</v>
      </c>
      <c r="C333" s="37">
        <v>52892896.270000003</v>
      </c>
      <c r="D333" s="37">
        <v>-9087244.6300000008</v>
      </c>
      <c r="E333" s="37">
        <v>16913903010.93</v>
      </c>
      <c r="F333" s="37">
        <v>495250886.88</v>
      </c>
      <c r="G333" s="37">
        <v>101695007.44</v>
      </c>
      <c r="H333" s="37">
        <v>2051655.95</v>
      </c>
      <c r="I333" s="37">
        <v>22924863385.299999</v>
      </c>
      <c r="J333" s="40"/>
      <c r="K333" s="40"/>
    </row>
    <row r="334" spans="1:11" x14ac:dyDescent="0.2">
      <c r="A334" s="41">
        <v>42486</v>
      </c>
      <c r="B334" s="37">
        <v>5368287172.4700003</v>
      </c>
      <c r="C334" s="37">
        <v>52892896.270000003</v>
      </c>
      <c r="D334" s="37">
        <v>-9087244.6300000008</v>
      </c>
      <c r="E334" s="37">
        <v>16913903010.93</v>
      </c>
      <c r="F334" s="37">
        <v>495250886.88</v>
      </c>
      <c r="G334" s="37">
        <v>101695007.44</v>
      </c>
      <c r="H334" s="37">
        <v>2051655.95</v>
      </c>
      <c r="I334" s="37">
        <v>22924993385.299999</v>
      </c>
      <c r="J334" s="40"/>
      <c r="K334" s="40"/>
    </row>
    <row r="335" spans="1:11" x14ac:dyDescent="0.2">
      <c r="A335" s="41">
        <v>42506</v>
      </c>
      <c r="B335" s="37">
        <v>5512053422.4700003</v>
      </c>
      <c r="C335" s="37">
        <v>52892896.270000003</v>
      </c>
      <c r="D335" s="37">
        <v>-9087244.6300000008</v>
      </c>
      <c r="E335" s="37">
        <v>16916248010.93</v>
      </c>
      <c r="F335" s="37">
        <v>495250886.88</v>
      </c>
      <c r="G335" s="37">
        <v>101695007.44</v>
      </c>
      <c r="H335" s="37">
        <v>2051655.95</v>
      </c>
      <c r="I335" s="37">
        <v>23071104635.299999</v>
      </c>
      <c r="J335" s="40"/>
      <c r="K335" s="40"/>
    </row>
    <row r="336" spans="1:11" x14ac:dyDescent="0.2">
      <c r="A336" s="41">
        <v>42507</v>
      </c>
      <c r="B336" s="37">
        <v>5512188422.4700003</v>
      </c>
      <c r="C336" s="37">
        <v>52892896.270000003</v>
      </c>
      <c r="D336" s="37">
        <v>-9087244.6300000008</v>
      </c>
      <c r="E336" s="37">
        <v>16916248010.93</v>
      </c>
      <c r="F336" s="37">
        <v>495250886.88</v>
      </c>
      <c r="G336" s="37">
        <v>101695007.44</v>
      </c>
      <c r="H336" s="37">
        <v>2051655.95</v>
      </c>
      <c r="I336" s="37">
        <v>23071239635.299999</v>
      </c>
      <c r="J336" s="40"/>
      <c r="K336" s="40"/>
    </row>
    <row r="337" spans="1:11" x14ac:dyDescent="0.2">
      <c r="A337" s="41">
        <v>42521</v>
      </c>
      <c r="B337" s="37">
        <v>5512188422.4700003</v>
      </c>
      <c r="C337" s="37">
        <v>52892896.270000003</v>
      </c>
      <c r="D337" s="37">
        <v>-9087244.6300000008</v>
      </c>
      <c r="E337" s="37">
        <v>16917738635.93</v>
      </c>
      <c r="F337" s="37">
        <v>495250886.88</v>
      </c>
      <c r="G337" s="37">
        <v>101695007.44</v>
      </c>
      <c r="H337" s="37">
        <v>2051655.95</v>
      </c>
      <c r="I337" s="37">
        <v>23072730260.299999</v>
      </c>
      <c r="J337" s="40"/>
      <c r="K337" s="40"/>
    </row>
    <row r="338" spans="1:11" x14ac:dyDescent="0.2">
      <c r="A338" s="41">
        <v>42534</v>
      </c>
      <c r="B338" s="37">
        <v>5514958422.4700003</v>
      </c>
      <c r="C338" s="37">
        <v>52892896.270000003</v>
      </c>
      <c r="D338" s="37">
        <v>-9087244.6300000008</v>
      </c>
      <c r="E338" s="37">
        <v>16918007385.93</v>
      </c>
      <c r="F338" s="37">
        <v>495250886.88</v>
      </c>
      <c r="G338" s="37">
        <v>101695007.44</v>
      </c>
      <c r="H338" s="37">
        <v>2051655.95</v>
      </c>
      <c r="I338" s="37">
        <v>23075769010.299999</v>
      </c>
      <c r="J338" s="40"/>
      <c r="K338" s="40"/>
    </row>
    <row r="339" spans="1:11" x14ac:dyDescent="0.2">
      <c r="A339" s="41">
        <v>42536</v>
      </c>
      <c r="B339" s="37">
        <v>5514958422.4700003</v>
      </c>
      <c r="C339" s="37">
        <v>52892896.270000003</v>
      </c>
      <c r="D339" s="37">
        <v>-9087244.6300000008</v>
      </c>
      <c r="E339" s="37">
        <v>16917805471.01</v>
      </c>
      <c r="F339" s="37">
        <v>495250886.88</v>
      </c>
      <c r="G339" s="37">
        <v>101695007.44</v>
      </c>
      <c r="H339" s="37">
        <v>2051655.95</v>
      </c>
      <c r="I339" s="37">
        <v>23075567095.389999</v>
      </c>
      <c r="J339" s="40"/>
      <c r="K339" s="40"/>
    </row>
    <row r="340" spans="1:11" x14ac:dyDescent="0.2">
      <c r="A340" s="41">
        <v>42537</v>
      </c>
      <c r="B340" s="37">
        <v>5514958422.4700003</v>
      </c>
      <c r="C340" s="37">
        <v>52892896.270000003</v>
      </c>
      <c r="D340" s="37">
        <v>-9087244.6300000008</v>
      </c>
      <c r="E340" s="37">
        <v>16955198596.01</v>
      </c>
      <c r="F340" s="37">
        <v>495250886.88</v>
      </c>
      <c r="G340" s="37">
        <v>101695007.44</v>
      </c>
      <c r="H340" s="37">
        <v>2051655.95</v>
      </c>
      <c r="I340" s="37">
        <v>23112960220.389999</v>
      </c>
      <c r="J340" s="40"/>
      <c r="K340" s="40"/>
    </row>
    <row r="341" spans="1:11" x14ac:dyDescent="0.2">
      <c r="A341" s="41">
        <v>42538</v>
      </c>
      <c r="B341" s="37">
        <v>5516786547.4700003</v>
      </c>
      <c r="C341" s="37">
        <v>52892896.270000003</v>
      </c>
      <c r="D341" s="37">
        <v>-9087244.6300000008</v>
      </c>
      <c r="E341" s="37">
        <v>16955198596.01</v>
      </c>
      <c r="F341" s="37">
        <v>495250886.88</v>
      </c>
      <c r="G341" s="37">
        <v>101695007.44</v>
      </c>
      <c r="H341" s="37">
        <v>2051655.95</v>
      </c>
      <c r="I341" s="37">
        <v>23114788345.389999</v>
      </c>
      <c r="J341" s="40"/>
      <c r="K341" s="40"/>
    </row>
    <row r="342" spans="1:11" x14ac:dyDescent="0.2">
      <c r="A342" s="41">
        <v>42541</v>
      </c>
      <c r="B342" s="37">
        <v>5519663547.4700003</v>
      </c>
      <c r="C342" s="37">
        <v>52892896.270000003</v>
      </c>
      <c r="D342" s="37">
        <v>-9087244.6300000008</v>
      </c>
      <c r="E342" s="37">
        <v>16954746101.08</v>
      </c>
      <c r="F342" s="37">
        <v>495250886.88</v>
      </c>
      <c r="G342" s="37">
        <v>101695007.44</v>
      </c>
      <c r="H342" s="37">
        <v>2051655.95</v>
      </c>
      <c r="I342" s="37">
        <v>23117212850.459999</v>
      </c>
      <c r="J342" s="40"/>
      <c r="K342" s="40"/>
    </row>
    <row r="343" spans="1:11" x14ac:dyDescent="0.2">
      <c r="A343" s="41">
        <v>42548</v>
      </c>
      <c r="B343" s="37">
        <v>5550488547.4700003</v>
      </c>
      <c r="C343" s="37">
        <v>52892896.270000003</v>
      </c>
      <c r="D343" s="37">
        <v>-9087244.6300000008</v>
      </c>
      <c r="E343" s="37">
        <v>16954746101.08</v>
      </c>
      <c r="F343" s="37">
        <v>495250886.88</v>
      </c>
      <c r="G343" s="37">
        <v>101695007.44</v>
      </c>
      <c r="H343" s="37">
        <v>2051655.95</v>
      </c>
      <c r="I343" s="37">
        <v>23148037850.459999</v>
      </c>
      <c r="J343" s="40"/>
      <c r="K343" s="40"/>
    </row>
    <row r="344" spans="1:11" x14ac:dyDescent="0.2">
      <c r="A344" s="41">
        <v>42549</v>
      </c>
      <c r="B344" s="37">
        <v>5550488547.4700003</v>
      </c>
      <c r="C344" s="37">
        <v>52892896.270000003</v>
      </c>
      <c r="D344" s="37">
        <v>-9087244.6300000008</v>
      </c>
      <c r="E344" s="37">
        <v>16955443759.120001</v>
      </c>
      <c r="F344" s="37">
        <v>495250886.88</v>
      </c>
      <c r="G344" s="37">
        <v>101695007.44</v>
      </c>
      <c r="H344" s="37">
        <v>2051655.95</v>
      </c>
      <c r="I344" s="37">
        <v>23148735508.490002</v>
      </c>
      <c r="J344" s="40"/>
      <c r="K344" s="40"/>
    </row>
    <row r="345" spans="1:11" x14ac:dyDescent="0.2">
      <c r="A345" s="41">
        <v>42550</v>
      </c>
      <c r="B345" s="37">
        <v>5563026047.4700003</v>
      </c>
      <c r="C345" s="37">
        <v>52892896.270000003</v>
      </c>
      <c r="D345" s="37">
        <v>-9087244.6300000008</v>
      </c>
      <c r="E345" s="37">
        <v>16955443759.120001</v>
      </c>
      <c r="F345" s="37">
        <v>495250886.88</v>
      </c>
      <c r="G345" s="37">
        <v>101695007.44</v>
      </c>
      <c r="H345" s="37">
        <v>2051655.95</v>
      </c>
      <c r="I345" s="37">
        <v>23161273008.490002</v>
      </c>
      <c r="J345" s="40"/>
      <c r="K345" s="40"/>
    </row>
    <row r="346" spans="1:11" x14ac:dyDescent="0.2">
      <c r="A346" s="41">
        <v>42551</v>
      </c>
      <c r="B346" s="37">
        <v>5563026047.4700003</v>
      </c>
      <c r="C346" s="37">
        <v>52892896.270000003</v>
      </c>
      <c r="D346" s="37">
        <v>-9087244.6300000008</v>
      </c>
      <c r="E346" s="37">
        <v>16956741259.120001</v>
      </c>
      <c r="F346" s="37">
        <v>495250886.88</v>
      </c>
      <c r="G346" s="37">
        <v>101695007.44</v>
      </c>
      <c r="H346" s="37">
        <v>2051655.95</v>
      </c>
      <c r="I346" s="37">
        <v>23162570508.490002</v>
      </c>
      <c r="J346" s="40"/>
      <c r="K346" s="40"/>
    </row>
    <row r="347" spans="1:11" x14ac:dyDescent="0.2">
      <c r="A347" s="41">
        <v>42566</v>
      </c>
      <c r="B347" s="37">
        <v>5563026047.4700003</v>
      </c>
      <c r="C347" s="37">
        <v>52892896.270000003</v>
      </c>
      <c r="D347" s="37">
        <v>-9087244.6300000008</v>
      </c>
      <c r="E347" s="37">
        <v>16956741259.120001</v>
      </c>
      <c r="F347" s="37">
        <v>497555965.79000002</v>
      </c>
      <c r="G347" s="37">
        <v>101695007.44</v>
      </c>
      <c r="H347" s="37">
        <v>2051655.95</v>
      </c>
      <c r="I347" s="37">
        <v>23164875587.41</v>
      </c>
      <c r="J347" s="40"/>
      <c r="K347" s="40"/>
    </row>
    <row r="348" spans="1:11" x14ac:dyDescent="0.2">
      <c r="A348" s="41">
        <v>42569</v>
      </c>
      <c r="B348" s="37">
        <v>5565615400.3999996</v>
      </c>
      <c r="C348" s="37">
        <v>52892896.270000003</v>
      </c>
      <c r="D348" s="37">
        <v>-9087244.6300000008</v>
      </c>
      <c r="E348" s="37">
        <v>16956741259.120001</v>
      </c>
      <c r="F348" s="37">
        <v>497555965.79000002</v>
      </c>
      <c r="G348" s="37">
        <v>101695007.44</v>
      </c>
      <c r="H348" s="37">
        <v>2051655.95</v>
      </c>
      <c r="I348" s="37">
        <v>23167464940.34</v>
      </c>
      <c r="J348" s="40"/>
      <c r="K348" s="40"/>
    </row>
    <row r="349" spans="1:11" x14ac:dyDescent="0.2">
      <c r="A349" s="41">
        <v>42570</v>
      </c>
      <c r="B349" s="37">
        <v>5566987900.3999996</v>
      </c>
      <c r="C349" s="37">
        <v>52892896.270000003</v>
      </c>
      <c r="D349" s="37">
        <v>-9087244.6300000008</v>
      </c>
      <c r="E349" s="37">
        <v>16956741259.120001</v>
      </c>
      <c r="F349" s="37">
        <v>497555965.79000002</v>
      </c>
      <c r="G349" s="37">
        <v>101695007.44</v>
      </c>
      <c r="H349" s="37">
        <v>2051655.95</v>
      </c>
      <c r="I349" s="37">
        <v>23168837440.34</v>
      </c>
      <c r="J349" s="40"/>
      <c r="K349" s="40"/>
    </row>
    <row r="350" spans="1:11" x14ac:dyDescent="0.2">
      <c r="A350" s="41">
        <v>42583</v>
      </c>
      <c r="B350" s="37">
        <v>5567628525.3999996</v>
      </c>
      <c r="C350" s="37">
        <v>52892896.270000003</v>
      </c>
      <c r="D350" s="37">
        <v>-9087244.6300000008</v>
      </c>
      <c r="E350" s="37">
        <v>16956741259.120001</v>
      </c>
      <c r="F350" s="37">
        <v>497555965.79000002</v>
      </c>
      <c r="G350" s="37">
        <v>101695007.44</v>
      </c>
      <c r="H350" s="37">
        <v>2051655.95</v>
      </c>
      <c r="I350" s="37">
        <v>23169478065.34</v>
      </c>
      <c r="J350" s="40"/>
      <c r="K350" s="40"/>
    </row>
    <row r="351" spans="1:11" x14ac:dyDescent="0.2">
      <c r="A351" s="41">
        <v>42597</v>
      </c>
      <c r="B351" s="37">
        <v>5589197900.3999996</v>
      </c>
      <c r="C351" s="37">
        <v>52892896.270000003</v>
      </c>
      <c r="D351" s="37">
        <v>-9087244.6300000008</v>
      </c>
      <c r="E351" s="37">
        <v>16958861259.120001</v>
      </c>
      <c r="F351" s="37">
        <v>497555965.79000002</v>
      </c>
      <c r="G351" s="37">
        <v>101695007.44</v>
      </c>
      <c r="H351" s="37">
        <v>2051655.95</v>
      </c>
      <c r="I351" s="37">
        <v>23193167440.34</v>
      </c>
      <c r="J351" s="40"/>
      <c r="K351" s="40"/>
    </row>
    <row r="352" spans="1:11" x14ac:dyDescent="0.2">
      <c r="A352" s="41">
        <v>42611</v>
      </c>
      <c r="B352" s="37">
        <v>5589247900.3999996</v>
      </c>
      <c r="C352" s="37">
        <v>52892896.270000003</v>
      </c>
      <c r="D352" s="37">
        <v>-9087244.6300000008</v>
      </c>
      <c r="E352" s="37">
        <v>16958861259.120001</v>
      </c>
      <c r="F352" s="37">
        <v>497555965.79000002</v>
      </c>
      <c r="G352" s="37">
        <v>101695007.44</v>
      </c>
      <c r="H352" s="37">
        <v>2051655.95</v>
      </c>
      <c r="I352" s="37">
        <v>23193217440.34</v>
      </c>
      <c r="J352" s="40"/>
      <c r="K352" s="40"/>
    </row>
    <row r="353" spans="1:11" x14ac:dyDescent="0.2">
      <c r="A353" s="41">
        <v>42613</v>
      </c>
      <c r="B353" s="37">
        <v>5589247900.3999996</v>
      </c>
      <c r="C353" s="37">
        <v>52892896.270000003</v>
      </c>
      <c r="D353" s="37">
        <v>-9087244.6300000008</v>
      </c>
      <c r="E353" s="37">
        <v>16958861259.120001</v>
      </c>
      <c r="F353" s="37">
        <v>497555966</v>
      </c>
      <c r="G353" s="37">
        <v>101695007.44</v>
      </c>
      <c r="H353" s="37">
        <v>2051655.95</v>
      </c>
      <c r="I353" s="37">
        <v>23193217440.34</v>
      </c>
      <c r="J353" s="40"/>
      <c r="K353" s="40"/>
    </row>
    <row r="354" spans="1:11" x14ac:dyDescent="0.2">
      <c r="A354" s="41">
        <v>42628</v>
      </c>
      <c r="B354" s="37">
        <v>5601179150.3999996</v>
      </c>
      <c r="C354" s="37">
        <v>52892896.270000003</v>
      </c>
      <c r="D354" s="37">
        <v>-9087244.6300000008</v>
      </c>
      <c r="E354" s="37">
        <v>16958959563.73</v>
      </c>
      <c r="F354" s="37">
        <v>497555966</v>
      </c>
      <c r="G354" s="37">
        <v>101695007.44</v>
      </c>
      <c r="H354" s="37">
        <v>2051655.95</v>
      </c>
      <c r="I354" s="37">
        <v>23205246994.950001</v>
      </c>
      <c r="J354" s="40"/>
      <c r="K354" s="40"/>
    </row>
    <row r="355" spans="1:11" x14ac:dyDescent="0.2">
      <c r="A355" s="41">
        <v>42632</v>
      </c>
      <c r="B355" s="37">
        <v>5601251650.3999996</v>
      </c>
      <c r="C355" s="37">
        <v>52892896.270000003</v>
      </c>
      <c r="D355" s="37">
        <v>-9087244.6300000008</v>
      </c>
      <c r="E355" s="37">
        <v>16959105998.790001</v>
      </c>
      <c r="F355" s="37">
        <v>497555966</v>
      </c>
      <c r="G355" s="37">
        <v>101695007.44</v>
      </c>
      <c r="H355" s="37">
        <v>2051655.95</v>
      </c>
      <c r="I355" s="37">
        <v>23205465930.009998</v>
      </c>
      <c r="J355" s="40"/>
      <c r="K355" s="40"/>
    </row>
    <row r="356" spans="1:11" x14ac:dyDescent="0.2">
      <c r="A356" s="41">
        <v>42633</v>
      </c>
      <c r="B356" s="37">
        <v>5924520400.3999996</v>
      </c>
      <c r="C356" s="37">
        <v>52892896.270000003</v>
      </c>
      <c r="D356" s="37">
        <v>-9087244.6300000008</v>
      </c>
      <c r="E356" s="37">
        <v>16959105998.790001</v>
      </c>
      <c r="F356" s="37">
        <v>497555966</v>
      </c>
      <c r="G356" s="37">
        <v>101695007.44</v>
      </c>
      <c r="H356" s="37">
        <v>2051655.95</v>
      </c>
      <c r="I356" s="37">
        <v>23528734680.009998</v>
      </c>
      <c r="J356" s="40"/>
      <c r="K356" s="40"/>
    </row>
    <row r="357" spans="1:11" x14ac:dyDescent="0.2">
      <c r="A357" s="41">
        <v>42641</v>
      </c>
      <c r="B357" s="37">
        <v>5924607900.3999996</v>
      </c>
      <c r="C357" s="37">
        <v>52892896.270000003</v>
      </c>
      <c r="D357" s="37">
        <v>-9087244.6300000008</v>
      </c>
      <c r="E357" s="37">
        <v>16958718171.17</v>
      </c>
      <c r="F357" s="37">
        <v>497555966</v>
      </c>
      <c r="G357" s="37">
        <v>101695007.44</v>
      </c>
      <c r="H357" s="37">
        <v>2051655.95</v>
      </c>
      <c r="I357" s="37">
        <v>23528434352.389999</v>
      </c>
      <c r="J357" s="40"/>
      <c r="K357" s="40"/>
    </row>
    <row r="358" spans="1:11" x14ac:dyDescent="0.2">
      <c r="A358" s="41">
        <v>42643</v>
      </c>
      <c r="B358" s="37">
        <v>5924607900.3999996</v>
      </c>
      <c r="C358" s="37">
        <v>52892896.270000003</v>
      </c>
      <c r="D358" s="37">
        <v>-9087244.6300000008</v>
      </c>
      <c r="E358" s="37">
        <v>16958883171.17</v>
      </c>
      <c r="F358" s="37">
        <v>497555966</v>
      </c>
      <c r="G358" s="37">
        <v>101695007.44</v>
      </c>
      <c r="H358" s="37">
        <v>2051655.95</v>
      </c>
      <c r="I358" s="37">
        <v>23528599352.389999</v>
      </c>
      <c r="J358" s="40"/>
      <c r="K358" s="40"/>
    </row>
    <row r="359" spans="1:11" x14ac:dyDescent="0.2">
      <c r="A359" s="41">
        <v>42648</v>
      </c>
      <c r="B359" s="37">
        <v>6117345126.6499996</v>
      </c>
      <c r="C359" s="37">
        <v>52892896.270000003</v>
      </c>
      <c r="D359" s="37">
        <v>-9087244.6300000008</v>
      </c>
      <c r="E359" s="37">
        <v>16958883171.17</v>
      </c>
      <c r="F359" s="37">
        <v>497555966</v>
      </c>
      <c r="G359" s="37">
        <v>101695007.44</v>
      </c>
      <c r="H359" s="37">
        <v>2051655.95</v>
      </c>
      <c r="I359" s="37">
        <v>23721336578.639999</v>
      </c>
      <c r="J359" s="40"/>
      <c r="K359" s="40"/>
    </row>
    <row r="360" spans="1:11" x14ac:dyDescent="0.2">
      <c r="A360" s="41">
        <v>42660</v>
      </c>
      <c r="B360" s="37">
        <v>6117357626.6499996</v>
      </c>
      <c r="C360" s="37">
        <v>52892896.270000003</v>
      </c>
      <c r="D360" s="37">
        <v>-9087244.6300000008</v>
      </c>
      <c r="E360" s="37">
        <v>16958883171.17</v>
      </c>
      <c r="F360" s="37">
        <v>497555966</v>
      </c>
      <c r="G360" s="37">
        <v>101695007.44</v>
      </c>
      <c r="H360" s="37">
        <v>2051655.95</v>
      </c>
      <c r="I360" s="37">
        <v>23721349078.639999</v>
      </c>
      <c r="J360" s="40"/>
      <c r="K360" s="40"/>
    </row>
    <row r="361" spans="1:11" x14ac:dyDescent="0.2">
      <c r="A361" s="41">
        <v>42669</v>
      </c>
      <c r="B361" s="37">
        <v>6117487626.6499996</v>
      </c>
      <c r="C361" s="37">
        <v>52892896.270000003</v>
      </c>
      <c r="D361" s="37">
        <v>-9087244.6300000008</v>
      </c>
      <c r="E361" s="37">
        <v>16958883171.17</v>
      </c>
      <c r="F361" s="37">
        <v>497555966</v>
      </c>
      <c r="G361" s="37">
        <v>101695007.44</v>
      </c>
      <c r="H361" s="37">
        <v>2051655.95</v>
      </c>
      <c r="I361" s="37">
        <v>23721479078.639999</v>
      </c>
      <c r="J361" s="40"/>
      <c r="K361" s="40"/>
    </row>
    <row r="362" spans="1:11" x14ac:dyDescent="0.2">
      <c r="A362" s="41">
        <v>42676</v>
      </c>
      <c r="B362" s="37">
        <v>6212212626.6499996</v>
      </c>
      <c r="C362" s="37">
        <v>52892896.270000003</v>
      </c>
      <c r="D362" s="37">
        <v>-9087244.6300000008</v>
      </c>
      <c r="E362" s="37">
        <v>16958883171.17</v>
      </c>
      <c r="F362" s="37">
        <v>497555966</v>
      </c>
      <c r="G362" s="37">
        <v>101695007.44</v>
      </c>
      <c r="H362" s="37">
        <v>2051655.95</v>
      </c>
      <c r="I362" s="37">
        <v>23816204078.639999</v>
      </c>
      <c r="J362" s="40"/>
      <c r="K362" s="40"/>
    </row>
    <row r="363" spans="1:11" x14ac:dyDescent="0.2">
      <c r="A363" s="41">
        <v>42689</v>
      </c>
      <c r="B363" s="37">
        <v>6405467626.6499996</v>
      </c>
      <c r="C363" s="37">
        <v>52892896.270000003</v>
      </c>
      <c r="D363" s="37">
        <v>-9087244.6300000008</v>
      </c>
      <c r="E363" s="37">
        <v>16961228171.17</v>
      </c>
      <c r="F363" s="37">
        <v>497555966</v>
      </c>
      <c r="G363" s="37">
        <v>101695007.44</v>
      </c>
      <c r="H363" s="37">
        <v>2051655.95</v>
      </c>
      <c r="I363" s="37">
        <v>24011804078.639999</v>
      </c>
      <c r="J363" s="40"/>
      <c r="K363" s="40"/>
    </row>
    <row r="364" spans="1:11" x14ac:dyDescent="0.2">
      <c r="A364" s="41">
        <v>42691</v>
      </c>
      <c r="B364" s="37">
        <v>6405602626.6499996</v>
      </c>
      <c r="C364" s="37">
        <v>52892896.270000003</v>
      </c>
      <c r="D364" s="37">
        <v>-9087244.6300000008</v>
      </c>
      <c r="E364" s="37">
        <v>16961228171.17</v>
      </c>
      <c r="F364" s="37">
        <v>497555966</v>
      </c>
      <c r="G364" s="37">
        <v>101695007.44</v>
      </c>
      <c r="H364" s="37">
        <v>2051655.95</v>
      </c>
      <c r="I364" s="37">
        <v>24011939078.639999</v>
      </c>
      <c r="J364" s="40"/>
      <c r="K364" s="40"/>
    </row>
    <row r="365" spans="1:11" x14ac:dyDescent="0.2">
      <c r="A365" s="41">
        <v>42704</v>
      </c>
      <c r="B365" s="37">
        <v>6666540126.6499996</v>
      </c>
      <c r="C365" s="37">
        <v>52892896.270000003</v>
      </c>
      <c r="D365" s="37">
        <v>-9087244.6300000008</v>
      </c>
      <c r="E365" s="37">
        <v>16962718796.17</v>
      </c>
      <c r="F365" s="37">
        <v>497555966</v>
      </c>
      <c r="G365" s="37">
        <v>101695007.44</v>
      </c>
      <c r="H365" s="37">
        <v>2051655.95</v>
      </c>
      <c r="I365" s="37">
        <v>24274367203.639999</v>
      </c>
      <c r="J365" s="40"/>
      <c r="K365" s="40"/>
    </row>
    <row r="366" spans="1:11" x14ac:dyDescent="0.2">
      <c r="A366" s="41">
        <v>42716</v>
      </c>
      <c r="B366" s="37">
        <v>6669310126.6499996</v>
      </c>
      <c r="C366" s="37">
        <v>52892896.270000003</v>
      </c>
      <c r="D366" s="37">
        <v>-9087244.6300000008</v>
      </c>
      <c r="E366" s="37">
        <v>16962987546.17</v>
      </c>
      <c r="F366" s="37">
        <v>497555966</v>
      </c>
      <c r="G366" s="37">
        <v>101695007.44</v>
      </c>
      <c r="H366" s="37">
        <v>2051655.95</v>
      </c>
      <c r="I366" s="37">
        <v>24277405953.639999</v>
      </c>
      <c r="J366" s="40"/>
      <c r="K366" s="40"/>
    </row>
    <row r="367" spans="1:11" x14ac:dyDescent="0.2">
      <c r="A367" s="41">
        <v>42719</v>
      </c>
      <c r="B367" s="37">
        <v>6674835126.6499996</v>
      </c>
      <c r="C367" s="37">
        <v>52892896.270000003</v>
      </c>
      <c r="D367" s="37">
        <v>-9087244.6300000008</v>
      </c>
      <c r="E367" s="37">
        <v>16962800382.75</v>
      </c>
      <c r="F367" s="37">
        <v>497555966</v>
      </c>
      <c r="G367" s="37">
        <v>101695007.44</v>
      </c>
      <c r="H367" s="37">
        <v>2051655.95</v>
      </c>
      <c r="I367" s="37">
        <v>24282743790.220001</v>
      </c>
      <c r="J367" s="40"/>
      <c r="K367" s="40"/>
    </row>
    <row r="368" spans="1:11" x14ac:dyDescent="0.2">
      <c r="A368" s="41">
        <v>42720</v>
      </c>
      <c r="B368" s="37">
        <v>6831022626.6499996</v>
      </c>
      <c r="C368" s="37">
        <v>52892896.270000003</v>
      </c>
      <c r="D368" s="37">
        <v>-9087244.6300000008</v>
      </c>
      <c r="E368" s="37">
        <v>16962800382.75</v>
      </c>
      <c r="F368" s="37">
        <v>497555966</v>
      </c>
      <c r="G368" s="37">
        <v>101695007.44</v>
      </c>
      <c r="H368" s="37">
        <v>2051655.95</v>
      </c>
      <c r="I368" s="37">
        <v>24438931290.220001</v>
      </c>
      <c r="J368" s="40"/>
      <c r="K368" s="40"/>
    </row>
    <row r="369" spans="1:11" x14ac:dyDescent="0.2">
      <c r="A369" s="41">
        <v>42723</v>
      </c>
      <c r="B369" s="37">
        <v>6841665251.6499996</v>
      </c>
      <c r="C369" s="37">
        <v>52892896.270000003</v>
      </c>
      <c r="D369" s="37">
        <v>-9087244.6300000008</v>
      </c>
      <c r="E369" s="37">
        <v>16962371361.48</v>
      </c>
      <c r="F369" s="37">
        <v>497555966</v>
      </c>
      <c r="G369" s="37">
        <v>101695007.44</v>
      </c>
      <c r="H369" s="37">
        <v>2051655.95</v>
      </c>
      <c r="I369" s="37">
        <v>24449144893.950001</v>
      </c>
      <c r="J369" s="40"/>
      <c r="K369" s="40"/>
    </row>
    <row r="370" spans="1:11" x14ac:dyDescent="0.2">
      <c r="A370" s="41">
        <v>42738</v>
      </c>
      <c r="B370" s="37">
        <v>6841665251.6499996</v>
      </c>
      <c r="C370" s="37">
        <v>52892896.270000003</v>
      </c>
      <c r="D370" s="37">
        <v>-9087244.6300000008</v>
      </c>
      <c r="E370" s="37">
        <v>16963668861.48</v>
      </c>
      <c r="F370" s="37">
        <v>497555966</v>
      </c>
      <c r="G370" s="37">
        <v>101695007.44</v>
      </c>
      <c r="H370" s="37">
        <v>2051655.95</v>
      </c>
      <c r="I370" s="37">
        <v>24450442393.950001</v>
      </c>
      <c r="J370" s="40"/>
      <c r="K370" s="40"/>
    </row>
    <row r="371" spans="1:11" x14ac:dyDescent="0.2">
      <c r="A371" s="41">
        <v>42752</v>
      </c>
      <c r="B371" s="37">
        <v>6869254604.5799999</v>
      </c>
      <c r="C371" s="37">
        <v>52892896.270000003</v>
      </c>
      <c r="D371" s="37">
        <v>-9087244.6300000008</v>
      </c>
      <c r="E371" s="37">
        <v>16963668861.48</v>
      </c>
      <c r="F371" s="37">
        <v>499861044.70999998</v>
      </c>
      <c r="G371" s="37">
        <v>101695007.44</v>
      </c>
      <c r="H371" s="37">
        <v>2051655.95</v>
      </c>
      <c r="I371" s="37">
        <v>24480336825.790001</v>
      </c>
      <c r="J371" s="40"/>
      <c r="K371" s="40"/>
    </row>
    <row r="372" spans="1:11" x14ac:dyDescent="0.2">
      <c r="A372" s="41">
        <v>42754</v>
      </c>
      <c r="B372" s="37">
        <v>6870627104.5799999</v>
      </c>
      <c r="C372" s="37">
        <v>52892896.270000003</v>
      </c>
      <c r="D372" s="37">
        <v>-9087244.6300000008</v>
      </c>
      <c r="E372" s="37">
        <v>16963668861.48</v>
      </c>
      <c r="F372" s="37">
        <v>499861044.70999998</v>
      </c>
      <c r="G372" s="37">
        <v>101695007.44</v>
      </c>
      <c r="H372" s="37">
        <v>2051655.95</v>
      </c>
      <c r="I372" s="37">
        <v>24481709325.790001</v>
      </c>
      <c r="J372" s="40"/>
      <c r="K372" s="40"/>
    </row>
    <row r="373" spans="1:11" x14ac:dyDescent="0.2">
      <c r="A373" s="41">
        <v>42767</v>
      </c>
      <c r="B373" s="37">
        <v>6896267729.5799999</v>
      </c>
      <c r="C373" s="37">
        <v>52892896.270000003</v>
      </c>
      <c r="D373" s="37">
        <v>-9087244.6300000008</v>
      </c>
      <c r="E373" s="37">
        <v>16963668861.48</v>
      </c>
      <c r="F373" s="37">
        <v>499861044.70999998</v>
      </c>
      <c r="G373" s="37">
        <v>101695007.44</v>
      </c>
      <c r="H373" s="37">
        <v>2051655.95</v>
      </c>
      <c r="I373" s="37">
        <v>24507349950.790001</v>
      </c>
      <c r="J373" s="40"/>
      <c r="K373" s="40"/>
    </row>
    <row r="374" spans="1:11" x14ac:dyDescent="0.2">
      <c r="A374" s="41">
        <v>42781</v>
      </c>
      <c r="B374" s="37">
        <v>6917837104.5799999</v>
      </c>
      <c r="C374" s="37">
        <v>52892896.270000003</v>
      </c>
      <c r="D374" s="37">
        <v>-9087244.6300000008</v>
      </c>
      <c r="E374" s="37">
        <v>16965788861.48</v>
      </c>
      <c r="F374" s="37">
        <v>499861044.70999998</v>
      </c>
      <c r="G374" s="37">
        <v>101695007.44</v>
      </c>
      <c r="H374" s="37">
        <v>2051655.95</v>
      </c>
      <c r="I374" s="37">
        <v>24531039325.790001</v>
      </c>
      <c r="J374" s="40"/>
      <c r="K374" s="40"/>
    </row>
    <row r="375" spans="1:11" x14ac:dyDescent="0.2">
      <c r="A375" s="41">
        <v>42782</v>
      </c>
      <c r="B375" s="37">
        <v>7023087104.5799999</v>
      </c>
      <c r="C375" s="37">
        <v>52892896.270000003</v>
      </c>
      <c r="D375" s="37">
        <v>-9087244.6300000008</v>
      </c>
      <c r="E375" s="37">
        <v>16965788861.48</v>
      </c>
      <c r="F375" s="37">
        <v>499861044.70999998</v>
      </c>
      <c r="G375" s="37">
        <v>101695007.44</v>
      </c>
      <c r="H375" s="37">
        <v>2051655.95</v>
      </c>
      <c r="I375" s="37">
        <v>24636289325.790001</v>
      </c>
      <c r="J375" s="40"/>
      <c r="K375" s="40"/>
    </row>
    <row r="376" spans="1:11" x14ac:dyDescent="0.2">
      <c r="A376" s="41">
        <v>42793</v>
      </c>
      <c r="B376" s="37">
        <v>7023137104.5799999</v>
      </c>
      <c r="C376" s="37">
        <v>52892896.270000003</v>
      </c>
      <c r="D376" s="37">
        <v>-9087244.6300000008</v>
      </c>
      <c r="E376" s="37">
        <v>16965788861.48</v>
      </c>
      <c r="F376" s="37">
        <v>499861044.70999998</v>
      </c>
      <c r="G376" s="37">
        <v>101695007.44</v>
      </c>
      <c r="H376" s="37">
        <v>2051655.95</v>
      </c>
      <c r="I376" s="37">
        <v>24636339325.790001</v>
      </c>
      <c r="J376" s="40"/>
      <c r="K376" s="40"/>
    </row>
    <row r="377" spans="1:11" x14ac:dyDescent="0.2">
      <c r="A377" s="41">
        <v>42794</v>
      </c>
      <c r="B377" s="37">
        <v>7023137104.5799999</v>
      </c>
      <c r="C377" s="37">
        <v>52892896.270000003</v>
      </c>
      <c r="D377" s="37">
        <v>-9087244.6300000008</v>
      </c>
      <c r="E377" s="37">
        <v>16965788861.48</v>
      </c>
      <c r="F377" s="37">
        <v>499861044.70999998</v>
      </c>
      <c r="G377" s="37">
        <v>101695007.44</v>
      </c>
      <c r="H377" s="37">
        <v>2051655.95</v>
      </c>
      <c r="I377" s="37">
        <v>24636339325.790001</v>
      </c>
      <c r="J377" s="40"/>
      <c r="K377" s="40"/>
    </row>
    <row r="378" spans="1:11" x14ac:dyDescent="0.2">
      <c r="A378" s="41">
        <v>42809</v>
      </c>
      <c r="B378" s="37">
        <v>7235068354.5799999</v>
      </c>
      <c r="C378" s="37">
        <v>52892896.270000003</v>
      </c>
      <c r="D378" s="37">
        <v>-9087244.6300000008</v>
      </c>
      <c r="E378" s="37">
        <v>16965788861.48</v>
      </c>
      <c r="F378" s="37">
        <v>499861044.70999998</v>
      </c>
      <c r="G378" s="37">
        <v>101695007.44</v>
      </c>
      <c r="H378" s="37">
        <v>2051655.95</v>
      </c>
      <c r="I378" s="37">
        <v>24848270575.790001</v>
      </c>
      <c r="J378" s="40"/>
      <c r="K378" s="40"/>
    </row>
    <row r="379" spans="1:11" x14ac:dyDescent="0.2">
      <c r="A379" s="41">
        <v>42814</v>
      </c>
      <c r="B379" s="37">
        <v>7235140854.5799999</v>
      </c>
      <c r="C379" s="37">
        <v>52892896.270000003</v>
      </c>
      <c r="D379" s="37">
        <v>-9087244.6300000008</v>
      </c>
      <c r="E379" s="37">
        <v>16965959535.549999</v>
      </c>
      <c r="F379" s="37">
        <v>499861044.70999998</v>
      </c>
      <c r="G379" s="37">
        <v>101695007.44</v>
      </c>
      <c r="H379" s="37">
        <v>2051655.95</v>
      </c>
      <c r="I379" s="37">
        <v>24848513749.869999</v>
      </c>
      <c r="J379" s="40"/>
      <c r="K379" s="40"/>
    </row>
    <row r="380" spans="1:11" x14ac:dyDescent="0.2">
      <c r="A380" s="41">
        <v>42822</v>
      </c>
      <c r="B380" s="37">
        <v>7235228354.5799999</v>
      </c>
      <c r="C380" s="37">
        <v>52892896.270000003</v>
      </c>
      <c r="D380" s="37">
        <v>-9087244.6300000008</v>
      </c>
      <c r="E380" s="37">
        <v>16965959535.549999</v>
      </c>
      <c r="F380" s="37">
        <v>499861044.70999998</v>
      </c>
      <c r="G380" s="37">
        <v>101695007.44</v>
      </c>
      <c r="H380" s="37">
        <v>2051655.95</v>
      </c>
      <c r="I380" s="37">
        <v>24848601249.869999</v>
      </c>
      <c r="J380" s="40"/>
      <c r="K380" s="40"/>
    </row>
    <row r="381" spans="1:11" x14ac:dyDescent="0.2">
      <c r="A381" s="41">
        <v>42825</v>
      </c>
      <c r="B381" s="37">
        <v>7235228354.5799999</v>
      </c>
      <c r="C381" s="37">
        <v>52892896.270000003</v>
      </c>
      <c r="D381" s="37">
        <v>-9087244.6300000008</v>
      </c>
      <c r="E381" s="37">
        <v>16999124535.549999</v>
      </c>
      <c r="F381" s="37">
        <v>499861044.70999998</v>
      </c>
      <c r="G381" s="37">
        <v>101695007.44</v>
      </c>
      <c r="H381" s="37">
        <v>2051655.95</v>
      </c>
      <c r="I381" s="37">
        <v>24881766249.869999</v>
      </c>
      <c r="J381" s="40"/>
      <c r="K381" s="40"/>
    </row>
    <row r="382" spans="1:11" x14ac:dyDescent="0.2">
      <c r="A382" s="41">
        <v>42835</v>
      </c>
      <c r="B382" s="37">
        <v>7340228354.5799999</v>
      </c>
      <c r="C382" s="37">
        <v>52892896.270000003</v>
      </c>
      <c r="D382" s="37">
        <v>-9087244.6300000008</v>
      </c>
      <c r="E382" s="37">
        <v>16999124535.549999</v>
      </c>
      <c r="F382" s="37">
        <v>499861044.70999998</v>
      </c>
      <c r="G382" s="37">
        <v>101695007.44</v>
      </c>
      <c r="H382" s="37">
        <v>2051655.95</v>
      </c>
      <c r="I382" s="37">
        <v>24986766249.869999</v>
      </c>
      <c r="J382" s="40"/>
      <c r="K382" s="40"/>
    </row>
    <row r="383" spans="1:11" x14ac:dyDescent="0.2">
      <c r="A383" s="41">
        <v>42842</v>
      </c>
      <c r="B383" s="37">
        <v>7340240854.5799999</v>
      </c>
      <c r="C383" s="37">
        <v>52892896.270000003</v>
      </c>
      <c r="D383" s="37">
        <v>-9087244.6300000008</v>
      </c>
      <c r="E383" s="37">
        <v>16999124535.549999</v>
      </c>
      <c r="F383" s="37">
        <v>499861044.70999998</v>
      </c>
      <c r="G383" s="37">
        <v>101695007.44</v>
      </c>
      <c r="H383" s="37">
        <v>2051655.95</v>
      </c>
      <c r="I383" s="37">
        <v>24986778749.869999</v>
      </c>
      <c r="J383" s="40"/>
      <c r="K383" s="40"/>
    </row>
    <row r="384" spans="1:11" x14ac:dyDescent="0.2">
      <c r="A384" s="41">
        <v>42851</v>
      </c>
      <c r="B384" s="37">
        <v>7340370854.5799999</v>
      </c>
      <c r="C384" s="37">
        <v>52892896.270000003</v>
      </c>
      <c r="D384" s="37">
        <v>-9087244.6300000008</v>
      </c>
      <c r="E384" s="37">
        <v>16999124535.549999</v>
      </c>
      <c r="F384" s="37">
        <v>499861044.70999998</v>
      </c>
      <c r="G384" s="37">
        <v>101695007.44</v>
      </c>
      <c r="H384" s="37">
        <v>2051655.95</v>
      </c>
      <c r="I384" s="37">
        <v>24986908749.869999</v>
      </c>
      <c r="J384" s="40"/>
      <c r="K384" s="40"/>
    </row>
    <row r="385" spans="1:11" x14ac:dyDescent="0.2">
      <c r="A385" s="41">
        <v>42870</v>
      </c>
      <c r="B385" s="37">
        <v>7555157104.5799999</v>
      </c>
      <c r="C385" s="37">
        <v>52892896.270000003</v>
      </c>
      <c r="D385" s="37">
        <v>-9087244.6300000008</v>
      </c>
      <c r="E385" s="37">
        <v>17001469535.549999</v>
      </c>
      <c r="F385" s="37">
        <v>499861044.70999998</v>
      </c>
      <c r="G385" s="37">
        <v>101695007.44</v>
      </c>
      <c r="H385" s="37">
        <v>2051655.95</v>
      </c>
      <c r="I385" s="37">
        <v>25204039999.869999</v>
      </c>
      <c r="J385" s="40"/>
      <c r="K385" s="40"/>
    </row>
    <row r="386" spans="1:11" x14ac:dyDescent="0.2">
      <c r="A386" s="41">
        <v>42872</v>
      </c>
      <c r="B386" s="37">
        <v>7555292104.5799999</v>
      </c>
      <c r="C386" s="37">
        <v>52892896.270000003</v>
      </c>
      <c r="D386" s="37">
        <v>-9087244.6300000008</v>
      </c>
      <c r="E386" s="37">
        <v>17001469535.549999</v>
      </c>
      <c r="F386" s="37">
        <v>499861044.70999998</v>
      </c>
      <c r="G386" s="37">
        <v>101695007.44</v>
      </c>
      <c r="H386" s="37">
        <v>2051655.95</v>
      </c>
      <c r="I386" s="37">
        <v>25204174999.869999</v>
      </c>
      <c r="J386" s="40"/>
      <c r="K386" s="40"/>
    </row>
    <row r="387" spans="1:11" x14ac:dyDescent="0.2">
      <c r="A387" s="41">
        <v>42886</v>
      </c>
      <c r="B387" s="37">
        <v>7555292104.5799999</v>
      </c>
      <c r="C387" s="37">
        <v>52892896.270000003</v>
      </c>
      <c r="D387" s="37">
        <v>-9087244.6300000008</v>
      </c>
      <c r="E387" s="37">
        <v>17479960160.549999</v>
      </c>
      <c r="F387" s="37">
        <v>499861044.70999998</v>
      </c>
      <c r="G387" s="37">
        <v>101695007.44</v>
      </c>
      <c r="H387" s="37">
        <v>2051655.95</v>
      </c>
      <c r="I387" s="37">
        <v>25682665624.869999</v>
      </c>
      <c r="J387" s="40"/>
      <c r="K387" s="40"/>
    </row>
    <row r="388" spans="1:11" x14ac:dyDescent="0.2">
      <c r="A388" s="41">
        <v>42898</v>
      </c>
      <c r="B388" s="37">
        <v>7658062104.5799999</v>
      </c>
      <c r="C388" s="37">
        <v>52892896.270000003</v>
      </c>
      <c r="D388" s="37">
        <v>-9087244.6300000008</v>
      </c>
      <c r="E388" s="37">
        <v>17490228910.549999</v>
      </c>
      <c r="F388" s="37">
        <v>499861044.70999998</v>
      </c>
      <c r="G388" s="37">
        <v>101695007.44</v>
      </c>
      <c r="H388" s="37">
        <v>2051655.95</v>
      </c>
      <c r="I388" s="37">
        <v>25795704374.869999</v>
      </c>
      <c r="J388" s="40"/>
      <c r="K388" s="40"/>
    </row>
    <row r="389" spans="1:11" x14ac:dyDescent="0.2">
      <c r="A389" s="41">
        <v>42905</v>
      </c>
      <c r="B389" s="37">
        <v>7712767229.5799999</v>
      </c>
      <c r="C389" s="37">
        <v>52892896.270000003</v>
      </c>
      <c r="D389" s="37">
        <v>-9087244.6300000008</v>
      </c>
      <c r="E389" s="37">
        <v>17489822014.57</v>
      </c>
      <c r="F389" s="37">
        <v>499861044.70999998</v>
      </c>
      <c r="G389" s="37">
        <v>101695007.44</v>
      </c>
      <c r="H389" s="37">
        <v>2051655.95</v>
      </c>
      <c r="I389" s="37">
        <v>25850002603.889999</v>
      </c>
      <c r="J389" s="40"/>
      <c r="K389" s="40"/>
    </row>
    <row r="390" spans="1:11" x14ac:dyDescent="0.2">
      <c r="A390" s="41">
        <v>42915</v>
      </c>
      <c r="B390" s="37">
        <v>7725304729.5799999</v>
      </c>
      <c r="C390" s="37">
        <v>52892896.270000003</v>
      </c>
      <c r="D390" s="37">
        <v>-9087244.6300000008</v>
      </c>
      <c r="E390" s="37">
        <v>17489822014.57</v>
      </c>
      <c r="F390" s="37">
        <v>499861044.70999998</v>
      </c>
      <c r="G390" s="37">
        <v>101695007.44</v>
      </c>
      <c r="H390" s="37">
        <v>2051655.95</v>
      </c>
      <c r="I390" s="37">
        <v>25862540103.889999</v>
      </c>
      <c r="J390" s="40"/>
      <c r="K390" s="40"/>
    </row>
    <row r="391" spans="1:11" x14ac:dyDescent="0.2">
      <c r="A391" s="41">
        <v>42916</v>
      </c>
      <c r="B391" s="37">
        <v>7725304729.5799999</v>
      </c>
      <c r="C391" s="37">
        <v>52892896.270000003</v>
      </c>
      <c r="D391" s="37">
        <v>-9087244.6300000008</v>
      </c>
      <c r="E391" s="37">
        <v>17837119514.57</v>
      </c>
      <c r="F391" s="37">
        <v>499861044.70999998</v>
      </c>
      <c r="G391" s="37">
        <v>101695007.44</v>
      </c>
      <c r="H391" s="37">
        <v>2051655.95</v>
      </c>
      <c r="I391" s="37">
        <v>26209837603.889999</v>
      </c>
      <c r="J391" s="40"/>
      <c r="K391" s="40"/>
    </row>
    <row r="392" spans="1:11" x14ac:dyDescent="0.2">
      <c r="A392" s="41">
        <v>42931</v>
      </c>
      <c r="B392" s="37">
        <v>7725304729.5799999</v>
      </c>
      <c r="C392" s="37">
        <v>52892896.270000003</v>
      </c>
      <c r="D392" s="37">
        <v>-9087244.6300000008</v>
      </c>
      <c r="E392" s="37">
        <v>17837119514.57</v>
      </c>
      <c r="F392" s="37">
        <v>571280810.35000002</v>
      </c>
      <c r="G392" s="37">
        <v>101695007.44</v>
      </c>
      <c r="H392" s="37">
        <v>2051655.95</v>
      </c>
      <c r="I392" s="37">
        <v>26281257369.529999</v>
      </c>
      <c r="J392" s="40"/>
      <c r="K392" s="40"/>
    </row>
    <row r="393" spans="1:11" x14ac:dyDescent="0.2">
      <c r="A393" s="41">
        <v>42933</v>
      </c>
      <c r="B393" s="37">
        <v>7727284707.5100002</v>
      </c>
      <c r="C393" s="37">
        <v>52892896.270000003</v>
      </c>
      <c r="D393" s="37">
        <v>-9087244.6300000008</v>
      </c>
      <c r="E393" s="37">
        <v>17837119514.57</v>
      </c>
      <c r="F393" s="37">
        <v>572660648.63</v>
      </c>
      <c r="G393" s="37">
        <v>101695007.44</v>
      </c>
      <c r="H393" s="37">
        <v>2051655.95</v>
      </c>
      <c r="I393" s="37">
        <v>26284617185.740002</v>
      </c>
      <c r="J393" s="40"/>
      <c r="K393" s="40"/>
    </row>
    <row r="394" spans="1:11" x14ac:dyDescent="0.2">
      <c r="A394" s="41">
        <v>42935</v>
      </c>
      <c r="B394" s="37">
        <v>7728657207.5100002</v>
      </c>
      <c r="C394" s="37">
        <v>52892896.270000003</v>
      </c>
      <c r="D394" s="37">
        <v>-9087244.6300000008</v>
      </c>
      <c r="E394" s="37">
        <v>17837119514.57</v>
      </c>
      <c r="F394" s="37">
        <v>572660648.63</v>
      </c>
      <c r="G394" s="37">
        <v>101695007.44</v>
      </c>
      <c r="H394" s="37">
        <v>2051655.95</v>
      </c>
      <c r="I394" s="37">
        <v>26285989685.740002</v>
      </c>
      <c r="J394" s="40"/>
      <c r="K394" s="40"/>
    </row>
    <row r="395" spans="1:11" x14ac:dyDescent="0.2">
      <c r="A395" s="41">
        <v>42962</v>
      </c>
      <c r="B395" s="37">
        <v>7891226582.5100002</v>
      </c>
      <c r="C395" s="37">
        <v>52892896.270000003</v>
      </c>
      <c r="D395" s="37">
        <v>-9087244.6300000008</v>
      </c>
      <c r="E395" s="37">
        <v>17839239514.57</v>
      </c>
      <c r="F395" s="37">
        <v>572660648.63</v>
      </c>
      <c r="G395" s="37">
        <v>101695007.44</v>
      </c>
      <c r="H395" s="37">
        <v>2051655.95</v>
      </c>
      <c r="I395" s="37">
        <v>26450679060.740002</v>
      </c>
      <c r="J395" s="40"/>
      <c r="K395" s="40"/>
    </row>
    <row r="396" spans="1:11" x14ac:dyDescent="0.2">
      <c r="A396" s="41">
        <v>42975</v>
      </c>
      <c r="B396" s="37">
        <v>7891276582.5100002</v>
      </c>
      <c r="C396" s="37">
        <v>52892896.270000003</v>
      </c>
      <c r="D396" s="37">
        <v>-9087244.6300000008</v>
      </c>
      <c r="E396" s="37">
        <v>17839239514.57</v>
      </c>
      <c r="F396" s="37">
        <v>572660648.63</v>
      </c>
      <c r="G396" s="37">
        <v>101695007.44</v>
      </c>
      <c r="H396" s="37">
        <v>2051655.95</v>
      </c>
      <c r="I396" s="37">
        <v>26450729060.740002</v>
      </c>
      <c r="J396" s="40"/>
      <c r="K396" s="40"/>
    </row>
    <row r="397" spans="1:11" x14ac:dyDescent="0.2">
      <c r="A397" s="41">
        <v>42993</v>
      </c>
      <c r="B397" s="37">
        <v>7898582832.5100002</v>
      </c>
      <c r="C397" s="37">
        <v>52892896.270000003</v>
      </c>
      <c r="D397" s="37">
        <v>-9087244.6300000008</v>
      </c>
      <c r="E397" s="37">
        <v>17839239514.57</v>
      </c>
      <c r="F397" s="37">
        <v>572660648.63</v>
      </c>
      <c r="G397" s="37">
        <v>101695007.44</v>
      </c>
      <c r="H397" s="37">
        <v>2051655.95</v>
      </c>
      <c r="I397" s="37">
        <v>26458035310.740002</v>
      </c>
      <c r="J397" s="40"/>
      <c r="K397" s="40"/>
    </row>
    <row r="398" spans="1:11" x14ac:dyDescent="0.2">
      <c r="A398" s="41">
        <v>42997</v>
      </c>
      <c r="B398" s="37">
        <v>7898655332.5100002</v>
      </c>
      <c r="C398" s="37">
        <v>52892896.270000003</v>
      </c>
      <c r="D398" s="37">
        <v>-9087244.6300000008</v>
      </c>
      <c r="E398" s="37">
        <v>17839239514.57</v>
      </c>
      <c r="F398" s="37">
        <v>572660648.63</v>
      </c>
      <c r="G398" s="37">
        <v>101695007.44</v>
      </c>
      <c r="H398" s="37">
        <v>2051655.95</v>
      </c>
      <c r="I398" s="37">
        <v>26458107810.740002</v>
      </c>
      <c r="J398" s="40"/>
      <c r="K398" s="40"/>
    </row>
    <row r="399" spans="1:11" x14ac:dyDescent="0.2">
      <c r="A399" s="41">
        <v>43006</v>
      </c>
      <c r="B399" s="37">
        <v>7898742832.5100002</v>
      </c>
      <c r="C399" s="37">
        <v>52892896.270000003</v>
      </c>
      <c r="D399" s="37">
        <v>-9087244.6300000008</v>
      </c>
      <c r="E399" s="37">
        <v>17839239514.57</v>
      </c>
      <c r="F399" s="37">
        <v>572660648.63</v>
      </c>
      <c r="G399" s="37">
        <v>101695007.44</v>
      </c>
      <c r="H399" s="37">
        <v>2051655.95</v>
      </c>
      <c r="I399" s="37">
        <v>26458195310.740002</v>
      </c>
      <c r="J399" s="40"/>
      <c r="K399" s="40"/>
    </row>
    <row r="400" spans="1:11" x14ac:dyDescent="0.2">
      <c r="A400" s="41">
        <v>43024</v>
      </c>
      <c r="B400" s="37">
        <v>7898755332.5100002</v>
      </c>
      <c r="C400" s="37">
        <v>52892896.270000003</v>
      </c>
      <c r="D400" s="37">
        <v>-9087244.6300000008</v>
      </c>
      <c r="E400" s="37">
        <v>17839239514.57</v>
      </c>
      <c r="F400" s="37">
        <v>572660648.63</v>
      </c>
      <c r="G400" s="37">
        <v>101695007.44</v>
      </c>
      <c r="H400" s="37">
        <v>2051655.95</v>
      </c>
      <c r="I400" s="37">
        <v>26458207810.740002</v>
      </c>
      <c r="J400" s="40"/>
      <c r="K400" s="40"/>
    </row>
    <row r="401" spans="1:11" x14ac:dyDescent="0.2">
      <c r="A401" s="41">
        <v>43034</v>
      </c>
      <c r="B401" s="37">
        <v>7898885332.5100002</v>
      </c>
      <c r="C401" s="37">
        <v>52892896.270000003</v>
      </c>
      <c r="D401" s="37">
        <v>-9087244.6300000008</v>
      </c>
      <c r="E401" s="37">
        <v>17839239514.57</v>
      </c>
      <c r="F401" s="37">
        <v>572660648.63</v>
      </c>
      <c r="G401" s="37">
        <v>101695007.44</v>
      </c>
      <c r="H401" s="37">
        <v>2051655.95</v>
      </c>
      <c r="I401" s="37">
        <v>26458337810.740002</v>
      </c>
      <c r="J401" s="40"/>
      <c r="K401" s="40"/>
    </row>
    <row r="402" spans="1:11" x14ac:dyDescent="0.2">
      <c r="A402" s="41">
        <v>43054</v>
      </c>
      <c r="B402" s="37">
        <v>7931015332.5100002</v>
      </c>
      <c r="C402" s="37">
        <v>52892896.270000003</v>
      </c>
      <c r="D402" s="37">
        <v>-9087244.6300000008</v>
      </c>
      <c r="E402" s="37">
        <v>17841584514.57</v>
      </c>
      <c r="F402" s="37">
        <v>572660648.63</v>
      </c>
      <c r="G402" s="37">
        <v>101695007.44</v>
      </c>
      <c r="H402" s="37">
        <v>2051655.95</v>
      </c>
      <c r="I402" s="37">
        <v>26492812810.740002</v>
      </c>
      <c r="J402" s="40"/>
      <c r="K402" s="40"/>
    </row>
    <row r="403" spans="1:11" x14ac:dyDescent="0.2">
      <c r="A403" s="41">
        <v>43056</v>
      </c>
      <c r="B403" s="37">
        <v>7931150332.5100002</v>
      </c>
      <c r="C403" s="37">
        <v>52892896.270000003</v>
      </c>
      <c r="D403" s="37">
        <v>-9087244.6300000008</v>
      </c>
      <c r="E403" s="37">
        <v>17841584514.57</v>
      </c>
      <c r="F403" s="37">
        <v>572660648.63</v>
      </c>
      <c r="G403" s="37">
        <v>101695007.44</v>
      </c>
      <c r="H403" s="37">
        <v>2051655.95</v>
      </c>
      <c r="I403" s="37">
        <v>26492947810.740002</v>
      </c>
      <c r="J403" s="40"/>
      <c r="K403" s="40"/>
    </row>
    <row r="404" spans="1:11" x14ac:dyDescent="0.2">
      <c r="A404" s="41">
        <v>43081</v>
      </c>
      <c r="B404" s="37">
        <v>7931232832.5100002</v>
      </c>
      <c r="C404" s="37">
        <v>52892896.270000003</v>
      </c>
      <c r="D404" s="37">
        <v>-9087244.6300000008</v>
      </c>
      <c r="E404" s="37">
        <v>17841584514.57</v>
      </c>
      <c r="F404" s="37">
        <v>572660648.63</v>
      </c>
      <c r="G404" s="37">
        <v>101695007.44</v>
      </c>
      <c r="H404" s="37">
        <v>2051655.95</v>
      </c>
      <c r="I404" s="37">
        <v>26493030310.740002</v>
      </c>
      <c r="J404" s="40"/>
      <c r="K404" s="40"/>
    </row>
    <row r="405" spans="1:11" x14ac:dyDescent="0.2">
      <c r="A405" s="41">
        <v>43084</v>
      </c>
      <c r="B405" s="37">
        <v>8066757832.5100002</v>
      </c>
      <c r="C405" s="37">
        <v>52892896.270000003</v>
      </c>
      <c r="D405" s="37">
        <v>-9087244.6300000008</v>
      </c>
      <c r="E405" s="37">
        <v>17841584514.57</v>
      </c>
      <c r="F405" s="37">
        <v>572660648.63</v>
      </c>
      <c r="G405" s="37">
        <v>101695007.44</v>
      </c>
      <c r="H405" s="37">
        <v>2051655.95</v>
      </c>
      <c r="I405" s="37">
        <v>26628555310.740002</v>
      </c>
      <c r="J405" s="40"/>
      <c r="K405" s="40"/>
    </row>
    <row r="406" spans="1:11" x14ac:dyDescent="0.2">
      <c r="A406" s="41">
        <v>43087</v>
      </c>
      <c r="B406" s="37">
        <v>8277335957.5100002</v>
      </c>
      <c r="C406" s="37">
        <v>52892896.270000003</v>
      </c>
      <c r="D406" s="37">
        <v>-9087244.6300000008</v>
      </c>
      <c r="E406" s="37">
        <v>17841584514.57</v>
      </c>
      <c r="F406" s="37">
        <v>572660648.63</v>
      </c>
      <c r="G406" s="37">
        <v>101695007.44</v>
      </c>
      <c r="H406" s="37">
        <v>2051655.95</v>
      </c>
      <c r="I406" s="37">
        <v>26839133435.740002</v>
      </c>
      <c r="J406" s="40"/>
      <c r="K406" s="40"/>
    </row>
    <row r="407" spans="1:11" x14ac:dyDescent="0.2">
      <c r="A407" s="41">
        <v>43088</v>
      </c>
      <c r="B407" s="37">
        <v>8277400457.5100002</v>
      </c>
      <c r="C407" s="37">
        <v>52892896.270000003</v>
      </c>
      <c r="D407" s="37">
        <v>-9087244.6300000008</v>
      </c>
      <c r="E407" s="37">
        <v>17841584514.57</v>
      </c>
      <c r="F407" s="37">
        <v>572660648.63</v>
      </c>
      <c r="G407" s="37">
        <v>101695007.44</v>
      </c>
      <c r="H407" s="37">
        <v>2051655.95</v>
      </c>
      <c r="I407" s="37">
        <v>26839197935.740002</v>
      </c>
      <c r="J407" s="40"/>
      <c r="K407" s="40"/>
    </row>
    <row r="408" spans="1:11" x14ac:dyDescent="0.2">
      <c r="A408" s="41">
        <v>43115</v>
      </c>
      <c r="B408" s="37">
        <v>8277400457.5100002</v>
      </c>
      <c r="C408" s="37">
        <v>52892896.270000003</v>
      </c>
      <c r="D408" s="37">
        <v>-9087244.6300000008</v>
      </c>
      <c r="E408" s="37">
        <v>17841584514.57</v>
      </c>
      <c r="F408" s="37">
        <v>627467223.12</v>
      </c>
      <c r="G408" s="37">
        <v>101695007.44</v>
      </c>
      <c r="H408" s="37">
        <v>2051655.95</v>
      </c>
      <c r="I408" s="37">
        <v>26894004510.23</v>
      </c>
      <c r="J408" s="40"/>
      <c r="K408" s="40"/>
    </row>
    <row r="409" spans="1:11" x14ac:dyDescent="0.2">
      <c r="A409" s="41">
        <v>43116</v>
      </c>
      <c r="B409" s="37">
        <v>8279380435.4399996</v>
      </c>
      <c r="C409" s="37">
        <v>52892896.270000003</v>
      </c>
      <c r="D409" s="37">
        <v>-9087244.6300000008</v>
      </c>
      <c r="E409" s="37">
        <v>17841584514.57</v>
      </c>
      <c r="F409" s="37">
        <v>628405346.90999997</v>
      </c>
      <c r="G409" s="37">
        <v>101695007.44</v>
      </c>
      <c r="H409" s="37">
        <v>2051655.95</v>
      </c>
      <c r="I409" s="37">
        <v>26896922611.950001</v>
      </c>
      <c r="J409" s="40"/>
      <c r="K409" s="40"/>
    </row>
    <row r="410" spans="1:11" x14ac:dyDescent="0.2">
      <c r="A410" s="41">
        <v>43119</v>
      </c>
      <c r="B410" s="37">
        <v>8280752935.4399996</v>
      </c>
      <c r="C410" s="37">
        <v>52892896.270000003</v>
      </c>
      <c r="D410" s="37">
        <v>-9087244.6300000008</v>
      </c>
      <c r="E410" s="37">
        <v>17841584514.57</v>
      </c>
      <c r="F410" s="37">
        <v>628405346.90999997</v>
      </c>
      <c r="G410" s="37">
        <v>101695007.44</v>
      </c>
      <c r="H410" s="37">
        <v>2051655.95</v>
      </c>
      <c r="I410" s="37">
        <v>26898295111.950001</v>
      </c>
      <c r="J410" s="40"/>
      <c r="K410" s="40"/>
    </row>
    <row r="411" spans="1:11" x14ac:dyDescent="0.2">
      <c r="A411" s="41">
        <v>43146</v>
      </c>
      <c r="B411" s="37">
        <v>8296065435.4399996</v>
      </c>
      <c r="C411" s="37">
        <v>52892896.270000003</v>
      </c>
      <c r="D411" s="37">
        <v>-9087244.6300000008</v>
      </c>
      <c r="E411" s="37">
        <v>17843704514.57</v>
      </c>
      <c r="F411" s="37">
        <v>628405346.90999997</v>
      </c>
      <c r="G411" s="37">
        <v>101695007.44</v>
      </c>
      <c r="H411" s="37">
        <v>2051655.95</v>
      </c>
      <c r="I411" s="37">
        <v>26915727611.950001</v>
      </c>
      <c r="J411" s="40"/>
      <c r="K411" s="40"/>
    </row>
    <row r="412" spans="1:11" x14ac:dyDescent="0.2">
      <c r="A412" s="41">
        <v>43158</v>
      </c>
      <c r="B412" s="37">
        <v>8306115435.4399996</v>
      </c>
      <c r="C412" s="37">
        <v>52892896.270000003</v>
      </c>
      <c r="D412" s="37">
        <v>-9087244.6300000008</v>
      </c>
      <c r="E412" s="37">
        <v>17843704514.57</v>
      </c>
      <c r="F412" s="37">
        <v>628405346.90999997</v>
      </c>
      <c r="G412" s="37">
        <v>101695007.44</v>
      </c>
      <c r="H412" s="37">
        <v>2051655.95</v>
      </c>
      <c r="I412" s="37">
        <v>26925777611.950001</v>
      </c>
      <c r="J412" s="40"/>
      <c r="K412" s="40"/>
    </row>
    <row r="413" spans="1:11" x14ac:dyDescent="0.2">
      <c r="A413" s="41">
        <v>43174</v>
      </c>
      <c r="B413" s="37">
        <v>8647421685.4400005</v>
      </c>
      <c r="C413" s="37">
        <v>52892896.270000003</v>
      </c>
      <c r="D413" s="37">
        <v>-9087244.6300000008</v>
      </c>
      <c r="E413" s="37">
        <v>17843704514.57</v>
      </c>
      <c r="F413" s="37">
        <v>628405346.90999997</v>
      </c>
      <c r="G413" s="37">
        <v>101695007.44</v>
      </c>
      <c r="H413" s="37">
        <v>2051655.95</v>
      </c>
      <c r="I413" s="37">
        <v>27267083861.950001</v>
      </c>
      <c r="J413" s="40"/>
      <c r="K413" s="40"/>
    </row>
    <row r="414" spans="1:11" x14ac:dyDescent="0.2">
      <c r="A414" s="41">
        <v>43178</v>
      </c>
      <c r="B414" s="37">
        <v>8661994185.4400005</v>
      </c>
      <c r="C414" s="37">
        <v>52892896.270000003</v>
      </c>
      <c r="D414" s="37">
        <v>-9087244.6300000008</v>
      </c>
      <c r="E414" s="37">
        <v>17843704514.57</v>
      </c>
      <c r="F414" s="37">
        <v>628405346.90999997</v>
      </c>
      <c r="G414" s="37">
        <v>101695007.44</v>
      </c>
      <c r="H414" s="37">
        <v>2051655.95</v>
      </c>
      <c r="I414" s="37">
        <v>27281656361.950001</v>
      </c>
      <c r="J414" s="40"/>
      <c r="K414" s="40"/>
    </row>
    <row r="415" spans="1:11" x14ac:dyDescent="0.2">
      <c r="A415" s="41">
        <v>43187</v>
      </c>
      <c r="B415" s="37">
        <v>8679581685.4400005</v>
      </c>
      <c r="C415" s="37">
        <v>52892896.270000003</v>
      </c>
      <c r="D415" s="37">
        <v>-9087244.6300000008</v>
      </c>
      <c r="E415" s="37">
        <v>17843704514.57</v>
      </c>
      <c r="F415" s="37">
        <v>628405346.90999997</v>
      </c>
      <c r="G415" s="37">
        <v>101695007.44</v>
      </c>
      <c r="H415" s="37">
        <v>2051655.95</v>
      </c>
      <c r="I415" s="37">
        <v>27299243861.950001</v>
      </c>
      <c r="J415" s="40"/>
      <c r="K415" s="40"/>
    </row>
    <row r="416" spans="1:11" x14ac:dyDescent="0.2">
      <c r="A416" s="41">
        <v>43206</v>
      </c>
      <c r="B416" s="37">
        <v>8682094185.4400005</v>
      </c>
      <c r="C416" s="37">
        <v>52892896.270000003</v>
      </c>
      <c r="D416" s="37">
        <v>-9087244.6300000008</v>
      </c>
      <c r="E416" s="37">
        <v>17843704514.57</v>
      </c>
      <c r="F416" s="37">
        <v>628405346.90999997</v>
      </c>
      <c r="G416" s="37">
        <v>101695007.44</v>
      </c>
      <c r="H416" s="37">
        <v>2051655.95</v>
      </c>
      <c r="I416" s="37">
        <v>27301756361.950001</v>
      </c>
      <c r="J416" s="40"/>
      <c r="K416" s="40"/>
    </row>
    <row r="417" spans="1:11" x14ac:dyDescent="0.2">
      <c r="A417" s="41">
        <v>43216</v>
      </c>
      <c r="B417" s="37">
        <v>8708224185.4400005</v>
      </c>
      <c r="C417" s="37">
        <v>52892896.270000003</v>
      </c>
      <c r="D417" s="37">
        <v>-9087244.6300000008</v>
      </c>
      <c r="E417" s="37">
        <v>17843704514.57</v>
      </c>
      <c r="F417" s="37">
        <v>628405346.90999997</v>
      </c>
      <c r="G417" s="37">
        <v>101695007.44</v>
      </c>
      <c r="H417" s="37">
        <v>2051655.95</v>
      </c>
      <c r="I417" s="37">
        <v>27327886361.950001</v>
      </c>
      <c r="J417" s="40"/>
      <c r="K417" s="40"/>
    </row>
    <row r="418" spans="1:11" x14ac:dyDescent="0.2">
      <c r="A418" s="41">
        <v>43235</v>
      </c>
      <c r="B418" s="37">
        <v>8740354185.4400005</v>
      </c>
      <c r="C418" s="37">
        <v>52892896.270000003</v>
      </c>
      <c r="D418" s="37">
        <v>-9087244.6300000008</v>
      </c>
      <c r="E418" s="37">
        <v>17846049514.57</v>
      </c>
      <c r="F418" s="37">
        <v>628405346.90999997</v>
      </c>
      <c r="G418" s="37">
        <v>101695007.44</v>
      </c>
      <c r="H418" s="37">
        <v>2051655.95</v>
      </c>
      <c r="I418" s="37">
        <v>27362361361.950001</v>
      </c>
      <c r="J418" s="40"/>
      <c r="K418" s="40"/>
    </row>
    <row r="419" spans="1:11" x14ac:dyDescent="0.2">
      <c r="A419" s="41">
        <v>43237</v>
      </c>
      <c r="B419" s="37">
        <v>8767489185.4400005</v>
      </c>
      <c r="C419" s="37">
        <v>52892896.270000003</v>
      </c>
      <c r="D419" s="37">
        <v>-9087244.6300000008</v>
      </c>
      <c r="E419" s="37">
        <v>17846049514.57</v>
      </c>
      <c r="F419" s="37">
        <v>628405346.90999997</v>
      </c>
      <c r="G419" s="37">
        <v>101695007.44</v>
      </c>
      <c r="H419" s="37">
        <v>2051655.95</v>
      </c>
      <c r="I419" s="37">
        <v>27389496361.950001</v>
      </c>
      <c r="J419" s="40"/>
      <c r="K419" s="40"/>
    </row>
    <row r="420" spans="1:11" x14ac:dyDescent="0.2">
      <c r="A420" s="41">
        <v>43263</v>
      </c>
      <c r="B420" s="37">
        <v>8784071685.4400005</v>
      </c>
      <c r="C420" s="37">
        <v>52892896.270000003</v>
      </c>
      <c r="D420" s="37">
        <v>-9087244.6300000008</v>
      </c>
      <c r="E420" s="37">
        <v>17846049514.57</v>
      </c>
      <c r="F420" s="37">
        <v>628405346.90999997</v>
      </c>
      <c r="G420" s="37">
        <v>101695007.44</v>
      </c>
      <c r="H420" s="37">
        <v>2051655.95</v>
      </c>
      <c r="I420" s="37">
        <v>27406078861.950001</v>
      </c>
      <c r="J420" s="40"/>
      <c r="K420" s="40"/>
    </row>
    <row r="421" spans="1:11" x14ac:dyDescent="0.2">
      <c r="A421" s="41">
        <v>43269</v>
      </c>
      <c r="B421" s="37">
        <v>8785899810.4400005</v>
      </c>
      <c r="C421" s="37">
        <v>52892896.270000003</v>
      </c>
      <c r="D421" s="37">
        <v>-9087244.6300000008</v>
      </c>
      <c r="E421" s="37">
        <v>17846049514.57</v>
      </c>
      <c r="F421" s="37">
        <v>628405346.90999997</v>
      </c>
      <c r="G421" s="37">
        <v>101695007.44</v>
      </c>
      <c r="H421" s="37">
        <v>2051655.95</v>
      </c>
      <c r="I421" s="37">
        <v>27407906986.950001</v>
      </c>
      <c r="J421" s="40"/>
      <c r="K421" s="40"/>
    </row>
    <row r="422" spans="1:11" x14ac:dyDescent="0.2">
      <c r="A422" s="41">
        <v>43270</v>
      </c>
      <c r="B422" s="37">
        <v>8798864310.4400005</v>
      </c>
      <c r="C422" s="37">
        <v>52892896.270000003</v>
      </c>
      <c r="D422" s="37">
        <v>-9087244.6300000008</v>
      </c>
      <c r="E422" s="37">
        <v>17846049514.57</v>
      </c>
      <c r="F422" s="37">
        <v>628405346.90999997</v>
      </c>
      <c r="G422" s="37">
        <v>101695007.44</v>
      </c>
      <c r="H422" s="37">
        <v>2051655.95</v>
      </c>
      <c r="I422" s="37">
        <v>27420871486.950001</v>
      </c>
      <c r="J422" s="40"/>
      <c r="K422" s="40"/>
    </row>
    <row r="423" spans="1:11" x14ac:dyDescent="0.2">
      <c r="A423" s="41">
        <v>43280</v>
      </c>
      <c r="B423" s="37">
        <v>9106401810.4400005</v>
      </c>
      <c r="C423" s="37">
        <v>52892896.270000003</v>
      </c>
      <c r="D423" s="37">
        <v>-9087244.6300000008</v>
      </c>
      <c r="E423" s="37">
        <v>17846049514.57</v>
      </c>
      <c r="F423" s="37">
        <v>628405346.90999997</v>
      </c>
      <c r="G423" s="37">
        <v>101695007.44</v>
      </c>
      <c r="H423" s="37">
        <v>2051655.95</v>
      </c>
      <c r="I423" s="37">
        <v>27728408986.950001</v>
      </c>
      <c r="J423" s="40"/>
      <c r="K423" s="40"/>
    </row>
    <row r="424" spans="1:11" x14ac:dyDescent="0.2">
      <c r="A424" s="41">
        <v>43283</v>
      </c>
      <c r="B424" s="37">
        <v>9106401810.4400005</v>
      </c>
      <c r="C424" s="37">
        <v>52892896.270000003</v>
      </c>
      <c r="D424" s="37">
        <v>-9087244.6300000008</v>
      </c>
      <c r="E424" s="37">
        <v>17846049514.57</v>
      </c>
      <c r="F424" s="37">
        <v>628405346.90999997</v>
      </c>
      <c r="G424" s="37">
        <v>101695007.44</v>
      </c>
      <c r="H424" s="37">
        <v>2051655.95</v>
      </c>
      <c r="I424" s="37">
        <v>27728408986.950001</v>
      </c>
      <c r="J424" s="40"/>
      <c r="K424" s="40"/>
    </row>
    <row r="425" spans="1:11" x14ac:dyDescent="0.2">
      <c r="A425" s="41">
        <v>43297</v>
      </c>
      <c r="B425" s="37">
        <v>9179183788.3700008</v>
      </c>
      <c r="C425" s="37">
        <v>52892896.270000003</v>
      </c>
      <c r="D425" s="37">
        <v>-9087244.6300000008</v>
      </c>
      <c r="E425" s="37">
        <v>17846049514.57</v>
      </c>
      <c r="F425" s="37">
        <v>629343470.70000005</v>
      </c>
      <c r="G425" s="37">
        <v>101695007.44</v>
      </c>
      <c r="H425" s="37">
        <v>2051655.95</v>
      </c>
      <c r="I425" s="37">
        <v>27802129088.669998</v>
      </c>
      <c r="J425" s="40"/>
      <c r="K425" s="40"/>
    </row>
    <row r="426" spans="1:11" x14ac:dyDescent="0.2">
      <c r="A426" s="41">
        <v>43300</v>
      </c>
      <c r="B426" s="37">
        <v>9180556288.3700008</v>
      </c>
      <c r="C426" s="37">
        <v>52892896.270000003</v>
      </c>
      <c r="D426" s="37">
        <v>-9087244.6300000008</v>
      </c>
      <c r="E426" s="37">
        <v>17846049514.57</v>
      </c>
      <c r="F426" s="37">
        <v>629343470.70000005</v>
      </c>
      <c r="G426" s="37">
        <v>101695007.44</v>
      </c>
      <c r="H426" s="37">
        <v>2051655.95</v>
      </c>
      <c r="I426" s="37">
        <v>27803501588.669998</v>
      </c>
      <c r="J426" s="40"/>
      <c r="K426" s="40"/>
    </row>
    <row r="427" spans="1:11" x14ac:dyDescent="0.2">
      <c r="A427" s="41">
        <v>43327</v>
      </c>
      <c r="B427" s="37">
        <v>9195868788.3700008</v>
      </c>
      <c r="C427" s="37">
        <v>52892896.270000003</v>
      </c>
      <c r="D427" s="37">
        <v>-9087244.6300000008</v>
      </c>
      <c r="E427" s="37">
        <v>17848169514.57</v>
      </c>
      <c r="F427" s="37">
        <v>629343470.70000005</v>
      </c>
      <c r="G427" s="37">
        <v>101695007.44</v>
      </c>
      <c r="H427" s="37">
        <v>2051655.95</v>
      </c>
      <c r="I427" s="37">
        <v>27820934088.669998</v>
      </c>
      <c r="J427" s="40"/>
      <c r="K427" s="40"/>
    </row>
    <row r="428" spans="1:11" x14ac:dyDescent="0.2">
      <c r="A428" s="41">
        <v>43419</v>
      </c>
      <c r="B428" s="37">
        <v>9277998788.3700008</v>
      </c>
      <c r="C428" s="37">
        <v>52892896.270000003</v>
      </c>
      <c r="D428" s="37">
        <v>-9087244.6300000008</v>
      </c>
      <c r="E428" s="37">
        <v>17850514514.57</v>
      </c>
      <c r="F428" s="37">
        <v>629343470.70000005</v>
      </c>
      <c r="G428" s="37">
        <v>101695007.44</v>
      </c>
      <c r="H428" s="37">
        <v>2051655.95</v>
      </c>
      <c r="I428" s="37">
        <v>27905409088.669998</v>
      </c>
      <c r="J428" s="40"/>
      <c r="K428" s="40"/>
    </row>
    <row r="429" spans="1:11" x14ac:dyDescent="0.2">
      <c r="A429" s="41">
        <v>43451</v>
      </c>
      <c r="B429" s="37">
        <v>9279826913.3700008</v>
      </c>
      <c r="C429" s="37">
        <v>52892896.270000003</v>
      </c>
      <c r="D429" s="37">
        <v>-9087244.6300000008</v>
      </c>
      <c r="E429" s="37">
        <v>17850514514.57</v>
      </c>
      <c r="F429" s="37">
        <v>629343470.70000005</v>
      </c>
      <c r="G429" s="37">
        <v>101695007.44</v>
      </c>
      <c r="H429" s="37">
        <v>2051655.95</v>
      </c>
      <c r="I429" s="37">
        <v>27907237213.669998</v>
      </c>
      <c r="J429" s="40"/>
      <c r="K429" s="40"/>
    </row>
    <row r="430" spans="1:11" x14ac:dyDescent="0.2">
      <c r="A430" s="41">
        <v>43480</v>
      </c>
      <c r="B430" s="37">
        <v>9279826913.3700008</v>
      </c>
      <c r="C430" s="37">
        <v>52892896.270000003</v>
      </c>
      <c r="D430" s="37">
        <v>-9087244.6300000008</v>
      </c>
      <c r="E430" s="37">
        <v>17850514514.57</v>
      </c>
      <c r="F430" s="37">
        <v>675291314.49000001</v>
      </c>
      <c r="G430" s="37">
        <v>101695007.44</v>
      </c>
      <c r="H430" s="37">
        <v>2051655.95</v>
      </c>
      <c r="I430" s="37">
        <v>27953185057.459999</v>
      </c>
      <c r="J430" s="40"/>
      <c r="K430" s="40"/>
    </row>
    <row r="431" spans="1:11" x14ac:dyDescent="0.2">
      <c r="A431" s="41">
        <v>43487</v>
      </c>
      <c r="B431" s="37">
        <v>9281199413.3700008</v>
      </c>
      <c r="C431" s="37">
        <v>52892896.270000003</v>
      </c>
      <c r="D431" s="37">
        <v>-9087244.6300000008</v>
      </c>
      <c r="E431" s="37">
        <v>17850514514.57</v>
      </c>
      <c r="F431" s="37">
        <v>675291314.49000001</v>
      </c>
      <c r="G431" s="37">
        <v>101695007.44</v>
      </c>
      <c r="H431" s="37">
        <v>2051655.95</v>
      </c>
      <c r="I431" s="37">
        <v>27954557557.459999</v>
      </c>
      <c r="J431" s="40"/>
      <c r="K431" s="40"/>
    </row>
    <row r="432" spans="1:11" x14ac:dyDescent="0.2">
      <c r="A432" s="41">
        <v>43511</v>
      </c>
      <c r="B432" s="37">
        <v>9296511913.3700008</v>
      </c>
      <c r="C432" s="37">
        <v>52892896.270000003</v>
      </c>
      <c r="D432" s="37">
        <v>-9087244.6300000008</v>
      </c>
      <c r="E432" s="37">
        <v>17852634514.57</v>
      </c>
      <c r="F432" s="37">
        <v>675291314.49000001</v>
      </c>
      <c r="G432" s="37">
        <v>101695007.44</v>
      </c>
      <c r="H432" s="37">
        <v>2051655.95</v>
      </c>
      <c r="I432" s="37">
        <v>27971990057.459999</v>
      </c>
      <c r="J432" s="40"/>
      <c r="K432" s="40"/>
    </row>
    <row r="433" spans="1:11" x14ac:dyDescent="0.2">
      <c r="A433" s="41">
        <v>43600</v>
      </c>
      <c r="B433" s="37">
        <v>9326391913.3700008</v>
      </c>
      <c r="C433" s="37">
        <v>52892896.270000003</v>
      </c>
      <c r="D433" s="37">
        <v>-9087244.6300000008</v>
      </c>
      <c r="E433" s="37">
        <v>17854979514.57</v>
      </c>
      <c r="F433" s="37">
        <v>675291314.49000001</v>
      </c>
      <c r="G433" s="37">
        <v>101695007.44</v>
      </c>
      <c r="H433" s="37">
        <v>2051655.95</v>
      </c>
      <c r="I433" s="37">
        <v>28004215057.459999</v>
      </c>
      <c r="J433" s="40"/>
      <c r="K433" s="40"/>
    </row>
    <row r="434" spans="1:11" x14ac:dyDescent="0.2">
      <c r="A434" s="41">
        <v>43633</v>
      </c>
      <c r="B434" s="37">
        <v>9403220038.3700008</v>
      </c>
      <c r="C434" s="37">
        <v>52892896.270000003</v>
      </c>
      <c r="D434" s="37">
        <v>-9087244.6300000008</v>
      </c>
      <c r="E434" s="37">
        <v>17854979514.57</v>
      </c>
      <c r="F434" s="37">
        <v>675291314.49000001</v>
      </c>
      <c r="G434" s="37">
        <v>101695007.44</v>
      </c>
      <c r="H434" s="37">
        <v>2051655.95</v>
      </c>
      <c r="I434" s="37">
        <v>28081043182.459999</v>
      </c>
      <c r="J434" s="40"/>
      <c r="K434" s="40"/>
    </row>
    <row r="435" spans="1:11" x14ac:dyDescent="0.2">
      <c r="A435" s="41">
        <v>43661</v>
      </c>
      <c r="B435" s="37">
        <v>9403220038.3700008</v>
      </c>
      <c r="C435" s="37">
        <v>52892896.270000003</v>
      </c>
      <c r="D435" s="37">
        <v>-9087244.6300000008</v>
      </c>
      <c r="E435" s="37">
        <v>17854979514.57</v>
      </c>
      <c r="F435" s="37">
        <v>707540115</v>
      </c>
      <c r="G435" s="37">
        <v>101695007.44</v>
      </c>
      <c r="H435" s="37">
        <v>2051655.95</v>
      </c>
      <c r="I435" s="37">
        <v>28113291982.970001</v>
      </c>
      <c r="J435" s="40"/>
      <c r="K435" s="40"/>
    </row>
    <row r="436" spans="1:11" x14ac:dyDescent="0.2">
      <c r="A436" s="41">
        <v>43665</v>
      </c>
      <c r="B436" s="37">
        <v>9404592538.3700008</v>
      </c>
      <c r="C436" s="37">
        <v>52892896.270000003</v>
      </c>
      <c r="D436" s="37">
        <v>-9087244.6300000008</v>
      </c>
      <c r="E436" s="37">
        <v>17854979514.57</v>
      </c>
      <c r="F436" s="37">
        <v>707540115</v>
      </c>
      <c r="G436" s="37">
        <v>101695007.44</v>
      </c>
      <c r="H436" s="37">
        <v>2051655.95</v>
      </c>
      <c r="I436" s="37">
        <v>28114664482.970001</v>
      </c>
      <c r="J436" s="40"/>
      <c r="K436" s="40"/>
    </row>
    <row r="437" spans="1:11" x14ac:dyDescent="0.2">
      <c r="A437" s="41">
        <v>43692</v>
      </c>
      <c r="B437" s="37">
        <v>9419905038.3700008</v>
      </c>
      <c r="C437" s="37">
        <v>52892896.270000003</v>
      </c>
      <c r="D437" s="37">
        <v>-9087244.6300000008</v>
      </c>
      <c r="E437" s="37">
        <v>17857099514.57</v>
      </c>
      <c r="F437" s="37">
        <v>707540115</v>
      </c>
      <c r="G437" s="37">
        <v>101695007.44</v>
      </c>
      <c r="H437" s="37">
        <v>2051655.95</v>
      </c>
      <c r="I437" s="37">
        <v>28132096982.970001</v>
      </c>
      <c r="J437" s="40"/>
      <c r="K437" s="40"/>
    </row>
    <row r="438" spans="1:11" x14ac:dyDescent="0.2">
      <c r="A438" s="41">
        <v>43784</v>
      </c>
      <c r="B438" s="37">
        <v>10084785038.370001</v>
      </c>
      <c r="C438" s="37">
        <v>52892896.270000003</v>
      </c>
      <c r="D438" s="37">
        <v>-9087244.6300000008</v>
      </c>
      <c r="E438" s="37">
        <v>17859444514.57</v>
      </c>
      <c r="F438" s="37">
        <v>707540115</v>
      </c>
      <c r="G438" s="37">
        <v>101695007.44</v>
      </c>
      <c r="H438" s="37">
        <v>2051655.95</v>
      </c>
      <c r="I438" s="37">
        <v>28799321982.970001</v>
      </c>
      <c r="J438" s="40"/>
      <c r="K438" s="40"/>
    </row>
    <row r="439" spans="1:11" x14ac:dyDescent="0.2">
      <c r="A439" s="41">
        <v>43845</v>
      </c>
      <c r="B439" s="37">
        <v>10084785038.370001</v>
      </c>
      <c r="C439" s="37">
        <v>52892896.270000003</v>
      </c>
      <c r="D439" s="37">
        <v>-9087244.6300000008</v>
      </c>
      <c r="E439" s="37">
        <v>17859444514.57</v>
      </c>
      <c r="F439" s="37">
        <v>707701989.52999997</v>
      </c>
      <c r="G439" s="37">
        <v>101695007.44</v>
      </c>
      <c r="H439" s="37">
        <v>2051655.95</v>
      </c>
      <c r="I439" s="37">
        <v>28799483857.5</v>
      </c>
      <c r="J439" s="40"/>
      <c r="K439" s="40"/>
    </row>
    <row r="440" spans="1:11" x14ac:dyDescent="0.2">
      <c r="A440" s="41">
        <v>43851</v>
      </c>
      <c r="B440" s="37">
        <v>10086157538.370001</v>
      </c>
      <c r="C440" s="37">
        <v>52892896.270000003</v>
      </c>
      <c r="D440" s="37">
        <v>-9087244.6300000008</v>
      </c>
      <c r="E440" s="37">
        <v>17859444514.57</v>
      </c>
      <c r="F440" s="37">
        <v>707701989.52999997</v>
      </c>
      <c r="G440" s="37">
        <v>101695007.44</v>
      </c>
      <c r="H440" s="37">
        <v>2051655.95</v>
      </c>
      <c r="I440" s="37">
        <v>28800856357.5</v>
      </c>
      <c r="J440" s="40"/>
      <c r="K440" s="40"/>
    </row>
    <row r="441" spans="1:11" x14ac:dyDescent="0.2">
      <c r="A441" s="41">
        <v>43879</v>
      </c>
      <c r="B441" s="37">
        <v>10101470038.370001</v>
      </c>
      <c r="C441" s="37">
        <v>52892896.270000003</v>
      </c>
      <c r="D441" s="37">
        <v>-9087244.6300000008</v>
      </c>
      <c r="E441" s="37">
        <v>17861564514.57</v>
      </c>
      <c r="F441" s="37">
        <v>707701989.52999997</v>
      </c>
      <c r="G441" s="37">
        <v>101695007.44</v>
      </c>
      <c r="H441" s="37">
        <v>2051655.95</v>
      </c>
      <c r="I441" s="37">
        <v>28818288857.5</v>
      </c>
      <c r="J441" s="40"/>
      <c r="K441" s="40"/>
    </row>
    <row r="442" spans="1:11" x14ac:dyDescent="0.2">
      <c r="A442" s="41">
        <v>43966</v>
      </c>
      <c r="B442" s="37">
        <v>10120634413.370001</v>
      </c>
      <c r="C442" s="37">
        <v>52892896.270000003</v>
      </c>
      <c r="D442" s="37">
        <v>-9087244.6300000008</v>
      </c>
      <c r="E442" s="37">
        <v>17863909514.57</v>
      </c>
      <c r="F442" s="37">
        <v>707701989.52999997</v>
      </c>
      <c r="G442" s="37">
        <v>101695007.44</v>
      </c>
      <c r="H442" s="37">
        <v>2051655.95</v>
      </c>
      <c r="I442" s="37">
        <v>28839798232.5</v>
      </c>
      <c r="J442" s="40"/>
      <c r="K442" s="40"/>
    </row>
    <row r="443" spans="1:11" x14ac:dyDescent="0.2">
      <c r="A443" s="41">
        <v>44027</v>
      </c>
      <c r="B443" s="37">
        <v>10120634413.370001</v>
      </c>
      <c r="C443" s="37">
        <v>52892896.270000003</v>
      </c>
      <c r="D443" s="37">
        <v>-9087244.6300000008</v>
      </c>
      <c r="E443" s="37">
        <v>17863909514.57</v>
      </c>
      <c r="F443" s="37">
        <v>733184344.05999994</v>
      </c>
      <c r="G443" s="37">
        <v>101695007.44</v>
      </c>
      <c r="H443" s="37">
        <v>2051655.95</v>
      </c>
      <c r="I443" s="37">
        <v>28865280587.029999</v>
      </c>
      <c r="J443" s="40"/>
      <c r="K443" s="40"/>
    </row>
    <row r="444" spans="1:11" x14ac:dyDescent="0.2">
      <c r="A444" s="41">
        <v>44032</v>
      </c>
      <c r="B444" s="37">
        <v>10122006913.370001</v>
      </c>
      <c r="C444" s="37">
        <v>52892896.270000003</v>
      </c>
      <c r="D444" s="37">
        <v>-9087244.6300000008</v>
      </c>
      <c r="E444" s="37">
        <v>17863909514.57</v>
      </c>
      <c r="F444" s="37">
        <v>733184344.05999994</v>
      </c>
      <c r="G444" s="37">
        <v>101695007.44</v>
      </c>
      <c r="H444" s="37">
        <v>2051655.95</v>
      </c>
      <c r="I444" s="37">
        <v>28866653087.029999</v>
      </c>
      <c r="J444" s="40"/>
      <c r="K444" s="40"/>
    </row>
    <row r="445" spans="1:11" x14ac:dyDescent="0.2">
      <c r="A445" s="41">
        <v>44060</v>
      </c>
      <c r="B445" s="37">
        <v>10487319413.370001</v>
      </c>
      <c r="C445" s="37">
        <v>52892896.270000003</v>
      </c>
      <c r="D445" s="37">
        <v>-9087244.6300000008</v>
      </c>
      <c r="E445" s="37">
        <v>17866029514.57</v>
      </c>
      <c r="F445" s="37">
        <v>733184344.05999994</v>
      </c>
      <c r="G445" s="37">
        <v>101695007.44</v>
      </c>
      <c r="H445" s="37">
        <v>2051655.95</v>
      </c>
      <c r="I445" s="37">
        <v>29234085587.029999</v>
      </c>
      <c r="J445" s="40"/>
      <c r="K445" s="40"/>
    </row>
    <row r="446" spans="1:11" x14ac:dyDescent="0.2">
      <c r="A446" s="41">
        <v>44151</v>
      </c>
      <c r="B446" s="37">
        <v>10741483788.370001</v>
      </c>
      <c r="C446" s="37">
        <v>52892896.270000003</v>
      </c>
      <c r="D446" s="37">
        <v>-9087244.6300000008</v>
      </c>
      <c r="E446" s="37">
        <v>17868374514.57</v>
      </c>
      <c r="F446" s="37">
        <v>733184344.05999994</v>
      </c>
      <c r="G446" s="37">
        <v>101695007.44</v>
      </c>
      <c r="H446" s="37">
        <v>2051655.95</v>
      </c>
      <c r="I446" s="37">
        <v>29490594962.029999</v>
      </c>
      <c r="J446" s="40"/>
      <c r="K446" s="40"/>
    </row>
    <row r="447" spans="1:11" x14ac:dyDescent="0.2">
      <c r="A447" s="41">
        <v>44211</v>
      </c>
      <c r="B447" s="37">
        <v>10741483788.370001</v>
      </c>
      <c r="C447" s="37">
        <v>52892896.270000003</v>
      </c>
      <c r="D447" s="37">
        <v>-9087244.6300000008</v>
      </c>
      <c r="E447" s="37">
        <v>17868374514.57</v>
      </c>
      <c r="F447" s="37">
        <v>733187965.59000003</v>
      </c>
      <c r="G447" s="37">
        <v>101695007.44</v>
      </c>
      <c r="H447" s="37">
        <v>2051655.95</v>
      </c>
      <c r="I447" s="37">
        <v>29490598583.560001</v>
      </c>
      <c r="J447" s="40"/>
      <c r="K447" s="40"/>
    </row>
    <row r="448" spans="1:11" x14ac:dyDescent="0.2">
      <c r="A448" s="41">
        <v>44215</v>
      </c>
      <c r="B448" s="37">
        <v>10742856288.370001</v>
      </c>
      <c r="C448" s="37">
        <v>52892896.270000003</v>
      </c>
      <c r="D448" s="37">
        <v>-9087244.6300000008</v>
      </c>
      <c r="E448" s="37">
        <v>17868374514.57</v>
      </c>
      <c r="F448" s="37">
        <v>733187965.59000003</v>
      </c>
      <c r="G448" s="37">
        <v>101695007.44</v>
      </c>
      <c r="H448" s="37">
        <v>2051655.95</v>
      </c>
      <c r="I448" s="37">
        <v>29491971083.560001</v>
      </c>
      <c r="J448" s="40"/>
      <c r="K448" s="40"/>
    </row>
    <row r="449" spans="1:11" x14ac:dyDescent="0.2">
      <c r="A449" s="41">
        <v>44243</v>
      </c>
      <c r="B449" s="37">
        <v>10742856288.370001</v>
      </c>
      <c r="C449" s="37">
        <v>52892896.270000003</v>
      </c>
      <c r="D449" s="37">
        <v>-9087244.6300000008</v>
      </c>
      <c r="E449" s="37">
        <v>17870494514.57</v>
      </c>
      <c r="F449" s="37">
        <v>733187965.59000003</v>
      </c>
      <c r="G449" s="37">
        <v>101695007.44</v>
      </c>
      <c r="H449" s="37">
        <v>2051655.95</v>
      </c>
      <c r="I449" s="37">
        <v>29494091083.560001</v>
      </c>
      <c r="J449" s="40"/>
      <c r="K449" s="40"/>
    </row>
    <row r="450" spans="1:11" x14ac:dyDescent="0.2">
      <c r="A450" s="41">
        <v>44333</v>
      </c>
      <c r="B450" s="37">
        <v>10758936288.370001</v>
      </c>
      <c r="C450" s="37">
        <v>52892896.270000003</v>
      </c>
      <c r="D450" s="37">
        <v>-9087244.6300000008</v>
      </c>
      <c r="E450" s="37">
        <v>17872839514.57</v>
      </c>
      <c r="F450" s="37">
        <v>733187965.59000003</v>
      </c>
      <c r="G450" s="37">
        <v>101695007.44</v>
      </c>
      <c r="H450" s="37">
        <v>2051655.95</v>
      </c>
      <c r="I450" s="37">
        <v>29512516083.560001</v>
      </c>
      <c r="J450" s="40"/>
      <c r="K450" s="40"/>
    </row>
    <row r="451" spans="1:11" x14ac:dyDescent="0.2">
      <c r="A451" s="41">
        <v>44392</v>
      </c>
      <c r="B451" s="37">
        <v>10758936288.370001</v>
      </c>
      <c r="C451" s="37">
        <v>52892896.270000003</v>
      </c>
      <c r="D451" s="37">
        <v>-9087244.6300000008</v>
      </c>
      <c r="E451" s="37">
        <v>17872839514.57</v>
      </c>
      <c r="F451" s="37">
        <v>733191587.13</v>
      </c>
      <c r="G451" s="37">
        <v>101695007.44</v>
      </c>
      <c r="H451" s="37">
        <v>2051655.95</v>
      </c>
      <c r="I451" s="37">
        <v>29512519705.09</v>
      </c>
      <c r="J451" s="40"/>
      <c r="K451" s="40"/>
    </row>
    <row r="452" spans="1:11" x14ac:dyDescent="0.2">
      <c r="A452" s="41">
        <v>44396</v>
      </c>
      <c r="B452" s="37">
        <v>10760308788.370001</v>
      </c>
      <c r="C452" s="37">
        <v>52892896.270000003</v>
      </c>
      <c r="D452" s="37">
        <v>-9087244.6300000008</v>
      </c>
      <c r="E452" s="37">
        <v>17872839514.57</v>
      </c>
      <c r="F452" s="37">
        <v>733191587.13</v>
      </c>
      <c r="G452" s="37">
        <v>101695007.44</v>
      </c>
      <c r="H452" s="37">
        <v>2051655.95</v>
      </c>
      <c r="I452" s="37">
        <v>29513892205.09</v>
      </c>
      <c r="J452" s="40"/>
      <c r="K452" s="40"/>
    </row>
    <row r="453" spans="1:11" x14ac:dyDescent="0.2">
      <c r="A453" s="41">
        <v>44424</v>
      </c>
      <c r="B453" s="37">
        <v>10760308788.370001</v>
      </c>
      <c r="C453" s="37">
        <v>52892896.270000003</v>
      </c>
      <c r="D453" s="37">
        <v>-9087244.6300000008</v>
      </c>
      <c r="E453" s="37">
        <v>17874959514.57</v>
      </c>
      <c r="F453" s="37">
        <v>733191587.13</v>
      </c>
      <c r="G453" s="37">
        <v>101695007.44</v>
      </c>
      <c r="H453" s="37">
        <v>2051655.95</v>
      </c>
      <c r="I453" s="37">
        <v>29516012205.09</v>
      </c>
      <c r="J453" s="40"/>
      <c r="K453" s="40"/>
    </row>
    <row r="454" spans="1:11" x14ac:dyDescent="0.2">
      <c r="A454" s="41">
        <v>44515</v>
      </c>
      <c r="B454" s="37">
        <v>11178388788.370001</v>
      </c>
      <c r="C454" s="37">
        <v>52892896.270000003</v>
      </c>
      <c r="D454" s="37">
        <v>-9087244.6300000008</v>
      </c>
      <c r="E454" s="37">
        <v>17877304514.57</v>
      </c>
      <c r="F454" s="37">
        <v>733191587.13</v>
      </c>
      <c r="G454" s="37">
        <v>101695007.44</v>
      </c>
      <c r="H454" s="37">
        <v>2051655.95</v>
      </c>
      <c r="I454" s="37">
        <v>29936437205.09</v>
      </c>
      <c r="J454" s="40"/>
      <c r="K454" s="40"/>
    </row>
    <row r="455" spans="1:11" x14ac:dyDescent="0.2">
      <c r="A455" s="41">
        <v>44576</v>
      </c>
      <c r="B455" s="37">
        <v>11178388788.370001</v>
      </c>
      <c r="C455" s="37">
        <v>52892896.270000003</v>
      </c>
      <c r="D455" s="37">
        <v>-9087244.6300000008</v>
      </c>
      <c r="E455" s="37">
        <v>17877304514.57</v>
      </c>
      <c r="F455" s="37">
        <v>738989657.65999997</v>
      </c>
      <c r="G455" s="37">
        <v>101695007.44</v>
      </c>
      <c r="H455" s="37">
        <v>2051655.95</v>
      </c>
      <c r="I455" s="37">
        <v>29942235275.630001</v>
      </c>
      <c r="J455" s="40"/>
      <c r="K455" s="40"/>
    </row>
    <row r="456" spans="1:11" x14ac:dyDescent="0.2">
      <c r="A456" s="41">
        <v>44580</v>
      </c>
      <c r="B456" s="37">
        <v>11179761288.370001</v>
      </c>
      <c r="C456" s="37">
        <v>52892896.270000003</v>
      </c>
      <c r="D456" s="37">
        <v>-9087244.6300000008</v>
      </c>
      <c r="E456" s="37">
        <v>17877304514.57</v>
      </c>
      <c r="F456" s="37">
        <v>738989657.65999997</v>
      </c>
      <c r="G456" s="37">
        <v>101695007.44</v>
      </c>
      <c r="H456" s="37">
        <v>2051655.95</v>
      </c>
      <c r="I456" s="37">
        <v>29943607775.630001</v>
      </c>
      <c r="J456" s="40"/>
      <c r="K456" s="40"/>
    </row>
    <row r="457" spans="1:11" x14ac:dyDescent="0.2">
      <c r="A457" s="41">
        <v>44607</v>
      </c>
      <c r="B457" s="37">
        <v>11179761288.370001</v>
      </c>
      <c r="C457" s="37">
        <v>52892896.270000003</v>
      </c>
      <c r="D457" s="37">
        <v>-9087244.6300000008</v>
      </c>
      <c r="E457" s="37">
        <v>18091424514.57</v>
      </c>
      <c r="F457" s="37">
        <v>738989657.65999997</v>
      </c>
      <c r="G457" s="37">
        <v>101695007.44</v>
      </c>
      <c r="H457" s="37">
        <v>2051655.95</v>
      </c>
      <c r="I457" s="37">
        <v>30157727775.630001</v>
      </c>
      <c r="J457" s="40"/>
      <c r="K457" s="40"/>
    </row>
    <row r="458" spans="1:11" x14ac:dyDescent="0.2">
      <c r="A458" s="41">
        <v>44697</v>
      </c>
      <c r="B458" s="37">
        <v>11179761288.370001</v>
      </c>
      <c r="C458" s="37">
        <v>52892896.270000003</v>
      </c>
      <c r="D458" s="37">
        <v>-9087244.6300000008</v>
      </c>
      <c r="E458" s="37">
        <v>18361769514.57</v>
      </c>
      <c r="F458" s="37">
        <v>738989657.65999997</v>
      </c>
      <c r="G458" s="37">
        <v>101695007.44</v>
      </c>
      <c r="H458" s="37">
        <v>2051655.95</v>
      </c>
      <c r="I458" s="37">
        <v>30428072775.630001</v>
      </c>
      <c r="J458" s="40"/>
      <c r="K458" s="40"/>
    </row>
    <row r="459" spans="1:11" x14ac:dyDescent="0.2">
      <c r="A459" s="41">
        <v>44761</v>
      </c>
      <c r="B459" s="37">
        <v>11181133788.370001</v>
      </c>
      <c r="C459" s="37">
        <v>52892896.270000003</v>
      </c>
      <c r="D459" s="37">
        <v>-9087244.6300000008</v>
      </c>
      <c r="E459" s="37">
        <v>18361769514.57</v>
      </c>
      <c r="F459" s="37">
        <v>738989657.65999997</v>
      </c>
      <c r="G459" s="37">
        <v>101695007.44</v>
      </c>
      <c r="H459" s="37">
        <v>2051655.95</v>
      </c>
      <c r="I459" s="37">
        <v>30429445275.630001</v>
      </c>
      <c r="J459" s="40"/>
      <c r="K459" s="40"/>
    </row>
    <row r="460" spans="1:11" x14ac:dyDescent="0.2">
      <c r="A460" s="41">
        <v>44945</v>
      </c>
      <c r="B460" s="37">
        <v>11218506288.370001</v>
      </c>
      <c r="C460" s="37">
        <v>52892896.270000003</v>
      </c>
      <c r="D460" s="37">
        <v>-9087244.6300000008</v>
      </c>
      <c r="E460" s="37">
        <v>18361769514.57</v>
      </c>
      <c r="F460" s="37">
        <v>738989657.65999997</v>
      </c>
      <c r="G460" s="37">
        <v>101695007.44</v>
      </c>
      <c r="H460" s="37">
        <v>2051655.95</v>
      </c>
      <c r="I460" s="37">
        <v>30466817775.630001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A46" workbookViewId="0">
      <selection activeCell="I77" sqref="I77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75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128</v>
      </c>
      <c r="G1" s="37" t="s">
        <v>129</v>
      </c>
      <c r="H1" s="37" t="s">
        <v>130</v>
      </c>
      <c r="I1" s="375" t="s">
        <v>131</v>
      </c>
      <c r="J1" s="39" t="s">
        <v>132</v>
      </c>
      <c r="K1" s="94" t="s">
        <v>378</v>
      </c>
      <c r="L1" s="94" t="s">
        <v>381</v>
      </c>
      <c r="M1" s="94" t="s">
        <v>379</v>
      </c>
      <c r="N1" s="94" t="s">
        <v>380</v>
      </c>
      <c r="O1" s="94" t="s">
        <v>638</v>
      </c>
    </row>
    <row r="2" spans="1:15" x14ac:dyDescent="0.2">
      <c r="A2" s="39" t="s">
        <v>133</v>
      </c>
      <c r="B2" s="39" t="s">
        <v>24</v>
      </c>
      <c r="D2" s="39" t="s">
        <v>134</v>
      </c>
      <c r="E2" s="39" t="s">
        <v>134</v>
      </c>
      <c r="F2" s="37">
        <v>568101319.44000006</v>
      </c>
      <c r="G2" s="37">
        <v>647323214.63999999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ca="1" si="2">IF(A2="","",IF(A2="BKINV1USD",-F2*ratioPV,F2))</f>
        <v>-329581960.64501166</v>
      </c>
      <c r="O2" s="93">
        <f>H2</f>
        <v>0</v>
      </c>
    </row>
    <row r="3" spans="1:15" x14ac:dyDescent="0.2">
      <c r="A3" s="39" t="s">
        <v>133</v>
      </c>
      <c r="B3" s="39" t="s">
        <v>99</v>
      </c>
      <c r="C3" s="39" t="s">
        <v>135</v>
      </c>
      <c r="D3" s="39" t="s">
        <v>136</v>
      </c>
      <c r="E3" s="39" t="s">
        <v>137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ca="1" si="2"/>
        <v>0</v>
      </c>
      <c r="O3" s="93">
        <f t="shared" ref="O3:O66" si="4">H3</f>
        <v>0</v>
      </c>
    </row>
    <row r="4" spans="1:15" x14ac:dyDescent="0.2">
      <c r="A4" s="39" t="s">
        <v>133</v>
      </c>
      <c r="B4" s="39" t="s">
        <v>99</v>
      </c>
      <c r="C4" s="39" t="s">
        <v>141</v>
      </c>
      <c r="D4" s="39" t="s">
        <v>147</v>
      </c>
      <c r="E4" s="39" t="s">
        <v>148</v>
      </c>
      <c r="F4" s="37">
        <v>744000000</v>
      </c>
      <c r="G4" s="37">
        <v>746307897.11000001</v>
      </c>
      <c r="H4" s="37">
        <v>613.4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ca="1" si="2"/>
        <v>-431628954.78151828</v>
      </c>
      <c r="O4" s="93">
        <f t="shared" si="4"/>
        <v>613.4</v>
      </c>
    </row>
    <row r="5" spans="1:15" x14ac:dyDescent="0.2">
      <c r="A5" s="39" t="s">
        <v>133</v>
      </c>
      <c r="B5" s="39" t="s">
        <v>99</v>
      </c>
      <c r="C5" s="39" t="s">
        <v>138</v>
      </c>
      <c r="D5" s="39" t="s">
        <v>139</v>
      </c>
      <c r="E5" s="39" t="s">
        <v>139</v>
      </c>
      <c r="F5" s="37">
        <v>60000000</v>
      </c>
      <c r="G5" s="37">
        <v>60000283.329999998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ca="1" si="2"/>
        <v>-34808786.675928898</v>
      </c>
      <c r="O5" s="93">
        <f t="shared" si="4"/>
        <v>0</v>
      </c>
    </row>
    <row r="6" spans="1:15" x14ac:dyDescent="0.2">
      <c r="A6" s="39" t="s">
        <v>133</v>
      </c>
      <c r="B6" s="39" t="s">
        <v>79</v>
      </c>
      <c r="C6" s="39" t="s">
        <v>135</v>
      </c>
      <c r="D6" s="39" t="s">
        <v>143</v>
      </c>
      <c r="E6" s="39" t="s">
        <v>144</v>
      </c>
      <c r="F6" s="37">
        <v>632000000</v>
      </c>
      <c r="G6" s="37">
        <v>631985911.99000001</v>
      </c>
      <c r="H6" s="37">
        <v>1053.32</v>
      </c>
      <c r="I6" s="375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ca="1" si="2"/>
        <v>-366652552.98645103</v>
      </c>
      <c r="O6" s="93">
        <f t="shared" si="4"/>
        <v>1053.32</v>
      </c>
    </row>
    <row r="7" spans="1:15" x14ac:dyDescent="0.2">
      <c r="A7" s="39" t="s">
        <v>133</v>
      </c>
      <c r="B7" s="39" t="s">
        <v>19</v>
      </c>
      <c r="C7" s="39" t="s">
        <v>135</v>
      </c>
      <c r="D7" s="39" t="s">
        <v>145</v>
      </c>
      <c r="E7" s="39" t="s">
        <v>146</v>
      </c>
      <c r="F7" s="37">
        <v>192000000</v>
      </c>
      <c r="G7" s="37">
        <v>191996000.09</v>
      </c>
      <c r="H7" s="37">
        <v>693.32</v>
      </c>
      <c r="I7" s="375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ca="1" si="2"/>
        <v>-111388117.36297247</v>
      </c>
      <c r="O7" s="93">
        <f t="shared" si="4"/>
        <v>693.32</v>
      </c>
    </row>
    <row r="8" spans="1:15" x14ac:dyDescent="0.2">
      <c r="A8" s="39" t="s">
        <v>133</v>
      </c>
      <c r="B8" s="39" t="s">
        <v>142</v>
      </c>
      <c r="C8" s="39" t="s">
        <v>135</v>
      </c>
      <c r="D8" s="39" t="s">
        <v>149</v>
      </c>
      <c r="E8" s="39" t="s">
        <v>150</v>
      </c>
      <c r="F8" s="37">
        <v>632000000</v>
      </c>
      <c r="G8" s="37">
        <v>631793816.83000004</v>
      </c>
      <c r="H8" s="37">
        <v>3510.88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ca="1" si="2"/>
        <v>-366652552.98645103</v>
      </c>
      <c r="O8" s="93">
        <f t="shared" si="4"/>
        <v>3510.88</v>
      </c>
    </row>
    <row r="9" spans="1:15" x14ac:dyDescent="0.2">
      <c r="A9" s="39" t="s">
        <v>133</v>
      </c>
      <c r="B9" s="39" t="s">
        <v>80</v>
      </c>
      <c r="C9" s="39" t="s">
        <v>135</v>
      </c>
      <c r="D9" s="39" t="s">
        <v>151</v>
      </c>
      <c r="E9" s="39" t="s">
        <v>152</v>
      </c>
      <c r="F9" s="37">
        <v>192000000</v>
      </c>
      <c r="G9" s="37">
        <v>191927654.78</v>
      </c>
      <c r="H9" s="37">
        <v>1439.91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ca="1" si="2"/>
        <v>-111388117.36297247</v>
      </c>
      <c r="O9" s="93">
        <f t="shared" si="4"/>
        <v>1439.91</v>
      </c>
    </row>
    <row r="10" spans="1:15" x14ac:dyDescent="0.2">
      <c r="A10" s="39" t="s">
        <v>133</v>
      </c>
      <c r="B10" s="39" t="s">
        <v>20</v>
      </c>
      <c r="C10" s="39" t="s">
        <v>135</v>
      </c>
      <c r="D10" s="39" t="s">
        <v>153</v>
      </c>
      <c r="E10" s="39" t="s">
        <v>154</v>
      </c>
      <c r="F10" s="37">
        <v>632000000</v>
      </c>
      <c r="G10" s="37">
        <v>631980074.90999997</v>
      </c>
      <c r="H10" s="37">
        <v>5968.76</v>
      </c>
      <c r="I10" s="375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ca="1" si="2"/>
        <v>-366652552.98645103</v>
      </c>
      <c r="O10" s="93">
        <f t="shared" si="4"/>
        <v>5968.76</v>
      </c>
    </row>
    <row r="11" spans="1:15" x14ac:dyDescent="0.2">
      <c r="A11" s="39" t="s">
        <v>133</v>
      </c>
      <c r="B11" s="39" t="s">
        <v>20</v>
      </c>
      <c r="C11" s="39" t="s">
        <v>135</v>
      </c>
      <c r="D11" s="39" t="s">
        <v>155</v>
      </c>
      <c r="E11" s="39" t="s">
        <v>156</v>
      </c>
      <c r="F11" s="37">
        <v>192000000</v>
      </c>
      <c r="G11" s="37">
        <v>191989013.58000001</v>
      </c>
      <c r="H11" s="37">
        <v>2186.61</v>
      </c>
      <c r="I11" s="375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ca="1" si="2"/>
        <v>-111388117.36297247</v>
      </c>
      <c r="O11" s="93">
        <f t="shared" si="4"/>
        <v>2186.61</v>
      </c>
    </row>
    <row r="12" spans="1:15" x14ac:dyDescent="0.2">
      <c r="A12" s="39" t="s">
        <v>133</v>
      </c>
      <c r="B12" s="39" t="s">
        <v>20</v>
      </c>
      <c r="C12" s="39" t="s">
        <v>135</v>
      </c>
      <c r="D12" s="39" t="s">
        <v>157</v>
      </c>
      <c r="E12" s="39" t="s">
        <v>158</v>
      </c>
      <c r="F12" s="37">
        <v>462000000</v>
      </c>
      <c r="G12" s="37">
        <v>461969200.70999998</v>
      </c>
      <c r="H12" s="37">
        <v>6159.85</v>
      </c>
      <c r="I12" s="375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ca="1" si="2"/>
        <v>-268027657.40465251</v>
      </c>
      <c r="O12" s="93">
        <f t="shared" si="4"/>
        <v>6159.85</v>
      </c>
    </row>
    <row r="13" spans="1:15" x14ac:dyDescent="0.2">
      <c r="A13" s="39" t="s">
        <v>133</v>
      </c>
      <c r="B13" s="39" t="s">
        <v>20</v>
      </c>
      <c r="C13" s="39" t="s">
        <v>135</v>
      </c>
      <c r="D13" s="39" t="s">
        <v>159</v>
      </c>
      <c r="E13" s="39" t="s">
        <v>160</v>
      </c>
      <c r="F13" s="37">
        <v>462000000</v>
      </c>
      <c r="G13" s="37">
        <v>461966056.58999997</v>
      </c>
      <c r="H13" s="37">
        <v>7058.16</v>
      </c>
      <c r="I13" s="375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ca="1" si="2"/>
        <v>-268027657.40465251</v>
      </c>
      <c r="O13" s="93">
        <f t="shared" si="4"/>
        <v>7058.16</v>
      </c>
    </row>
    <row r="14" spans="1:15" x14ac:dyDescent="0.2">
      <c r="A14" s="39" t="s">
        <v>133</v>
      </c>
      <c r="B14" s="39" t="s">
        <v>20</v>
      </c>
      <c r="C14" s="39" t="s">
        <v>135</v>
      </c>
      <c r="D14" s="39" t="s">
        <v>161</v>
      </c>
      <c r="E14" s="39" t="s">
        <v>162</v>
      </c>
      <c r="F14" s="37">
        <v>462500000</v>
      </c>
      <c r="G14" s="37">
        <v>462457187.60000002</v>
      </c>
      <c r="H14" s="37">
        <v>7965.08</v>
      </c>
      <c r="I14" s="375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ca="1" si="2"/>
        <v>-268317730.6269519</v>
      </c>
      <c r="O14" s="93">
        <f t="shared" si="4"/>
        <v>7965.08</v>
      </c>
    </row>
    <row r="15" spans="1:15" x14ac:dyDescent="0.2">
      <c r="A15" s="39" t="s">
        <v>133</v>
      </c>
      <c r="B15" s="39" t="s">
        <v>20</v>
      </c>
      <c r="C15" s="39" t="s">
        <v>135</v>
      </c>
      <c r="D15" s="39" t="s">
        <v>163</v>
      </c>
      <c r="E15" s="39" t="s">
        <v>164</v>
      </c>
      <c r="F15" s="37">
        <v>462300000</v>
      </c>
      <c r="G15" s="37">
        <v>462225841.06999999</v>
      </c>
      <c r="H15" s="37">
        <v>8860.5</v>
      </c>
      <c r="I15" s="375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ca="1" si="2"/>
        <v>-268201701.33803213</v>
      </c>
      <c r="O15" s="93">
        <f t="shared" si="4"/>
        <v>8860.5</v>
      </c>
    </row>
    <row r="16" spans="1:15" x14ac:dyDescent="0.2">
      <c r="A16" s="39" t="s">
        <v>133</v>
      </c>
      <c r="B16" s="39" t="s">
        <v>20</v>
      </c>
      <c r="C16" s="39" t="s">
        <v>135</v>
      </c>
      <c r="D16" s="39" t="s">
        <v>165</v>
      </c>
      <c r="E16" s="39" t="s">
        <v>166</v>
      </c>
      <c r="F16" s="37">
        <v>462000000</v>
      </c>
      <c r="G16" s="37">
        <v>461914467.80000001</v>
      </c>
      <c r="H16" s="37">
        <v>9753.06</v>
      </c>
      <c r="I16" s="375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ca="1" si="2"/>
        <v>-268027657.40465251</v>
      </c>
      <c r="O16" s="93">
        <f t="shared" si="4"/>
        <v>9753.06</v>
      </c>
    </row>
    <row r="17" spans="1:15" x14ac:dyDescent="0.2">
      <c r="A17" s="39" t="s">
        <v>133</v>
      </c>
      <c r="B17" s="39" t="s">
        <v>20</v>
      </c>
      <c r="C17" s="39" t="s">
        <v>135</v>
      </c>
      <c r="D17" s="39" t="s">
        <v>167</v>
      </c>
      <c r="E17" s="39" t="s">
        <v>168</v>
      </c>
      <c r="F17" s="37">
        <v>462000000</v>
      </c>
      <c r="G17" s="37">
        <v>461909847.91000003</v>
      </c>
      <c r="H17" s="37">
        <v>10651.37</v>
      </c>
      <c r="I17" s="375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ca="1" si="2"/>
        <v>-268027657.40465251</v>
      </c>
      <c r="O17" s="93">
        <f t="shared" si="4"/>
        <v>10651.37</v>
      </c>
    </row>
    <row r="18" spans="1:15" x14ac:dyDescent="0.2">
      <c r="A18" s="39" t="s">
        <v>133</v>
      </c>
      <c r="B18" s="39" t="s">
        <v>20</v>
      </c>
      <c r="C18" s="39" t="s">
        <v>135</v>
      </c>
      <c r="D18" s="39" t="s">
        <v>169</v>
      </c>
      <c r="E18" s="39" t="s">
        <v>170</v>
      </c>
      <c r="F18" s="37">
        <v>462000000</v>
      </c>
      <c r="G18" s="37">
        <v>461897303.60000002</v>
      </c>
      <c r="H18" s="37">
        <v>11549.67</v>
      </c>
      <c r="I18" s="375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ca="1" si="2"/>
        <v>-268027657.40465251</v>
      </c>
      <c r="O18" s="93">
        <f t="shared" si="4"/>
        <v>11549.67</v>
      </c>
    </row>
    <row r="19" spans="1:15" x14ac:dyDescent="0.2">
      <c r="A19" s="39" t="s">
        <v>133</v>
      </c>
      <c r="B19" s="39" t="s">
        <v>20</v>
      </c>
      <c r="C19" s="39" t="s">
        <v>141</v>
      </c>
      <c r="D19" s="39" t="s">
        <v>171</v>
      </c>
      <c r="E19" s="39" t="s">
        <v>172</v>
      </c>
      <c r="F19" s="37">
        <v>743000000</v>
      </c>
      <c r="G19" s="37">
        <v>745399198.84000003</v>
      </c>
      <c r="H19" s="37">
        <v>6539.73</v>
      </c>
      <c r="I19" s="375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ca="1" si="2"/>
        <v>-431048808.33691949</v>
      </c>
      <c r="O19" s="93">
        <f t="shared" si="4"/>
        <v>6539.73</v>
      </c>
    </row>
    <row r="20" spans="1:15" x14ac:dyDescent="0.2">
      <c r="A20" s="39" t="s">
        <v>133</v>
      </c>
      <c r="B20" s="39" t="s">
        <v>20</v>
      </c>
      <c r="C20" s="39" t="s">
        <v>141</v>
      </c>
      <c r="D20" s="39" t="s">
        <v>173</v>
      </c>
      <c r="E20" s="39" t="s">
        <v>174</v>
      </c>
      <c r="F20" s="37">
        <v>744000000</v>
      </c>
      <c r="G20" s="37">
        <v>745300841.38</v>
      </c>
      <c r="H20" s="37">
        <v>12860.24</v>
      </c>
      <c r="I20" s="375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ca="1" si="2"/>
        <v>-431628954.78151828</v>
      </c>
      <c r="O20" s="93">
        <f t="shared" si="4"/>
        <v>12860.24</v>
      </c>
    </row>
    <row r="21" spans="1:15" x14ac:dyDescent="0.2">
      <c r="A21" s="39" t="s">
        <v>133</v>
      </c>
      <c r="B21" s="39" t="s">
        <v>21</v>
      </c>
      <c r="C21" s="39" t="s">
        <v>135</v>
      </c>
      <c r="D21" s="39" t="s">
        <v>43</v>
      </c>
      <c r="E21" s="39" t="s">
        <v>44</v>
      </c>
      <c r="F21" s="37">
        <v>462000000</v>
      </c>
      <c r="G21" s="37">
        <v>461877829.45999998</v>
      </c>
      <c r="H21" s="37">
        <v>12447.96</v>
      </c>
      <c r="I21" s="375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ca="1" si="2"/>
        <v>-268027657.40465251</v>
      </c>
      <c r="O21" s="93">
        <f t="shared" si="4"/>
        <v>12447.96</v>
      </c>
    </row>
    <row r="22" spans="1:15" x14ac:dyDescent="0.2">
      <c r="A22" s="39" t="s">
        <v>133</v>
      </c>
      <c r="B22" s="39" t="s">
        <v>21</v>
      </c>
      <c r="C22" s="39" t="s">
        <v>135</v>
      </c>
      <c r="D22" s="39" t="s">
        <v>45</v>
      </c>
      <c r="E22" s="39" t="s">
        <v>46</v>
      </c>
      <c r="F22" s="37">
        <v>462000000</v>
      </c>
      <c r="G22" s="37">
        <v>461866279.72000003</v>
      </c>
      <c r="H22" s="37">
        <v>13346.27</v>
      </c>
      <c r="I22" s="375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ca="1" si="2"/>
        <v>-268027657.40465251</v>
      </c>
      <c r="O22" s="93">
        <f t="shared" si="4"/>
        <v>13346.27</v>
      </c>
    </row>
    <row r="23" spans="1:15" x14ac:dyDescent="0.2">
      <c r="A23" s="39" t="s">
        <v>133</v>
      </c>
      <c r="B23" s="39" t="s">
        <v>21</v>
      </c>
      <c r="C23" s="39" t="s">
        <v>135</v>
      </c>
      <c r="D23" s="39" t="s">
        <v>68</v>
      </c>
      <c r="E23" s="39" t="s">
        <v>69</v>
      </c>
      <c r="F23" s="37">
        <v>462000000</v>
      </c>
      <c r="G23" s="37">
        <v>461854280.83999997</v>
      </c>
      <c r="H23" s="37">
        <v>14244.57</v>
      </c>
      <c r="I23" s="375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ca="1" si="2"/>
        <v>-268027657.40465251</v>
      </c>
      <c r="O23" s="93">
        <f t="shared" si="4"/>
        <v>14244.57</v>
      </c>
    </row>
    <row r="24" spans="1:15" x14ac:dyDescent="0.2">
      <c r="A24" s="39" t="s">
        <v>133</v>
      </c>
      <c r="B24" s="39" t="s">
        <v>21</v>
      </c>
      <c r="C24" s="39" t="s">
        <v>135</v>
      </c>
      <c r="D24" s="39" t="s">
        <v>616</v>
      </c>
      <c r="E24" s="39" t="s">
        <v>617</v>
      </c>
      <c r="F24" s="37">
        <v>462000000</v>
      </c>
      <c r="G24" s="37">
        <v>461834453.77999997</v>
      </c>
      <c r="H24" s="37">
        <v>15142.87</v>
      </c>
      <c r="I24" s="375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ca="1" si="2"/>
        <v>-268027657.40465251</v>
      </c>
      <c r="O24" s="93">
        <f t="shared" si="4"/>
        <v>15142.87</v>
      </c>
    </row>
    <row r="25" spans="1:15" x14ac:dyDescent="0.2">
      <c r="A25" s="39" t="s">
        <v>133</v>
      </c>
      <c r="B25" s="39" t="s">
        <v>21</v>
      </c>
      <c r="C25" s="39" t="s">
        <v>135</v>
      </c>
      <c r="D25" s="39" t="s">
        <v>750</v>
      </c>
      <c r="E25" s="39" t="s">
        <v>751</v>
      </c>
      <c r="F25" s="37">
        <v>462000000</v>
      </c>
      <c r="G25" s="37">
        <v>461817193.35000002</v>
      </c>
      <c r="H25" s="37">
        <v>16041.16</v>
      </c>
      <c r="I25" s="375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ca="1" si="2"/>
        <v>-268027657.40465251</v>
      </c>
      <c r="O25" s="93">
        <f t="shared" si="4"/>
        <v>16041.16</v>
      </c>
    </row>
    <row r="26" spans="1:15" x14ac:dyDescent="0.2">
      <c r="A26" s="39" t="s">
        <v>133</v>
      </c>
      <c r="B26" s="39" t="s">
        <v>21</v>
      </c>
      <c r="C26" s="39" t="s">
        <v>135</v>
      </c>
      <c r="D26" s="39" t="s">
        <v>864</v>
      </c>
      <c r="E26" s="39" t="s">
        <v>865</v>
      </c>
      <c r="F26" s="37">
        <v>462000000</v>
      </c>
      <c r="G26" s="37">
        <v>461752847.23000002</v>
      </c>
      <c r="H26" s="37">
        <v>16939.419999999998</v>
      </c>
      <c r="I26" s="375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ca="1" si="2"/>
        <v>-268027657.40465251</v>
      </c>
      <c r="O26" s="93">
        <f t="shared" si="4"/>
        <v>16939.419999999998</v>
      </c>
    </row>
    <row r="27" spans="1:15" x14ac:dyDescent="0.2">
      <c r="A27" s="39" t="s">
        <v>133</v>
      </c>
      <c r="B27" s="39" t="s">
        <v>21</v>
      </c>
      <c r="C27" s="39" t="s">
        <v>135</v>
      </c>
      <c r="D27" s="39" t="s">
        <v>903</v>
      </c>
      <c r="E27" s="39" t="s">
        <v>904</v>
      </c>
      <c r="F27" s="37">
        <v>462000000</v>
      </c>
      <c r="G27" s="37">
        <v>461848480.29000002</v>
      </c>
      <c r="H27" s="37">
        <v>17837.82</v>
      </c>
      <c r="I27" s="375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ca="1" si="2"/>
        <v>-268027657.40465251</v>
      </c>
      <c r="O27" s="93">
        <f t="shared" si="4"/>
        <v>17837.82</v>
      </c>
    </row>
    <row r="28" spans="1:15" x14ac:dyDescent="0.2">
      <c r="A28" s="39" t="s">
        <v>133</v>
      </c>
      <c r="B28" s="39" t="s">
        <v>21</v>
      </c>
      <c r="C28" s="39" t="s">
        <v>135</v>
      </c>
      <c r="D28" s="39" t="s">
        <v>905</v>
      </c>
      <c r="E28" s="39" t="s">
        <v>906</v>
      </c>
      <c r="F28" s="37">
        <v>462000000</v>
      </c>
      <c r="G28" s="37">
        <v>461660628.74000001</v>
      </c>
      <c r="H28" s="37">
        <v>18864.3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ca="1" si="2"/>
        <v>-268027657.40465251</v>
      </c>
      <c r="O28" s="93">
        <f t="shared" si="4"/>
        <v>18864.3</v>
      </c>
    </row>
    <row r="29" spans="1:15" x14ac:dyDescent="0.2">
      <c r="A29" s="39" t="s">
        <v>133</v>
      </c>
      <c r="B29" s="39" t="s">
        <v>21</v>
      </c>
      <c r="C29" s="39" t="s">
        <v>135</v>
      </c>
      <c r="D29" s="39" t="s">
        <v>916</v>
      </c>
      <c r="E29" s="39" t="s">
        <v>917</v>
      </c>
      <c r="F29" s="37">
        <v>462000000</v>
      </c>
      <c r="G29" s="37">
        <v>461662425.88</v>
      </c>
      <c r="H29" s="37">
        <v>19634.29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ca="1" si="2"/>
        <v>-268027657.40465251</v>
      </c>
      <c r="O29" s="93">
        <f t="shared" si="4"/>
        <v>19634.29</v>
      </c>
    </row>
    <row r="30" spans="1:15" x14ac:dyDescent="0.2">
      <c r="A30" s="39" t="s">
        <v>133</v>
      </c>
      <c r="B30" s="39" t="s">
        <v>21</v>
      </c>
      <c r="C30" s="39" t="s">
        <v>135</v>
      </c>
      <c r="D30" s="39" t="s">
        <v>922</v>
      </c>
      <c r="E30" s="39" t="s">
        <v>923</v>
      </c>
      <c r="F30" s="37">
        <v>462300000</v>
      </c>
      <c r="G30" s="37">
        <v>461985580.01999998</v>
      </c>
      <c r="H30" s="37">
        <v>20545.95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ca="1" si="2"/>
        <v>-268201701.33803213</v>
      </c>
      <c r="O30" s="93">
        <f t="shared" si="4"/>
        <v>20545.95</v>
      </c>
    </row>
    <row r="31" spans="1:15" x14ac:dyDescent="0.2">
      <c r="A31" s="39" t="s">
        <v>133</v>
      </c>
      <c r="B31" s="39" t="s">
        <v>21</v>
      </c>
      <c r="C31" s="39" t="s">
        <v>135</v>
      </c>
      <c r="D31" s="39" t="s">
        <v>924</v>
      </c>
      <c r="E31" s="39" t="s">
        <v>417</v>
      </c>
      <c r="F31" s="37">
        <v>462000000</v>
      </c>
      <c r="G31" s="37">
        <v>461797892.44</v>
      </c>
      <c r="H31" s="37">
        <v>21431.02</v>
      </c>
      <c r="I31" s="375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ca="1" si="2"/>
        <v>-268027657.40465251</v>
      </c>
      <c r="O31" s="93">
        <f t="shared" si="4"/>
        <v>21431.02</v>
      </c>
    </row>
    <row r="32" spans="1:15" x14ac:dyDescent="0.2">
      <c r="A32" s="39" t="s">
        <v>133</v>
      </c>
      <c r="B32" s="39" t="s">
        <v>21</v>
      </c>
      <c r="C32" s="39" t="s">
        <v>135</v>
      </c>
      <c r="D32" s="39" t="s">
        <v>928</v>
      </c>
      <c r="E32" s="39" t="s">
        <v>929</v>
      </c>
      <c r="F32" s="37">
        <v>462000000</v>
      </c>
      <c r="G32" s="37">
        <v>461639072.31</v>
      </c>
      <c r="H32" s="37">
        <v>22329.21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ca="1" si="2"/>
        <v>-268027657.40465251</v>
      </c>
      <c r="O32" s="93">
        <f t="shared" si="4"/>
        <v>22329.21</v>
      </c>
    </row>
    <row r="33" spans="1:15" x14ac:dyDescent="0.2">
      <c r="A33" s="39" t="s">
        <v>133</v>
      </c>
      <c r="B33" s="39" t="s">
        <v>21</v>
      </c>
      <c r="C33" s="39" t="s">
        <v>135</v>
      </c>
      <c r="D33" s="39" t="s">
        <v>939</v>
      </c>
      <c r="E33" s="39" t="s">
        <v>940</v>
      </c>
      <c r="F33" s="37">
        <v>462000000</v>
      </c>
      <c r="G33" s="37">
        <v>461639072.31</v>
      </c>
      <c r="H33" s="37">
        <v>23227.52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ca="1" si="2"/>
        <v>-268027657.40465251</v>
      </c>
      <c r="O33" s="93">
        <f t="shared" si="4"/>
        <v>23227.52</v>
      </c>
    </row>
    <row r="34" spans="1:15" x14ac:dyDescent="0.2">
      <c r="A34" s="39" t="s">
        <v>133</v>
      </c>
      <c r="B34" s="39" t="s">
        <v>21</v>
      </c>
      <c r="C34" s="39" t="s">
        <v>141</v>
      </c>
      <c r="D34" s="39" t="s">
        <v>175</v>
      </c>
      <c r="E34" s="39" t="s">
        <v>176</v>
      </c>
      <c r="F34" s="37">
        <v>743000000</v>
      </c>
      <c r="G34" s="37">
        <v>744213348.53999996</v>
      </c>
      <c r="H34" s="37">
        <v>19157.91</v>
      </c>
      <c r="I34" s="375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ca="1" si="2"/>
        <v>-431048808.33691949</v>
      </c>
      <c r="O34" s="93">
        <f t="shared" si="4"/>
        <v>19157.91</v>
      </c>
    </row>
    <row r="35" spans="1:15" x14ac:dyDescent="0.2">
      <c r="A35" s="39" t="s">
        <v>133</v>
      </c>
      <c r="B35" s="39" t="s">
        <v>21</v>
      </c>
      <c r="C35" s="39" t="s">
        <v>141</v>
      </c>
      <c r="D35" s="39" t="s">
        <v>178</v>
      </c>
      <c r="E35" s="39" t="s">
        <v>179</v>
      </c>
      <c r="F35" s="37">
        <v>742000000</v>
      </c>
      <c r="G35" s="37">
        <v>743125962.55999994</v>
      </c>
      <c r="H35" s="37">
        <v>25233.52</v>
      </c>
      <c r="I35" s="375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ca="1" si="2"/>
        <v>-430468661.89232069</v>
      </c>
      <c r="O35" s="93">
        <f t="shared" si="4"/>
        <v>25233.52</v>
      </c>
    </row>
    <row r="36" spans="1:15" x14ac:dyDescent="0.2">
      <c r="A36" s="39" t="s">
        <v>133</v>
      </c>
      <c r="B36" s="39" t="s">
        <v>21</v>
      </c>
      <c r="C36" s="39" t="s">
        <v>141</v>
      </c>
      <c r="D36" s="39" t="s">
        <v>180</v>
      </c>
      <c r="E36" s="39" t="s">
        <v>181</v>
      </c>
      <c r="F36" s="37">
        <v>742000000</v>
      </c>
      <c r="G36" s="37">
        <v>743466708.80999994</v>
      </c>
      <c r="H36" s="37">
        <v>31349.63</v>
      </c>
      <c r="I36" s="375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ca="1" si="2"/>
        <v>-430468661.89232069</v>
      </c>
      <c r="O36" s="93">
        <f t="shared" si="4"/>
        <v>31349.63</v>
      </c>
    </row>
    <row r="37" spans="1:15" x14ac:dyDescent="0.2">
      <c r="A37" s="39" t="s">
        <v>133</v>
      </c>
      <c r="B37" s="39" t="s">
        <v>177</v>
      </c>
      <c r="C37" s="39" t="s">
        <v>141</v>
      </c>
      <c r="D37" s="39" t="s">
        <v>182</v>
      </c>
      <c r="E37" s="39" t="s">
        <v>183</v>
      </c>
      <c r="F37" s="37">
        <v>744000000</v>
      </c>
      <c r="G37" s="37">
        <v>748135001.98000002</v>
      </c>
      <c r="H37" s="37">
        <v>37778.370000000003</v>
      </c>
      <c r="I37" s="375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ca="1" si="2"/>
        <v>-431628954.78151828</v>
      </c>
      <c r="O37" s="93">
        <f t="shared" si="4"/>
        <v>37778.370000000003</v>
      </c>
    </row>
    <row r="38" spans="1:15" x14ac:dyDescent="0.2">
      <c r="A38" s="39" t="s">
        <v>133</v>
      </c>
      <c r="B38" s="39" t="s">
        <v>177</v>
      </c>
      <c r="C38" s="39" t="s">
        <v>141</v>
      </c>
      <c r="D38" s="39" t="s">
        <v>185</v>
      </c>
      <c r="E38" s="39" t="s">
        <v>186</v>
      </c>
      <c r="F38" s="37">
        <v>742000000</v>
      </c>
      <c r="G38" s="37">
        <v>746048041.28999996</v>
      </c>
      <c r="H38" s="37">
        <v>44004.22</v>
      </c>
      <c r="I38" s="375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ca="1" si="2"/>
        <v>-430468661.89232069</v>
      </c>
      <c r="O38" s="93">
        <f t="shared" si="4"/>
        <v>44004.22</v>
      </c>
    </row>
    <row r="39" spans="1:15" x14ac:dyDescent="0.2">
      <c r="A39" s="39" t="s">
        <v>133</v>
      </c>
      <c r="B39" s="39" t="s">
        <v>177</v>
      </c>
      <c r="C39" s="39" t="s">
        <v>141</v>
      </c>
      <c r="D39" s="39" t="s">
        <v>47</v>
      </c>
      <c r="E39" s="39" t="s">
        <v>48</v>
      </c>
      <c r="F39" s="37">
        <v>744000000</v>
      </c>
      <c r="G39" s="37">
        <v>747874709.02999997</v>
      </c>
      <c r="H39" s="37">
        <v>49841.78</v>
      </c>
      <c r="I39" s="375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ca="1" si="2"/>
        <v>-431628954.78151828</v>
      </c>
      <c r="O39" s="93">
        <f t="shared" si="4"/>
        <v>49841.78</v>
      </c>
    </row>
    <row r="40" spans="1:15" x14ac:dyDescent="0.2">
      <c r="A40" s="39" t="s">
        <v>133</v>
      </c>
      <c r="B40" s="39" t="s">
        <v>184</v>
      </c>
      <c r="C40" s="39" t="s">
        <v>141</v>
      </c>
      <c r="D40" s="39" t="s">
        <v>187</v>
      </c>
      <c r="E40" s="39" t="s">
        <v>188</v>
      </c>
      <c r="F40" s="37">
        <v>743000000</v>
      </c>
      <c r="G40" s="37">
        <v>747620431.71000004</v>
      </c>
      <c r="H40" s="37">
        <v>56346.83</v>
      </c>
      <c r="I40" s="375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ca="1" si="2"/>
        <v>-431048808.33691949</v>
      </c>
      <c r="O40" s="93">
        <f t="shared" si="4"/>
        <v>56346.83</v>
      </c>
    </row>
    <row r="41" spans="1:15" x14ac:dyDescent="0.2">
      <c r="A41" s="39" t="s">
        <v>133</v>
      </c>
      <c r="B41" s="39" t="s">
        <v>184</v>
      </c>
      <c r="C41" s="39" t="s">
        <v>141</v>
      </c>
      <c r="D41" s="39" t="s">
        <v>49</v>
      </c>
      <c r="E41" s="39" t="s">
        <v>50</v>
      </c>
      <c r="F41" s="37">
        <v>743000000</v>
      </c>
      <c r="G41" s="37">
        <v>746419017.19000006</v>
      </c>
      <c r="H41" s="37">
        <v>62196.639999999999</v>
      </c>
      <c r="I41" s="375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ca="1" si="2"/>
        <v>-431048808.33691949</v>
      </c>
      <c r="O41" s="93">
        <f t="shared" si="4"/>
        <v>62196.639999999999</v>
      </c>
    </row>
    <row r="42" spans="1:15" x14ac:dyDescent="0.2">
      <c r="A42" s="39" t="s">
        <v>133</v>
      </c>
      <c r="B42" s="39" t="s">
        <v>184</v>
      </c>
      <c r="C42" s="39" t="s">
        <v>141</v>
      </c>
      <c r="D42" s="39" t="s">
        <v>189</v>
      </c>
      <c r="E42" s="39" t="s">
        <v>190</v>
      </c>
      <c r="F42" s="37">
        <v>743000000</v>
      </c>
      <c r="G42" s="37">
        <v>745223277.58000004</v>
      </c>
      <c r="H42" s="37">
        <v>68435.22</v>
      </c>
      <c r="I42" s="375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ca="1" si="2"/>
        <v>-431048808.33691949</v>
      </c>
      <c r="O42" s="93">
        <f t="shared" si="4"/>
        <v>68435.22</v>
      </c>
    </row>
    <row r="43" spans="1:15" x14ac:dyDescent="0.2">
      <c r="A43" s="39" t="s">
        <v>133</v>
      </c>
      <c r="B43" s="39" t="s">
        <v>83</v>
      </c>
      <c r="C43" s="39" t="s">
        <v>141</v>
      </c>
      <c r="D43" s="39" t="s">
        <v>191</v>
      </c>
      <c r="E43" s="39" t="s">
        <v>192</v>
      </c>
      <c r="F43" s="37">
        <v>742250000</v>
      </c>
      <c r="G43" s="37">
        <v>744654576.04999995</v>
      </c>
      <c r="H43" s="37">
        <v>74577.87</v>
      </c>
      <c r="I43" s="375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ca="1" si="2"/>
        <v>-430613698.50347036</v>
      </c>
      <c r="O43" s="93">
        <f t="shared" si="4"/>
        <v>74577.87</v>
      </c>
    </row>
    <row r="44" spans="1:15" x14ac:dyDescent="0.2">
      <c r="A44" s="39" t="s">
        <v>133</v>
      </c>
      <c r="B44" s="39" t="s">
        <v>83</v>
      </c>
      <c r="C44" s="39" t="s">
        <v>141</v>
      </c>
      <c r="D44" s="39" t="s">
        <v>72</v>
      </c>
      <c r="E44" s="39" t="s">
        <v>73</v>
      </c>
      <c r="F44" s="37">
        <v>743000000</v>
      </c>
      <c r="G44" s="37">
        <v>745227932.59000003</v>
      </c>
      <c r="H44" s="37">
        <v>80751.5</v>
      </c>
      <c r="I44" s="375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ca="1" si="2"/>
        <v>-431048808.33691949</v>
      </c>
      <c r="O44" s="93">
        <f t="shared" si="4"/>
        <v>80751.5</v>
      </c>
    </row>
    <row r="45" spans="1:15" x14ac:dyDescent="0.2">
      <c r="A45" s="39" t="s">
        <v>133</v>
      </c>
      <c r="B45" s="39" t="s">
        <v>83</v>
      </c>
      <c r="C45" s="39" t="s">
        <v>141</v>
      </c>
      <c r="D45" s="39" t="s">
        <v>193</v>
      </c>
      <c r="E45" s="39" t="s">
        <v>194</v>
      </c>
      <c r="F45" s="37">
        <v>743000000</v>
      </c>
      <c r="G45" s="37">
        <v>742164026.38</v>
      </c>
      <c r="H45" s="37">
        <v>87455.44</v>
      </c>
      <c r="I45" s="375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ca="1" si="2"/>
        <v>-431048808.33691949</v>
      </c>
      <c r="O45" s="93">
        <f t="shared" si="4"/>
        <v>87455.44</v>
      </c>
    </row>
    <row r="46" spans="1:15" x14ac:dyDescent="0.2">
      <c r="A46" s="39" t="s">
        <v>133</v>
      </c>
      <c r="B46" s="39" t="s">
        <v>83</v>
      </c>
      <c r="C46" s="39" t="s">
        <v>141</v>
      </c>
      <c r="D46" s="39" t="s">
        <v>51</v>
      </c>
      <c r="E46" s="39" t="s">
        <v>52</v>
      </c>
      <c r="F46" s="37">
        <v>744000000</v>
      </c>
      <c r="G46" s="37">
        <v>742940535.75</v>
      </c>
      <c r="H46" s="37">
        <v>93032.7</v>
      </c>
      <c r="I46" s="375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ca="1" si="2"/>
        <v>-431628954.78151828</v>
      </c>
      <c r="O46" s="93">
        <f t="shared" si="4"/>
        <v>93032.7</v>
      </c>
    </row>
    <row r="47" spans="1:15" x14ac:dyDescent="0.2">
      <c r="A47" s="39" t="s">
        <v>133</v>
      </c>
      <c r="B47" s="39" t="s">
        <v>83</v>
      </c>
      <c r="C47" s="39" t="s">
        <v>141</v>
      </c>
      <c r="D47" s="39" t="s">
        <v>195</v>
      </c>
      <c r="E47" s="39" t="s">
        <v>196</v>
      </c>
      <c r="F47" s="37">
        <v>742000000</v>
      </c>
      <c r="G47" s="37">
        <v>742184622.03999996</v>
      </c>
      <c r="H47" s="37">
        <v>99164.35</v>
      </c>
      <c r="I47" s="375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ca="1" si="2"/>
        <v>-430468661.89232069</v>
      </c>
      <c r="O47" s="93">
        <f t="shared" si="4"/>
        <v>99164.35</v>
      </c>
    </row>
    <row r="48" spans="1:15" x14ac:dyDescent="0.2">
      <c r="A48" s="39" t="s">
        <v>133</v>
      </c>
      <c r="B48" s="39" t="s">
        <v>83</v>
      </c>
      <c r="C48" s="39" t="s">
        <v>141</v>
      </c>
      <c r="D48" s="39" t="s">
        <v>53</v>
      </c>
      <c r="E48" s="39" t="s">
        <v>54</v>
      </c>
      <c r="F48" s="37">
        <v>742000000</v>
      </c>
      <c r="G48" s="37">
        <v>741797373.76999998</v>
      </c>
      <c r="H48" s="37">
        <v>105595.92</v>
      </c>
      <c r="I48" s="375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ca="1" si="2"/>
        <v>-430468661.89232069</v>
      </c>
      <c r="O48" s="93">
        <f t="shared" si="4"/>
        <v>105595.92</v>
      </c>
    </row>
    <row r="49" spans="1:15" x14ac:dyDescent="0.2">
      <c r="A49" s="39" t="s">
        <v>133</v>
      </c>
      <c r="B49" s="39" t="s">
        <v>83</v>
      </c>
      <c r="C49" s="39" t="s">
        <v>141</v>
      </c>
      <c r="D49" s="39" t="s">
        <v>197</v>
      </c>
      <c r="E49" s="39" t="s">
        <v>198</v>
      </c>
      <c r="F49" s="37">
        <v>744000000</v>
      </c>
      <c r="G49" s="37">
        <v>742682314.53999996</v>
      </c>
      <c r="H49" s="37">
        <v>111614.09</v>
      </c>
      <c r="I49" s="375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ca="1" si="2"/>
        <v>-431628954.78151828</v>
      </c>
      <c r="O49" s="93">
        <f t="shared" si="4"/>
        <v>111614.09</v>
      </c>
    </row>
    <row r="50" spans="1:15" x14ac:dyDescent="0.2">
      <c r="A50" s="39" t="s">
        <v>133</v>
      </c>
      <c r="B50" s="39" t="s">
        <v>83</v>
      </c>
      <c r="C50" s="39" t="s">
        <v>141</v>
      </c>
      <c r="D50" s="39" t="s">
        <v>55</v>
      </c>
      <c r="E50" s="39" t="s">
        <v>56</v>
      </c>
      <c r="F50" s="37">
        <v>742000000</v>
      </c>
      <c r="G50" s="37">
        <v>742414885.36000001</v>
      </c>
      <c r="H50" s="37">
        <v>117734.07</v>
      </c>
      <c r="I50" s="375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ca="1" si="2"/>
        <v>-430468661.89232069</v>
      </c>
      <c r="O50" s="93">
        <f t="shared" si="4"/>
        <v>117734.07</v>
      </c>
    </row>
    <row r="51" spans="1:15" x14ac:dyDescent="0.2">
      <c r="A51" s="39" t="s">
        <v>133</v>
      </c>
      <c r="B51" s="39" t="s">
        <v>83</v>
      </c>
      <c r="C51" s="39" t="s">
        <v>141</v>
      </c>
      <c r="D51" s="39" t="s">
        <v>199</v>
      </c>
      <c r="E51" s="39" t="s">
        <v>200</v>
      </c>
      <c r="F51" s="37">
        <v>711000000</v>
      </c>
      <c r="G51" s="37">
        <v>711166041.10000002</v>
      </c>
      <c r="H51" s="37">
        <v>118224.67</v>
      </c>
      <c r="I51" s="375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ca="1" si="2"/>
        <v>-412484122.10975742</v>
      </c>
      <c r="O51" s="93">
        <f t="shared" si="4"/>
        <v>118224.67</v>
      </c>
    </row>
    <row r="52" spans="1:15" x14ac:dyDescent="0.2">
      <c r="A52" s="39" t="s">
        <v>133</v>
      </c>
      <c r="B52" s="39" t="s">
        <v>83</v>
      </c>
      <c r="C52" s="39" t="s">
        <v>141</v>
      </c>
      <c r="D52" s="39" t="s">
        <v>57</v>
      </c>
      <c r="E52" s="39" t="s">
        <v>58</v>
      </c>
      <c r="F52" s="37">
        <v>711000000</v>
      </c>
      <c r="G52" s="37">
        <v>710935445.69000006</v>
      </c>
      <c r="H52" s="37">
        <v>124212.16</v>
      </c>
      <c r="I52" s="375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ca="1" si="2"/>
        <v>-412484122.10975742</v>
      </c>
      <c r="O52" s="93">
        <f t="shared" si="4"/>
        <v>124212.16</v>
      </c>
    </row>
    <row r="53" spans="1:15" x14ac:dyDescent="0.2">
      <c r="A53" s="39" t="s">
        <v>133</v>
      </c>
      <c r="B53" s="39" t="s">
        <v>83</v>
      </c>
      <c r="C53" s="39" t="s">
        <v>141</v>
      </c>
      <c r="D53" s="39" t="s">
        <v>648</v>
      </c>
      <c r="E53" s="39" t="s">
        <v>649</v>
      </c>
      <c r="F53" s="37">
        <v>710000000</v>
      </c>
      <c r="G53" s="37">
        <v>709788387.54999995</v>
      </c>
      <c r="H53" s="37">
        <v>129838.28</v>
      </c>
      <c r="I53" s="375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ca="1" si="2"/>
        <v>-411903975.66515857</v>
      </c>
      <c r="O53" s="93">
        <f t="shared" si="4"/>
        <v>129838.28</v>
      </c>
    </row>
    <row r="54" spans="1:15" x14ac:dyDescent="0.2">
      <c r="A54" s="39" t="s">
        <v>133</v>
      </c>
      <c r="B54" s="39" t="s">
        <v>83</v>
      </c>
      <c r="C54" s="39" t="s">
        <v>141</v>
      </c>
      <c r="D54" s="39" t="s">
        <v>911</v>
      </c>
      <c r="E54" s="39" t="s">
        <v>912</v>
      </c>
      <c r="F54" s="37">
        <v>711000000</v>
      </c>
      <c r="G54" s="37">
        <v>710666975.27999997</v>
      </c>
      <c r="H54" s="37">
        <v>136416.70000000001</v>
      </c>
      <c r="I54" s="375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ca="1" si="2"/>
        <v>-412484122.10975742</v>
      </c>
      <c r="O54" s="93">
        <f t="shared" si="4"/>
        <v>136416.70000000001</v>
      </c>
    </row>
    <row r="55" spans="1:15" x14ac:dyDescent="0.2">
      <c r="A55" s="39" t="s">
        <v>133</v>
      </c>
      <c r="B55" s="39" t="s">
        <v>84</v>
      </c>
      <c r="C55" s="39" t="s">
        <v>141</v>
      </c>
      <c r="D55" s="39" t="s">
        <v>941</v>
      </c>
      <c r="E55" s="39" t="s">
        <v>942</v>
      </c>
      <c r="F55" s="37">
        <v>711000000</v>
      </c>
      <c r="G55" s="37">
        <v>-564712.12</v>
      </c>
      <c r="H55" s="37">
        <v>141255.04999999999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ca="1" si="2"/>
        <v>-412484122.10975742</v>
      </c>
      <c r="O55" s="93">
        <f t="shared" si="4"/>
        <v>141255.04999999999</v>
      </c>
    </row>
    <row r="56" spans="1:15" x14ac:dyDescent="0.2">
      <c r="A56" s="39" t="s">
        <v>133</v>
      </c>
      <c r="B56" s="39" t="s">
        <v>84</v>
      </c>
      <c r="C56" s="39" t="s">
        <v>141</v>
      </c>
      <c r="D56" s="39" t="s">
        <v>201</v>
      </c>
      <c r="E56" s="39" t="s">
        <v>202</v>
      </c>
      <c r="I56" s="375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ca="1" si="2"/>
        <v>0</v>
      </c>
      <c r="O56" s="93">
        <f t="shared" si="4"/>
        <v>0</v>
      </c>
    </row>
    <row r="57" spans="1:15" x14ac:dyDescent="0.2">
      <c r="A57" s="39" t="s">
        <v>133</v>
      </c>
      <c r="B57" s="39" t="s">
        <v>84</v>
      </c>
      <c r="C57" s="39" t="s">
        <v>141</v>
      </c>
      <c r="D57" s="39" t="s">
        <v>203</v>
      </c>
      <c r="E57" s="39" t="s">
        <v>204</v>
      </c>
      <c r="I57" s="375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ca="1" si="2"/>
        <v>0</v>
      </c>
      <c r="O57" s="93">
        <f t="shared" si="4"/>
        <v>0</v>
      </c>
    </row>
    <row r="58" spans="1:15" x14ac:dyDescent="0.2">
      <c r="A58" s="39" t="s">
        <v>133</v>
      </c>
      <c r="B58" s="39" t="s">
        <v>84</v>
      </c>
      <c r="C58" s="39" t="s">
        <v>141</v>
      </c>
      <c r="D58" s="39" t="s">
        <v>34</v>
      </c>
      <c r="E58" s="39" t="s">
        <v>37</v>
      </c>
      <c r="I58" s="375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ca="1" si="2"/>
        <v>0</v>
      </c>
      <c r="O58" s="93">
        <f t="shared" si="4"/>
        <v>0</v>
      </c>
    </row>
    <row r="59" spans="1:15" x14ac:dyDescent="0.2">
      <c r="A59" s="39" t="s">
        <v>133</v>
      </c>
      <c r="B59" s="39" t="s">
        <v>84</v>
      </c>
      <c r="C59" s="39" t="s">
        <v>141</v>
      </c>
      <c r="D59" s="39" t="s">
        <v>36</v>
      </c>
      <c r="E59" s="39" t="s">
        <v>38</v>
      </c>
      <c r="I59" s="375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ca="1" si="2"/>
        <v>0</v>
      </c>
      <c r="O59" s="93">
        <f t="shared" si="4"/>
        <v>0</v>
      </c>
    </row>
    <row r="60" spans="1:15" x14ac:dyDescent="0.2">
      <c r="A60" s="39" t="s">
        <v>133</v>
      </c>
      <c r="B60" s="39" t="s">
        <v>84</v>
      </c>
      <c r="C60" s="39" t="s">
        <v>141</v>
      </c>
      <c r="D60" s="39" t="s">
        <v>205</v>
      </c>
      <c r="E60" s="39" t="s">
        <v>206</v>
      </c>
      <c r="I60" s="375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ca="1" si="2"/>
        <v>0</v>
      </c>
      <c r="O60" s="93">
        <f t="shared" si="4"/>
        <v>0</v>
      </c>
    </row>
    <row r="61" spans="1:15" x14ac:dyDescent="0.2">
      <c r="A61" s="39" t="s">
        <v>133</v>
      </c>
      <c r="B61" s="39" t="s">
        <v>86</v>
      </c>
      <c r="C61" s="39" t="s">
        <v>141</v>
      </c>
      <c r="D61" s="39" t="s">
        <v>207</v>
      </c>
      <c r="E61" s="39" t="s">
        <v>208</v>
      </c>
      <c r="I61" s="375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ca="1" si="2"/>
        <v>0</v>
      </c>
      <c r="O61" s="93">
        <f t="shared" si="4"/>
        <v>0</v>
      </c>
    </row>
    <row r="62" spans="1:15" x14ac:dyDescent="0.2">
      <c r="A62" s="39" t="s">
        <v>133</v>
      </c>
      <c r="B62" s="39" t="s">
        <v>86</v>
      </c>
      <c r="C62" s="39" t="s">
        <v>141</v>
      </c>
      <c r="D62" s="39" t="s">
        <v>209</v>
      </c>
      <c r="E62" s="39" t="s">
        <v>210</v>
      </c>
      <c r="I62" s="375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ca="1" si="2"/>
        <v>0</v>
      </c>
      <c r="O62" s="93">
        <f t="shared" si="4"/>
        <v>0</v>
      </c>
    </row>
    <row r="63" spans="1:15" x14ac:dyDescent="0.2">
      <c r="A63" s="39" t="s">
        <v>133</v>
      </c>
      <c r="B63" s="39" t="s">
        <v>86</v>
      </c>
      <c r="C63" s="39" t="s">
        <v>141</v>
      </c>
      <c r="D63" s="39" t="s">
        <v>211</v>
      </c>
      <c r="E63" s="39" t="s">
        <v>212</v>
      </c>
      <c r="I63" s="375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ca="1" si="2"/>
        <v>0</v>
      </c>
      <c r="O63" s="93">
        <f t="shared" si="4"/>
        <v>0</v>
      </c>
    </row>
    <row r="64" spans="1:15" x14ac:dyDescent="0.2">
      <c r="A64" s="39" t="s">
        <v>133</v>
      </c>
      <c r="B64" s="39" t="s">
        <v>86</v>
      </c>
      <c r="C64" s="39" t="s">
        <v>141</v>
      </c>
      <c r="D64" s="39" t="s">
        <v>213</v>
      </c>
      <c r="E64" s="39" t="s">
        <v>214</v>
      </c>
      <c r="I64" s="375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ca="1" si="2"/>
        <v>0</v>
      </c>
      <c r="O64" s="93">
        <f t="shared" si="4"/>
        <v>0</v>
      </c>
    </row>
    <row r="65" spans="1:15" x14ac:dyDescent="0.2">
      <c r="A65" s="39" t="s">
        <v>133</v>
      </c>
      <c r="B65" s="39" t="s">
        <v>86</v>
      </c>
      <c r="C65" s="39" t="s">
        <v>141</v>
      </c>
      <c r="D65" s="39" t="s">
        <v>215</v>
      </c>
      <c r="E65" s="39" t="s">
        <v>216</v>
      </c>
      <c r="I65" s="375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ca="1" si="2"/>
        <v>0</v>
      </c>
      <c r="O65" s="93">
        <f t="shared" si="4"/>
        <v>0</v>
      </c>
    </row>
    <row r="66" spans="1:15" x14ac:dyDescent="0.2">
      <c r="A66" s="39" t="s">
        <v>133</v>
      </c>
      <c r="B66" s="39" t="s">
        <v>86</v>
      </c>
      <c r="C66" s="39" t="s">
        <v>141</v>
      </c>
      <c r="D66" s="39" t="s">
        <v>217</v>
      </c>
      <c r="E66" s="39" t="s">
        <v>218</v>
      </c>
      <c r="I66" s="375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ca="1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133</v>
      </c>
      <c r="B67" s="39" t="s">
        <v>86</v>
      </c>
      <c r="C67" s="39" t="s">
        <v>141</v>
      </c>
      <c r="D67" s="39" t="s">
        <v>219</v>
      </c>
      <c r="E67" s="39" t="s">
        <v>220</v>
      </c>
      <c r="I67" s="375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ca="1" si="7"/>
        <v>0</v>
      </c>
      <c r="O67" s="93">
        <f t="shared" ref="O67:O130" si="9">H67</f>
        <v>0</v>
      </c>
    </row>
    <row r="68" spans="1:15" x14ac:dyDescent="0.2">
      <c r="A68" s="39" t="s">
        <v>133</v>
      </c>
      <c r="B68" s="39" t="s">
        <v>86</v>
      </c>
      <c r="C68" s="39" t="s">
        <v>141</v>
      </c>
      <c r="D68" s="39" t="s">
        <v>221</v>
      </c>
      <c r="E68" s="39" t="s">
        <v>222</v>
      </c>
      <c r="I68" s="375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ca="1" si="7"/>
        <v>0</v>
      </c>
      <c r="O68" s="93">
        <f t="shared" si="9"/>
        <v>0</v>
      </c>
    </row>
    <row r="69" spans="1:15" x14ac:dyDescent="0.2">
      <c r="A69" s="39" t="s">
        <v>133</v>
      </c>
      <c r="B69" s="39" t="s">
        <v>86</v>
      </c>
      <c r="C69" s="39" t="s">
        <v>141</v>
      </c>
      <c r="D69" s="39" t="s">
        <v>223</v>
      </c>
      <c r="E69" s="39" t="s">
        <v>224</v>
      </c>
      <c r="I69" s="375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ca="1" si="7"/>
        <v>0</v>
      </c>
      <c r="O69" s="93">
        <f t="shared" si="9"/>
        <v>0</v>
      </c>
    </row>
    <row r="70" spans="1:15" x14ac:dyDescent="0.2">
      <c r="A70" s="39" t="s">
        <v>133</v>
      </c>
      <c r="B70" s="39" t="s">
        <v>86</v>
      </c>
      <c r="C70" s="39" t="s">
        <v>141</v>
      </c>
      <c r="D70" s="39" t="s">
        <v>225</v>
      </c>
      <c r="E70" s="39" t="s">
        <v>226</v>
      </c>
      <c r="I70" s="375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ca="1" si="7"/>
        <v>0</v>
      </c>
      <c r="O70" s="93">
        <f t="shared" si="9"/>
        <v>0</v>
      </c>
    </row>
    <row r="71" spans="1:15" x14ac:dyDescent="0.2">
      <c r="A71" s="39" t="s">
        <v>133</v>
      </c>
      <c r="B71" s="39" t="s">
        <v>86</v>
      </c>
      <c r="C71" s="39" t="s">
        <v>141</v>
      </c>
      <c r="D71" s="39" t="s">
        <v>227</v>
      </c>
      <c r="E71" s="39" t="s">
        <v>228</v>
      </c>
      <c r="I71" s="375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ca="1" si="7"/>
        <v>0</v>
      </c>
      <c r="O71" s="93">
        <f t="shared" si="9"/>
        <v>0</v>
      </c>
    </row>
    <row r="72" spans="1:15" x14ac:dyDescent="0.2">
      <c r="A72" s="39" t="s">
        <v>133</v>
      </c>
      <c r="B72" s="39" t="s">
        <v>86</v>
      </c>
      <c r="C72" s="39" t="s">
        <v>141</v>
      </c>
      <c r="D72" s="39" t="s">
        <v>229</v>
      </c>
      <c r="E72" s="39" t="s">
        <v>230</v>
      </c>
      <c r="I72" s="375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ca="1" si="7"/>
        <v>0</v>
      </c>
      <c r="O72" s="93">
        <f t="shared" si="9"/>
        <v>0</v>
      </c>
    </row>
    <row r="73" spans="1:15" x14ac:dyDescent="0.2">
      <c r="A73" s="39" t="s">
        <v>133</v>
      </c>
      <c r="B73" s="39" t="s">
        <v>86</v>
      </c>
      <c r="C73" s="39" t="s">
        <v>141</v>
      </c>
      <c r="D73" s="39" t="s">
        <v>231</v>
      </c>
      <c r="E73" s="39" t="s">
        <v>232</v>
      </c>
      <c r="I73" s="375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ca="1" si="7"/>
        <v>0</v>
      </c>
      <c r="O73" s="93">
        <f t="shared" si="9"/>
        <v>0</v>
      </c>
    </row>
    <row r="74" spans="1:15" x14ac:dyDescent="0.2">
      <c r="A74" s="39" t="s">
        <v>133</v>
      </c>
      <c r="B74" s="39" t="s">
        <v>86</v>
      </c>
      <c r="C74" s="39" t="s">
        <v>141</v>
      </c>
      <c r="D74" s="39" t="s">
        <v>233</v>
      </c>
      <c r="E74" s="39" t="s">
        <v>234</v>
      </c>
      <c r="I74" s="375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ca="1" si="7"/>
        <v>0</v>
      </c>
      <c r="O74" s="93">
        <f t="shared" si="9"/>
        <v>0</v>
      </c>
    </row>
    <row r="75" spans="1:15" x14ac:dyDescent="0.2">
      <c r="A75" s="39" t="s">
        <v>133</v>
      </c>
      <c r="B75" s="39" t="s">
        <v>86</v>
      </c>
      <c r="C75" s="39" t="s">
        <v>141</v>
      </c>
      <c r="D75" s="39" t="s">
        <v>235</v>
      </c>
      <c r="E75" s="39" t="s">
        <v>236</v>
      </c>
      <c r="I75" s="375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ca="1" si="7"/>
        <v>0</v>
      </c>
      <c r="O75" s="93">
        <f t="shared" si="9"/>
        <v>0</v>
      </c>
    </row>
    <row r="76" spans="1:15" x14ac:dyDescent="0.2">
      <c r="A76" s="39" t="s">
        <v>133</v>
      </c>
      <c r="B76" s="39" t="s">
        <v>86</v>
      </c>
      <c r="C76" s="39" t="s">
        <v>141</v>
      </c>
      <c r="D76" s="39" t="s">
        <v>237</v>
      </c>
      <c r="E76" s="39" t="s">
        <v>238</v>
      </c>
      <c r="I76" s="375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ca="1" si="7"/>
        <v>0</v>
      </c>
      <c r="O76" s="93">
        <f t="shared" si="9"/>
        <v>0</v>
      </c>
    </row>
    <row r="77" spans="1:15" x14ac:dyDescent="0.2">
      <c r="A77" s="39" t="s">
        <v>133</v>
      </c>
      <c r="B77" s="39" t="s">
        <v>86</v>
      </c>
      <c r="C77" s="39" t="s">
        <v>141</v>
      </c>
      <c r="D77" s="39" t="s">
        <v>239</v>
      </c>
      <c r="E77" s="39" t="s">
        <v>240</v>
      </c>
      <c r="I77" s="375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ca="1" si="7"/>
        <v>0</v>
      </c>
      <c r="O77" s="93">
        <f t="shared" si="9"/>
        <v>0</v>
      </c>
    </row>
    <row r="78" spans="1:15" x14ac:dyDescent="0.2">
      <c r="A78" s="39" t="s">
        <v>133</v>
      </c>
      <c r="B78" s="39" t="s">
        <v>86</v>
      </c>
      <c r="C78" s="39" t="s">
        <v>141</v>
      </c>
      <c r="D78" s="39" t="s">
        <v>241</v>
      </c>
      <c r="E78" s="39" t="s">
        <v>242</v>
      </c>
      <c r="G78" s="37">
        <v>0</v>
      </c>
      <c r="I78" s="375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ca="1" si="7"/>
        <v>0</v>
      </c>
      <c r="O78" s="93">
        <f t="shared" si="9"/>
        <v>0</v>
      </c>
    </row>
    <row r="79" spans="1:15" x14ac:dyDescent="0.2">
      <c r="A79" s="39" t="s">
        <v>133</v>
      </c>
      <c r="B79" s="39" t="s">
        <v>86</v>
      </c>
      <c r="C79" s="39" t="s">
        <v>141</v>
      </c>
      <c r="D79" s="39" t="s">
        <v>243</v>
      </c>
      <c r="E79" s="39" t="s">
        <v>244</v>
      </c>
      <c r="G79" s="37">
        <v>0</v>
      </c>
      <c r="I79" s="375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ca="1" si="7"/>
        <v>0</v>
      </c>
      <c r="O79" s="93">
        <f t="shared" si="9"/>
        <v>0</v>
      </c>
    </row>
    <row r="80" spans="1:15" x14ac:dyDescent="0.2">
      <c r="A80" s="39" t="s">
        <v>133</v>
      </c>
      <c r="B80" s="39" t="s">
        <v>86</v>
      </c>
      <c r="C80" s="39" t="s">
        <v>141</v>
      </c>
      <c r="D80" s="39" t="s">
        <v>245</v>
      </c>
      <c r="E80" s="39" t="s">
        <v>246</v>
      </c>
      <c r="G80" s="37">
        <v>0</v>
      </c>
      <c r="I80" s="375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ca="1" si="7"/>
        <v>0</v>
      </c>
      <c r="O80" s="93">
        <f t="shared" si="9"/>
        <v>0</v>
      </c>
    </row>
    <row r="81" spans="1:15" x14ac:dyDescent="0.2">
      <c r="A81" s="39" t="s">
        <v>133</v>
      </c>
      <c r="B81" s="39" t="s">
        <v>86</v>
      </c>
      <c r="C81" s="39" t="s">
        <v>141</v>
      </c>
      <c r="D81" s="39" t="s">
        <v>60</v>
      </c>
      <c r="E81" s="39" t="s">
        <v>61</v>
      </c>
      <c r="I81" s="375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ca="1" si="7"/>
        <v>0</v>
      </c>
      <c r="O81" s="93">
        <f t="shared" si="9"/>
        <v>0</v>
      </c>
    </row>
    <row r="82" spans="1:15" x14ac:dyDescent="0.2">
      <c r="A82" s="39" t="s">
        <v>133</v>
      </c>
      <c r="B82" s="39" t="s">
        <v>86</v>
      </c>
      <c r="C82" s="39" t="s">
        <v>141</v>
      </c>
      <c r="D82" s="39" t="s">
        <v>62</v>
      </c>
      <c r="E82" s="39" t="s">
        <v>63</v>
      </c>
      <c r="I82" s="375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ca="1" si="7"/>
        <v>0</v>
      </c>
      <c r="O82" s="93">
        <f t="shared" si="9"/>
        <v>0</v>
      </c>
    </row>
    <row r="83" spans="1:15" x14ac:dyDescent="0.2">
      <c r="A83" s="39" t="s">
        <v>133</v>
      </c>
      <c r="B83" s="39" t="s">
        <v>86</v>
      </c>
      <c r="C83" s="39" t="s">
        <v>141</v>
      </c>
      <c r="D83" s="39" t="s">
        <v>652</v>
      </c>
      <c r="E83" s="39" t="s">
        <v>614</v>
      </c>
      <c r="F83" s="37">
        <v>381000000</v>
      </c>
      <c r="G83" s="37">
        <v>384984947.81</v>
      </c>
      <c r="H83" s="37">
        <v>182042.46</v>
      </c>
      <c r="I83" s="375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ca="1" si="7"/>
        <v>-221035795.39214849</v>
      </c>
      <c r="O83" s="93">
        <f t="shared" si="9"/>
        <v>182042.46</v>
      </c>
    </row>
    <row r="84" spans="1:15" x14ac:dyDescent="0.2">
      <c r="A84" s="39" t="s">
        <v>133</v>
      </c>
      <c r="B84" s="39" t="s">
        <v>86</v>
      </c>
      <c r="C84" s="39" t="s">
        <v>141</v>
      </c>
      <c r="D84" s="39" t="s">
        <v>913</v>
      </c>
      <c r="E84" s="39" t="s">
        <v>914</v>
      </c>
      <c r="F84" s="37">
        <v>383000000</v>
      </c>
      <c r="G84" s="37">
        <v>381928857.38999999</v>
      </c>
      <c r="H84" s="37">
        <v>184735</v>
      </c>
      <c r="I84" s="375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ca="1" si="7"/>
        <v>-222196088.28134611</v>
      </c>
      <c r="O84" s="93">
        <f t="shared" si="9"/>
        <v>184735</v>
      </c>
    </row>
    <row r="85" spans="1:15" x14ac:dyDescent="0.2">
      <c r="A85" s="39" t="s">
        <v>133</v>
      </c>
      <c r="B85" s="39" t="s">
        <v>88</v>
      </c>
      <c r="C85" s="39" t="s">
        <v>141</v>
      </c>
      <c r="D85" s="39" t="s">
        <v>951</v>
      </c>
      <c r="E85" s="39" t="s">
        <v>952</v>
      </c>
      <c r="F85" s="37">
        <v>381000000</v>
      </c>
      <c r="G85" s="37">
        <v>322256.07</v>
      </c>
      <c r="H85" s="37">
        <v>187363.76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ca="1" si="7"/>
        <v>-221035795.39214849</v>
      </c>
      <c r="O85" s="93">
        <f t="shared" si="9"/>
        <v>187363.76</v>
      </c>
    </row>
    <row r="86" spans="1:15" x14ac:dyDescent="0.2">
      <c r="A86" s="39" t="s">
        <v>133</v>
      </c>
      <c r="B86" s="39" t="s">
        <v>91</v>
      </c>
      <c r="C86" s="39" t="s">
        <v>141</v>
      </c>
      <c r="D86" s="39" t="s">
        <v>247</v>
      </c>
      <c r="E86" s="39" t="s">
        <v>248</v>
      </c>
      <c r="I86" s="375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ca="1" si="7"/>
        <v>0</v>
      </c>
      <c r="O86" s="93">
        <f t="shared" si="9"/>
        <v>0</v>
      </c>
    </row>
    <row r="87" spans="1:15" x14ac:dyDescent="0.2">
      <c r="A87" s="39" t="s">
        <v>133</v>
      </c>
      <c r="B87" s="39" t="s">
        <v>91</v>
      </c>
      <c r="C87" s="39" t="s">
        <v>141</v>
      </c>
      <c r="D87" s="39" t="s">
        <v>249</v>
      </c>
      <c r="E87" s="39" t="s">
        <v>250</v>
      </c>
      <c r="I87" s="375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ca="1" si="7"/>
        <v>0</v>
      </c>
      <c r="O87" s="93">
        <f t="shared" si="9"/>
        <v>0</v>
      </c>
    </row>
    <row r="88" spans="1:15" x14ac:dyDescent="0.2">
      <c r="A88" s="39" t="s">
        <v>133</v>
      </c>
      <c r="B88" s="39" t="s">
        <v>91</v>
      </c>
      <c r="C88" s="39" t="s">
        <v>141</v>
      </c>
      <c r="D88" s="39" t="s">
        <v>251</v>
      </c>
      <c r="E88" s="39" t="s">
        <v>252</v>
      </c>
      <c r="I88" s="375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ca="1" si="7"/>
        <v>0</v>
      </c>
      <c r="O88" s="93">
        <f t="shared" si="9"/>
        <v>0</v>
      </c>
    </row>
    <row r="89" spans="1:15" x14ac:dyDescent="0.2">
      <c r="A89" s="39" t="s">
        <v>133</v>
      </c>
      <c r="B89" s="39" t="s">
        <v>91</v>
      </c>
      <c r="C89" s="39" t="s">
        <v>141</v>
      </c>
      <c r="D89" s="39" t="s">
        <v>253</v>
      </c>
      <c r="E89" s="39" t="s">
        <v>254</v>
      </c>
      <c r="I89" s="375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ca="1" si="7"/>
        <v>0</v>
      </c>
      <c r="O89" s="93">
        <f t="shared" si="9"/>
        <v>0</v>
      </c>
    </row>
    <row r="90" spans="1:15" x14ac:dyDescent="0.2">
      <c r="A90" s="39" t="s">
        <v>133</v>
      </c>
      <c r="B90" s="39" t="s">
        <v>91</v>
      </c>
      <c r="C90" s="39" t="s">
        <v>141</v>
      </c>
      <c r="D90" s="39" t="s">
        <v>255</v>
      </c>
      <c r="E90" s="39" t="s">
        <v>256</v>
      </c>
      <c r="I90" s="375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ca="1" si="7"/>
        <v>0</v>
      </c>
      <c r="O90" s="93">
        <f t="shared" si="9"/>
        <v>0</v>
      </c>
    </row>
    <row r="91" spans="1:15" x14ac:dyDescent="0.2">
      <c r="A91" s="39" t="s">
        <v>133</v>
      </c>
      <c r="B91" s="39" t="s">
        <v>91</v>
      </c>
      <c r="C91" s="39" t="s">
        <v>141</v>
      </c>
      <c r="D91" s="39" t="s">
        <v>257</v>
      </c>
      <c r="E91" s="39" t="s">
        <v>258</v>
      </c>
      <c r="I91" s="375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ca="1" si="7"/>
        <v>0</v>
      </c>
      <c r="O91" s="93">
        <f t="shared" si="9"/>
        <v>0</v>
      </c>
    </row>
    <row r="92" spans="1:15" x14ac:dyDescent="0.2">
      <c r="A92" s="39" t="s">
        <v>133</v>
      </c>
      <c r="B92" s="39" t="s">
        <v>91</v>
      </c>
      <c r="C92" s="39" t="s">
        <v>141</v>
      </c>
      <c r="D92" s="39" t="s">
        <v>259</v>
      </c>
      <c r="E92" s="39" t="s">
        <v>260</v>
      </c>
      <c r="I92" s="375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ca="1" si="7"/>
        <v>0</v>
      </c>
      <c r="O92" s="93">
        <f t="shared" si="9"/>
        <v>0</v>
      </c>
    </row>
    <row r="93" spans="1:15" x14ac:dyDescent="0.2">
      <c r="A93" s="39" t="s">
        <v>133</v>
      </c>
      <c r="B93" s="39" t="s">
        <v>91</v>
      </c>
      <c r="C93" s="39" t="s">
        <v>141</v>
      </c>
      <c r="D93" s="39" t="s">
        <v>261</v>
      </c>
      <c r="E93" s="39" t="s">
        <v>262</v>
      </c>
      <c r="I93" s="375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ca="1" si="7"/>
        <v>0</v>
      </c>
      <c r="O93" s="93">
        <f t="shared" si="9"/>
        <v>0</v>
      </c>
    </row>
    <row r="94" spans="1:15" x14ac:dyDescent="0.2">
      <c r="A94" s="39" t="s">
        <v>133</v>
      </c>
      <c r="B94" s="39" t="s">
        <v>91</v>
      </c>
      <c r="C94" s="39" t="s">
        <v>141</v>
      </c>
      <c r="D94" s="39" t="s">
        <v>263</v>
      </c>
      <c r="E94" s="39" t="s">
        <v>264</v>
      </c>
      <c r="I94" s="375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ca="1" si="7"/>
        <v>0</v>
      </c>
      <c r="O94" s="93">
        <f t="shared" si="9"/>
        <v>0</v>
      </c>
    </row>
    <row r="95" spans="1:15" x14ac:dyDescent="0.2">
      <c r="A95" s="39" t="s">
        <v>133</v>
      </c>
      <c r="B95" s="39" t="s">
        <v>91</v>
      </c>
      <c r="C95" s="39" t="s">
        <v>141</v>
      </c>
      <c r="D95" s="39" t="s">
        <v>64</v>
      </c>
      <c r="E95" s="39" t="s">
        <v>65</v>
      </c>
      <c r="F95" s="37">
        <v>199000000</v>
      </c>
      <c r="G95" s="37">
        <v>208080690.03999999</v>
      </c>
      <c r="H95" s="37">
        <v>177736.02</v>
      </c>
      <c r="I95" s="375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ca="1" si="7"/>
        <v>-115449142.47516418</v>
      </c>
      <c r="O95" s="93">
        <f t="shared" si="9"/>
        <v>177736.02</v>
      </c>
    </row>
    <row r="96" spans="1:15" x14ac:dyDescent="0.2">
      <c r="A96" s="39" t="s">
        <v>133</v>
      </c>
      <c r="B96" s="39" t="s">
        <v>91</v>
      </c>
      <c r="C96" s="39" t="s">
        <v>141</v>
      </c>
      <c r="D96" s="39" t="s">
        <v>66</v>
      </c>
      <c r="E96" s="39" t="s">
        <v>67</v>
      </c>
      <c r="F96" s="37">
        <v>211000000</v>
      </c>
      <c r="G96" s="37">
        <v>221043066.72999999</v>
      </c>
      <c r="H96" s="37">
        <v>192434.32</v>
      </c>
      <c r="I96" s="375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ca="1" si="7"/>
        <v>-122410899.81034996</v>
      </c>
      <c r="O96" s="93">
        <f t="shared" si="9"/>
        <v>192434.32</v>
      </c>
    </row>
    <row r="97" spans="1:15" x14ac:dyDescent="0.2">
      <c r="A97" s="39" t="s">
        <v>133</v>
      </c>
      <c r="B97" s="39" t="s">
        <v>91</v>
      </c>
      <c r="C97" s="39" t="s">
        <v>141</v>
      </c>
      <c r="D97" s="39" t="s">
        <v>866</v>
      </c>
      <c r="E97" s="39" t="s">
        <v>867</v>
      </c>
      <c r="F97" s="37">
        <v>213000000</v>
      </c>
      <c r="G97" s="37">
        <v>216626309.41999999</v>
      </c>
      <c r="H97" s="37">
        <v>195775.54</v>
      </c>
      <c r="I97" s="375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ca="1" si="7"/>
        <v>-123571192.69954757</v>
      </c>
      <c r="O97" s="93">
        <f t="shared" si="9"/>
        <v>195775.54</v>
      </c>
    </row>
    <row r="98" spans="1:15" x14ac:dyDescent="0.2">
      <c r="A98" s="39" t="s">
        <v>25</v>
      </c>
      <c r="B98" s="39" t="s">
        <v>24</v>
      </c>
      <c r="D98" s="39" t="s">
        <v>134</v>
      </c>
      <c r="E98" s="39" t="s">
        <v>134</v>
      </c>
      <c r="F98" s="37">
        <v>243771559.53999999</v>
      </c>
      <c r="G98" s="37">
        <v>328695704.64999998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ca="1" si="7"/>
        <v>243771559.53999999</v>
      </c>
      <c r="O98" s="93">
        <f t="shared" si="9"/>
        <v>0</v>
      </c>
    </row>
    <row r="99" spans="1:15" x14ac:dyDescent="0.2">
      <c r="A99" s="39" t="s">
        <v>25</v>
      </c>
      <c r="B99" s="39" t="s">
        <v>24</v>
      </c>
      <c r="D99" s="39" t="s">
        <v>265</v>
      </c>
      <c r="E99" s="39" t="s">
        <v>266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ca="1" si="7"/>
        <v>0</v>
      </c>
      <c r="O99" s="93">
        <f t="shared" si="9"/>
        <v>0</v>
      </c>
    </row>
    <row r="100" spans="1:15" x14ac:dyDescent="0.2">
      <c r="A100" s="39" t="s">
        <v>25</v>
      </c>
      <c r="B100" s="39" t="s">
        <v>24</v>
      </c>
      <c r="D100" s="39" t="s">
        <v>267</v>
      </c>
      <c r="E100" s="39" t="s">
        <v>266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ca="1" si="7"/>
        <v>0</v>
      </c>
      <c r="O100" s="93">
        <f t="shared" si="9"/>
        <v>0</v>
      </c>
    </row>
    <row r="101" spans="1:15" x14ac:dyDescent="0.2">
      <c r="A101" s="39" t="s">
        <v>25</v>
      </c>
      <c r="B101" s="39" t="s">
        <v>24</v>
      </c>
      <c r="C101" s="39" t="s">
        <v>268</v>
      </c>
      <c r="D101" s="39" t="s">
        <v>269</v>
      </c>
      <c r="E101" s="39" t="s">
        <v>269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ca="1" si="7"/>
        <v>0</v>
      </c>
      <c r="O101" s="93">
        <f t="shared" si="9"/>
        <v>0</v>
      </c>
    </row>
    <row r="102" spans="1:15" x14ac:dyDescent="0.2">
      <c r="A102" s="39" t="s">
        <v>25</v>
      </c>
      <c r="B102" s="39" t="s">
        <v>24</v>
      </c>
      <c r="C102" s="39" t="s">
        <v>268</v>
      </c>
      <c r="D102" s="39" t="s">
        <v>922</v>
      </c>
      <c r="E102" s="39" t="s">
        <v>269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ca="1" si="7"/>
        <v>0</v>
      </c>
      <c r="O102" s="93">
        <f t="shared" si="9"/>
        <v>0</v>
      </c>
    </row>
    <row r="103" spans="1:15" x14ac:dyDescent="0.2">
      <c r="A103" s="39" t="s">
        <v>25</v>
      </c>
      <c r="B103" s="39" t="s">
        <v>24</v>
      </c>
      <c r="C103" s="39" t="s">
        <v>268</v>
      </c>
      <c r="D103" s="39" t="s">
        <v>651</v>
      </c>
      <c r="E103" s="39" t="s">
        <v>269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ca="1" si="7"/>
        <v>0</v>
      </c>
      <c r="O103" s="93">
        <f t="shared" si="9"/>
        <v>0</v>
      </c>
    </row>
    <row r="104" spans="1:15" x14ac:dyDescent="0.2">
      <c r="A104" s="39" t="s">
        <v>25</v>
      </c>
      <c r="B104" s="39" t="s">
        <v>24</v>
      </c>
      <c r="C104" s="39" t="s">
        <v>268</v>
      </c>
      <c r="D104" s="39" t="s">
        <v>753</v>
      </c>
      <c r="E104" s="39" t="s">
        <v>269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ca="1" si="7"/>
        <v>0</v>
      </c>
      <c r="O104" s="93">
        <f t="shared" si="9"/>
        <v>0</v>
      </c>
    </row>
    <row r="105" spans="1:15" x14ac:dyDescent="0.2">
      <c r="A105" s="39" t="s">
        <v>25</v>
      </c>
      <c r="B105" s="39" t="s">
        <v>24</v>
      </c>
      <c r="C105" s="39" t="s">
        <v>268</v>
      </c>
      <c r="D105" s="39" t="s">
        <v>72</v>
      </c>
      <c r="E105" s="39" t="s">
        <v>269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ca="1" si="7"/>
        <v>0</v>
      </c>
      <c r="O105" s="93">
        <f t="shared" si="9"/>
        <v>0</v>
      </c>
    </row>
    <row r="106" spans="1:15" x14ac:dyDescent="0.2">
      <c r="A106" s="39" t="s">
        <v>25</v>
      </c>
      <c r="B106" s="39" t="s">
        <v>24</v>
      </c>
      <c r="C106" s="39" t="s">
        <v>268</v>
      </c>
      <c r="D106" s="39" t="s">
        <v>51</v>
      </c>
      <c r="E106" s="39" t="s">
        <v>269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ca="1" si="7"/>
        <v>0</v>
      </c>
      <c r="O106" s="93">
        <f t="shared" si="9"/>
        <v>0</v>
      </c>
    </row>
    <row r="107" spans="1:15" x14ac:dyDescent="0.2">
      <c r="A107" s="39" t="s">
        <v>25</v>
      </c>
      <c r="B107" s="39" t="s">
        <v>24</v>
      </c>
      <c r="C107" s="39" t="s">
        <v>268</v>
      </c>
      <c r="D107" s="39" t="s">
        <v>195</v>
      </c>
      <c r="E107" s="39" t="s">
        <v>269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ca="1" si="7"/>
        <v>0</v>
      </c>
      <c r="O107" s="93">
        <f t="shared" si="9"/>
        <v>0</v>
      </c>
    </row>
    <row r="108" spans="1:15" x14ac:dyDescent="0.2">
      <c r="A108" s="39" t="s">
        <v>25</v>
      </c>
      <c r="B108" s="39" t="s">
        <v>24</v>
      </c>
      <c r="C108" s="39" t="s">
        <v>268</v>
      </c>
      <c r="D108" s="39" t="s">
        <v>53</v>
      </c>
      <c r="E108" s="39" t="s">
        <v>269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ca="1" si="7"/>
        <v>0</v>
      </c>
      <c r="O108" s="93">
        <f t="shared" si="9"/>
        <v>0</v>
      </c>
    </row>
    <row r="109" spans="1:15" x14ac:dyDescent="0.2">
      <c r="A109" s="39" t="s">
        <v>25</v>
      </c>
      <c r="B109" s="39" t="s">
        <v>24</v>
      </c>
      <c r="C109" s="39" t="s">
        <v>268</v>
      </c>
      <c r="D109" s="39" t="s">
        <v>55</v>
      </c>
      <c r="E109" s="39" t="s">
        <v>269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ca="1" si="7"/>
        <v>0</v>
      </c>
      <c r="O109" s="93">
        <f t="shared" si="9"/>
        <v>0</v>
      </c>
    </row>
    <row r="110" spans="1:15" x14ac:dyDescent="0.2">
      <c r="A110" s="39" t="s">
        <v>25</v>
      </c>
      <c r="B110" s="39" t="s">
        <v>24</v>
      </c>
      <c r="C110" s="39" t="s">
        <v>268</v>
      </c>
      <c r="D110" s="39" t="s">
        <v>57</v>
      </c>
      <c r="E110" s="39" t="s">
        <v>269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ca="1" si="7"/>
        <v>0</v>
      </c>
      <c r="O110" s="93">
        <f t="shared" si="9"/>
        <v>0</v>
      </c>
    </row>
    <row r="111" spans="1:15" x14ac:dyDescent="0.2">
      <c r="A111" s="39" t="s">
        <v>25</v>
      </c>
      <c r="B111" s="39" t="s">
        <v>24</v>
      </c>
      <c r="C111" s="39" t="s">
        <v>268</v>
      </c>
      <c r="D111" s="39" t="s">
        <v>866</v>
      </c>
      <c r="E111" s="39" t="s">
        <v>269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ca="1" si="7"/>
        <v>0</v>
      </c>
      <c r="O111" s="93">
        <f t="shared" si="9"/>
        <v>0</v>
      </c>
    </row>
    <row r="112" spans="1:15" x14ac:dyDescent="0.2">
      <c r="A112" s="39" t="s">
        <v>25</v>
      </c>
      <c r="B112" s="39" t="s">
        <v>99</v>
      </c>
      <c r="D112" s="39" t="s">
        <v>270</v>
      </c>
      <c r="E112" s="39" t="s">
        <v>270</v>
      </c>
      <c r="G112" s="37">
        <v>719291167.36000001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ca="1" si="7"/>
        <v>0</v>
      </c>
      <c r="O112" s="93">
        <f t="shared" si="9"/>
        <v>0</v>
      </c>
    </row>
    <row r="113" spans="1:15" x14ac:dyDescent="0.2">
      <c r="A113" s="39" t="s">
        <v>25</v>
      </c>
      <c r="B113" s="39" t="s">
        <v>99</v>
      </c>
      <c r="D113" s="39" t="s">
        <v>961</v>
      </c>
      <c r="E113" s="39" t="s">
        <v>961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ca="1" si="7"/>
        <v>0</v>
      </c>
      <c r="O113" s="93">
        <f t="shared" si="9"/>
        <v>0</v>
      </c>
    </row>
    <row r="114" spans="1:15" x14ac:dyDescent="0.2">
      <c r="A114" s="39" t="s">
        <v>25</v>
      </c>
      <c r="B114" s="39" t="s">
        <v>99</v>
      </c>
      <c r="C114" s="39" t="s">
        <v>141</v>
      </c>
      <c r="D114" s="39" t="s">
        <v>275</v>
      </c>
      <c r="E114" s="39" t="s">
        <v>276</v>
      </c>
      <c r="F114" s="37">
        <v>135000000</v>
      </c>
      <c r="G114" s="37">
        <v>142252990.03999999</v>
      </c>
      <c r="H114" s="37">
        <v>116.92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ca="1" si="7"/>
        <v>135000000</v>
      </c>
      <c r="O114" s="93">
        <f t="shared" si="9"/>
        <v>116.92</v>
      </c>
    </row>
    <row r="115" spans="1:15" x14ac:dyDescent="0.2">
      <c r="A115" s="39" t="s">
        <v>25</v>
      </c>
      <c r="B115" s="39" t="s">
        <v>99</v>
      </c>
      <c r="C115" s="39" t="s">
        <v>268</v>
      </c>
      <c r="D115" s="39" t="s">
        <v>269</v>
      </c>
      <c r="E115" s="39" t="s">
        <v>269</v>
      </c>
      <c r="F115" s="37">
        <v>-1045010200</v>
      </c>
      <c r="G115" s="37">
        <v>-1045096601.65</v>
      </c>
      <c r="H115" s="37">
        <v>-760.94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ca="1" si="7"/>
        <v>-1045010200</v>
      </c>
      <c r="O115" s="93">
        <f t="shared" si="9"/>
        <v>-760.94</v>
      </c>
    </row>
    <row r="116" spans="1:15" x14ac:dyDescent="0.2">
      <c r="A116" s="39" t="s">
        <v>25</v>
      </c>
      <c r="B116" s="39" t="s">
        <v>99</v>
      </c>
      <c r="C116" s="39" t="s">
        <v>268</v>
      </c>
      <c r="D116" s="39" t="s">
        <v>922</v>
      </c>
      <c r="E116" s="39" t="s">
        <v>269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ca="1" si="7"/>
        <v>0</v>
      </c>
      <c r="O116" s="93">
        <f t="shared" si="9"/>
        <v>0</v>
      </c>
    </row>
    <row r="117" spans="1:15" x14ac:dyDescent="0.2">
      <c r="A117" s="39" t="s">
        <v>25</v>
      </c>
      <c r="B117" s="39" t="s">
        <v>99</v>
      </c>
      <c r="C117" s="39" t="s">
        <v>268</v>
      </c>
      <c r="D117" s="39" t="s">
        <v>651</v>
      </c>
      <c r="E117" s="39" t="s">
        <v>269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ca="1" si="7"/>
        <v>0</v>
      </c>
      <c r="O117" s="93">
        <f t="shared" si="9"/>
        <v>0</v>
      </c>
    </row>
    <row r="118" spans="1:15" x14ac:dyDescent="0.2">
      <c r="A118" s="39" t="s">
        <v>25</v>
      </c>
      <c r="B118" s="39" t="s">
        <v>99</v>
      </c>
      <c r="C118" s="39" t="s">
        <v>268</v>
      </c>
      <c r="D118" s="39" t="s">
        <v>866</v>
      </c>
      <c r="E118" s="39" t="s">
        <v>269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ca="1" si="7"/>
        <v>0</v>
      </c>
      <c r="O118" s="93">
        <f t="shared" si="9"/>
        <v>0</v>
      </c>
    </row>
    <row r="119" spans="1:15" x14ac:dyDescent="0.2">
      <c r="A119" s="39" t="s">
        <v>25</v>
      </c>
      <c r="B119" s="39" t="s">
        <v>140</v>
      </c>
      <c r="C119" s="39" t="s">
        <v>138</v>
      </c>
      <c r="D119" s="39" t="s">
        <v>139</v>
      </c>
      <c r="E119" s="39" t="s">
        <v>139</v>
      </c>
      <c r="F119" s="37">
        <v>400000000</v>
      </c>
      <c r="G119" s="37">
        <v>400833026.13999999</v>
      </c>
      <c r="H119" s="37">
        <v>445.36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ca="1" si="7"/>
        <v>400000000</v>
      </c>
      <c r="O119" s="93">
        <f t="shared" si="9"/>
        <v>445.36</v>
      </c>
    </row>
    <row r="120" spans="1:15" x14ac:dyDescent="0.2">
      <c r="A120" s="39" t="s">
        <v>25</v>
      </c>
      <c r="B120" s="39" t="s">
        <v>79</v>
      </c>
      <c r="C120" s="39" t="s">
        <v>268</v>
      </c>
      <c r="D120" s="39" t="s">
        <v>269</v>
      </c>
      <c r="E120" s="39" t="s">
        <v>269</v>
      </c>
      <c r="F120" s="37">
        <v>-1184826000</v>
      </c>
      <c r="G120" s="37">
        <v>-1184926358.1800001</v>
      </c>
      <c r="H120" s="37">
        <v>-2165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ca="1" si="7"/>
        <v>-1184826000</v>
      </c>
      <c r="O120" s="93">
        <f t="shared" si="9"/>
        <v>-2165</v>
      </c>
    </row>
    <row r="121" spans="1:15" x14ac:dyDescent="0.2">
      <c r="A121" s="39" t="s">
        <v>25</v>
      </c>
      <c r="B121" s="39" t="s">
        <v>79</v>
      </c>
      <c r="C121" s="39" t="s">
        <v>268</v>
      </c>
      <c r="D121" s="39" t="s">
        <v>53</v>
      </c>
      <c r="E121" s="39" t="s">
        <v>269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ca="1" si="7"/>
        <v>0</v>
      </c>
      <c r="O121" s="93">
        <f t="shared" si="9"/>
        <v>0</v>
      </c>
    </row>
    <row r="122" spans="1:15" x14ac:dyDescent="0.2">
      <c r="A122" s="39" t="s">
        <v>25</v>
      </c>
      <c r="B122" s="39" t="s">
        <v>79</v>
      </c>
      <c r="C122" s="39" t="s">
        <v>268</v>
      </c>
      <c r="D122" s="39" t="s">
        <v>55</v>
      </c>
      <c r="E122" s="39" t="s">
        <v>269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ca="1" si="7"/>
        <v>0</v>
      </c>
      <c r="O122" s="93">
        <f t="shared" si="9"/>
        <v>0</v>
      </c>
    </row>
    <row r="123" spans="1:15" x14ac:dyDescent="0.2">
      <c r="A123" s="39" t="s">
        <v>25</v>
      </c>
      <c r="B123" s="39" t="s">
        <v>19</v>
      </c>
      <c r="D123" s="39" t="s">
        <v>270</v>
      </c>
      <c r="E123" s="39" t="s">
        <v>270</v>
      </c>
      <c r="G123" s="37">
        <v>450467856.75</v>
      </c>
      <c r="H123" s="37">
        <v>1604.41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ca="1" si="7"/>
        <v>0</v>
      </c>
      <c r="O123" s="93">
        <f t="shared" si="9"/>
        <v>1604.41</v>
      </c>
    </row>
    <row r="124" spans="1:15" x14ac:dyDescent="0.2">
      <c r="A124" s="39" t="s">
        <v>25</v>
      </c>
      <c r="B124" s="39" t="s">
        <v>19</v>
      </c>
      <c r="C124" s="39" t="s">
        <v>135</v>
      </c>
      <c r="D124" s="39" t="s">
        <v>271</v>
      </c>
      <c r="E124" s="39" t="s">
        <v>272</v>
      </c>
      <c r="F124" s="37">
        <v>150000000</v>
      </c>
      <c r="G124" s="37">
        <v>149986511.36000001</v>
      </c>
      <c r="H124" s="37">
        <v>583.25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ca="1" si="7"/>
        <v>150000000</v>
      </c>
      <c r="O124" s="93">
        <f t="shared" si="9"/>
        <v>583.25</v>
      </c>
    </row>
    <row r="125" spans="1:15" x14ac:dyDescent="0.2">
      <c r="A125" s="39" t="s">
        <v>25</v>
      </c>
      <c r="B125" s="39" t="s">
        <v>19</v>
      </c>
      <c r="C125" s="39" t="s">
        <v>268</v>
      </c>
      <c r="D125" s="39" t="s">
        <v>269</v>
      </c>
      <c r="E125" s="39" t="s">
        <v>269</v>
      </c>
      <c r="F125" s="37">
        <v>-2586125000</v>
      </c>
      <c r="G125" s="37">
        <v>-2586436226.02</v>
      </c>
      <c r="H125" s="37">
        <v>-7882.39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ca="1" si="7"/>
        <v>-2586125000</v>
      </c>
      <c r="O125" s="93">
        <f t="shared" si="9"/>
        <v>-7882.39</v>
      </c>
    </row>
    <row r="126" spans="1:15" x14ac:dyDescent="0.2">
      <c r="A126" s="39" t="s">
        <v>25</v>
      </c>
      <c r="B126" s="39" t="s">
        <v>19</v>
      </c>
      <c r="C126" s="39" t="s">
        <v>268</v>
      </c>
      <c r="D126" s="39" t="s">
        <v>651</v>
      </c>
      <c r="E126" s="39" t="s">
        <v>269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ca="1" si="7"/>
        <v>0</v>
      </c>
      <c r="O126" s="93">
        <f t="shared" si="9"/>
        <v>0</v>
      </c>
    </row>
    <row r="127" spans="1:15" x14ac:dyDescent="0.2">
      <c r="A127" s="39" t="s">
        <v>25</v>
      </c>
      <c r="B127" s="39" t="s">
        <v>19</v>
      </c>
      <c r="C127" s="39" t="s">
        <v>268</v>
      </c>
      <c r="D127" s="39" t="s">
        <v>51</v>
      </c>
      <c r="E127" s="39" t="s">
        <v>269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ca="1" si="7"/>
        <v>0</v>
      </c>
      <c r="O127" s="93">
        <f t="shared" si="9"/>
        <v>0</v>
      </c>
    </row>
    <row r="128" spans="1:15" x14ac:dyDescent="0.2">
      <c r="A128" s="39" t="s">
        <v>25</v>
      </c>
      <c r="B128" s="39" t="s">
        <v>19</v>
      </c>
      <c r="C128" s="39" t="s">
        <v>268</v>
      </c>
      <c r="D128" s="39" t="s">
        <v>195</v>
      </c>
      <c r="E128" s="39" t="s">
        <v>269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ca="1" si="7"/>
        <v>0</v>
      </c>
      <c r="O128" s="93">
        <f t="shared" si="9"/>
        <v>0</v>
      </c>
    </row>
    <row r="129" spans="1:15" x14ac:dyDescent="0.2">
      <c r="A129" s="39" t="s">
        <v>25</v>
      </c>
      <c r="B129" s="39" t="s">
        <v>19</v>
      </c>
      <c r="C129" s="39" t="s">
        <v>268</v>
      </c>
      <c r="D129" s="39" t="s">
        <v>57</v>
      </c>
      <c r="E129" s="39" t="s">
        <v>269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ca="1" si="7"/>
        <v>0</v>
      </c>
      <c r="O129" s="93">
        <f t="shared" si="9"/>
        <v>0</v>
      </c>
    </row>
    <row r="130" spans="1:15" x14ac:dyDescent="0.2">
      <c r="A130" s="39" t="s">
        <v>25</v>
      </c>
      <c r="B130" s="39" t="s">
        <v>142</v>
      </c>
      <c r="D130" s="39" t="s">
        <v>270</v>
      </c>
      <c r="E130" s="39" t="s">
        <v>270</v>
      </c>
      <c r="G130" s="37">
        <v>399945522.18000001</v>
      </c>
      <c r="H130" s="37">
        <v>2246.29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ca="1" si="12">IF(A130="","",IF(A130="BKINV1USD",-F130*ratioPV,F130))</f>
        <v>0</v>
      </c>
      <c r="O130" s="93">
        <f t="shared" si="9"/>
        <v>2246.29</v>
      </c>
    </row>
    <row r="131" spans="1:15" x14ac:dyDescent="0.2">
      <c r="A131" s="39" t="s">
        <v>25</v>
      </c>
      <c r="B131" s="39" t="s">
        <v>142</v>
      </c>
      <c r="C131" s="39" t="s">
        <v>135</v>
      </c>
      <c r="D131" s="39" t="s">
        <v>273</v>
      </c>
      <c r="E131" s="39" t="s">
        <v>274</v>
      </c>
      <c r="F131" s="37">
        <v>200000000</v>
      </c>
      <c r="G131" s="37">
        <v>199976766.13</v>
      </c>
      <c r="H131" s="37">
        <v>999.81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ca="1" si="12"/>
        <v>200000000</v>
      </c>
      <c r="O131" s="93">
        <f t="shared" ref="O131:O194" si="14">H131</f>
        <v>999.81</v>
      </c>
    </row>
    <row r="132" spans="1:15" x14ac:dyDescent="0.2">
      <c r="A132" s="39" t="s">
        <v>25</v>
      </c>
      <c r="B132" s="39" t="s">
        <v>142</v>
      </c>
      <c r="C132" s="39" t="s">
        <v>135</v>
      </c>
      <c r="D132" s="39" t="s">
        <v>278</v>
      </c>
      <c r="E132" s="39" t="s">
        <v>279</v>
      </c>
      <c r="F132" s="37">
        <v>150000000</v>
      </c>
      <c r="G132" s="37">
        <v>149981564.40000001</v>
      </c>
      <c r="H132" s="37">
        <v>791.51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ca="1" si="12"/>
        <v>150000000</v>
      </c>
      <c r="O132" s="93">
        <f t="shared" si="14"/>
        <v>791.51</v>
      </c>
    </row>
    <row r="133" spans="1:15" x14ac:dyDescent="0.2">
      <c r="A133" s="39" t="s">
        <v>25</v>
      </c>
      <c r="B133" s="39" t="s">
        <v>142</v>
      </c>
      <c r="C133" s="39" t="s">
        <v>135</v>
      </c>
      <c r="D133" s="39" t="s">
        <v>280</v>
      </c>
      <c r="E133" s="39" t="s">
        <v>281</v>
      </c>
      <c r="F133" s="37">
        <v>150000000</v>
      </c>
      <c r="G133" s="37">
        <v>149980543.80000001</v>
      </c>
      <c r="H133" s="37">
        <v>833.15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ca="1" si="12"/>
        <v>150000000</v>
      </c>
      <c r="O133" s="93">
        <f t="shared" si="14"/>
        <v>833.15</v>
      </c>
    </row>
    <row r="134" spans="1:15" x14ac:dyDescent="0.2">
      <c r="A134" s="39" t="s">
        <v>25</v>
      </c>
      <c r="B134" s="39" t="s">
        <v>142</v>
      </c>
      <c r="C134" s="39" t="s">
        <v>135</v>
      </c>
      <c r="D134" s="39" t="s">
        <v>282</v>
      </c>
      <c r="E134" s="39" t="s">
        <v>283</v>
      </c>
      <c r="F134" s="37">
        <v>100000000</v>
      </c>
      <c r="G134" s="37">
        <v>99992013.629999995</v>
      </c>
      <c r="H134" s="37">
        <v>583.25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ca="1" si="12"/>
        <v>100000000</v>
      </c>
      <c r="O134" s="93">
        <f t="shared" si="14"/>
        <v>583.25</v>
      </c>
    </row>
    <row r="135" spans="1:15" x14ac:dyDescent="0.2">
      <c r="A135" s="39" t="s">
        <v>25</v>
      </c>
      <c r="B135" s="39" t="s">
        <v>142</v>
      </c>
      <c r="C135" s="39" t="s">
        <v>138</v>
      </c>
      <c r="D135" s="39" t="s">
        <v>139</v>
      </c>
      <c r="E135" s="39" t="s">
        <v>139</v>
      </c>
      <c r="F135" s="37">
        <v>175000000</v>
      </c>
      <c r="G135" s="37">
        <v>175336325</v>
      </c>
      <c r="H135" s="37">
        <v>876.62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ca="1" si="12"/>
        <v>175000000</v>
      </c>
      <c r="O135" s="93">
        <f t="shared" si="14"/>
        <v>876.62</v>
      </c>
    </row>
    <row r="136" spans="1:15" x14ac:dyDescent="0.2">
      <c r="A136" s="39" t="s">
        <v>25</v>
      </c>
      <c r="B136" s="39" t="s">
        <v>142</v>
      </c>
      <c r="C136" s="39" t="s">
        <v>268</v>
      </c>
      <c r="D136" s="39" t="s">
        <v>269</v>
      </c>
      <c r="E136" s="39" t="s">
        <v>269</v>
      </c>
      <c r="F136" s="37">
        <v>-682046500</v>
      </c>
      <c r="G136" s="37">
        <v>-682123362.42999995</v>
      </c>
      <c r="H136" s="37">
        <v>-3220.79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ca="1" si="12"/>
        <v>-682046500</v>
      </c>
      <c r="O136" s="93">
        <f t="shared" si="14"/>
        <v>-3220.79</v>
      </c>
    </row>
    <row r="137" spans="1:15" x14ac:dyDescent="0.2">
      <c r="A137" s="39" t="s">
        <v>25</v>
      </c>
      <c r="B137" s="39" t="s">
        <v>142</v>
      </c>
      <c r="C137" s="39" t="s">
        <v>268</v>
      </c>
      <c r="D137" s="39" t="s">
        <v>753</v>
      </c>
      <c r="E137" s="39" t="s">
        <v>269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ca="1" si="12"/>
        <v>0</v>
      </c>
      <c r="O137" s="93">
        <f t="shared" si="14"/>
        <v>0</v>
      </c>
    </row>
    <row r="138" spans="1:15" x14ac:dyDescent="0.2">
      <c r="A138" s="39" t="s">
        <v>25</v>
      </c>
      <c r="B138" s="39" t="s">
        <v>142</v>
      </c>
      <c r="C138" s="39" t="s">
        <v>268</v>
      </c>
      <c r="D138" s="39" t="s">
        <v>72</v>
      </c>
      <c r="E138" s="39" t="s">
        <v>269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ca="1" si="12"/>
        <v>0</v>
      </c>
      <c r="O138" s="93">
        <f t="shared" si="14"/>
        <v>0</v>
      </c>
    </row>
    <row r="139" spans="1:15" x14ac:dyDescent="0.2">
      <c r="A139" s="39" t="s">
        <v>25</v>
      </c>
      <c r="B139" s="39" t="s">
        <v>80</v>
      </c>
      <c r="D139" s="39" t="s">
        <v>270</v>
      </c>
      <c r="E139" s="39" t="s">
        <v>270</v>
      </c>
      <c r="G139" s="37">
        <v>1963350866.45</v>
      </c>
      <c r="H139" s="37">
        <v>13649.23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ca="1" si="12"/>
        <v>0</v>
      </c>
      <c r="O139" s="93">
        <f t="shared" si="14"/>
        <v>13649.23</v>
      </c>
    </row>
    <row r="140" spans="1:15" x14ac:dyDescent="0.2">
      <c r="A140" s="39" t="s">
        <v>25</v>
      </c>
      <c r="B140" s="39" t="s">
        <v>80</v>
      </c>
      <c r="C140" s="39" t="s">
        <v>135</v>
      </c>
      <c r="D140" s="39" t="s">
        <v>610</v>
      </c>
      <c r="E140" s="39" t="s">
        <v>611</v>
      </c>
      <c r="F140" s="37">
        <v>250000000</v>
      </c>
      <c r="G140" s="37">
        <v>249958808.02000001</v>
      </c>
      <c r="H140" s="37">
        <v>1735.62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ca="1" si="12"/>
        <v>250000000</v>
      </c>
      <c r="O140" s="93">
        <f t="shared" si="14"/>
        <v>1735.62</v>
      </c>
    </row>
    <row r="141" spans="1:15" x14ac:dyDescent="0.2">
      <c r="A141" s="39" t="s">
        <v>25</v>
      </c>
      <c r="B141" s="39" t="s">
        <v>80</v>
      </c>
      <c r="C141" s="39" t="s">
        <v>141</v>
      </c>
      <c r="D141" s="39" t="s">
        <v>284</v>
      </c>
      <c r="E141" s="39" t="s">
        <v>285</v>
      </c>
      <c r="F141" s="37">
        <v>192000000</v>
      </c>
      <c r="G141" s="37">
        <v>193513282.38</v>
      </c>
      <c r="H141" s="37">
        <v>1267.69</v>
      </c>
      <c r="I141" s="375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ca="1" si="12"/>
        <v>192000000</v>
      </c>
      <c r="O141" s="93">
        <f t="shared" si="14"/>
        <v>1267.69</v>
      </c>
    </row>
    <row r="142" spans="1:15" x14ac:dyDescent="0.2">
      <c r="A142" s="39" t="s">
        <v>25</v>
      </c>
      <c r="B142" s="39" t="s">
        <v>20</v>
      </c>
      <c r="D142" s="39" t="s">
        <v>270</v>
      </c>
      <c r="E142" s="39" t="s">
        <v>270</v>
      </c>
      <c r="G142" s="37">
        <v>787502298.21000004</v>
      </c>
      <c r="H142" s="37">
        <v>19982.37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ca="1" si="12"/>
        <v>0</v>
      </c>
      <c r="O142" s="93">
        <f t="shared" si="14"/>
        <v>19982.37</v>
      </c>
    </row>
    <row r="143" spans="1:15" x14ac:dyDescent="0.2">
      <c r="A143" s="39" t="s">
        <v>25</v>
      </c>
      <c r="B143" s="39" t="s">
        <v>20</v>
      </c>
      <c r="C143" s="39" t="s">
        <v>141</v>
      </c>
      <c r="D143" s="39" t="s">
        <v>286</v>
      </c>
      <c r="E143" s="39" t="s">
        <v>287</v>
      </c>
      <c r="F143" s="37">
        <v>50000000</v>
      </c>
      <c r="G143" s="37">
        <v>52658112.859999999</v>
      </c>
      <c r="H143" s="37">
        <v>963.89</v>
      </c>
      <c r="I143" s="375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ca="1" si="12"/>
        <v>50000000</v>
      </c>
      <c r="O143" s="93">
        <f t="shared" si="14"/>
        <v>963.89</v>
      </c>
    </row>
    <row r="144" spans="1:15" x14ac:dyDescent="0.2">
      <c r="A144" s="39" t="s">
        <v>25</v>
      </c>
      <c r="B144" s="39" t="s">
        <v>20</v>
      </c>
      <c r="C144" s="39" t="s">
        <v>141</v>
      </c>
      <c r="D144" s="39" t="s">
        <v>288</v>
      </c>
      <c r="E144" s="39" t="s">
        <v>289</v>
      </c>
      <c r="F144" s="37">
        <v>45000000</v>
      </c>
      <c r="G144" s="37">
        <v>45502111.280000001</v>
      </c>
      <c r="H144" s="37">
        <v>958.71</v>
      </c>
      <c r="I144" s="375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ca="1" si="12"/>
        <v>45000000</v>
      </c>
      <c r="O144" s="93">
        <f t="shared" si="14"/>
        <v>958.71</v>
      </c>
    </row>
    <row r="145" spans="1:15" x14ac:dyDescent="0.2">
      <c r="A145" s="39" t="s">
        <v>25</v>
      </c>
      <c r="B145" s="39" t="s">
        <v>20</v>
      </c>
      <c r="C145" s="39" t="s">
        <v>141</v>
      </c>
      <c r="D145" s="39" t="s">
        <v>290</v>
      </c>
      <c r="E145" s="39" t="s">
        <v>291</v>
      </c>
      <c r="F145" s="37">
        <v>75000000</v>
      </c>
      <c r="G145" s="37">
        <v>76221586.159999996</v>
      </c>
      <c r="H145" s="37">
        <v>1607.2</v>
      </c>
      <c r="I145" s="375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ca="1" si="12"/>
        <v>75000000</v>
      </c>
      <c r="O145" s="93">
        <f t="shared" si="14"/>
        <v>1607.2</v>
      </c>
    </row>
    <row r="146" spans="1:15" x14ac:dyDescent="0.2">
      <c r="A146" s="39" t="s">
        <v>25</v>
      </c>
      <c r="B146" s="39" t="s">
        <v>20</v>
      </c>
      <c r="C146" s="39" t="s">
        <v>138</v>
      </c>
      <c r="D146" s="39" t="s">
        <v>139</v>
      </c>
      <c r="E146" s="39" t="s">
        <v>139</v>
      </c>
      <c r="F146" s="37">
        <v>4895000000</v>
      </c>
      <c r="G146" s="37">
        <v>4903294154.0900002</v>
      </c>
      <c r="H146" s="37">
        <v>81712.45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ca="1" si="12"/>
        <v>4895000000</v>
      </c>
      <c r="O146" s="93">
        <f t="shared" si="14"/>
        <v>81712.45</v>
      </c>
    </row>
    <row r="147" spans="1:15" x14ac:dyDescent="0.2">
      <c r="A147" s="39" t="s">
        <v>25</v>
      </c>
      <c r="B147" s="39" t="s">
        <v>21</v>
      </c>
      <c r="C147" s="39" t="s">
        <v>135</v>
      </c>
      <c r="D147" s="39" t="s">
        <v>922</v>
      </c>
      <c r="E147" s="39" t="s">
        <v>923</v>
      </c>
      <c r="F147" s="37">
        <v>414000000</v>
      </c>
      <c r="G147" s="37">
        <v>413715726.50999999</v>
      </c>
      <c r="H147" s="37">
        <v>18399.36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ca="1" si="12"/>
        <v>414000000</v>
      </c>
      <c r="O147" s="93">
        <f t="shared" si="14"/>
        <v>18399.36</v>
      </c>
    </row>
    <row r="148" spans="1:15" x14ac:dyDescent="0.2">
      <c r="A148" s="39" t="s">
        <v>25</v>
      </c>
      <c r="B148" s="39" t="s">
        <v>21</v>
      </c>
      <c r="C148" s="39" t="s">
        <v>135</v>
      </c>
      <c r="D148" s="39" t="s">
        <v>939</v>
      </c>
      <c r="E148" s="39" t="s">
        <v>940</v>
      </c>
      <c r="F148" s="37">
        <v>400000000</v>
      </c>
      <c r="G148" s="37">
        <v>399682452.61000001</v>
      </c>
      <c r="H148" s="37">
        <v>20110.400000000001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ca="1" si="12"/>
        <v>400000000</v>
      </c>
      <c r="O148" s="93">
        <f t="shared" si="14"/>
        <v>20110.400000000001</v>
      </c>
    </row>
    <row r="149" spans="1:15" x14ac:dyDescent="0.2">
      <c r="A149" s="39" t="s">
        <v>25</v>
      </c>
      <c r="B149" s="39" t="s">
        <v>21</v>
      </c>
      <c r="C149" s="39" t="s">
        <v>141</v>
      </c>
      <c r="D149" s="39" t="s">
        <v>292</v>
      </c>
      <c r="E149" s="39" t="s">
        <v>293</v>
      </c>
      <c r="F149" s="37">
        <v>40000000</v>
      </c>
      <c r="G149" s="37">
        <v>40160832.990000002</v>
      </c>
      <c r="H149" s="37">
        <v>1065.29</v>
      </c>
      <c r="I149" s="375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ca="1" si="12"/>
        <v>40000000</v>
      </c>
      <c r="O149" s="93">
        <f t="shared" si="14"/>
        <v>1065.29</v>
      </c>
    </row>
    <row r="150" spans="1:15" x14ac:dyDescent="0.2">
      <c r="A150" s="39" t="s">
        <v>25</v>
      </c>
      <c r="B150" s="39" t="s">
        <v>21</v>
      </c>
      <c r="C150" s="39" t="s">
        <v>141</v>
      </c>
      <c r="D150" s="39" t="s">
        <v>294</v>
      </c>
      <c r="E150" s="39" t="s">
        <v>295</v>
      </c>
      <c r="F150" s="37">
        <v>97000000</v>
      </c>
      <c r="G150" s="37">
        <v>99163893.140000001</v>
      </c>
      <c r="H150" s="37">
        <v>2954.56</v>
      </c>
      <c r="I150" s="375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ca="1" si="12"/>
        <v>97000000</v>
      </c>
      <c r="O150" s="93">
        <f t="shared" si="14"/>
        <v>2954.56</v>
      </c>
    </row>
    <row r="151" spans="1:15" x14ac:dyDescent="0.2">
      <c r="A151" s="39" t="s">
        <v>25</v>
      </c>
      <c r="B151" s="39" t="s">
        <v>21</v>
      </c>
      <c r="C151" s="39" t="s">
        <v>141</v>
      </c>
      <c r="D151" s="39" t="s">
        <v>297</v>
      </c>
      <c r="E151" s="39" t="s">
        <v>298</v>
      </c>
      <c r="F151" s="37">
        <v>99500000</v>
      </c>
      <c r="G151" s="37">
        <v>99880919.099999994</v>
      </c>
      <c r="H151" s="37">
        <v>3986.72</v>
      </c>
      <c r="I151" s="375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ca="1" si="12"/>
        <v>99500000</v>
      </c>
      <c r="O151" s="93">
        <f t="shared" si="14"/>
        <v>3986.72</v>
      </c>
    </row>
    <row r="152" spans="1:15" x14ac:dyDescent="0.2">
      <c r="A152" s="39" t="s">
        <v>25</v>
      </c>
      <c r="B152" s="39" t="s">
        <v>21</v>
      </c>
      <c r="C152" s="39" t="s">
        <v>141</v>
      </c>
      <c r="D152" s="39" t="s">
        <v>299</v>
      </c>
      <c r="E152" s="39" t="s">
        <v>300</v>
      </c>
      <c r="F152" s="37">
        <v>19000000</v>
      </c>
      <c r="G152" s="37">
        <v>19019318.870000001</v>
      </c>
      <c r="H152" s="37">
        <v>867.46</v>
      </c>
      <c r="I152" s="375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ca="1" si="12"/>
        <v>19000000</v>
      </c>
      <c r="O152" s="93">
        <f t="shared" si="14"/>
        <v>867.46</v>
      </c>
    </row>
    <row r="153" spans="1:15" x14ac:dyDescent="0.2">
      <c r="A153" s="39" t="s">
        <v>25</v>
      </c>
      <c r="B153" s="39" t="s">
        <v>21</v>
      </c>
      <c r="C153" s="39" t="s">
        <v>277</v>
      </c>
      <c r="D153" s="39" t="s">
        <v>918</v>
      </c>
      <c r="E153" s="39" t="s">
        <v>918</v>
      </c>
      <c r="G153" s="37">
        <v>-1328.13</v>
      </c>
      <c r="I153" s="375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ca="1" si="12"/>
        <v>0</v>
      </c>
      <c r="O153" s="93">
        <f t="shared" si="14"/>
        <v>0</v>
      </c>
    </row>
    <row r="154" spans="1:15" x14ac:dyDescent="0.2">
      <c r="A154" s="39" t="s">
        <v>25</v>
      </c>
      <c r="B154" s="39" t="s">
        <v>21</v>
      </c>
      <c r="C154" s="39" t="s">
        <v>138</v>
      </c>
      <c r="D154" s="39" t="s">
        <v>139</v>
      </c>
      <c r="E154" s="39" t="s">
        <v>139</v>
      </c>
      <c r="F154" s="37">
        <v>200000000</v>
      </c>
      <c r="G154" s="37">
        <v>200318561.74000001</v>
      </c>
      <c r="H154" s="37">
        <v>5224.88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ca="1" si="12"/>
        <v>200000000</v>
      </c>
      <c r="O154" s="93">
        <f t="shared" si="14"/>
        <v>5224.88</v>
      </c>
    </row>
    <row r="155" spans="1:15" x14ac:dyDescent="0.2">
      <c r="A155" s="39" t="s">
        <v>25</v>
      </c>
      <c r="B155" s="39" t="s">
        <v>21</v>
      </c>
      <c r="C155" s="39" t="s">
        <v>296</v>
      </c>
      <c r="D155" s="39" t="s">
        <v>303</v>
      </c>
      <c r="E155" s="39" t="s">
        <v>303</v>
      </c>
      <c r="F155" s="37">
        <v>-1249000000</v>
      </c>
      <c r="G155" s="37">
        <v>303175</v>
      </c>
      <c r="H155" s="37">
        <v>-31262.9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ca="1" si="12"/>
        <v>-1249000000</v>
      </c>
      <c r="O155" s="93">
        <f t="shared" si="14"/>
        <v>-31262.9</v>
      </c>
    </row>
    <row r="156" spans="1:15" x14ac:dyDescent="0.2">
      <c r="A156" s="39" t="s">
        <v>25</v>
      </c>
      <c r="B156" s="39" t="s">
        <v>177</v>
      </c>
      <c r="D156" s="39" t="s">
        <v>265</v>
      </c>
      <c r="E156" s="39" t="s">
        <v>266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ca="1" si="12"/>
        <v>0</v>
      </c>
      <c r="O156" s="93">
        <f t="shared" si="14"/>
        <v>0</v>
      </c>
    </row>
    <row r="157" spans="1:15" x14ac:dyDescent="0.2">
      <c r="A157" s="39" t="s">
        <v>25</v>
      </c>
      <c r="B157" s="39" t="s">
        <v>177</v>
      </c>
      <c r="C157" s="39" t="s">
        <v>135</v>
      </c>
      <c r="D157" s="39" t="s">
        <v>304</v>
      </c>
      <c r="E157" s="39" t="s">
        <v>305</v>
      </c>
      <c r="F157" s="37">
        <v>50000000</v>
      </c>
      <c r="G157" s="37">
        <v>49841534.659999996</v>
      </c>
      <c r="H157" s="37">
        <v>2870.82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ca="1" si="12"/>
        <v>50000000</v>
      </c>
      <c r="O157" s="93">
        <f t="shared" si="14"/>
        <v>2870.82</v>
      </c>
    </row>
    <row r="158" spans="1:15" x14ac:dyDescent="0.2">
      <c r="A158" s="39" t="s">
        <v>25</v>
      </c>
      <c r="B158" s="39" t="s">
        <v>177</v>
      </c>
      <c r="C158" s="39" t="s">
        <v>135</v>
      </c>
      <c r="D158" s="39" t="s">
        <v>306</v>
      </c>
      <c r="E158" s="39" t="s">
        <v>307</v>
      </c>
      <c r="F158" s="37">
        <v>26000000</v>
      </c>
      <c r="G158" s="37">
        <v>25915151.949999999</v>
      </c>
      <c r="H158" s="37">
        <v>1528.42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ca="1" si="12"/>
        <v>26000000</v>
      </c>
      <c r="O158" s="93">
        <f t="shared" si="14"/>
        <v>1528.42</v>
      </c>
    </row>
    <row r="159" spans="1:15" x14ac:dyDescent="0.2">
      <c r="A159" s="39" t="s">
        <v>25</v>
      </c>
      <c r="B159" s="39" t="s">
        <v>177</v>
      </c>
      <c r="C159" s="39" t="s">
        <v>135</v>
      </c>
      <c r="D159" s="39" t="s">
        <v>308</v>
      </c>
      <c r="E159" s="39" t="s">
        <v>309</v>
      </c>
      <c r="F159" s="37">
        <v>40000000</v>
      </c>
      <c r="G159" s="37">
        <v>39864142.530000001</v>
      </c>
      <c r="H159" s="37">
        <v>2428.0500000000002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ca="1" si="12"/>
        <v>40000000</v>
      </c>
      <c r="O159" s="93">
        <f t="shared" si="14"/>
        <v>2428.0500000000002</v>
      </c>
    </row>
    <row r="160" spans="1:15" x14ac:dyDescent="0.2">
      <c r="A160" s="39" t="s">
        <v>25</v>
      </c>
      <c r="B160" s="39" t="s">
        <v>177</v>
      </c>
      <c r="C160" s="39" t="s">
        <v>135</v>
      </c>
      <c r="D160" s="39" t="s">
        <v>310</v>
      </c>
      <c r="E160" s="39" t="s">
        <v>311</v>
      </c>
      <c r="F160" s="37">
        <v>150000000</v>
      </c>
      <c r="G160" s="37">
        <v>149464530.61000001</v>
      </c>
      <c r="H160" s="37">
        <v>9474.3799999999992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ca="1" si="12"/>
        <v>150000000</v>
      </c>
      <c r="O160" s="93">
        <f t="shared" si="14"/>
        <v>9474.3799999999992</v>
      </c>
    </row>
    <row r="161" spans="1:15" x14ac:dyDescent="0.2">
      <c r="A161" s="39" t="s">
        <v>25</v>
      </c>
      <c r="B161" s="39" t="s">
        <v>177</v>
      </c>
      <c r="C161" s="39" t="s">
        <v>135</v>
      </c>
      <c r="D161" s="39" t="s">
        <v>312</v>
      </c>
      <c r="E161" s="39" t="s">
        <v>313</v>
      </c>
      <c r="F161" s="37">
        <v>85000000</v>
      </c>
      <c r="G161" s="37">
        <v>84673209.579999998</v>
      </c>
      <c r="H161" s="37">
        <v>5693.9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ca="1" si="12"/>
        <v>85000000</v>
      </c>
      <c r="O161" s="93">
        <f t="shared" si="14"/>
        <v>5693.9</v>
      </c>
    </row>
    <row r="162" spans="1:15" x14ac:dyDescent="0.2">
      <c r="A162" s="39" t="s">
        <v>25</v>
      </c>
      <c r="B162" s="39" t="s">
        <v>177</v>
      </c>
      <c r="C162" s="39" t="s">
        <v>141</v>
      </c>
      <c r="D162" s="39" t="s">
        <v>301</v>
      </c>
      <c r="E162" s="39" t="s">
        <v>302</v>
      </c>
      <c r="F162" s="37">
        <v>39900000</v>
      </c>
      <c r="G162" s="37">
        <v>41547364.600000001</v>
      </c>
      <c r="H162" s="37">
        <v>2152.23</v>
      </c>
      <c r="I162" s="375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ca="1" si="12"/>
        <v>39900000</v>
      </c>
      <c r="O162" s="93">
        <f t="shared" si="14"/>
        <v>2152.23</v>
      </c>
    </row>
    <row r="163" spans="1:15" x14ac:dyDescent="0.2">
      <c r="A163" s="39" t="s">
        <v>25</v>
      </c>
      <c r="B163" s="39" t="s">
        <v>177</v>
      </c>
      <c r="C163" s="39" t="s">
        <v>296</v>
      </c>
      <c r="D163" s="39" t="s">
        <v>314</v>
      </c>
      <c r="E163" s="39" t="s">
        <v>314</v>
      </c>
      <c r="F163" s="37">
        <v>-1145000000</v>
      </c>
      <c r="G163" s="37">
        <v>299350</v>
      </c>
      <c r="H163" s="37">
        <v>-28660.65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ca="1" si="12"/>
        <v>-1145000000</v>
      </c>
      <c r="O163" s="93">
        <f t="shared" si="14"/>
        <v>-28660.65</v>
      </c>
    </row>
    <row r="164" spans="1:15" x14ac:dyDescent="0.2">
      <c r="A164" s="39" t="s">
        <v>25</v>
      </c>
      <c r="B164" s="39" t="s">
        <v>184</v>
      </c>
      <c r="C164" s="39" t="s">
        <v>135</v>
      </c>
      <c r="D164" s="39" t="s">
        <v>651</v>
      </c>
      <c r="E164" s="39" t="s">
        <v>430</v>
      </c>
      <c r="F164" s="37">
        <v>1000000000</v>
      </c>
      <c r="G164" s="37">
        <v>998625864.82000005</v>
      </c>
      <c r="H164" s="37">
        <v>77497.119999999995</v>
      </c>
      <c r="I164" s="375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ca="1" si="12"/>
        <v>1000000000</v>
      </c>
      <c r="O164" s="93">
        <f t="shared" si="14"/>
        <v>77497.119999999995</v>
      </c>
    </row>
    <row r="165" spans="1:15" x14ac:dyDescent="0.2">
      <c r="A165" s="39" t="s">
        <v>25</v>
      </c>
      <c r="B165" s="39" t="s">
        <v>184</v>
      </c>
      <c r="C165" s="39" t="s">
        <v>135</v>
      </c>
      <c r="D165" s="39" t="s">
        <v>753</v>
      </c>
      <c r="E165" s="39" t="s">
        <v>754</v>
      </c>
      <c r="F165" s="37">
        <v>478000000</v>
      </c>
      <c r="G165" s="37">
        <v>477262502.73000002</v>
      </c>
      <c r="H165" s="37">
        <v>40761.25</v>
      </c>
      <c r="I165" s="375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ca="1" si="12"/>
        <v>478000000</v>
      </c>
      <c r="O165" s="93">
        <f t="shared" si="14"/>
        <v>40761.25</v>
      </c>
    </row>
    <row r="166" spans="1:15" x14ac:dyDescent="0.2">
      <c r="A166" s="39" t="s">
        <v>25</v>
      </c>
      <c r="B166" s="39" t="s">
        <v>184</v>
      </c>
      <c r="C166" s="39" t="s">
        <v>135</v>
      </c>
      <c r="D166" s="39" t="s">
        <v>926</v>
      </c>
      <c r="E166" s="39" t="s">
        <v>919</v>
      </c>
      <c r="G166" s="37">
        <v>209652915.87</v>
      </c>
      <c r="H166" s="37">
        <v>0.01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ca="1" si="12"/>
        <v>0</v>
      </c>
      <c r="O166" s="93">
        <f t="shared" si="14"/>
        <v>0.01</v>
      </c>
    </row>
    <row r="167" spans="1:15" x14ac:dyDescent="0.2">
      <c r="A167" s="39" t="s">
        <v>25</v>
      </c>
      <c r="B167" s="39" t="s">
        <v>184</v>
      </c>
      <c r="C167" s="39" t="s">
        <v>135</v>
      </c>
      <c r="D167" s="39" t="s">
        <v>962</v>
      </c>
      <c r="E167" s="39" t="s">
        <v>963</v>
      </c>
      <c r="F167" s="37">
        <v>194000000</v>
      </c>
      <c r="G167" s="37">
        <v>-4436.6499999999996</v>
      </c>
      <c r="H167" s="37">
        <v>19560.89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ca="1" si="12"/>
        <v>194000000</v>
      </c>
      <c r="O167" s="93">
        <f t="shared" si="14"/>
        <v>19560.89</v>
      </c>
    </row>
    <row r="168" spans="1:15" x14ac:dyDescent="0.2">
      <c r="A168" s="39" t="s">
        <v>25</v>
      </c>
      <c r="B168" s="39" t="s">
        <v>184</v>
      </c>
      <c r="C168" s="39" t="s">
        <v>141</v>
      </c>
      <c r="D168" s="39" t="s">
        <v>319</v>
      </c>
      <c r="E168" s="39" t="s">
        <v>320</v>
      </c>
      <c r="F168" s="37">
        <v>201500000</v>
      </c>
      <c r="G168" s="37">
        <v>202551286.50999999</v>
      </c>
      <c r="H168" s="37">
        <v>16216.42</v>
      </c>
      <c r="I168" s="375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ca="1" si="12"/>
        <v>201500000</v>
      </c>
      <c r="O168" s="93">
        <f t="shared" si="14"/>
        <v>16216.42</v>
      </c>
    </row>
    <row r="169" spans="1:15" x14ac:dyDescent="0.2">
      <c r="A169" s="39" t="s">
        <v>25</v>
      </c>
      <c r="B169" s="39" t="s">
        <v>184</v>
      </c>
      <c r="C169" s="39" t="s">
        <v>141</v>
      </c>
      <c r="D169" s="39" t="s">
        <v>49</v>
      </c>
      <c r="E169" s="39" t="s">
        <v>50</v>
      </c>
      <c r="F169" s="37">
        <v>252000000</v>
      </c>
      <c r="G169" s="37">
        <v>253159612.83000001</v>
      </c>
      <c r="H169" s="37">
        <v>21094.959999999999</v>
      </c>
      <c r="I169" s="375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ca="1" si="12"/>
        <v>252000000</v>
      </c>
      <c r="O169" s="93">
        <f t="shared" si="14"/>
        <v>21094.959999999999</v>
      </c>
    </row>
    <row r="170" spans="1:15" x14ac:dyDescent="0.2">
      <c r="A170" s="39" t="s">
        <v>25</v>
      </c>
      <c r="B170" s="39" t="s">
        <v>184</v>
      </c>
      <c r="C170" s="39" t="s">
        <v>141</v>
      </c>
      <c r="D170" s="39" t="s">
        <v>189</v>
      </c>
      <c r="E170" s="39" t="s">
        <v>190</v>
      </c>
      <c r="F170" s="37">
        <v>456000000</v>
      </c>
      <c r="G170" s="37">
        <v>457364487.99000001</v>
      </c>
      <c r="H170" s="37">
        <v>42000.62</v>
      </c>
      <c r="I170" s="375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ca="1" si="12"/>
        <v>456000000</v>
      </c>
      <c r="O170" s="93">
        <f t="shared" si="14"/>
        <v>42000.62</v>
      </c>
    </row>
    <row r="171" spans="1:15" x14ac:dyDescent="0.2">
      <c r="A171" s="39" t="s">
        <v>25</v>
      </c>
      <c r="B171" s="39" t="s">
        <v>184</v>
      </c>
      <c r="C171" s="39" t="s">
        <v>141</v>
      </c>
      <c r="D171" s="39" t="s">
        <v>321</v>
      </c>
      <c r="E171" s="39" t="s">
        <v>322</v>
      </c>
      <c r="F171" s="37">
        <v>10000000</v>
      </c>
      <c r="G171" s="37">
        <v>10148884.289999999</v>
      </c>
      <c r="H171" s="37">
        <v>956.66</v>
      </c>
      <c r="I171" s="375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ca="1" si="12"/>
        <v>10000000</v>
      </c>
      <c r="O171" s="93">
        <f t="shared" si="14"/>
        <v>956.66</v>
      </c>
    </row>
    <row r="172" spans="1:15" x14ac:dyDescent="0.2">
      <c r="A172" s="39" t="s">
        <v>25</v>
      </c>
      <c r="B172" s="39" t="s">
        <v>184</v>
      </c>
      <c r="C172" s="39" t="s">
        <v>141</v>
      </c>
      <c r="D172" s="39" t="s">
        <v>40</v>
      </c>
      <c r="E172" s="39" t="s">
        <v>41</v>
      </c>
      <c r="G172" s="37">
        <v>0</v>
      </c>
      <c r="I172" s="375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ca="1" si="12"/>
        <v>0</v>
      </c>
      <c r="O172" s="93">
        <f t="shared" si="14"/>
        <v>0</v>
      </c>
    </row>
    <row r="173" spans="1:15" x14ac:dyDescent="0.2">
      <c r="A173" s="39" t="s">
        <v>25</v>
      </c>
      <c r="B173" s="39" t="s">
        <v>184</v>
      </c>
      <c r="C173" s="39" t="s">
        <v>141</v>
      </c>
      <c r="D173" s="39" t="s">
        <v>323</v>
      </c>
      <c r="E173" s="39" t="s">
        <v>324</v>
      </c>
      <c r="F173" s="37">
        <v>15000000</v>
      </c>
      <c r="G173" s="37">
        <v>14765949.59</v>
      </c>
      <c r="H173" s="37">
        <v>1354.32</v>
      </c>
      <c r="I173" s="375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ca="1" si="12"/>
        <v>15000000</v>
      </c>
      <c r="O173" s="93">
        <f t="shared" si="14"/>
        <v>1354.32</v>
      </c>
    </row>
    <row r="174" spans="1:15" x14ac:dyDescent="0.2">
      <c r="A174" s="39" t="s">
        <v>25</v>
      </c>
      <c r="B174" s="39" t="s">
        <v>184</v>
      </c>
      <c r="C174" s="39" t="s">
        <v>296</v>
      </c>
      <c r="D174" s="39" t="s">
        <v>337</v>
      </c>
      <c r="E174" s="39" t="s">
        <v>337</v>
      </c>
      <c r="F174" s="37">
        <v>-621000000</v>
      </c>
      <c r="G174" s="37">
        <v>134850</v>
      </c>
      <c r="H174" s="37">
        <v>-15545.42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ca="1" si="12"/>
        <v>-621000000</v>
      </c>
      <c r="O174" s="93">
        <f t="shared" si="14"/>
        <v>-15545.42</v>
      </c>
    </row>
    <row r="175" spans="1:15" x14ac:dyDescent="0.2">
      <c r="A175" s="39" t="s">
        <v>25</v>
      </c>
      <c r="B175" s="39" t="s">
        <v>184</v>
      </c>
      <c r="C175" s="39" t="s">
        <v>315</v>
      </c>
      <c r="D175" s="39" t="s">
        <v>316</v>
      </c>
      <c r="E175" s="39" t="s">
        <v>317</v>
      </c>
      <c r="F175" s="37">
        <v>300000000</v>
      </c>
      <c r="G175" s="37">
        <v>300401785.19</v>
      </c>
      <c r="H175" s="37">
        <v>7576.82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ca="1" si="12"/>
        <v>300000000</v>
      </c>
      <c r="O175" s="93">
        <f t="shared" si="14"/>
        <v>7576.82</v>
      </c>
    </row>
    <row r="176" spans="1:15" x14ac:dyDescent="0.2">
      <c r="A176" s="39" t="s">
        <v>25</v>
      </c>
      <c r="B176" s="39" t="s">
        <v>184</v>
      </c>
      <c r="C176" s="39" t="s">
        <v>315</v>
      </c>
      <c r="D176" s="39" t="s">
        <v>318</v>
      </c>
      <c r="E176" s="39" t="s">
        <v>317</v>
      </c>
      <c r="F176" s="37">
        <v>-300000000</v>
      </c>
      <c r="G176" s="37">
        <v>-301864136.94999999</v>
      </c>
      <c r="H176" s="37">
        <v>-22657.78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ca="1" si="12"/>
        <v>-300000000</v>
      </c>
      <c r="O176" s="93">
        <f t="shared" si="14"/>
        <v>-22657.78</v>
      </c>
    </row>
    <row r="177" spans="1:15" x14ac:dyDescent="0.2">
      <c r="A177" s="39" t="s">
        <v>25</v>
      </c>
      <c r="B177" s="39" t="s">
        <v>83</v>
      </c>
      <c r="D177" s="39" t="s">
        <v>267</v>
      </c>
      <c r="E177" s="39" t="s">
        <v>266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ca="1" si="12"/>
        <v>0</v>
      </c>
      <c r="O177" s="93">
        <f t="shared" si="14"/>
        <v>0</v>
      </c>
    </row>
    <row r="178" spans="1:15" x14ac:dyDescent="0.2">
      <c r="A178" s="39" t="s">
        <v>25</v>
      </c>
      <c r="B178" s="39" t="s">
        <v>83</v>
      </c>
      <c r="C178" s="39" t="s">
        <v>141</v>
      </c>
      <c r="D178" s="39" t="s">
        <v>325</v>
      </c>
      <c r="E178" s="39" t="s">
        <v>326</v>
      </c>
      <c r="F178" s="37">
        <v>25000000</v>
      </c>
      <c r="G178" s="37">
        <v>25703669.190000001</v>
      </c>
      <c r="H178" s="37">
        <v>2604.0100000000002</v>
      </c>
      <c r="I178" s="375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ca="1" si="12"/>
        <v>25000000</v>
      </c>
      <c r="O178" s="93">
        <f t="shared" si="14"/>
        <v>2604.0100000000002</v>
      </c>
    </row>
    <row r="179" spans="1:15" x14ac:dyDescent="0.2">
      <c r="A179" s="39" t="s">
        <v>25</v>
      </c>
      <c r="B179" s="39" t="s">
        <v>83</v>
      </c>
      <c r="C179" s="39" t="s">
        <v>141</v>
      </c>
      <c r="D179" s="39" t="s">
        <v>921</v>
      </c>
      <c r="E179" s="39" t="s">
        <v>661</v>
      </c>
      <c r="F179" s="37">
        <v>18000000</v>
      </c>
      <c r="G179" s="37">
        <v>18328159.23</v>
      </c>
      <c r="H179" s="37">
        <v>1942.33</v>
      </c>
      <c r="I179" s="375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ca="1" si="12"/>
        <v>18000000</v>
      </c>
      <c r="O179" s="93">
        <f t="shared" si="14"/>
        <v>1942.33</v>
      </c>
    </row>
    <row r="180" spans="1:15" x14ac:dyDescent="0.2">
      <c r="A180" s="39" t="s">
        <v>25</v>
      </c>
      <c r="B180" s="39" t="s">
        <v>83</v>
      </c>
      <c r="C180" s="39" t="s">
        <v>141</v>
      </c>
      <c r="D180" s="39" t="s">
        <v>72</v>
      </c>
      <c r="E180" s="39" t="s">
        <v>73</v>
      </c>
      <c r="F180" s="37">
        <v>470000000</v>
      </c>
      <c r="G180" s="37">
        <v>471409324.79000002</v>
      </c>
      <c r="H180" s="37">
        <v>51081.03</v>
      </c>
      <c r="I180" s="375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ca="1" si="12"/>
        <v>470000000</v>
      </c>
      <c r="O180" s="93">
        <f t="shared" si="14"/>
        <v>51081.03</v>
      </c>
    </row>
    <row r="181" spans="1:15" x14ac:dyDescent="0.2">
      <c r="A181" s="39" t="s">
        <v>25</v>
      </c>
      <c r="B181" s="39" t="s">
        <v>83</v>
      </c>
      <c r="C181" s="39" t="s">
        <v>141</v>
      </c>
      <c r="D181" s="39" t="s">
        <v>327</v>
      </c>
      <c r="E181" s="39" t="s">
        <v>328</v>
      </c>
      <c r="F181" s="37">
        <v>185000000</v>
      </c>
      <c r="G181" s="37">
        <v>187312279.13</v>
      </c>
      <c r="H181" s="37">
        <v>22532.01</v>
      </c>
      <c r="I181" s="375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ca="1" si="12"/>
        <v>185000000</v>
      </c>
      <c r="O181" s="93">
        <f t="shared" si="14"/>
        <v>22532.01</v>
      </c>
    </row>
    <row r="182" spans="1:15" x14ac:dyDescent="0.2">
      <c r="A182" s="39" t="s">
        <v>25</v>
      </c>
      <c r="B182" s="39" t="s">
        <v>83</v>
      </c>
      <c r="C182" s="39" t="s">
        <v>141</v>
      </c>
      <c r="D182" s="39" t="s">
        <v>51</v>
      </c>
      <c r="E182" s="39" t="s">
        <v>52</v>
      </c>
      <c r="F182" s="37">
        <v>1505000000</v>
      </c>
      <c r="G182" s="37">
        <v>1502856863.3199999</v>
      </c>
      <c r="H182" s="37">
        <v>188191.15</v>
      </c>
      <c r="I182" s="375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ca="1" si="12"/>
        <v>1505000000</v>
      </c>
      <c r="O182" s="93">
        <f t="shared" si="14"/>
        <v>188191.15</v>
      </c>
    </row>
    <row r="183" spans="1:15" x14ac:dyDescent="0.2">
      <c r="A183" s="39" t="s">
        <v>25</v>
      </c>
      <c r="B183" s="39" t="s">
        <v>83</v>
      </c>
      <c r="C183" s="39" t="s">
        <v>141</v>
      </c>
      <c r="D183" s="39" t="s">
        <v>195</v>
      </c>
      <c r="E183" s="39" t="s">
        <v>196</v>
      </c>
      <c r="F183" s="37">
        <v>433000000</v>
      </c>
      <c r="G183" s="37">
        <v>433107737.66000003</v>
      </c>
      <c r="H183" s="37">
        <v>57868.15</v>
      </c>
      <c r="I183" s="375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ca="1" si="12"/>
        <v>433000000</v>
      </c>
      <c r="O183" s="93">
        <f t="shared" si="14"/>
        <v>57868.15</v>
      </c>
    </row>
    <row r="184" spans="1:15" x14ac:dyDescent="0.2">
      <c r="A184" s="39" t="s">
        <v>25</v>
      </c>
      <c r="B184" s="39" t="s">
        <v>83</v>
      </c>
      <c r="C184" s="39" t="s">
        <v>141</v>
      </c>
      <c r="D184" s="39" t="s">
        <v>329</v>
      </c>
      <c r="E184" s="39" t="s">
        <v>330</v>
      </c>
      <c r="F184" s="37">
        <v>200000000</v>
      </c>
      <c r="G184" s="37">
        <v>202362378.03999999</v>
      </c>
      <c r="H184" s="37">
        <v>27988.68</v>
      </c>
      <c r="I184" s="375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ca="1" si="12"/>
        <v>200000000</v>
      </c>
      <c r="O184" s="93">
        <f t="shared" si="14"/>
        <v>27988.68</v>
      </c>
    </row>
    <row r="185" spans="1:15" x14ac:dyDescent="0.2">
      <c r="A185" s="39" t="s">
        <v>25</v>
      </c>
      <c r="B185" s="39" t="s">
        <v>83</v>
      </c>
      <c r="C185" s="39" t="s">
        <v>141</v>
      </c>
      <c r="D185" s="39" t="s">
        <v>53</v>
      </c>
      <c r="E185" s="39" t="s">
        <v>54</v>
      </c>
      <c r="F185" s="37">
        <v>685000000</v>
      </c>
      <c r="G185" s="37">
        <v>684812939.39999998</v>
      </c>
      <c r="H185" s="37">
        <v>97484.1</v>
      </c>
      <c r="I185" s="375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ca="1" si="12"/>
        <v>685000000</v>
      </c>
      <c r="O185" s="93">
        <f t="shared" si="14"/>
        <v>97484.1</v>
      </c>
    </row>
    <row r="186" spans="1:15" x14ac:dyDescent="0.2">
      <c r="A186" s="39" t="s">
        <v>25</v>
      </c>
      <c r="B186" s="39" t="s">
        <v>83</v>
      </c>
      <c r="C186" s="39" t="s">
        <v>141</v>
      </c>
      <c r="D186" s="39" t="s">
        <v>55</v>
      </c>
      <c r="E186" s="39" t="s">
        <v>56</v>
      </c>
      <c r="F186" s="37">
        <v>1137000000</v>
      </c>
      <c r="G186" s="37">
        <v>1137635747.52</v>
      </c>
      <c r="H186" s="37">
        <v>180409.21</v>
      </c>
      <c r="I186" s="375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ca="1" si="12"/>
        <v>1137000000</v>
      </c>
      <c r="O186" s="93">
        <f t="shared" si="14"/>
        <v>180409.21</v>
      </c>
    </row>
    <row r="187" spans="1:15" x14ac:dyDescent="0.2">
      <c r="A187" s="39" t="s">
        <v>25</v>
      </c>
      <c r="B187" s="39" t="s">
        <v>83</v>
      </c>
      <c r="C187" s="39" t="s">
        <v>141</v>
      </c>
      <c r="D187" s="39" t="s">
        <v>331</v>
      </c>
      <c r="E187" s="39" t="s">
        <v>332</v>
      </c>
      <c r="F187" s="37">
        <v>27800000</v>
      </c>
      <c r="G187" s="37">
        <v>28214160.879999999</v>
      </c>
      <c r="H187" s="37">
        <v>4628.08</v>
      </c>
      <c r="I187" s="375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ca="1" si="12"/>
        <v>27800000</v>
      </c>
      <c r="O187" s="93">
        <f t="shared" si="14"/>
        <v>4628.08</v>
      </c>
    </row>
    <row r="188" spans="1:15" x14ac:dyDescent="0.2">
      <c r="A188" s="39" t="s">
        <v>25</v>
      </c>
      <c r="B188" s="39" t="s">
        <v>83</v>
      </c>
      <c r="C188" s="39" t="s">
        <v>141</v>
      </c>
      <c r="D188" s="39" t="s">
        <v>333</v>
      </c>
      <c r="E188" s="39" t="s">
        <v>334</v>
      </c>
      <c r="F188" s="37">
        <v>94000000</v>
      </c>
      <c r="G188" s="37">
        <v>95410361.060000002</v>
      </c>
      <c r="H188" s="37">
        <v>15867.46</v>
      </c>
      <c r="I188" s="375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ca="1" si="12"/>
        <v>94000000</v>
      </c>
      <c r="O188" s="93">
        <f t="shared" si="14"/>
        <v>15867.46</v>
      </c>
    </row>
    <row r="189" spans="1:15" x14ac:dyDescent="0.2">
      <c r="A189" s="39" t="s">
        <v>25</v>
      </c>
      <c r="B189" s="39" t="s">
        <v>83</v>
      </c>
      <c r="C189" s="39" t="s">
        <v>141</v>
      </c>
      <c r="D189" s="39" t="s">
        <v>335</v>
      </c>
      <c r="E189" s="39" t="s">
        <v>336</v>
      </c>
      <c r="F189" s="37">
        <v>39000000</v>
      </c>
      <c r="G189" s="37">
        <v>39515564.770000003</v>
      </c>
      <c r="H189" s="37">
        <v>6777.11</v>
      </c>
      <c r="I189" s="375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ca="1" si="12"/>
        <v>39000000</v>
      </c>
      <c r="O189" s="93">
        <f t="shared" si="14"/>
        <v>6777.11</v>
      </c>
    </row>
    <row r="190" spans="1:15" x14ac:dyDescent="0.2">
      <c r="A190" s="39" t="s">
        <v>25</v>
      </c>
      <c r="B190" s="39" t="s">
        <v>83</v>
      </c>
      <c r="C190" s="39" t="s">
        <v>141</v>
      </c>
      <c r="D190" s="39" t="s">
        <v>57</v>
      </c>
      <c r="E190" s="39" t="s">
        <v>58</v>
      </c>
      <c r="F190" s="37">
        <v>1046000000</v>
      </c>
      <c r="G190" s="37">
        <v>1045905029.8099999</v>
      </c>
      <c r="H190" s="37">
        <v>182736.88</v>
      </c>
      <c r="I190" s="375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ca="1" si="12"/>
        <v>1046000000</v>
      </c>
      <c r="O190" s="93">
        <f t="shared" si="14"/>
        <v>182736.88</v>
      </c>
    </row>
    <row r="191" spans="1:15" x14ac:dyDescent="0.2">
      <c r="A191" s="39" t="s">
        <v>25</v>
      </c>
      <c r="B191" s="39" t="s">
        <v>83</v>
      </c>
      <c r="C191" s="39" t="s">
        <v>141</v>
      </c>
      <c r="D191" s="39" t="s">
        <v>648</v>
      </c>
      <c r="E191" s="39" t="s">
        <v>649</v>
      </c>
      <c r="F191" s="37">
        <v>312000000</v>
      </c>
      <c r="G191" s="37">
        <v>311907009.74000001</v>
      </c>
      <c r="H191" s="37">
        <v>57055.7</v>
      </c>
      <c r="I191" s="375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ca="1" si="12"/>
        <v>312000000</v>
      </c>
      <c r="O191" s="93">
        <f t="shared" si="14"/>
        <v>57055.7</v>
      </c>
    </row>
    <row r="192" spans="1:15" x14ac:dyDescent="0.2">
      <c r="A192" s="39" t="s">
        <v>25</v>
      </c>
      <c r="B192" s="39" t="s">
        <v>83</v>
      </c>
      <c r="C192" s="39" t="s">
        <v>141</v>
      </c>
      <c r="D192" s="39" t="s">
        <v>341</v>
      </c>
      <c r="E192" s="39" t="s">
        <v>342</v>
      </c>
      <c r="F192" s="37">
        <v>30000000</v>
      </c>
      <c r="G192" s="37">
        <v>32394772.010000002</v>
      </c>
      <c r="H192" s="37">
        <v>5880.24</v>
      </c>
      <c r="I192" s="375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ca="1" si="12"/>
        <v>30000000</v>
      </c>
      <c r="O192" s="93">
        <f t="shared" si="14"/>
        <v>5880.24</v>
      </c>
    </row>
    <row r="193" spans="1:15" x14ac:dyDescent="0.2">
      <c r="A193" s="39" t="s">
        <v>25</v>
      </c>
      <c r="B193" s="39" t="s">
        <v>83</v>
      </c>
      <c r="C193" s="39" t="s">
        <v>141</v>
      </c>
      <c r="D193" s="39" t="s">
        <v>343</v>
      </c>
      <c r="E193" s="39" t="s">
        <v>344</v>
      </c>
      <c r="F193" s="37">
        <v>50000000</v>
      </c>
      <c r="G193" s="37">
        <v>50135557.840000004</v>
      </c>
      <c r="H193" s="37">
        <v>9581.35</v>
      </c>
      <c r="I193" s="375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ca="1" si="12"/>
        <v>50000000</v>
      </c>
      <c r="O193" s="93">
        <f t="shared" si="14"/>
        <v>9581.35</v>
      </c>
    </row>
    <row r="194" spans="1:15" x14ac:dyDescent="0.2">
      <c r="A194" s="39" t="s">
        <v>25</v>
      </c>
      <c r="B194" s="39" t="s">
        <v>83</v>
      </c>
      <c r="C194" s="39" t="s">
        <v>141</v>
      </c>
      <c r="D194" s="39" t="s">
        <v>345</v>
      </c>
      <c r="E194" s="39" t="s">
        <v>346</v>
      </c>
      <c r="F194" s="37">
        <v>25000000</v>
      </c>
      <c r="G194" s="37">
        <v>26415927.129999999</v>
      </c>
      <c r="H194" s="37">
        <v>5080.42</v>
      </c>
      <c r="I194" s="375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ca="1" si="17">IF(A194="","",IF(A194="BKINV1USD",-F194*ratioPV,F194))</f>
        <v>25000000</v>
      </c>
      <c r="O194" s="93">
        <f t="shared" si="14"/>
        <v>5080.42</v>
      </c>
    </row>
    <row r="195" spans="1:15" x14ac:dyDescent="0.2">
      <c r="A195" s="39" t="s">
        <v>25</v>
      </c>
      <c r="B195" s="39" t="s">
        <v>83</v>
      </c>
      <c r="C195" s="39" t="s">
        <v>296</v>
      </c>
      <c r="D195" s="39" t="s">
        <v>338</v>
      </c>
      <c r="E195" s="39" t="s">
        <v>338</v>
      </c>
      <c r="F195" s="37">
        <v>-920000000</v>
      </c>
      <c r="G195" s="37">
        <v>116312.5</v>
      </c>
      <c r="H195" s="37">
        <v>-23031.54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ca="1" si="17"/>
        <v>-920000000</v>
      </c>
      <c r="O195" s="93">
        <f t="shared" ref="O195:O258" si="19">H195</f>
        <v>-23031.54</v>
      </c>
    </row>
    <row r="196" spans="1:15" x14ac:dyDescent="0.2">
      <c r="A196" s="39" t="s">
        <v>25</v>
      </c>
      <c r="B196" s="39" t="s">
        <v>83</v>
      </c>
      <c r="C196" s="39" t="s">
        <v>296</v>
      </c>
      <c r="D196" s="39" t="s">
        <v>339</v>
      </c>
      <c r="E196" s="39" t="s">
        <v>339</v>
      </c>
      <c r="F196" s="37">
        <v>-738000000</v>
      </c>
      <c r="G196" s="37">
        <v>601600</v>
      </c>
      <c r="H196" s="37">
        <v>-18476.55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ca="1" si="17"/>
        <v>-738000000</v>
      </c>
      <c r="O196" s="93">
        <f t="shared" si="19"/>
        <v>-18476.55</v>
      </c>
    </row>
    <row r="197" spans="1:15" x14ac:dyDescent="0.2">
      <c r="A197" s="39" t="s">
        <v>25</v>
      </c>
      <c r="B197" s="39" t="s">
        <v>83</v>
      </c>
      <c r="C197" s="39" t="s">
        <v>296</v>
      </c>
      <c r="D197" s="39" t="s">
        <v>340</v>
      </c>
      <c r="E197" s="39" t="s">
        <v>340</v>
      </c>
      <c r="F197" s="37">
        <v>-522000000</v>
      </c>
      <c r="G197" s="37">
        <v>912712.5</v>
      </c>
      <c r="H197" s="37">
        <v>-13069.45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ca="1" si="17"/>
        <v>-522000000</v>
      </c>
      <c r="O197" s="93">
        <f t="shared" si="19"/>
        <v>-13069.45</v>
      </c>
    </row>
    <row r="198" spans="1:15" x14ac:dyDescent="0.2">
      <c r="A198" s="39" t="s">
        <v>25</v>
      </c>
      <c r="B198" s="39" t="s">
        <v>83</v>
      </c>
      <c r="C198" s="39" t="s">
        <v>296</v>
      </c>
      <c r="D198" s="39" t="s">
        <v>356</v>
      </c>
      <c r="E198" s="39" t="s">
        <v>356</v>
      </c>
      <c r="F198" s="37">
        <v>-1087000000</v>
      </c>
      <c r="G198" s="37">
        <v>153625</v>
      </c>
      <c r="H198" s="37">
        <v>-27447.59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ca="1" si="17"/>
        <v>-1087000000</v>
      </c>
      <c r="O198" s="93">
        <f t="shared" si="19"/>
        <v>-27447.59</v>
      </c>
    </row>
    <row r="199" spans="1:15" x14ac:dyDescent="0.2">
      <c r="A199" s="39" t="s">
        <v>25</v>
      </c>
      <c r="B199" s="39" t="s">
        <v>83</v>
      </c>
      <c r="C199" s="39" t="s">
        <v>315</v>
      </c>
      <c r="D199" s="39" t="s">
        <v>316</v>
      </c>
      <c r="E199" s="39" t="s">
        <v>317</v>
      </c>
      <c r="F199" s="37">
        <v>200000000</v>
      </c>
      <c r="G199" s="37">
        <v>200206636.44</v>
      </c>
      <c r="H199" s="37">
        <v>1334.52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ca="1" si="17"/>
        <v>200000000</v>
      </c>
      <c r="O199" s="93">
        <f t="shared" si="19"/>
        <v>1334.52</v>
      </c>
    </row>
    <row r="200" spans="1:15" x14ac:dyDescent="0.2">
      <c r="A200" s="39" t="s">
        <v>25</v>
      </c>
      <c r="B200" s="39" t="s">
        <v>83</v>
      </c>
      <c r="C200" s="39" t="s">
        <v>315</v>
      </c>
      <c r="D200" s="39" t="s">
        <v>318</v>
      </c>
      <c r="E200" s="39" t="s">
        <v>317</v>
      </c>
      <c r="F200" s="37">
        <v>-200000000</v>
      </c>
      <c r="G200" s="37">
        <v>-200731157.33000001</v>
      </c>
      <c r="H200" s="37">
        <v>-31502.63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ca="1" si="17"/>
        <v>-200000000</v>
      </c>
      <c r="O200" s="93">
        <f t="shared" si="19"/>
        <v>-31502.63</v>
      </c>
    </row>
    <row r="201" spans="1:15" x14ac:dyDescent="0.2">
      <c r="A201" s="39" t="s">
        <v>25</v>
      </c>
      <c r="B201" s="39" t="s">
        <v>84</v>
      </c>
      <c r="C201" s="39" t="s">
        <v>141</v>
      </c>
      <c r="D201" s="39" t="s">
        <v>941</v>
      </c>
      <c r="E201" s="39" t="s">
        <v>942</v>
      </c>
      <c r="F201" s="37">
        <v>211000000</v>
      </c>
      <c r="G201" s="37">
        <v>-167586.85999999999</v>
      </c>
      <c r="H201" s="37">
        <v>41919.57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ca="1" si="17"/>
        <v>211000000</v>
      </c>
      <c r="O201" s="93">
        <f t="shared" si="19"/>
        <v>41919.57</v>
      </c>
    </row>
    <row r="202" spans="1:15" x14ac:dyDescent="0.2">
      <c r="A202" s="39" t="s">
        <v>25</v>
      </c>
      <c r="B202" s="39" t="s">
        <v>84</v>
      </c>
      <c r="C202" s="39" t="s">
        <v>141</v>
      </c>
      <c r="D202" s="39" t="s">
        <v>347</v>
      </c>
      <c r="E202" s="39" t="s">
        <v>348</v>
      </c>
      <c r="F202" s="37">
        <v>50000000</v>
      </c>
      <c r="G202" s="37">
        <v>52806002.549999997</v>
      </c>
      <c r="H202" s="37">
        <v>11215.79</v>
      </c>
      <c r="I202" s="375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ca="1" si="17"/>
        <v>50000000</v>
      </c>
      <c r="O202" s="93">
        <f t="shared" si="19"/>
        <v>11215.79</v>
      </c>
    </row>
    <row r="203" spans="1:15" x14ac:dyDescent="0.2">
      <c r="A203" s="39" t="s">
        <v>25</v>
      </c>
      <c r="B203" s="39" t="s">
        <v>84</v>
      </c>
      <c r="C203" s="39" t="s">
        <v>141</v>
      </c>
      <c r="D203" s="39" t="s">
        <v>349</v>
      </c>
      <c r="E203" s="39" t="s">
        <v>350</v>
      </c>
      <c r="F203" s="37">
        <v>66000000</v>
      </c>
      <c r="G203" s="37">
        <v>66378339.740000002</v>
      </c>
      <c r="H203" s="37">
        <v>15044.01</v>
      </c>
      <c r="I203" s="375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ca="1" si="17"/>
        <v>66000000</v>
      </c>
      <c r="O203" s="93">
        <f t="shared" si="19"/>
        <v>15044.01</v>
      </c>
    </row>
    <row r="204" spans="1:15" x14ac:dyDescent="0.2">
      <c r="A204" s="39" t="s">
        <v>25</v>
      </c>
      <c r="B204" s="39" t="s">
        <v>84</v>
      </c>
      <c r="C204" s="39" t="s">
        <v>141</v>
      </c>
      <c r="D204" s="39" t="s">
        <v>351</v>
      </c>
      <c r="E204" s="39" t="s">
        <v>352</v>
      </c>
      <c r="F204" s="37">
        <v>70000000</v>
      </c>
      <c r="G204" s="37">
        <v>69537709.430000007</v>
      </c>
      <c r="H204" s="37">
        <v>16799.419999999998</v>
      </c>
      <c r="I204" s="375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ca="1" si="17"/>
        <v>70000000</v>
      </c>
      <c r="O204" s="93">
        <f t="shared" si="19"/>
        <v>16799.419999999998</v>
      </c>
    </row>
    <row r="205" spans="1:15" x14ac:dyDescent="0.2">
      <c r="A205" s="39" t="s">
        <v>25</v>
      </c>
      <c r="B205" s="39" t="s">
        <v>84</v>
      </c>
      <c r="C205" s="39" t="s">
        <v>141</v>
      </c>
      <c r="D205" s="39" t="s">
        <v>354</v>
      </c>
      <c r="E205" s="39" t="s">
        <v>355</v>
      </c>
      <c r="F205" s="37">
        <v>50000000</v>
      </c>
      <c r="G205" s="37">
        <v>38773501.68</v>
      </c>
      <c r="H205" s="37">
        <v>9370.82</v>
      </c>
      <c r="I205" s="375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ca="1" si="17"/>
        <v>50000000</v>
      </c>
      <c r="O205" s="93">
        <f t="shared" si="19"/>
        <v>9370.82</v>
      </c>
    </row>
    <row r="206" spans="1:15" x14ac:dyDescent="0.2">
      <c r="A206" s="39" t="s">
        <v>25</v>
      </c>
      <c r="B206" s="39" t="s">
        <v>84</v>
      </c>
      <c r="C206" s="39" t="s">
        <v>141</v>
      </c>
      <c r="D206" s="39" t="s">
        <v>34</v>
      </c>
      <c r="E206" s="39" t="s">
        <v>37</v>
      </c>
      <c r="G206" s="37">
        <v>0</v>
      </c>
      <c r="I206" s="375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ca="1" si="17"/>
        <v>0</v>
      </c>
      <c r="O206" s="93">
        <f t="shared" si="19"/>
        <v>0</v>
      </c>
    </row>
    <row r="207" spans="1:15" x14ac:dyDescent="0.2">
      <c r="A207" s="39" t="s">
        <v>25</v>
      </c>
      <c r="B207" s="39" t="s">
        <v>84</v>
      </c>
      <c r="C207" s="39" t="s">
        <v>141</v>
      </c>
      <c r="D207" s="39" t="s">
        <v>868</v>
      </c>
      <c r="E207" s="39" t="s">
        <v>869</v>
      </c>
      <c r="F207" s="37">
        <v>25000000</v>
      </c>
      <c r="G207" s="37">
        <v>27280089.870000001</v>
      </c>
      <c r="H207" s="37">
        <v>7256.14</v>
      </c>
      <c r="I207" s="375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ca="1" si="17"/>
        <v>25000000</v>
      </c>
      <c r="O207" s="93">
        <f t="shared" si="19"/>
        <v>7256.14</v>
      </c>
    </row>
    <row r="208" spans="1:15" x14ac:dyDescent="0.2">
      <c r="A208" s="39" t="s">
        <v>25</v>
      </c>
      <c r="B208" s="39" t="s">
        <v>84</v>
      </c>
      <c r="C208" s="39" t="s">
        <v>141</v>
      </c>
      <c r="D208" s="39" t="s">
        <v>612</v>
      </c>
      <c r="E208" s="39" t="s">
        <v>613</v>
      </c>
      <c r="F208" s="37">
        <v>70000000</v>
      </c>
      <c r="G208" s="37">
        <v>70411749.540000007</v>
      </c>
      <c r="H208" s="37">
        <v>19534.990000000002</v>
      </c>
      <c r="I208" s="375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ca="1" si="17"/>
        <v>70000000</v>
      </c>
      <c r="O208" s="93">
        <f t="shared" si="19"/>
        <v>19534.990000000002</v>
      </c>
    </row>
    <row r="209" spans="1:15" x14ac:dyDescent="0.2">
      <c r="A209" s="39" t="s">
        <v>25</v>
      </c>
      <c r="B209" s="39" t="s">
        <v>84</v>
      </c>
      <c r="C209" s="39" t="s">
        <v>141</v>
      </c>
      <c r="D209" s="39" t="s">
        <v>36</v>
      </c>
      <c r="E209" s="39" t="s">
        <v>38</v>
      </c>
      <c r="I209" s="375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ca="1" si="17"/>
        <v>0</v>
      </c>
      <c r="O209" s="93">
        <f t="shared" si="19"/>
        <v>0</v>
      </c>
    </row>
    <row r="210" spans="1:15" x14ac:dyDescent="0.2">
      <c r="A210" s="39" t="s">
        <v>25</v>
      </c>
      <c r="B210" s="39" t="s">
        <v>84</v>
      </c>
      <c r="C210" s="39" t="s">
        <v>141</v>
      </c>
      <c r="D210" s="39" t="s">
        <v>360</v>
      </c>
      <c r="E210" s="39" t="s">
        <v>361</v>
      </c>
      <c r="F210" s="37">
        <v>15000000</v>
      </c>
      <c r="G210" s="37">
        <v>15795444.359999999</v>
      </c>
      <c r="H210" s="37">
        <v>4326.09</v>
      </c>
      <c r="I210" s="375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ca="1" si="17"/>
        <v>15000000</v>
      </c>
      <c r="O210" s="93">
        <f t="shared" si="19"/>
        <v>4326.09</v>
      </c>
    </row>
    <row r="211" spans="1:15" x14ac:dyDescent="0.2">
      <c r="A211" s="39" t="s">
        <v>25</v>
      </c>
      <c r="B211" s="39" t="s">
        <v>84</v>
      </c>
      <c r="C211" s="39" t="s">
        <v>277</v>
      </c>
      <c r="D211" s="39" t="s">
        <v>918</v>
      </c>
      <c r="E211" s="39" t="s">
        <v>918</v>
      </c>
      <c r="F211" s="37">
        <v>-45600000</v>
      </c>
      <c r="G211" s="37">
        <v>13643.05</v>
      </c>
      <c r="H211" s="37">
        <v>-8594.86</v>
      </c>
      <c r="I211" s="375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ca="1" si="17"/>
        <v>-45600000</v>
      </c>
      <c r="O211" s="93">
        <f t="shared" si="19"/>
        <v>-8594.86</v>
      </c>
    </row>
    <row r="212" spans="1:15" x14ac:dyDescent="0.2">
      <c r="A212" s="39" t="s">
        <v>25</v>
      </c>
      <c r="B212" s="39" t="s">
        <v>84</v>
      </c>
      <c r="C212" s="39" t="s">
        <v>296</v>
      </c>
      <c r="D212" s="39" t="s">
        <v>357</v>
      </c>
      <c r="E212" s="39" t="s">
        <v>357</v>
      </c>
      <c r="F212" s="37">
        <v>-396000000</v>
      </c>
      <c r="G212" s="37">
        <v>301062.5</v>
      </c>
      <c r="H212" s="37">
        <v>-9915.99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ca="1" si="17"/>
        <v>-396000000</v>
      </c>
      <c r="O212" s="93">
        <f t="shared" si="19"/>
        <v>-9915.99</v>
      </c>
    </row>
    <row r="213" spans="1:15" x14ac:dyDescent="0.2">
      <c r="A213" s="39" t="s">
        <v>25</v>
      </c>
      <c r="B213" s="39" t="s">
        <v>84</v>
      </c>
      <c r="C213" s="39" t="s">
        <v>296</v>
      </c>
      <c r="D213" s="39" t="s">
        <v>358</v>
      </c>
      <c r="E213" s="39" t="s">
        <v>358</v>
      </c>
      <c r="F213" s="37">
        <v>-307000000</v>
      </c>
      <c r="G213" s="37">
        <v>239325</v>
      </c>
      <c r="H213" s="37">
        <v>-7689.12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ca="1" si="17"/>
        <v>-307000000</v>
      </c>
      <c r="O213" s="93">
        <f t="shared" si="19"/>
        <v>-7689.12</v>
      </c>
    </row>
    <row r="214" spans="1:15" x14ac:dyDescent="0.2">
      <c r="A214" s="39" t="s">
        <v>25</v>
      </c>
      <c r="B214" s="39" t="s">
        <v>84</v>
      </c>
      <c r="C214" s="39" t="s">
        <v>296</v>
      </c>
      <c r="D214" s="39" t="s">
        <v>359</v>
      </c>
      <c r="E214" s="39" t="s">
        <v>359</v>
      </c>
      <c r="F214" s="37">
        <v>-285000000</v>
      </c>
      <c r="G214" s="37">
        <v>204587.5</v>
      </c>
      <c r="H214" s="37">
        <v>-7139.77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ca="1" si="17"/>
        <v>-285000000</v>
      </c>
      <c r="O214" s="93">
        <f t="shared" si="19"/>
        <v>-7139.77</v>
      </c>
    </row>
    <row r="215" spans="1:15" x14ac:dyDescent="0.2">
      <c r="A215" s="39" t="s">
        <v>25</v>
      </c>
      <c r="B215" s="39" t="s">
        <v>84</v>
      </c>
      <c r="C215" s="39" t="s">
        <v>296</v>
      </c>
      <c r="D215" s="39" t="s">
        <v>374</v>
      </c>
      <c r="E215" s="39" t="s">
        <v>374</v>
      </c>
      <c r="F215" s="37">
        <v>-108000000</v>
      </c>
      <c r="G215" s="37">
        <v>128625</v>
      </c>
      <c r="H215" s="37">
        <v>-2706.3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ca="1" si="17"/>
        <v>-108000000</v>
      </c>
      <c r="O215" s="93">
        <f t="shared" si="19"/>
        <v>-2706.3</v>
      </c>
    </row>
    <row r="216" spans="1:15" x14ac:dyDescent="0.2">
      <c r="A216" s="39" t="s">
        <v>25</v>
      </c>
      <c r="B216" s="39" t="s">
        <v>86</v>
      </c>
      <c r="C216" s="39" t="s">
        <v>141</v>
      </c>
      <c r="D216" s="39" t="s">
        <v>362</v>
      </c>
      <c r="E216" s="39" t="s">
        <v>363</v>
      </c>
      <c r="F216" s="37">
        <v>27000000</v>
      </c>
      <c r="G216" s="37">
        <v>28840096.699999999</v>
      </c>
      <c r="H216" s="37">
        <v>8116.61</v>
      </c>
      <c r="I216" s="375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ca="1" si="17"/>
        <v>27000000</v>
      </c>
      <c r="O216" s="93">
        <f t="shared" si="19"/>
        <v>8116.61</v>
      </c>
    </row>
    <row r="217" spans="1:15" x14ac:dyDescent="0.2">
      <c r="A217" s="39" t="s">
        <v>25</v>
      </c>
      <c r="B217" s="39" t="s">
        <v>86</v>
      </c>
      <c r="C217" s="39" t="s">
        <v>141</v>
      </c>
      <c r="D217" s="39" t="s">
        <v>364</v>
      </c>
      <c r="E217" s="39" t="s">
        <v>365</v>
      </c>
      <c r="F217" s="37">
        <v>15000000</v>
      </c>
      <c r="G217" s="37">
        <v>15187761.25</v>
      </c>
      <c r="H217" s="37">
        <v>4638.95</v>
      </c>
      <c r="I217" s="375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ca="1" si="17"/>
        <v>15000000</v>
      </c>
      <c r="O217" s="93">
        <f t="shared" si="19"/>
        <v>4638.95</v>
      </c>
    </row>
    <row r="218" spans="1:15" x14ac:dyDescent="0.2">
      <c r="A218" s="39" t="s">
        <v>25</v>
      </c>
      <c r="B218" s="39" t="s">
        <v>86</v>
      </c>
      <c r="C218" s="39" t="s">
        <v>141</v>
      </c>
      <c r="D218" s="39" t="s">
        <v>366</v>
      </c>
      <c r="E218" s="39" t="s">
        <v>367</v>
      </c>
      <c r="F218" s="37">
        <v>57000000</v>
      </c>
      <c r="G218" s="37">
        <v>57746377.210000001</v>
      </c>
      <c r="H218" s="37">
        <v>18242.13</v>
      </c>
      <c r="I218" s="375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ca="1" si="17"/>
        <v>57000000</v>
      </c>
      <c r="O218" s="93">
        <f t="shared" si="19"/>
        <v>18242.13</v>
      </c>
    </row>
    <row r="219" spans="1:15" x14ac:dyDescent="0.2">
      <c r="A219" s="39" t="s">
        <v>25</v>
      </c>
      <c r="B219" s="39" t="s">
        <v>86</v>
      </c>
      <c r="C219" s="39" t="s">
        <v>141</v>
      </c>
      <c r="D219" s="39" t="s">
        <v>368</v>
      </c>
      <c r="E219" s="39" t="s">
        <v>369</v>
      </c>
      <c r="F219" s="37">
        <v>30000000</v>
      </c>
      <c r="G219" s="37">
        <v>31241253.23</v>
      </c>
      <c r="H219" s="37">
        <v>10448.44</v>
      </c>
      <c r="I219" s="375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ca="1" si="17"/>
        <v>30000000</v>
      </c>
      <c r="O219" s="93">
        <f t="shared" si="19"/>
        <v>10448.44</v>
      </c>
    </row>
    <row r="220" spans="1:15" x14ac:dyDescent="0.2">
      <c r="A220" s="39" t="s">
        <v>25</v>
      </c>
      <c r="B220" s="39" t="s">
        <v>86</v>
      </c>
      <c r="C220" s="39" t="s">
        <v>141</v>
      </c>
      <c r="D220" s="39" t="s">
        <v>370</v>
      </c>
      <c r="E220" s="39" t="s">
        <v>371</v>
      </c>
      <c r="F220" s="37">
        <v>5000000</v>
      </c>
      <c r="G220" s="37">
        <v>5272488.09</v>
      </c>
      <c r="H220" s="37">
        <v>1784.42</v>
      </c>
      <c r="I220" s="375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ca="1" si="17"/>
        <v>5000000</v>
      </c>
      <c r="O220" s="93">
        <f t="shared" si="19"/>
        <v>1784.42</v>
      </c>
    </row>
    <row r="221" spans="1:15" x14ac:dyDescent="0.2">
      <c r="A221" s="39" t="s">
        <v>25</v>
      </c>
      <c r="B221" s="39" t="s">
        <v>86</v>
      </c>
      <c r="C221" s="39" t="s">
        <v>141</v>
      </c>
      <c r="D221" s="39" t="s">
        <v>372</v>
      </c>
      <c r="E221" s="39" t="s">
        <v>373</v>
      </c>
      <c r="F221" s="37">
        <v>37000000</v>
      </c>
      <c r="G221" s="37">
        <v>37562192.380000003</v>
      </c>
      <c r="H221" s="37">
        <v>14240.23</v>
      </c>
      <c r="I221" s="375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ca="1" si="17"/>
        <v>37000000</v>
      </c>
      <c r="O221" s="93">
        <f t="shared" si="19"/>
        <v>14240.23</v>
      </c>
    </row>
    <row r="222" spans="1:15" x14ac:dyDescent="0.2">
      <c r="A222" s="39" t="s">
        <v>25</v>
      </c>
      <c r="B222" s="39" t="s">
        <v>86</v>
      </c>
      <c r="C222" s="39" t="s">
        <v>141</v>
      </c>
      <c r="D222" s="39" t="s">
        <v>27</v>
      </c>
      <c r="E222" s="39" t="s">
        <v>39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ca="1" si="17"/>
        <v>0</v>
      </c>
      <c r="O222" s="93">
        <f t="shared" si="19"/>
        <v>0</v>
      </c>
    </row>
    <row r="223" spans="1:15" x14ac:dyDescent="0.2">
      <c r="A223" s="39" t="s">
        <v>25</v>
      </c>
      <c r="B223" s="39" t="s">
        <v>86</v>
      </c>
      <c r="C223" s="39" t="s">
        <v>141</v>
      </c>
      <c r="D223" s="39" t="s">
        <v>60</v>
      </c>
      <c r="E223" s="39" t="s">
        <v>61</v>
      </c>
      <c r="G223" s="37">
        <v>0</v>
      </c>
      <c r="I223" s="375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ca="1" si="17"/>
        <v>0</v>
      </c>
      <c r="O223" s="93">
        <f t="shared" si="19"/>
        <v>0</v>
      </c>
    </row>
    <row r="224" spans="1:15" x14ac:dyDescent="0.2">
      <c r="A224" s="39" t="s">
        <v>25</v>
      </c>
      <c r="B224" s="39" t="s">
        <v>86</v>
      </c>
      <c r="C224" s="39" t="s">
        <v>141</v>
      </c>
      <c r="D224" s="39" t="s">
        <v>62</v>
      </c>
      <c r="E224" s="39" t="s">
        <v>63</v>
      </c>
      <c r="F224" s="37">
        <v>33000000</v>
      </c>
      <c r="G224" s="37">
        <v>33580661.030000001</v>
      </c>
      <c r="H224" s="37">
        <v>15551.6</v>
      </c>
      <c r="I224" s="375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ca="1" si="17"/>
        <v>33000000</v>
      </c>
      <c r="O224" s="93">
        <f t="shared" si="19"/>
        <v>15551.6</v>
      </c>
    </row>
    <row r="225" spans="1:15" x14ac:dyDescent="0.2">
      <c r="A225" s="39" t="s">
        <v>25</v>
      </c>
      <c r="B225" s="39" t="s">
        <v>86</v>
      </c>
      <c r="C225" s="39" t="s">
        <v>141</v>
      </c>
      <c r="D225" s="39" t="s">
        <v>913</v>
      </c>
      <c r="E225" s="39" t="s">
        <v>914</v>
      </c>
      <c r="F225" s="37">
        <v>477000000</v>
      </c>
      <c r="G225" s="37">
        <v>475665966</v>
      </c>
      <c r="H225" s="37">
        <v>230074.66</v>
      </c>
      <c r="I225" s="375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ca="1" si="17"/>
        <v>477000000</v>
      </c>
      <c r="O225" s="93">
        <f t="shared" si="19"/>
        <v>230074.66</v>
      </c>
    </row>
    <row r="226" spans="1:15" x14ac:dyDescent="0.2">
      <c r="A226" s="39" t="s">
        <v>25</v>
      </c>
      <c r="B226" s="39" t="s">
        <v>86</v>
      </c>
      <c r="C226" s="39" t="s">
        <v>141</v>
      </c>
      <c r="D226" s="39" t="s">
        <v>376</v>
      </c>
      <c r="E226" s="39" t="s">
        <v>377</v>
      </c>
      <c r="F226" s="37">
        <v>10000000</v>
      </c>
      <c r="G226" s="37">
        <v>10033923.789999999</v>
      </c>
      <c r="H226" s="37">
        <v>4306.2700000000004</v>
      </c>
      <c r="I226" s="375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ca="1" si="17"/>
        <v>10000000</v>
      </c>
      <c r="O226" s="93">
        <f t="shared" si="19"/>
        <v>4306.2700000000004</v>
      </c>
    </row>
    <row r="227" spans="1:15" x14ac:dyDescent="0.2">
      <c r="A227" s="39" t="s">
        <v>25</v>
      </c>
      <c r="B227" s="39" t="s">
        <v>86</v>
      </c>
      <c r="C227" s="39" t="s">
        <v>296</v>
      </c>
      <c r="D227" s="39" t="s">
        <v>375</v>
      </c>
      <c r="E227" s="39" t="s">
        <v>375</v>
      </c>
      <c r="F227" s="37">
        <v>-40000000</v>
      </c>
      <c r="G227" s="37">
        <v>240500</v>
      </c>
      <c r="H227" s="37">
        <v>-1002.61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ca="1" si="17"/>
        <v>-40000000</v>
      </c>
      <c r="O227" s="93">
        <f t="shared" si="19"/>
        <v>-1002.61</v>
      </c>
    </row>
    <row r="228" spans="1:15" x14ac:dyDescent="0.2">
      <c r="A228" s="39" t="s">
        <v>25</v>
      </c>
      <c r="B228" s="39" t="s">
        <v>86</v>
      </c>
      <c r="C228" s="39" t="s">
        <v>315</v>
      </c>
      <c r="D228" s="39" t="s">
        <v>316</v>
      </c>
      <c r="E228" s="39" t="s">
        <v>317</v>
      </c>
      <c r="F228" s="37">
        <v>350000000</v>
      </c>
      <c r="G228" s="37">
        <v>350132032.82999998</v>
      </c>
      <c r="H228" s="37">
        <v>7333.37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ca="1" si="17"/>
        <v>350000000</v>
      </c>
      <c r="O228" s="93">
        <f t="shared" si="19"/>
        <v>7333.37</v>
      </c>
    </row>
    <row r="229" spans="1:15" x14ac:dyDescent="0.2">
      <c r="A229" s="39" t="s">
        <v>25</v>
      </c>
      <c r="B229" s="39" t="s">
        <v>86</v>
      </c>
      <c r="C229" s="39" t="s">
        <v>315</v>
      </c>
      <c r="D229" s="39" t="s">
        <v>318</v>
      </c>
      <c r="E229" s="39" t="s">
        <v>317</v>
      </c>
      <c r="F229" s="37">
        <v>-350000000</v>
      </c>
      <c r="G229" s="37">
        <v>-363919883.88999999</v>
      </c>
      <c r="H229" s="37">
        <v>-146783.39000000001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ca="1" si="17"/>
        <v>-350000000</v>
      </c>
      <c r="O229" s="93">
        <f t="shared" si="19"/>
        <v>-146783.39000000001</v>
      </c>
    </row>
    <row r="230" spans="1:15" x14ac:dyDescent="0.2">
      <c r="A230" s="39" t="s">
        <v>25</v>
      </c>
      <c r="B230" s="39" t="s">
        <v>88</v>
      </c>
      <c r="C230" s="39" t="s">
        <v>141</v>
      </c>
      <c r="D230" s="39" t="s">
        <v>951</v>
      </c>
      <c r="E230" s="39" t="s">
        <v>952</v>
      </c>
      <c r="F230" s="37">
        <v>346000000</v>
      </c>
      <c r="G230" s="37">
        <v>-44426.82</v>
      </c>
      <c r="H230" s="37">
        <v>170151.59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ca="1" si="17"/>
        <v>346000000</v>
      </c>
      <c r="O230" s="93">
        <f t="shared" si="19"/>
        <v>170151.59</v>
      </c>
    </row>
    <row r="231" spans="1:15" x14ac:dyDescent="0.2">
      <c r="A231" s="39" t="s">
        <v>25</v>
      </c>
      <c r="B231" s="39" t="s">
        <v>91</v>
      </c>
      <c r="C231" s="39" t="s">
        <v>141</v>
      </c>
      <c r="D231" s="39" t="s">
        <v>64</v>
      </c>
      <c r="E231" s="39" t="s">
        <v>65</v>
      </c>
      <c r="I231" s="375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ca="1" si="17"/>
        <v>0</v>
      </c>
      <c r="O231" s="93">
        <f t="shared" si="19"/>
        <v>0</v>
      </c>
    </row>
    <row r="232" spans="1:15" x14ac:dyDescent="0.2">
      <c r="A232" s="39" t="s">
        <v>25</v>
      </c>
      <c r="B232" s="39" t="s">
        <v>91</v>
      </c>
      <c r="C232" s="39" t="s">
        <v>141</v>
      </c>
      <c r="D232" s="39" t="s">
        <v>66</v>
      </c>
      <c r="E232" s="39" t="s">
        <v>67</v>
      </c>
      <c r="F232" s="37">
        <v>212000000</v>
      </c>
      <c r="G232" s="37">
        <v>222090664.19999999</v>
      </c>
      <c r="H232" s="37">
        <v>193346.33</v>
      </c>
      <c r="I232" s="375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ca="1" si="17"/>
        <v>212000000</v>
      </c>
      <c r="O232" s="93">
        <f t="shared" si="19"/>
        <v>193346.33</v>
      </c>
    </row>
    <row r="233" spans="1:15" x14ac:dyDescent="0.2">
      <c r="A233" s="39" t="s">
        <v>25</v>
      </c>
      <c r="B233" s="39" t="s">
        <v>91</v>
      </c>
      <c r="C233" s="39" t="s">
        <v>141</v>
      </c>
      <c r="D233" s="39" t="s">
        <v>866</v>
      </c>
      <c r="E233" s="39" t="s">
        <v>867</v>
      </c>
      <c r="F233" s="37">
        <v>268000000</v>
      </c>
      <c r="G233" s="37">
        <v>287841985.20999998</v>
      </c>
      <c r="H233" s="37">
        <v>246327.91</v>
      </c>
      <c r="I233" s="375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ca="1" si="17"/>
        <v>268000000</v>
      </c>
      <c r="O233" s="93">
        <f t="shared" si="19"/>
        <v>246327.91</v>
      </c>
    </row>
    <row r="234" spans="1:15" x14ac:dyDescent="0.2">
      <c r="A234" s="39" t="s">
        <v>32</v>
      </c>
      <c r="B234" s="39" t="s">
        <v>24</v>
      </c>
      <c r="D234" s="39" t="s">
        <v>134</v>
      </c>
      <c r="E234" s="39" t="s">
        <v>134</v>
      </c>
      <c r="F234" s="37">
        <v>101695007.44</v>
      </c>
      <c r="G234" s="37">
        <v>58109637.460000001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ca="1" si="17"/>
        <v>101695007.44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ca="1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ca="1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ca="1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ca="1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ca="1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ca="1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ca="1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ca="1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ca="1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ca="1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ca="1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ca="1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ca="1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ca="1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ca="1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ca="1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ca="1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ca="1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ca="1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ca="1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ca="1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ca="1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ca="1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ca="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ca="1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ca="1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ca="1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ca="1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ca="1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ca="1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ca="1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ca="1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ca="1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ca="1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ca="1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ca="1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ca="1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ca="1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ca="1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ca="1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ca="1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ca="1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ca="1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ca="1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ca="1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ca="1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ca="1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ca="1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ca="1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ca="1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ca="1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ca="1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ca="1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ca="1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ca="1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ca="1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ca="1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ca="1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ca="1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ca="1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ca="1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ca="1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ca="1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ca="1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ca="1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ca="1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ca="1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ca="1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ca="1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ca="1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ca="1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ca="1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ca="1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ca="1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ca="1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ca="1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ca="1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ca="1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ca="1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ca="1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ca="1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ca="1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ca="1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ca="1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ca="1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ca="1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ca="1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ca="1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ca="1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ca="1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ca="1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ca="1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ca="1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ca="1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ca="1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ca="1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ca="1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ca="1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ca="1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ca="1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ca="1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ca="1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ca="1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ca="1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ca="1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ca="1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ca="1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ca="1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ca="1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ca="1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ca="1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ca="1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ca="1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ca="1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ca="1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ca="1" si="27"/>
        <v/>
      </c>
      <c r="O350" s="93">
        <f t="shared" si="29"/>
        <v>0</v>
      </c>
    </row>
  </sheetData>
  <sheetProtection sheet="1" objects="1" scenarios="1"/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Y321"/>
  <sheetViews>
    <sheetView workbookViewId="0">
      <selection activeCell="E3" sqref="E3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5" style="1" customWidth="1"/>
    <col min="5" max="5" width="7.28515625" style="1" bestFit="1" customWidth="1"/>
    <col min="6" max="7" width="8.140625" style="1" customWidth="1"/>
    <col min="8" max="8" width="4.140625" style="1" customWidth="1"/>
    <col min="9" max="9" width="13.7109375" style="1" customWidth="1"/>
    <col min="10" max="10" width="5.140625" style="1" customWidth="1"/>
    <col min="11" max="11" width="7.85546875" style="1" customWidth="1"/>
    <col min="12" max="12" width="7.28515625" style="1" bestFit="1" customWidth="1"/>
    <col min="13" max="13" width="7.28515625" style="1" customWidth="1"/>
    <col min="14" max="14" width="10.140625" style="1" bestFit="1" customWidth="1"/>
    <col min="15" max="15" width="1.42578125" style="1" customWidth="1"/>
    <col min="16" max="16" width="4.85546875" style="1" customWidth="1"/>
    <col min="17" max="17" width="11.42578125" style="1"/>
    <col min="18" max="23" width="9.140625" style="1" customWidth="1"/>
    <col min="24" max="24" width="1.42578125" style="1" customWidth="1"/>
    <col min="25" max="16384" width="11.42578125" style="1"/>
  </cols>
  <sheetData>
    <row r="1" spans="2:25" ht="15.75" x14ac:dyDescent="0.25">
      <c r="B1" s="442" t="s">
        <v>964</v>
      </c>
      <c r="C1" s="442"/>
      <c r="D1" s="442"/>
      <c r="E1" s="442"/>
      <c r="F1" s="442"/>
      <c r="G1" s="442"/>
      <c r="I1" s="442" t="s">
        <v>965</v>
      </c>
      <c r="J1" s="442"/>
      <c r="K1" s="442"/>
      <c r="L1" s="442"/>
      <c r="M1" s="442"/>
      <c r="N1" s="442"/>
    </row>
    <row r="2" spans="2:25" x14ac:dyDescent="0.2">
      <c r="B2" s="75" t="s">
        <v>75</v>
      </c>
      <c r="C2" s="76"/>
      <c r="D2" s="87" t="s">
        <v>76</v>
      </c>
      <c r="E2" s="87" t="s">
        <v>125</v>
      </c>
      <c r="F2" s="76" t="s">
        <v>77</v>
      </c>
      <c r="G2" s="84" t="s">
        <v>126</v>
      </c>
      <c r="I2" s="75" t="s">
        <v>75</v>
      </c>
      <c r="J2" s="87" t="s">
        <v>709</v>
      </c>
      <c r="K2" s="87" t="s">
        <v>125</v>
      </c>
      <c r="L2" s="76" t="s">
        <v>77</v>
      </c>
      <c r="M2" s="76" t="s">
        <v>710</v>
      </c>
      <c r="N2" s="84" t="s">
        <v>708</v>
      </c>
      <c r="P2" s="96"/>
      <c r="Q2" s="96"/>
      <c r="R2" s="98" t="s">
        <v>382</v>
      </c>
      <c r="S2" s="98" t="s">
        <v>715</v>
      </c>
      <c r="T2" s="98" t="s">
        <v>640</v>
      </c>
      <c r="U2" s="98" t="s">
        <v>741</v>
      </c>
      <c r="V2" s="98" t="s">
        <v>742</v>
      </c>
      <c r="W2" s="98" t="s">
        <v>743</v>
      </c>
      <c r="Y2" s="1" t="s">
        <v>748</v>
      </c>
    </row>
    <row r="3" spans="2:25" x14ac:dyDescent="0.2">
      <c r="B3" s="77" t="s">
        <v>101</v>
      </c>
      <c r="C3" s="78" t="s">
        <v>78</v>
      </c>
      <c r="D3" s="78" t="s">
        <v>99</v>
      </c>
      <c r="E3" s="91">
        <f ca="1">_xll.CALENDRIER.GAP.FINANCE(pricingDate,D3,"USD","Unadjusted",FALSE)</f>
        <v>41092</v>
      </c>
      <c r="F3" s="79">
        <v>1.6750000000000001E-3</v>
      </c>
      <c r="G3" s="80">
        <f ca="1">_xll.COURBE.TAUX.ZERO(swapCurve,E3,cTreasuries)</f>
        <v>1.7029227292915097E-3</v>
      </c>
      <c r="I3" s="77" t="s">
        <v>717</v>
      </c>
      <c r="J3" s="78" t="s">
        <v>79</v>
      </c>
      <c r="K3" s="91">
        <f ca="1">_xll.CALENDRIER.GAP.FINANCE(pricingDate,J3,"USD","Following",FALSE)</f>
        <v>41096</v>
      </c>
      <c r="L3" s="79">
        <v>1.6900000000000001E-3</v>
      </c>
      <c r="M3" s="79">
        <f ca="1">_xll.COURBE.TAUX.ZERO(oisCurve,K3,cAnnual)</f>
        <v>1.7196152948852905E-3</v>
      </c>
      <c r="N3" s="80" t="str">
        <f ca="1">_xll.INSTANCE.INTERPOLATION.SWAP.OVERNIGHT(LEFT(I3,LEN(I3)-6),fedFund,K3,L3,TODAY())</f>
        <v>USSO1Z #0024</v>
      </c>
      <c r="P3" s="96" t="str">
        <f>'[2]courbes aussie'!B65</f>
        <v>1M</v>
      </c>
      <c r="Q3" s="96">
        <f ca="1">_xll.CALENDRIER.GAP.FINANCE(pricingDate,P3,"USD","Following",FALSE)</f>
        <v>41120</v>
      </c>
      <c r="R3" s="97">
        <f ca="1">_xll.COURBE.TAUX.ZERO(swapCurve,_xll.CALENDRIER.GAP.FINANCE(pricingDate,P3,"USD","Following",FALSE),cTreasuries)</f>
        <v>2.3365417904344819E-3</v>
      </c>
      <c r="S3" s="97">
        <f ca="1">_xll.COURBE.TAUX.ZERO(oisCurve,_xll.CALENDRIER.GAP.FINANCE(pricingDate,P3,"USD","Following",FALSE),cTreasuries)</f>
        <v>1.7181672571621716E-3</v>
      </c>
      <c r="T3" s="97">
        <f ca="1">_xll.COURBE.TAUX.ZERO(ustCurve,_xll.CALENDRIER.GAP.FINANCE(pricingDate,P3,"USD","Following",FALSE),cTreasuries)</f>
        <v>1.5105476733969151E-4</v>
      </c>
      <c r="U3" s="97">
        <f ca="1">_xll.COURBE.TAUX.FORWARD(swapCurve,Q3,_xll.CALENDRIER.GAP.FINANCE(Q3,"1M","USD","unadjusted",FALSE),cTreasuries)</f>
        <v>3.9971094818667986E-3</v>
      </c>
      <c r="V3" s="97">
        <f ca="1">_xll.COURBE.TAUX.FORWARD(oisCurve,Q3,_xll.CALENDRIER.GAP.FINANCE(Q3,"1M","USD","unadjusted",FALSE),cTreasuries)</f>
        <v>1.818407845775343E-3</v>
      </c>
      <c r="W3" s="97">
        <f ca="1">_xll.COURBE.TAUX.FORWARD(ustCurve,Q3,_xll.CALENDRIER.GAP.FINANCE(Q3,"1M","USD","unadjusted",FALSE),cTreasuries)</f>
        <v>8.3117926590335948E-4</v>
      </c>
      <c r="Y3" s="34">
        <f t="shared" ref="Y3:Y19" ca="1" si="0">365*(W3-$S$3-0.0004)/(Q3-pricingDate)</f>
        <v>-1.5153245703531174E-2</v>
      </c>
    </row>
    <row r="4" spans="2:25" x14ac:dyDescent="0.2">
      <c r="B4" s="77" t="s">
        <v>100</v>
      </c>
      <c r="C4" s="78" t="s">
        <v>78</v>
      </c>
      <c r="D4" s="78" t="s">
        <v>79</v>
      </c>
      <c r="E4" s="91">
        <f ca="1">_xll.CALENDRIER.GAP.FINANCE(pricingDate,D4,"USD","Unadjusted",FALSE)</f>
        <v>41096</v>
      </c>
      <c r="F4" s="79">
        <v>1.951E-3</v>
      </c>
      <c r="G4" s="80">
        <f ca="1">_xll.COURBE.TAUX.ZERO(swapCurve,E4,cTreasuries)</f>
        <v>1.7750925124562836E-3</v>
      </c>
      <c r="I4" s="77" t="s">
        <v>718</v>
      </c>
      <c r="J4" s="78" t="s">
        <v>19</v>
      </c>
      <c r="K4" s="91">
        <f ca="1">_xll.CALENDRIER.GAP.FINANCE(pricingDate,J4,"USD","Following",FALSE)</f>
        <v>41103</v>
      </c>
      <c r="L4" s="79">
        <v>1.6900000000000001E-3</v>
      </c>
      <c r="M4" s="79">
        <f ca="1">_xll.COURBE.TAUX.ZERO(oisCurve,K4,cAnnual)</f>
        <v>1.7195870115556122E-3</v>
      </c>
      <c r="N4" s="80" t="str">
        <f ca="1">_xll.INSTANCE.INTERPOLATION.SWAP.OVERNIGHT(LEFT(I4,LEN(I4)-6),fedFund,K4,L4,TODAY())</f>
        <v>USSO2Z #0024</v>
      </c>
      <c r="P4" s="96" t="str">
        <f>'[2]courbes aussie'!B66</f>
        <v>2M</v>
      </c>
      <c r="Q4" s="96">
        <f ca="1">_xll.CALENDRIER.GAP.FINANCE(pricingDate,P4,"USD","Following",FALSE)</f>
        <v>41150</v>
      </c>
      <c r="R4" s="97">
        <f ca="1">_xll.COURBE.TAUX.ZERO(swapCurve,_xll.CALENDRIER.GAP.FINANCE(pricingDate,P4,"USD","Following",FALSE),cTreasuries)</f>
        <v>3.1276647702442881E-3</v>
      </c>
      <c r="S4" s="97">
        <f ca="1">_xll.COURBE.TAUX.ZERO(oisCurve,_xll.CALENDRIER.GAP.FINANCE(pricingDate,P4,"USD","Following",FALSE),cTreasuries)</f>
        <v>1.7690002154377997E-3</v>
      </c>
      <c r="T4" s="97">
        <f ca="1">_xll.COURBE.TAUX.ZERO(ustCurve,_xll.CALENDRIER.GAP.FINANCE(pricingDate,P4,"USD","Following",FALSE),cTreasuries)</f>
        <v>4.97552326080581E-4</v>
      </c>
      <c r="U4" s="97">
        <f ca="1">_xll.COURBE.TAUX.FORWARD(swapCurve,Q4,_xll.CALENDRIER.GAP.FINANCE(Q4,"1M","USD","unadjusted",FALSE),cTreasuries)</f>
        <v>7.0462826977262813E-3</v>
      </c>
      <c r="V4" s="97">
        <f ca="1">_xll.COURBE.TAUX.FORWARD(oisCurve,Q4,_xll.CALENDRIER.GAP.FINANCE(Q4,"1M","USD","unadjusted",FALSE),cTreasuries)</f>
        <v>1.7942230598885309E-3</v>
      </c>
      <c r="W4" s="97">
        <f ca="1">_xll.COURBE.TAUX.FORWARD(ustCurve,Q4,_xll.CALENDRIER.GAP.FINANCE(Q4,"1M","USD","unadjusted",FALSE),cTreasuries)</f>
        <v>1.4092662802823249E-3</v>
      </c>
      <c r="Y4" s="34">
        <f ca="1">365*(W4-$S$3-0.0004)/(Q4-pricingDate)</f>
        <v>-4.2417845337892465E-3</v>
      </c>
    </row>
    <row r="5" spans="2:25" x14ac:dyDescent="0.2">
      <c r="B5" s="77" t="s">
        <v>102</v>
      </c>
      <c r="C5" s="78" t="s">
        <v>78</v>
      </c>
      <c r="D5" s="78" t="s">
        <v>19</v>
      </c>
      <c r="E5" s="91">
        <f ca="1">_xll.CALENDRIER.GAP.FINANCE(pricingDate,D5,"USD","Unadjusted",FALSE)</f>
        <v>41103</v>
      </c>
      <c r="F5" s="79">
        <v>2.1825E-3</v>
      </c>
      <c r="G5" s="80">
        <f ca="1">_xll.COURBE.TAUX.ZERO(swapCurve,E5,cTreasuries)</f>
        <v>1.9878968601310721E-3</v>
      </c>
      <c r="I5" s="77" t="s">
        <v>719</v>
      </c>
      <c r="J5" s="78" t="s">
        <v>142</v>
      </c>
      <c r="K5" s="91">
        <f ca="1">_xll.CALENDRIER.GAP.FINANCE(pricingDate,J5,"USD","Following",FALSE)</f>
        <v>41110</v>
      </c>
      <c r="L5" s="79">
        <v>1.58E-3</v>
      </c>
      <c r="M5" s="79">
        <f ca="1">_xll.COURBE.TAUX.ZERO(oisCurve,K5,cAnnual)</f>
        <v>1.6075500423966549E-3</v>
      </c>
      <c r="N5" s="80" t="str">
        <f ca="1">_xll.INSTANCE.INTERPOLATION.SWAP.OVERNIGHT(LEFT(I5,LEN(I5)-6),fedFund,K5,L5,TODAY())</f>
        <v>USSO3Z #0024</v>
      </c>
      <c r="P5" s="96" t="str">
        <f>'[2]courbes aussie'!B67</f>
        <v>3M</v>
      </c>
      <c r="Q5" s="96">
        <f ca="1">_xll.CALENDRIER.GAP.FINANCE(pricingDate,P5,"USD","Following",FALSE)</f>
        <v>41183</v>
      </c>
      <c r="R5" s="97">
        <f ca="1">_xll.COURBE.TAUX.ZERO(swapCurve,_xll.CALENDRIER.GAP.FINANCE(pricingDate,P5,"USD","Following",FALSE),cTreasuries)</f>
        <v>4.5075947313397364E-3</v>
      </c>
      <c r="S5" s="97">
        <f ca="1">_xll.COURBE.TAUX.ZERO(oisCurve,_xll.CALENDRIER.GAP.FINANCE(pricingDate,P5,"USD","Following",FALSE),cTreasuries)</f>
        <v>1.77916671877348E-3</v>
      </c>
      <c r="T5" s="97">
        <f ca="1">_xll.COURBE.TAUX.ZERO(ustCurve,_xll.CALENDRIER.GAP.FINANCE(pricingDate,P5,"USD","Following",FALSE),cTreasuries)</f>
        <v>8.3434573756693603E-4</v>
      </c>
      <c r="U5" s="97">
        <f ca="1">_xll.COURBE.TAUX.FORWARD(swapCurve,Q5,_xll.CALENDRIER.GAP.FINANCE(Q5,"1M","USD","unadjusted",FALSE),cTreasuries)</f>
        <v>5.5323112195992674E-3</v>
      </c>
      <c r="V5" s="97">
        <f ca="1">_xll.COURBE.TAUX.FORWARD(oisCurve,Q5,_xll.CALENDRIER.GAP.FINANCE(Q5,"1M","USD","unadjusted",FALSE),cTreasuries)</f>
        <v>1.8672581039984428E-3</v>
      </c>
      <c r="W5" s="97">
        <f ca="1">_xll.COURBE.TAUX.FORWARD(ustCurve,Q5,_xll.CALENDRIER.GAP.FINANCE(Q5,"1M","USD","unadjusted",FALSE),cTreasuries)</f>
        <v>1.9318467008187221E-3</v>
      </c>
      <c r="Y5" s="34">
        <f t="shared" ca="1" si="0"/>
        <v>-7.2347875601445791E-4</v>
      </c>
    </row>
    <row r="6" spans="2:25" x14ac:dyDescent="0.2">
      <c r="B6" s="77" t="s">
        <v>103</v>
      </c>
      <c r="C6" s="78" t="s">
        <v>78</v>
      </c>
      <c r="D6" s="78" t="s">
        <v>80</v>
      </c>
      <c r="E6" s="91">
        <f ca="1">_xll.CALENDRIER.GAP.FINANCE(pricingDate,D6,"USD","Unadjusted",FALSE)</f>
        <v>41119</v>
      </c>
      <c r="F6" s="79">
        <v>2.4524999999999998E-3</v>
      </c>
      <c r="G6" s="80">
        <f ca="1">_xll.COURBE.TAUX.ZERO(swapCurve,E6,cTreasuries)</f>
        <v>2.3204867135376622E-3</v>
      </c>
      <c r="I6" s="77" t="s">
        <v>720</v>
      </c>
      <c r="J6" s="78" t="s">
        <v>80</v>
      </c>
      <c r="K6" s="91">
        <f ca="1">_xll.CALENDRIER.GAP.FINANCE(pricingDate,J6,"USD","Following",FALSE)</f>
        <v>41120</v>
      </c>
      <c r="L6" s="79">
        <v>1.6900000000000001E-3</v>
      </c>
      <c r="M6" s="79">
        <f ca="1">_xll.COURBE.TAUX.ZERO(oisCurve,K6,cAnnual)</f>
        <v>1.7195189288452539E-3</v>
      </c>
      <c r="N6" s="80" t="str">
        <f ca="1">_xll.INSTANCE.INTERPOLATION.SWAP.OVERNIGHT(LEFT(I6,LEN(I6)-6),fedFund,K6,L6,TODAY())</f>
        <v>USSOA #0024</v>
      </c>
      <c r="P6" s="96" t="str">
        <f>'[2]courbes aussie'!B68</f>
        <v>6M</v>
      </c>
      <c r="Q6" s="96">
        <f ca="1">_xll.CALENDRIER.GAP.FINANCE(pricingDate,P6,"USD","Following",FALSE)</f>
        <v>41274</v>
      </c>
      <c r="R6" s="97">
        <f ca="1">_xll.COURBE.TAUX.ZERO(swapCurve,_xll.CALENDRIER.GAP.FINANCE(pricingDate,P6,"USD","Following",FALSE),cTreasuries)</f>
        <v>4.4501629448086E-3</v>
      </c>
      <c r="S6" s="97">
        <f ca="1">_xll.COURBE.TAUX.ZERO(oisCurve,_xll.CALENDRIER.GAP.FINANCE(pricingDate,P6,"USD","Following",FALSE),cTreasuries)</f>
        <v>1.8096577673931691E-3</v>
      </c>
      <c r="T6" s="97">
        <f ca="1">_xll.COURBE.TAUX.ZERO(ustCurve,_xll.CALENDRIER.GAP.FINANCE(pricingDate,P6,"USD","Following",FALSE),cTreasuries)</f>
        <v>1.5661078291525645E-3</v>
      </c>
      <c r="U6" s="97">
        <f ca="1">_xll.COURBE.TAUX.FORWARD(swapCurve,Q6,_xll.CALENDRIER.GAP.FINANCE(Q6,"1M","USD","unadjusted",FALSE),cTreasuries)</f>
        <v>4.8370248424435894E-3</v>
      </c>
      <c r="V6" s="97">
        <f ca="1">_xll.COURBE.TAUX.FORWARD(oisCurve,Q6,_xll.CALENDRIER.GAP.FINANCE(Q6,"1M","USD","unadjusted",FALSE),cTreasuries)</f>
        <v>1.8765926361054878E-3</v>
      </c>
      <c r="W6" s="97">
        <f ca="1">_xll.COURBE.TAUX.FORWARD(ustCurve,Q6,_xll.CALENDRIER.GAP.FINANCE(Q6,"1M","USD","unadjusted",FALSE),cTreasuries)</f>
        <v>2.9026786625678896E-3</v>
      </c>
      <c r="Y6" s="34">
        <f t="shared" ca="1" si="0"/>
        <v>1.5478197998545248E-3</v>
      </c>
    </row>
    <row r="7" spans="2:25" x14ac:dyDescent="0.2">
      <c r="B7" s="77" t="s">
        <v>104</v>
      </c>
      <c r="C7" s="78" t="s">
        <v>78</v>
      </c>
      <c r="D7" s="78" t="s">
        <v>81</v>
      </c>
      <c r="E7" s="91">
        <f ca="1">_xll.CALENDRIER.GAP.FINANCE(pricingDate,D7,"USD","Unadjusted",FALSE)</f>
        <v>41150</v>
      </c>
      <c r="F7" s="79">
        <v>3.4275E-3</v>
      </c>
      <c r="G7" s="80">
        <f ca="1">_xll.COURBE.TAUX.ZERO(swapCurve,E7,cTreasuries)</f>
        <v>3.1276647702442881E-3</v>
      </c>
      <c r="I7" s="77" t="s">
        <v>721</v>
      </c>
      <c r="J7" s="78" t="s">
        <v>81</v>
      </c>
      <c r="K7" s="91">
        <f ca="1">_xll.CALENDRIER.GAP.FINANCE(pricingDate,J7,"USD","Following",FALSE)</f>
        <v>41150</v>
      </c>
      <c r="L7" s="79">
        <v>1.7399999999999998E-3</v>
      </c>
      <c r="M7" s="79">
        <f ca="1">_xll.COURBE.TAUX.ZERO(oisCurve,K7,cAnnual)</f>
        <v>1.7703046288632951E-3</v>
      </c>
      <c r="N7" s="80" t="str">
        <f ca="1">_xll.INSTANCE.INTERPOLATION.SWAP.OVERNIGHT(LEFT(I7,LEN(I7)-6),fedFund,K7,L7,TODAY())</f>
        <v>USSOB #0024</v>
      </c>
      <c r="P7" s="96" t="str">
        <f>'[2]courbes aussie'!B69</f>
        <v>9M</v>
      </c>
      <c r="Q7" s="96">
        <f ca="1">_xll.CALENDRIER.GAP.FINANCE(pricingDate,P7,"USD","Following",FALSE)</f>
        <v>41365</v>
      </c>
      <c r="R7" s="97">
        <f ca="1">_xll.COURBE.TAUX.ZERO(swapCurve,_xll.CALENDRIER.GAP.FINANCE(pricingDate,P7,"USD","Following",FALSE),cTreasuries)</f>
        <v>4.7039336173746449E-3</v>
      </c>
      <c r="S7" s="97">
        <f ca="1">_xll.COURBE.TAUX.ZERO(oisCurve,_xll.CALENDRIER.GAP.FINANCE(pricingDate,P7,"USD","Following",FALSE),cTreasuries)</f>
        <v>1.8177881303000909E-3</v>
      </c>
      <c r="T7" s="97">
        <f ca="1">_xll.COURBE.TAUX.ZERO(ustCurve,_xll.CALENDRIER.GAP.FINANCE(pricingDate,P7,"USD","Following",FALSE),cTreasuries)</f>
        <v>2.0800793283766161E-3</v>
      </c>
      <c r="U7" s="97">
        <f ca="1">_xll.COURBE.TAUX.FORWARD(swapCurve,Q7,_xll.CALENDRIER.GAP.FINANCE(Q7,"1M","USD","unadjusted",FALSE),cTreasuries)</f>
        <v>5.2384076438617058E-3</v>
      </c>
      <c r="V7" s="97">
        <f ca="1">_xll.COURBE.TAUX.FORWARD(oisCurve,Q7,_xll.CALENDRIER.GAP.FINANCE(Q7,"1M","USD","unadjusted",FALSE),cTreasuries)</f>
        <v>1.9239202926244481E-3</v>
      </c>
      <c r="W7" s="97">
        <f ca="1">_xll.COURBE.TAUX.FORWARD(ustCurve,Q7,_xll.CALENDRIER.GAP.FINANCE(Q7,"1M","USD","unadjusted",FALSE),cTreasuries)</f>
        <v>3.4417787502916872E-3</v>
      </c>
      <c r="Y7" s="34">
        <f t="shared" ca="1" si="0"/>
        <v>1.7504282427256276E-3</v>
      </c>
    </row>
    <row r="8" spans="2:25" x14ac:dyDescent="0.2">
      <c r="B8" s="77" t="s">
        <v>105</v>
      </c>
      <c r="C8" s="78" t="s">
        <v>78</v>
      </c>
      <c r="D8" s="78" t="s">
        <v>20</v>
      </c>
      <c r="E8" s="91">
        <f ca="1">_xll.CALENDRIER.GAP.FINANCE(pricingDate,D8,"USD","Unadjusted",FALSE)</f>
        <v>41181</v>
      </c>
      <c r="F8" s="79">
        <v>4.6059999999999999E-3</v>
      </c>
      <c r="G8" s="80">
        <f ca="1">_xll.COURBE.TAUX.ZERO(swapCurve,E8,cTreasuries)</f>
        <v>4.4493063014509199E-3</v>
      </c>
      <c r="I8" s="77" t="s">
        <v>722</v>
      </c>
      <c r="J8" s="78" t="s">
        <v>20</v>
      </c>
      <c r="K8" s="91">
        <f ca="1">_xll.CALENDRIER.GAP.FINANCE(pricingDate,J8,"USD","Following",FALSE)</f>
        <v>41183</v>
      </c>
      <c r="L8" s="79">
        <v>1.7499999999999998E-3</v>
      </c>
      <c r="M8" s="79">
        <f ca="1">_xll.COURBE.TAUX.ZERO(oisCurve,K8,cAnnual)</f>
        <v>1.7803432849832213E-3</v>
      </c>
      <c r="N8" s="80" t="str">
        <f ca="1">_xll.INSTANCE.INTERPOLATION.SWAP.OVERNIGHT(LEFT(I8,LEN(I8)-6),fedFund,K8,L8,TODAY())</f>
        <v>USSOC #0024</v>
      </c>
      <c r="P8" s="96" t="str">
        <f>'[2]courbes aussie'!B70</f>
        <v>1Y</v>
      </c>
      <c r="Q8" s="96">
        <f ca="1">_xll.CALENDRIER.GAP.FINANCE(pricingDate,P8,"USD","Following",FALSE)</f>
        <v>41456</v>
      </c>
      <c r="R8" s="97">
        <f ca="1">_xll.COURBE.TAUX.ZERO(swapCurve,_xll.CALENDRIER.GAP.FINANCE(pricingDate,P8,"USD","Following",FALSE),cTreasuries)</f>
        <v>4.8350600166453539E-3</v>
      </c>
      <c r="S8" s="97">
        <f ca="1">_xll.COURBE.TAUX.ZERO(oisCurve,_xll.CALENDRIER.GAP.FINANCE(pricingDate,P8,"USD","Following",FALSE),cTreasuries)</f>
        <v>1.8470058350144036E-3</v>
      </c>
      <c r="T8" s="97">
        <f ca="1">_xll.COURBE.TAUX.ZERO(ustCurve,_xll.CALENDRIER.GAP.FINANCE(pricingDate,P8,"USD","Following",FALSE),cTreasuries)</f>
        <v>2.4516008200756723E-3</v>
      </c>
      <c r="U8" s="97">
        <f ca="1">_xll.COURBE.TAUX.FORWARD(swapCurve,Q8,_xll.CALENDRIER.GAP.FINANCE(Q8,"1M","USD","unadjusted",FALSE),cTreasuries)</f>
        <v>5.4161607521163377E-3</v>
      </c>
      <c r="V8" s="97">
        <f ca="1">_xll.COURBE.TAUX.FORWARD(oisCurve,Q8,_xll.CALENDRIER.GAP.FINANCE(Q8,"1M","USD","unadjusted",FALSE),cTreasuries)</f>
        <v>1.9348628551639807E-3</v>
      </c>
      <c r="W8" s="97">
        <f ca="1">_xll.COURBE.TAUX.FORWARD(ustCurve,Q8,_xll.CALENDRIER.GAP.FINANCE(Q8,"1M","USD","unadjusted",FALSE),cTreasuries)</f>
        <v>3.7731235004547716E-3</v>
      </c>
      <c r="Y8" s="34">
        <f t="shared" ca="1" si="0"/>
        <v>1.6459374081792886E-3</v>
      </c>
    </row>
    <row r="9" spans="2:25" x14ac:dyDescent="0.2">
      <c r="B9" s="77" t="str">
        <f ca="1">"ED"&amp; _xll.CALENDRIER.PROCHAIN.CODE.IMM(pricingDate) &amp; " Comdty"</f>
        <v>EDU2 Comdty</v>
      </c>
      <c r="C9" s="78" t="s">
        <v>82</v>
      </c>
      <c r="D9" s="78" t="str">
        <f t="shared" ref="D9:D20" ca="1" si="1">LEFT(B9,4)</f>
        <v>EDU2</v>
      </c>
      <c r="E9" s="91">
        <f ca="1">_xll.CALENDRIER.DATE.IMM(,MID(B9,3,2))</f>
        <v>41171</v>
      </c>
      <c r="F9" s="81">
        <v>99.525000000000006</v>
      </c>
      <c r="G9" s="80">
        <f ca="1">_xll.COURBE.TAUX.ZERO(swapCurve,E9,cTreasuries)</f>
        <v>4.0738211529182458E-3</v>
      </c>
      <c r="I9" s="77" t="s">
        <v>723</v>
      </c>
      <c r="J9" s="78" t="s">
        <v>711</v>
      </c>
      <c r="K9" s="91">
        <f ca="1">_xll.CALENDRIER.GAP.FINANCE(pricingDate,J9,"USD","Following",FALSE)</f>
        <v>41211</v>
      </c>
      <c r="L9" s="79">
        <v>1.7699999999999999E-3</v>
      </c>
      <c r="M9" s="79">
        <f ca="1">_xll.COURBE.TAUX.ZERO(oisCurve,K9,cAnnual)</f>
        <v>1.8005797449873739E-3</v>
      </c>
      <c r="N9" s="80" t="str">
        <f ca="1">_xll.INSTANCE.INTERPOLATION.SWAP.OVERNIGHT(LEFT(I9,LEN(I9)-6),fedFund,K9,L9,TODAY())</f>
        <v>USSOD #0024</v>
      </c>
      <c r="P9" s="96" t="str">
        <f>'[2]courbes aussie'!B71</f>
        <v>15M</v>
      </c>
      <c r="Q9" s="96">
        <f ca="1">_xll.CALENDRIER.GAP.FINANCE(pricingDate,P9,"USD","Following",FALSE)</f>
        <v>41547</v>
      </c>
      <c r="R9" s="97">
        <f ca="1">_xll.COURBE.TAUX.ZERO(swapCurve,_xll.CALENDRIER.GAP.FINANCE(pricingDate,P9,"USD","Following",FALSE),cTreasuries)</f>
        <v>4.968000128251493E-3</v>
      </c>
      <c r="S9" s="97">
        <f ca="1">_xll.COURBE.TAUX.ZERO(oisCurve,_xll.CALENDRIER.GAP.FINANCE(pricingDate,P9,"USD","Following",FALSE),cTreasuries)</f>
        <v>1.8697326430019423E-3</v>
      </c>
      <c r="T9" s="97">
        <f ca="1">_xll.COURBE.TAUX.ZERO(ustCurve,_xll.CALENDRIER.GAP.FINANCE(pricingDate,P9,"USD","Following",FALSE),cTreasuries)</f>
        <v>2.7342214501295814E-3</v>
      </c>
      <c r="U9" s="97">
        <f ca="1">_xll.COURBE.TAUX.FORWARD(swapCurve,Q9,_xll.CALENDRIER.GAP.FINANCE(Q9,"1M","USD","unadjusted",FALSE),cTreasuries)</f>
        <v>5.5876783465026083E-3</v>
      </c>
      <c r="V9" s="97">
        <f ca="1">_xll.COURBE.TAUX.FORWARD(oisCurve,Q9,_xll.CALENDRIER.GAP.FINANCE(Q9,"1M","USD","unadjusted",FALSE),cTreasuries)</f>
        <v>2.0590961349951828E-3</v>
      </c>
      <c r="W9" s="97">
        <f ca="1">_xll.COURBE.TAUX.FORWARD(ustCurve,Q9,_xll.CALENDRIER.GAP.FINANCE(Q9,"1M","USD","unadjusted",FALSE),cTreasuries)</f>
        <v>4.0335291469665675E-3</v>
      </c>
      <c r="Y9" s="34">
        <f t="shared" ca="1" si="0"/>
        <v>1.5264346938397479E-3</v>
      </c>
    </row>
    <row r="10" spans="2:25" x14ac:dyDescent="0.2">
      <c r="B10" s="77" t="str">
        <f ca="1">"ED"&amp; _xll.CALENDRIER.PROCHAIN.CODE.IMM(_xll.CALENDRIER.DATE.IMM(,MID(B9,3,2))) &amp;" Comdty"</f>
        <v>EDZ2 Comdty</v>
      </c>
      <c r="C10" s="78" t="s">
        <v>82</v>
      </c>
      <c r="D10" s="78" t="str">
        <f t="shared" ca="1" si="1"/>
        <v>EDZ2</v>
      </c>
      <c r="E10" s="91">
        <f ca="1">_xll.CALENDRIER.DATE.IMM(,MID(B10,3,2))</f>
        <v>41262</v>
      </c>
      <c r="F10" s="81">
        <v>99.5</v>
      </c>
      <c r="G10" s="80">
        <f ca="1">_xll.COURBE.TAUX.ZERO(swapCurve,E10,cTreasuries)</f>
        <v>4.4698981170848678E-3</v>
      </c>
      <c r="I10" s="77" t="s">
        <v>724</v>
      </c>
      <c r="J10" s="78" t="s">
        <v>712</v>
      </c>
      <c r="K10" s="91">
        <f ca="1">_xll.CALENDRIER.GAP.FINANCE(pricingDate,J10,"USD","Following",FALSE)</f>
        <v>41242</v>
      </c>
      <c r="L10" s="79">
        <v>1.7799999999999999E-3</v>
      </c>
      <c r="M10" s="79">
        <f ca="1">_xll.COURBE.TAUX.ZERO(oisCurve,K10,cAnnual)</f>
        <v>1.8106197741345476E-3</v>
      </c>
      <c r="N10" s="80" t="str">
        <f ca="1">_xll.INSTANCE.INTERPOLATION.SWAP.OVERNIGHT(LEFT(I10,LEN(I10)-6),fedFund,K10,L10,TODAY())</f>
        <v>USSOE #0024</v>
      </c>
      <c r="P10" s="96" t="str">
        <f>'[2]courbes aussie'!B72</f>
        <v>18M</v>
      </c>
      <c r="Q10" s="96">
        <f ca="1">_xll.CALENDRIER.GAP.FINANCE(pricingDate,P10,"USD","Following",FALSE)</f>
        <v>41638</v>
      </c>
      <c r="R10" s="97">
        <f ca="1">_xll.COURBE.TAUX.ZERO(swapCurve,_xll.CALENDRIER.GAP.FINANCE(pricingDate,P10,"USD","Following",FALSE),cTreasuries)</f>
        <v>5.0862999227918593E-3</v>
      </c>
      <c r="S10" s="97">
        <f ca="1">_xll.COURBE.TAUX.ZERO(oisCurve,_xll.CALENDRIER.GAP.FINANCE(pricingDate,P10,"USD","Following",FALSE),cTreasuries)</f>
        <v>1.9175076313526773E-3</v>
      </c>
      <c r="T10" s="97">
        <f ca="1">_xll.COURBE.TAUX.ZERO(ustCurve,_xll.CALENDRIER.GAP.FINANCE(pricingDate,P10,"USD","Following",FALSE),cTreasuries)</f>
        <v>2.9667472965937414E-3</v>
      </c>
      <c r="U10" s="97">
        <f ca="1">_xll.COURBE.TAUX.FORWARD(swapCurve,Q10,_xll.CALENDRIER.GAP.FINANCE(Q10,"1M","USD","unadjusted",FALSE),cTreasuries)</f>
        <v>5.9103146296734348E-3</v>
      </c>
      <c r="V10" s="97">
        <f ca="1">_xll.COURBE.TAUX.FORWARD(oisCurve,Q10,_xll.CALENDRIER.GAP.FINANCE(Q10,"1M","USD","unadjusted",FALSE),cTreasuries)</f>
        <v>2.3913199437955533E-3</v>
      </c>
      <c r="W10" s="97">
        <f ca="1">_xll.COURBE.TAUX.FORWARD(ustCurve,Q10,_xll.CALENDRIER.GAP.FINANCE(Q10,"1M","USD","unadjusted",FALSE),cTreasuries)</f>
        <v>4.3203549660851851E-3</v>
      </c>
      <c r="Y10" s="34">
        <f t="shared" ca="1" si="0"/>
        <v>1.4641138684096538E-3</v>
      </c>
    </row>
    <row r="11" spans="2:25" x14ac:dyDescent="0.2">
      <c r="B11" s="77" t="str">
        <f ca="1">"ED"&amp; _xll.CALENDRIER.PROCHAIN.CODE.IMM(_xll.CALENDRIER.DATE.IMM(,MID(B10,3,2))) &amp;" Comdty"</f>
        <v>EDH3 Comdty</v>
      </c>
      <c r="C11" s="78" t="s">
        <v>82</v>
      </c>
      <c r="D11" s="78" t="str">
        <f t="shared" ca="1" si="1"/>
        <v>EDH3</v>
      </c>
      <c r="E11" s="91">
        <f ca="1">_xll.CALENDRIER.DATE.IMM(,MID(B11,3,2))</f>
        <v>41353</v>
      </c>
      <c r="F11" s="81">
        <v>99.48</v>
      </c>
      <c r="G11" s="80">
        <f ca="1">_xll.COURBE.TAUX.ZERO(swapCurve,E11,cTreasuries)</f>
        <v>4.6737023303293768E-3</v>
      </c>
      <c r="I11" s="77" t="s">
        <v>725</v>
      </c>
      <c r="J11" s="78" t="s">
        <v>21</v>
      </c>
      <c r="K11" s="91">
        <f ca="1">_xll.CALENDRIER.GAP.FINANCE(pricingDate,J11,"USD","Following",FALSE)</f>
        <v>41274</v>
      </c>
      <c r="L11" s="79">
        <v>1.7799999999999999E-3</v>
      </c>
      <c r="M11" s="79">
        <f ca="1">_xll.COURBE.TAUX.ZERO(oisCurve,K11,cAnnual)</f>
        <v>1.8104764827018283E-3</v>
      </c>
      <c r="N11" s="80" t="str">
        <f ca="1">_xll.INSTANCE.INTERPOLATION.SWAP.OVERNIGHT(LEFT(I11,LEN(I11)-6),fedFund,K11,L11,TODAY())</f>
        <v>USSOF #0024</v>
      </c>
      <c r="P11" s="96" t="str">
        <f>'[2]courbes aussie'!B73</f>
        <v>2Y</v>
      </c>
      <c r="Q11" s="96">
        <f ca="1">_xll.CALENDRIER.GAP.FINANCE(pricingDate,P11,"USD","Following",FALSE)</f>
        <v>41820</v>
      </c>
      <c r="R11" s="97">
        <f ca="1">_xll.COURBE.TAUX.ZERO(swapCurve,_xll.CALENDRIER.GAP.FINANCE(pricingDate,P11,"USD","Following",FALSE),cTreasuries)</f>
        <v>5.3504788837210882E-3</v>
      </c>
      <c r="S11" s="97">
        <f ca="1">_xll.COURBE.TAUX.ZERO(oisCurve,_xll.CALENDRIER.GAP.FINANCE(pricingDate,P11,"USD","Following",FALSE),cTreasuries)</f>
        <v>2.0790777184682696E-3</v>
      </c>
      <c r="T11" s="97">
        <f ca="1">_xll.COURBE.TAUX.ZERO(ustCurve,_xll.CALENDRIER.GAP.FINANCE(pricingDate,P11,"USD","Following",FALSE),cTreasuries)</f>
        <v>3.383822581594309E-3</v>
      </c>
      <c r="U11" s="97">
        <f ca="1">_xll.COURBE.TAUX.FORWARD(swapCurve,Q11,_xll.CALENDRIER.GAP.FINANCE(Q11,"1M","USD","unadjusted",FALSE),cTreasuries)</f>
        <v>6.5466466122242606E-3</v>
      </c>
      <c r="V11" s="97">
        <f ca="1">_xll.COURBE.TAUX.FORWARD(oisCurve,Q11,_xll.CALENDRIER.GAP.FINANCE(Q11,"1M","USD","unadjusted",FALSE),cTreasuries)</f>
        <v>2.6216009855180764E-3</v>
      </c>
      <c r="W11" s="97">
        <f ca="1">_xll.COURBE.TAUX.FORWARD(ustCurve,Q11,_xll.CALENDRIER.GAP.FINANCE(Q11,"1M","USD","unadjusted",FALSE),cTreasuries)</f>
        <v>5.1442258992151126E-3</v>
      </c>
      <c r="Y11" s="34">
        <f t="shared" ca="1" si="0"/>
        <v>1.5109595134737668E-3</v>
      </c>
    </row>
    <row r="12" spans="2:25" x14ac:dyDescent="0.2">
      <c r="B12" s="77" t="str">
        <f ca="1">"ED"&amp; _xll.CALENDRIER.PROCHAIN.CODE.IMM(_xll.CALENDRIER.DATE.IMM(,MID(B11,3,2))) &amp;" Comdty"</f>
        <v>EDM3 Comdty</v>
      </c>
      <c r="C12" s="78" t="s">
        <v>82</v>
      </c>
      <c r="D12" s="78" t="str">
        <f t="shared" ca="1" si="1"/>
        <v>EDM3</v>
      </c>
      <c r="E12" s="91">
        <f ca="1">_xll.CALENDRIER.DATE.IMM(,MID(B12,3,2))</f>
        <v>41444</v>
      </c>
      <c r="F12" s="81">
        <v>99.454999999999998</v>
      </c>
      <c r="G12" s="80">
        <f ca="1">_xll.COURBE.TAUX.ZERO(swapCurve,E12,cTreasuries)</f>
        <v>4.8187418648173441E-3</v>
      </c>
      <c r="I12" s="77" t="s">
        <v>736</v>
      </c>
      <c r="J12" s="78" t="s">
        <v>735</v>
      </c>
      <c r="K12" s="91">
        <f ca="1">_xll.CALENDRIER.GAP.FINANCE(pricingDate,J12,"USD","Following",FALSE)</f>
        <v>41303</v>
      </c>
      <c r="L12" s="79">
        <v>1.7899999999999999E-3</v>
      </c>
      <c r="M12" s="79">
        <f ca="1">_xll.COURBE.TAUX.ZERO(oisCurve,K12,cAnnual)</f>
        <v>1.8198680665830747E-3</v>
      </c>
      <c r="N12" s="80" t="str">
        <f ca="1">_xll.INSTANCE.INTERPOLATION.SWAP.OVERNIGHT(LEFT(I12,LEN(I12)-6),fedFund,K12,L12,TODAY())</f>
        <v>USSOG #0024</v>
      </c>
      <c r="P12" s="96" t="str">
        <f>'[2]courbes aussie'!B74</f>
        <v>3Y</v>
      </c>
      <c r="Q12" s="96">
        <f ca="1">_xll.CALENDRIER.GAP.FINANCE(pricingDate,P12,"USD","Following",FALSE)</f>
        <v>42184</v>
      </c>
      <c r="R12" s="97">
        <f ca="1">_xll.COURBE.TAUX.ZERO(swapCurve,_xll.CALENDRIER.GAP.FINANCE(pricingDate,P12,"USD","Following",FALSE),cTreasuries)</f>
        <v>6.1547942045452331E-3</v>
      </c>
      <c r="S12" s="97">
        <f ca="1">_xll.COURBE.TAUX.ZERO(oisCurve,_xll.CALENDRIER.GAP.FINANCE(pricingDate,P12,"USD","Following",FALSE),cTreasuries)</f>
        <v>2.6067899210393541E-3</v>
      </c>
      <c r="T12" s="97">
        <f ca="1">_xll.COURBE.TAUX.ZERO(ustCurve,_xll.CALENDRIER.GAP.FINANCE(pricingDate,P12,"USD","Following",FALSE),cTreasuries)</f>
        <v>4.3782555922349253E-3</v>
      </c>
      <c r="U12" s="97">
        <f ca="1">_xll.COURBE.TAUX.FORWARD(swapCurve,Q12,_xll.CALENDRIER.GAP.FINANCE(Q12,"1M","USD","unadjusted",FALSE),cTreasuries)</f>
        <v>9.4840502678126652E-3</v>
      </c>
      <c r="V12" s="97">
        <f ca="1">_xll.COURBE.TAUX.FORWARD(oisCurve,Q12,_xll.CALENDRIER.GAP.FINANCE(Q12,"1M","USD","unadjusted",FALSE),cTreasuries)</f>
        <v>6.2294713084704023E-3</v>
      </c>
      <c r="W12" s="97">
        <f ca="1">_xll.COURBE.TAUX.FORWARD(ustCurve,Q12,_xll.CALENDRIER.GAP.FINANCE(Q12,"1M","USD","unadjusted",FALSE),cTreasuries)</f>
        <v>8.0858629430139821E-3</v>
      </c>
      <c r="Y12" s="34">
        <f t="shared" ca="1" si="0"/>
        <v>1.9892318952839366E-3</v>
      </c>
    </row>
    <row r="13" spans="2:25" x14ac:dyDescent="0.2">
      <c r="B13" s="77" t="str">
        <f ca="1">"ED"&amp; _xll.CALENDRIER.PROCHAIN.CODE.IMM(_xll.CALENDRIER.DATE.IMM(,MID(B12,3,2))) &amp;" Comdty"</f>
        <v>EDU3 Comdty</v>
      </c>
      <c r="C13" s="78" t="s">
        <v>82</v>
      </c>
      <c r="D13" s="78" t="str">
        <f t="shared" ca="1" si="1"/>
        <v>EDU3</v>
      </c>
      <c r="E13" s="91">
        <f ca="1">_xll.CALENDRIER.DATE.IMM(,MID(B13,3,2))</f>
        <v>41535</v>
      </c>
      <c r="F13" s="81">
        <v>99.435000000000002</v>
      </c>
      <c r="G13" s="80">
        <f ca="1">_xll.COURBE.TAUX.ZERO(swapCurve,E13,cTreasuries)</f>
        <v>4.9517425983318653E-3</v>
      </c>
      <c r="I13" s="77" t="s">
        <v>738</v>
      </c>
      <c r="J13" s="78" t="s">
        <v>737</v>
      </c>
      <c r="K13" s="91">
        <f ca="1">_xll.CALENDRIER.GAP.FINANCE(pricingDate,J13,"USD","Following",FALSE)</f>
        <v>41333</v>
      </c>
      <c r="L13" s="79">
        <v>1.7899999999999999E-3</v>
      </c>
      <c r="M13" s="79">
        <f ca="1">_xll.COURBE.TAUX.ZERO(oisCurve,K13,cAnnual)</f>
        <v>1.8191994166691927E-3</v>
      </c>
      <c r="N13" s="80" t="str">
        <f ca="1">_xll.INSTANCE.INTERPOLATION.SWAP.OVERNIGHT(LEFT(I13,LEN(I13)-6),fedFund,K13,L13,TODAY())</f>
        <v>USSOH #0024</v>
      </c>
      <c r="P13" s="96" t="str">
        <f>'[2]courbes aussie'!B75</f>
        <v>4Y</v>
      </c>
      <c r="Q13" s="96">
        <f ca="1">_xll.CALENDRIER.GAP.FINANCE(pricingDate,P13,"USD","Following",FALSE)</f>
        <v>42550</v>
      </c>
      <c r="R13" s="97">
        <f ca="1">_xll.COURBE.TAUX.ZERO(swapCurve,_xll.CALENDRIER.GAP.FINANCE(pricingDate,P13,"USD","Following",FALSE),cTreasuries)</f>
        <v>7.7261210251671208E-3</v>
      </c>
      <c r="S13" s="97">
        <f ca="1">_xll.COURBE.TAUX.ZERO(oisCurve,_xll.CALENDRIER.GAP.FINANCE(pricingDate,P13,"USD","Following",FALSE),cTreasuries)</f>
        <v>4.2181672952099625E-3</v>
      </c>
      <c r="T13" s="97">
        <f ca="1">_xll.COURBE.TAUX.ZERO(ustCurve,_xll.CALENDRIER.GAP.FINANCE(pricingDate,P13,"USD","Following",FALSE),cTreasuries)</f>
        <v>5.7809127967152207E-3</v>
      </c>
      <c r="U13" s="97">
        <f ca="1">_xll.COURBE.TAUX.FORWARD(swapCurve,Q13,_xll.CALENDRIER.GAP.FINANCE(Q13,"1M","USD","unadjusted",FALSE),cTreasuries)</f>
        <v>1.5426439534285933E-2</v>
      </c>
      <c r="V13" s="97">
        <f ca="1">_xll.COURBE.TAUX.FORWARD(oisCurve,Q13,_xll.CALENDRIER.GAP.FINANCE(Q13,"1M","USD","unadjusted",FALSE),cTreasuries)</f>
        <v>1.1846221144943495E-2</v>
      </c>
      <c r="W13" s="97">
        <f ca="1">_xll.COURBE.TAUX.FORWARD(ustCurve,Q13,_xll.CALENDRIER.GAP.FINANCE(Q13,"1M","USD","unadjusted",FALSE),cTreasuries)</f>
        <v>1.2303364595467551E-2</v>
      </c>
      <c r="Y13" s="34">
        <f t="shared" ca="1" si="0"/>
        <v>2.5445564876669844E-3</v>
      </c>
    </row>
    <row r="14" spans="2:25" x14ac:dyDescent="0.2">
      <c r="B14" s="77" t="str">
        <f ca="1">"ED"&amp; _xll.CALENDRIER.PROCHAIN.CODE.IMM(_xll.CALENDRIER.DATE.IMM(,MID(B13,3,2))) &amp;" Comdty"</f>
        <v>EDZ3 Comdty</v>
      </c>
      <c r="C14" s="78" t="s">
        <v>82</v>
      </c>
      <c r="D14" s="78" t="str">
        <f t="shared" ca="1" si="1"/>
        <v>EDZ3</v>
      </c>
      <c r="E14" s="91">
        <f ca="1">_xll.CALENDRIER.DATE.IMM(,MID(B14,3,2))</f>
        <v>41626</v>
      </c>
      <c r="F14" s="81">
        <v>99.4</v>
      </c>
      <c r="G14" s="80">
        <f ca="1">_xll.COURBE.TAUX.ZERO(swapCurve,E14,cTreasuries)</f>
        <v>5.0697607891181384E-3</v>
      </c>
      <c r="I14" s="77" t="s">
        <v>726</v>
      </c>
      <c r="J14" s="78" t="s">
        <v>177</v>
      </c>
      <c r="K14" s="91">
        <f ca="1">_xll.CALENDRIER.GAP.FINANCE(pricingDate,J14,"USD","Following",FALSE)</f>
        <v>41365</v>
      </c>
      <c r="L14" s="79">
        <v>1.7899999999999999E-3</v>
      </c>
      <c r="M14" s="79">
        <f ca="1">_xll.COURBE.TAUX.ZERO(oisCurve,K14,cAnnual)</f>
        <v>1.8186142187219811E-3</v>
      </c>
      <c r="N14" s="80" t="str">
        <f ca="1">_xll.INSTANCE.INTERPOLATION.SWAP.OVERNIGHT(LEFT(I14,LEN(I14)-6),fedFund,K14,L14,TODAY())</f>
        <v>USSOI #0024</v>
      </c>
      <c r="P14" s="96" t="str">
        <f>'[2]courbes aussie'!B76</f>
        <v>5Y</v>
      </c>
      <c r="Q14" s="96">
        <f ca="1">_xll.CALENDRIER.GAP.FINANCE(pricingDate,P14,"USD","Following",FALSE)</f>
        <v>42915</v>
      </c>
      <c r="R14" s="97">
        <f ca="1">_xll.COURBE.TAUX.ZERO(swapCurve,_xll.CALENDRIER.GAP.FINANCE(pricingDate,P14,"USD","Following",FALSE),cTreasuries)</f>
        <v>9.6152190212284161E-3</v>
      </c>
      <c r="S14" s="97">
        <f ca="1">_xll.COURBE.TAUX.ZERO(oisCurve,_xll.CALENDRIER.GAP.FINANCE(pricingDate,P14,"USD","Following",FALSE),cTreasuries)</f>
        <v>6.1368360476516948E-3</v>
      </c>
      <c r="T14" s="97">
        <f ca="1">_xll.COURBE.TAUX.ZERO(ustCurve,_xll.CALENDRIER.GAP.FINANCE(pricingDate,P14,"USD","Following",FALSE),cTreasuries)</f>
        <v>7.5077546090973613E-3</v>
      </c>
      <c r="U14" s="97">
        <f ca="1">_xll.COURBE.TAUX.FORWARD(swapCurve,Q14,_xll.CALENDRIER.GAP.FINANCE(Q14,"1M","USD","unadjusted",FALSE),cTreasuries)</f>
        <v>1.8900142439042811E-2</v>
      </c>
      <c r="V14" s="97">
        <f ca="1">_xll.COURBE.TAUX.FORWARD(oisCurve,Q14,_xll.CALENDRIER.GAP.FINANCE(Q14,"1M","USD","unadjusted",FALSE),cTreasuries)</f>
        <v>1.6099600560140669E-2</v>
      </c>
      <c r="W14" s="97">
        <f ca="1">_xll.COURBE.TAUX.FORWARD(ustCurve,Q14,_xll.CALENDRIER.GAP.FINANCE(Q14,"1M","USD","unadjusted",FALSE),cTreasuries)</f>
        <v>1.6839795687900987E-2</v>
      </c>
      <c r="Y14" s="34">
        <f t="shared" ca="1" si="0"/>
        <v>2.9427132405365104E-3</v>
      </c>
    </row>
    <row r="15" spans="2:25" x14ac:dyDescent="0.2">
      <c r="B15" s="77" t="str">
        <f ca="1">"ED"&amp; _xll.CALENDRIER.PROCHAIN.CODE.IMM(_xll.CALENDRIER.DATE.IMM(,MID(B14,3,2))) &amp;" Comdty"</f>
        <v>EDH4 Comdty</v>
      </c>
      <c r="C15" s="78" t="s">
        <v>82</v>
      </c>
      <c r="D15" s="78" t="str">
        <f t="shared" ca="1" si="1"/>
        <v>EDH4</v>
      </c>
      <c r="E15" s="91">
        <f ca="1">_xll.CALENDRIER.DATE.IMM(,MID(B15,3,2))</f>
        <v>41717</v>
      </c>
      <c r="F15" s="81">
        <v>99.37</v>
      </c>
      <c r="G15" s="80">
        <f ca="1">_xll.COURBE.TAUX.ZERO(swapCurve,E15,cTreasuries)</f>
        <v>5.2007970203398202E-3</v>
      </c>
      <c r="I15" s="77" t="s">
        <v>739</v>
      </c>
      <c r="J15" s="78" t="s">
        <v>740</v>
      </c>
      <c r="K15" s="91">
        <f ca="1">_xll.CALENDRIER.GAP.FINANCE(pricingDate,J15,"USD","Following",FALSE)</f>
        <v>41393</v>
      </c>
      <c r="L15" s="79">
        <v>1.8E-3</v>
      </c>
      <c r="M15" s="79">
        <f ca="1">_xll.COURBE.TAUX.ZERO(oisCurve,K15,cAnnual)</f>
        <v>1.8283374705769795E-3</v>
      </c>
      <c r="N15" s="80" t="str">
        <f ca="1">_xll.INSTANCE.INTERPOLATION.SWAP.OVERNIGHT(LEFT(I15,LEN(I15)-6),fedFund,K15,L15,TODAY())</f>
        <v>USSOJ #0024</v>
      </c>
      <c r="P15" s="96" t="str">
        <f>'[2]courbes aussie'!B77</f>
        <v>6Y</v>
      </c>
      <c r="Q15" s="96">
        <f ca="1">_xll.CALENDRIER.GAP.FINANCE(pricingDate,P15,"USD","Following",FALSE)</f>
        <v>43280</v>
      </c>
      <c r="R15" s="97">
        <f ca="1">_xll.COURBE.TAUX.ZERO(swapCurve,_xll.CALENDRIER.GAP.FINANCE(pricingDate,P15,"USD","Following",FALSE),cTreasuries)</f>
        <v>1.149902420523885E-2</v>
      </c>
      <c r="S15" s="97">
        <f ca="1">_xll.COURBE.TAUX.ZERO(oisCurve,_xll.CALENDRIER.GAP.FINANCE(pricingDate,P15,"USD","Following",FALSE),cTreasuries)</f>
        <v>8.1052539951964597E-3</v>
      </c>
      <c r="T15" s="97">
        <f ca="1">_xll.COURBE.TAUX.ZERO(ustCurve,_xll.CALENDRIER.GAP.FINANCE(pricingDate,P15,"USD","Following",FALSE),cTreasuries)</f>
        <v>9.4159389217534084E-3</v>
      </c>
      <c r="U15" s="97">
        <f ca="1">_xll.COURBE.TAUX.FORWARD(swapCurve,Q15,_xll.CALENDRIER.GAP.FINANCE(Q15,"1M","USD","unadjusted",FALSE),cTreasuries)</f>
        <v>2.3871485876343839E-2</v>
      </c>
      <c r="V15" s="97">
        <f ca="1">_xll.COURBE.TAUX.FORWARD(oisCurve,Q15,_xll.CALENDRIER.GAP.FINANCE(Q15,"1M","USD","unadjusted",FALSE),cTreasuries)</f>
        <v>1.9863857167172538E-2</v>
      </c>
      <c r="W15" s="97">
        <f ca="1">_xll.COURBE.TAUX.FORWARD(ustCurve,Q15,_xll.CALENDRIER.GAP.FINANCE(Q15,"1M","USD","unadjusted",FALSE),cTreasuries)</f>
        <v>2.1247651994552808E-2</v>
      </c>
      <c r="Y15" s="34">
        <f t="shared" ca="1" si="0"/>
        <v>3.1867922999304341E-3</v>
      </c>
    </row>
    <row r="16" spans="2:25" x14ac:dyDescent="0.2">
      <c r="B16" s="77" t="str">
        <f ca="1">"ED"&amp; _xll.CALENDRIER.PROCHAIN.CODE.IMM(_xll.CALENDRIER.DATE.IMM(,MID(B15,3,2))) &amp;" Comdty"</f>
        <v>EDM4 Comdty</v>
      </c>
      <c r="C16" s="78" t="s">
        <v>82</v>
      </c>
      <c r="D16" s="78" t="str">
        <f t="shared" ca="1" si="1"/>
        <v>EDM4</v>
      </c>
      <c r="E16" s="91">
        <f ca="1">_xll.CALENDRIER.DATE.IMM(,MID(B16,3,2))</f>
        <v>41808</v>
      </c>
      <c r="F16" s="81">
        <v>99.325000000000003</v>
      </c>
      <c r="G16" s="80">
        <f ca="1">_xll.COURBE.TAUX.ZERO(swapCurve,E16,cTreasuries)</f>
        <v>5.3321482877501936E-3</v>
      </c>
      <c r="I16" s="77" t="s">
        <v>727</v>
      </c>
      <c r="J16" s="78" t="s">
        <v>713</v>
      </c>
      <c r="K16" s="91">
        <f ca="1">_xll.CALENDRIER.GAP.FINANCE(pricingDate,J16,"USD","Following",FALSE)</f>
        <v>41456</v>
      </c>
      <c r="L16" s="79">
        <v>1.82E-3</v>
      </c>
      <c r="M16" s="79">
        <f ca="1">_xll.COURBE.TAUX.ZERO(oisCurve,K16,cAnnual)</f>
        <v>1.847858692652915E-3</v>
      </c>
      <c r="N16" s="80" t="str">
        <f ca="1">_xll.INSTANCE.INTERPOLATION.SWAP.OVERNIGHT(LEFT(I16,LEN(I16)-6),fedFund,K16,L16,TODAY())</f>
        <v>USSO1 #0024</v>
      </c>
      <c r="P16" s="96" t="str">
        <f>'[2]courbes aussie'!B78</f>
        <v>7Y</v>
      </c>
      <c r="Q16" s="96">
        <f ca="1">_xll.CALENDRIER.GAP.FINANCE(pricingDate,P16,"USD","Following",FALSE)</f>
        <v>43647</v>
      </c>
      <c r="R16" s="97">
        <f ca="1">_xll.COURBE.TAUX.ZERO(swapCurve,_xll.CALENDRIER.GAP.FINANCE(pricingDate,P16,"USD","Following",FALSE),cTreasuries)</f>
        <v>1.3557282049811992E-2</v>
      </c>
      <c r="S16" s="97">
        <f ca="1">_xll.COURBE.TAUX.ZERO(oisCurve,_xll.CALENDRIER.GAP.FINANCE(pricingDate,P16,"USD","Following",FALSE),cTreasuries)</f>
        <v>9.9986544663073218E-3</v>
      </c>
      <c r="T16" s="97">
        <f ca="1">_xll.COURBE.TAUX.ZERO(ustCurve,_xll.CALENDRIER.GAP.FINANCE(pricingDate,P16,"USD","Following",FALSE),cTreasuries)</f>
        <v>1.1395904074323226E-2</v>
      </c>
      <c r="U16" s="97">
        <f ca="1">_xll.COURBE.TAUX.FORWARD(swapCurve,Q16,_xll.CALENDRIER.GAP.FINANCE(Q16,"1M","USD","unadjusted",FALSE),cTreasuries)</f>
        <v>2.6488612737983794E-2</v>
      </c>
      <c r="V16" s="97">
        <f ca="1">_xll.COURBE.TAUX.FORWARD(oisCurve,Q16,_xll.CALENDRIER.GAP.FINANCE(Q16,"1M","USD","unadjusted",FALSE),cTreasuries)</f>
        <v>2.2684560847488225E-2</v>
      </c>
      <c r="W16" s="97">
        <f ca="1">_xll.COURBE.TAUX.FORWARD(ustCurve,Q16,_xll.CALENDRIER.GAP.FINANCE(Q16,"1M","USD","unadjusted",FALSE),cTreasuries)</f>
        <v>2.5238195685818279E-2</v>
      </c>
      <c r="Y16" s="34">
        <f t="shared" ca="1" si="0"/>
        <v>3.2989876373961998E-3</v>
      </c>
    </row>
    <row r="17" spans="2:25" x14ac:dyDescent="0.2">
      <c r="B17" s="77" t="str">
        <f ca="1">"ED"&amp; _xll.CALENDRIER.PROCHAIN.CODE.IMM(_xll.CALENDRIER.DATE.IMM(,MID(B16,3,2))) &amp;" Comdty"</f>
        <v>EDU4 Comdty</v>
      </c>
      <c r="C17" s="78" t="s">
        <v>82</v>
      </c>
      <c r="D17" s="78" t="str">
        <f t="shared" ca="1" si="1"/>
        <v>EDU4</v>
      </c>
      <c r="E17" s="91">
        <f ca="1">_xll.CALENDRIER.DATE.IMM(,MID(B17,3,2))</f>
        <v>41899</v>
      </c>
      <c r="F17" s="81">
        <v>99.265000000000001</v>
      </c>
      <c r="G17" s="80">
        <f ca="1">_xll.COURBE.TAUX.ZERO(swapCurve,E17,cTreasuries)</f>
        <v>5.4807192539487737E-3</v>
      </c>
      <c r="I17" s="77" t="s">
        <v>728</v>
      </c>
      <c r="J17" s="78" t="s">
        <v>714</v>
      </c>
      <c r="K17" s="91">
        <f ca="1">_xll.CALENDRIER.GAP.FINANCE(pricingDate,J17,"USD","Following",FALSE)</f>
        <v>41638</v>
      </c>
      <c r="L17" s="79">
        <v>1.89E-3</v>
      </c>
      <c r="M17" s="79">
        <f ca="1">_xll.COURBE.TAUX.ZERO(oisCurve,K17,cAnnual)</f>
        <v>1.9184268402319127E-3</v>
      </c>
      <c r="N17" s="80" t="str">
        <f ca="1">_xll.INSTANCE.INTERPOLATION.SWAP.OVERNIGHT(LEFT(I17,LEN(I17)-6),fedFund,K17,L17,TODAY())</f>
        <v>USSO1F #0024</v>
      </c>
      <c r="P17" s="96" t="str">
        <f>'[2]courbes aussie'!B79</f>
        <v>8Y</v>
      </c>
      <c r="Q17" s="96">
        <f ca="1">_xll.CALENDRIER.GAP.FINANCE(pricingDate,P17,"USD","Following",FALSE)</f>
        <v>44011</v>
      </c>
      <c r="R17" s="97">
        <f ca="1">_xll.COURBE.TAUX.ZERO(swapCurve,_xll.CALENDRIER.GAP.FINANCE(pricingDate,P17,"USD","Following",FALSE),cTreasuries)</f>
        <v>1.5194670017199652E-2</v>
      </c>
      <c r="S17" s="97">
        <f ca="1">_xll.COURBE.TAUX.ZERO(oisCurve,_xll.CALENDRIER.GAP.FINANCE(pricingDate,P17,"USD","Following",FALSE),cTreasuries)</f>
        <v>1.1717574361777672E-2</v>
      </c>
      <c r="T17" s="97">
        <f ca="1">_xll.COURBE.TAUX.ZERO(ustCurve,_xll.CALENDRIER.GAP.FINANCE(pricingDate,P17,"USD","Following",FALSE),cTreasuries)</f>
        <v>1.3337251696247776E-2</v>
      </c>
      <c r="U17" s="97">
        <f ca="1">_xll.COURBE.TAUX.FORWARD(swapCurve,Q17,_xll.CALENDRIER.GAP.FINANCE(Q17,"1M","USD","unadjusted",FALSE),cTreasuries)</f>
        <v>2.7397665838045135E-2</v>
      </c>
      <c r="V17" s="97">
        <f ca="1">_xll.COURBE.TAUX.FORWARD(oisCurve,Q17,_xll.CALENDRIER.GAP.FINANCE(Q17,"1M","USD","unadjusted",FALSE),cTreasuries)</f>
        <v>2.489961626953972E-2</v>
      </c>
      <c r="W17" s="97">
        <f ca="1">_xll.COURBE.TAUX.FORWARD(ustCurve,Q17,_xll.CALENDRIER.GAP.FINANCE(Q17,"1M","USD","unadjusted",FALSE),cTreasuries)</f>
        <v>2.8711780402378834E-2</v>
      </c>
      <c r="Y17" s="34">
        <f t="shared" ca="1" si="0"/>
        <v>3.3219263511307601E-3</v>
      </c>
    </row>
    <row r="18" spans="2:25" x14ac:dyDescent="0.2">
      <c r="B18" s="77" t="str">
        <f ca="1">"ED"&amp; _xll.CALENDRIER.PROCHAIN.CODE.IMM(_xll.CALENDRIER.DATE.IMM(,MID(B17,3,2))) &amp;" Comdty"</f>
        <v>EDZ4 Comdty</v>
      </c>
      <c r="C18" s="78" t="s">
        <v>82</v>
      </c>
      <c r="D18" s="78" t="str">
        <f t="shared" ca="1" si="1"/>
        <v>EDZ4</v>
      </c>
      <c r="E18" s="91">
        <f ca="1">_xll.CALENDRIER.DATE.IMM(,MID(B18,3,2))</f>
        <v>41990</v>
      </c>
      <c r="F18" s="81">
        <v>99.18</v>
      </c>
      <c r="G18" s="80">
        <f ca="1">_xll.COURBE.TAUX.ZERO(swapCurve,E18,cTreasuries)</f>
        <v>5.6566393301804574E-3</v>
      </c>
      <c r="I18" s="77" t="s">
        <v>729</v>
      </c>
      <c r="J18" s="78" t="s">
        <v>83</v>
      </c>
      <c r="K18" s="91">
        <f ca="1">_xll.CALENDRIER.GAP.FINANCE(pricingDate,J18,"USD","Following",FALSE)</f>
        <v>41820</v>
      </c>
      <c r="L18" s="79">
        <v>2.0499999999999997E-3</v>
      </c>
      <c r="M18" s="79">
        <f ca="1">_xll.COURBE.TAUX.ZERO(oisCurve,K18,cAnnual)</f>
        <v>2.0801583595080331E-3</v>
      </c>
      <c r="N18" s="80" t="str">
        <f ca="1">_xll.INSTANCE.INTERPOLATION.SWAP.OVERNIGHT(LEFT(I18,LEN(I18)-6),fedFund,K18,L18,TODAY())</f>
        <v>USSO2 #0024</v>
      </c>
      <c r="P18" s="96" t="str">
        <f>'[2]courbes aussie'!B80</f>
        <v>9Y</v>
      </c>
      <c r="Q18" s="96">
        <f ca="1">_xll.CALENDRIER.GAP.FINANCE(pricingDate,P18,"USD","Following",FALSE)</f>
        <v>44376</v>
      </c>
      <c r="R18" s="97">
        <f ca="1">_xll.COURBE.TAUX.ZERO(swapCurve,_xll.CALENDRIER.GAP.FINANCE(pricingDate,P18,"USD","Following",FALSE),cTreasuries)</f>
        <v>1.6685276262941251E-2</v>
      </c>
      <c r="S18" s="97">
        <f ca="1">_xll.COURBE.TAUX.ZERO(oisCurve,_xll.CALENDRIER.GAP.FINANCE(pricingDate,P18,"USD","Following",FALSE),cTreasuries)</f>
        <v>1.3281737046431541E-2</v>
      </c>
      <c r="T18" s="97">
        <f ca="1">_xll.COURBE.TAUX.ZERO(ustCurve,_xll.CALENDRIER.GAP.FINANCE(pricingDate,P18,"USD","Following",FALSE),cTreasuries)</f>
        <v>1.5204977447788703E-2</v>
      </c>
      <c r="U18" s="97">
        <f ca="1">_xll.COURBE.TAUX.FORWARD(swapCurve,Q18,_xll.CALENDRIER.GAP.FINANCE(Q18,"1M","USD","unadjusted",FALSE),cTreasuries)</f>
        <v>2.97099969612095E-2</v>
      </c>
      <c r="V18" s="97">
        <f ca="1">_xll.COURBE.TAUX.FORWARD(oisCurve,Q18,_xll.CALENDRIER.GAP.FINANCE(Q18,"1M","USD","unadjusted",FALSE),cTreasuries)</f>
        <v>2.6617925494490789E-2</v>
      </c>
      <c r="W18" s="97">
        <f ca="1">_xll.COURBE.TAUX.FORWARD(ustCurve,Q18,_xll.CALENDRIER.GAP.FINANCE(Q18,"1M","USD","unadjusted",FALSE),cTreasuries)</f>
        <v>3.1475384144561414E-2</v>
      </c>
      <c r="Y18" s="34">
        <f t="shared" ca="1" si="0"/>
        <v>3.2599282518712266E-3</v>
      </c>
    </row>
    <row r="19" spans="2:25" x14ac:dyDescent="0.2">
      <c r="B19" s="77" t="str">
        <f ca="1">"ED"&amp; _xll.CALENDRIER.PROCHAIN.CODE.IMM(_xll.CALENDRIER.DATE.IMM(,MID(B18,3,2))) &amp;" Comdty"</f>
        <v>EDH5 Comdty</v>
      </c>
      <c r="C19" s="78" t="s">
        <v>82</v>
      </c>
      <c r="D19" s="78" t="str">
        <f t="shared" ca="1" si="1"/>
        <v>EDH5</v>
      </c>
      <c r="E19" s="91">
        <f ca="1">_xll.CALENDRIER.DATE.IMM(,MID(B19,3,2))</f>
        <v>42081</v>
      </c>
      <c r="F19" s="81">
        <v>99.1</v>
      </c>
      <c r="G19" s="80">
        <f ca="1">_xll.COURBE.TAUX.ZERO(swapCurve,E19,cTreasuries)</f>
        <v>5.8754280538835246E-3</v>
      </c>
      <c r="I19" s="77" t="s">
        <v>730</v>
      </c>
      <c r="J19" s="78" t="s">
        <v>84</v>
      </c>
      <c r="K19" s="91">
        <f ca="1">_xll.CALENDRIER.GAP.FINANCE(pricingDate,J19,"USD","Following",FALSE)</f>
        <v>42184</v>
      </c>
      <c r="L19" s="79">
        <v>2.5700000000000002E-3</v>
      </c>
      <c r="M19" s="79">
        <f ca="1">_xll.COURBE.TAUX.ZERO(oisCurve,K19,cAnnual)</f>
        <v>2.6084887594626238E-3</v>
      </c>
      <c r="N19" s="80" t="str">
        <f ca="1">_xll.INSTANCE.INTERPOLATION.SWAP.OVERNIGHT(LEFT(I19,LEN(I19)-6),fedFund,K19,L19,TODAY())</f>
        <v>USSO3 #0024</v>
      </c>
      <c r="P19" s="96" t="str">
        <f>'[2]courbes aussie'!B81</f>
        <v>10Y</v>
      </c>
      <c r="Q19" s="96">
        <f ca="1">_xll.CALENDRIER.GAP.FINANCE(pricingDate,P19,"USD","Following",FALSE)</f>
        <v>44741</v>
      </c>
      <c r="R19" s="97">
        <f ca="1">_xll.COURBE.TAUX.ZERO(swapCurve,_xll.CALENDRIER.GAP.FINANCE(pricingDate,P19,"USD","Following",FALSE),cTreasuries)</f>
        <v>1.8057760733368067E-2</v>
      </c>
      <c r="S19" s="97">
        <f ca="1">_xll.COURBE.TAUX.ZERO(oisCurve,_xll.CALENDRIER.GAP.FINANCE(pricingDate,P19,"USD","Following",FALSE),cTreasuries)</f>
        <v>1.4694712856806014E-2</v>
      </c>
      <c r="T19" s="97">
        <f ca="1">_xll.COURBE.TAUX.ZERO(ustCurve,_xll.CALENDRIER.GAP.FINANCE(pricingDate,P19,"USD","Following",FALSE),cTreasuries)</f>
        <v>1.6958862795705798E-2</v>
      </c>
      <c r="U19" s="97">
        <f ca="1">_xll.COURBE.TAUX.FORWARD(swapCurve,Q19,_xll.CALENDRIER.GAP.FINANCE(Q19,"1M","USD","unadjusted",FALSE),cTreasuries)</f>
        <v>3.0394300914679283E-2</v>
      </c>
      <c r="V19" s="97">
        <f ca="1">_xll.COURBE.TAUX.FORWARD(oisCurve,Q19,_xll.CALENDRIER.GAP.FINANCE(Q19,"1M","USD","unadjusted",FALSE),cTreasuries)</f>
        <v>2.8033064008825919E-2</v>
      </c>
      <c r="W19" s="97">
        <f ca="1">_xll.COURBE.TAUX.FORWARD(ustCurve,Q19,_xll.CALENDRIER.GAP.FINANCE(Q19,"1M","USD","unadjusted",FALSE),cTreasuries)</f>
        <v>3.3773121491922874E-2</v>
      </c>
      <c r="Y19" s="34">
        <f t="shared" ca="1" si="0"/>
        <v>3.1637618553361601E-3</v>
      </c>
    </row>
    <row r="20" spans="2:25" x14ac:dyDescent="0.2">
      <c r="B20" s="77" t="str">
        <f ca="1">"ED"&amp; _xll.CALENDRIER.PROCHAIN.CODE.IMM(_xll.CALENDRIER.DATE.IMM(,MID(B19,3,2))) &amp;" Comdty"</f>
        <v>EDM5 Comdty</v>
      </c>
      <c r="C20" s="78" t="s">
        <v>82</v>
      </c>
      <c r="D20" s="78" t="str">
        <f t="shared" ca="1" si="1"/>
        <v>EDM5</v>
      </c>
      <c r="E20" s="91">
        <f ca="1">_xll.CALENDRIER.DATE.IMM(,MID(B20,3,2))</f>
        <v>42172</v>
      </c>
      <c r="F20" s="81">
        <v>98.995000000000005</v>
      </c>
      <c r="G20" s="80">
        <f ca="1">_xll.COURBE.TAUX.ZERO(swapCurve,E20,cTreasuries)</f>
        <v>6.1204347037207008E-3</v>
      </c>
      <c r="I20" s="77" t="s">
        <v>731</v>
      </c>
      <c r="J20" s="78" t="s">
        <v>85</v>
      </c>
      <c r="K20" s="91">
        <f ca="1">_xll.CALENDRIER.GAP.FINANCE(pricingDate,J20,"USD","Following",FALSE)</f>
        <v>42550</v>
      </c>
      <c r="L20" s="79">
        <v>4.15E-3</v>
      </c>
      <c r="M20" s="79">
        <f ca="1">_xll.COURBE.TAUX.ZERO(oisCurve,K20,cAnnual)</f>
        <v>4.2226155290427947E-3</v>
      </c>
      <c r="N20" s="80" t="str">
        <f ca="1">_xll.INSTANCE.INTERPOLATION.SWAP.OVERNIGHT(LEFT(I20,LEN(I20)-6),fedFund,K20,L20,TODAY())</f>
        <v>USSO4 #0024</v>
      </c>
    </row>
    <row r="21" spans="2:25" x14ac:dyDescent="0.2">
      <c r="B21" s="77" t="s">
        <v>106</v>
      </c>
      <c r="C21" s="78" t="s">
        <v>121</v>
      </c>
      <c r="D21" s="78" t="s">
        <v>85</v>
      </c>
      <c r="E21" s="91">
        <f ca="1">_xll.CALENDRIER.GAP.FINANCE(pricingDate,D21,"USD","Unadjusted",FALSE)</f>
        <v>42550</v>
      </c>
      <c r="F21" s="79">
        <v>7.7499999999999999E-3</v>
      </c>
      <c r="G21" s="80">
        <f ca="1">_xll.COURBE.TAUX.ZERO(swapCurve,E21,cTreasuries)</f>
        <v>7.7261210251671208E-3</v>
      </c>
      <c r="I21" s="77" t="s">
        <v>732</v>
      </c>
      <c r="J21" s="78" t="s">
        <v>86</v>
      </c>
      <c r="K21" s="91">
        <f ca="1">_xll.CALENDRIER.GAP.FINANCE(pricingDate,J21,"USD","Following",FALSE)</f>
        <v>42915</v>
      </c>
      <c r="L21" s="79">
        <v>6.0200000000000002E-3</v>
      </c>
      <c r="M21" s="79">
        <f ca="1">_xll.COURBE.TAUX.ZERO(oisCurve,K21,cAnnual)</f>
        <v>6.1462512368206657E-3</v>
      </c>
      <c r="N21" s="80" t="str">
        <f ca="1">_xll.INSTANCE.INTERPOLATION.SWAP.OVERNIGHT(LEFT(I21,LEN(I21)-6),fedFund,K21,L21,TODAY())</f>
        <v>USSO5 #0024</v>
      </c>
    </row>
    <row r="22" spans="2:25" x14ac:dyDescent="0.2">
      <c r="B22" s="77" t="s">
        <v>107</v>
      </c>
      <c r="C22" s="78" t="s">
        <v>121</v>
      </c>
      <c r="D22" s="78" t="s">
        <v>86</v>
      </c>
      <c r="E22" s="91">
        <f ca="1">_xll.CALENDRIER.GAP.FINANCE(pricingDate,D22,"USD","Unadjusted",FALSE)</f>
        <v>42915</v>
      </c>
      <c r="F22" s="79">
        <v>9.5899999999999996E-3</v>
      </c>
      <c r="G22" s="80">
        <f ca="1">_xll.COURBE.TAUX.ZERO(swapCurve,E22,cTreasuries)</f>
        <v>9.6152190212284161E-3</v>
      </c>
      <c r="I22" s="77" t="s">
        <v>734</v>
      </c>
      <c r="J22" s="78" t="s">
        <v>88</v>
      </c>
      <c r="K22" s="91">
        <f ca="1">_xll.CALENDRIER.GAP.FINANCE(pricingDate,J22,"USD","Following",FALSE)</f>
        <v>43647</v>
      </c>
      <c r="L22" s="79">
        <v>9.7400000000000004E-3</v>
      </c>
      <c r="M22" s="79">
        <f ca="1">_xll.COURBE.TAUX.ZERO(oisCurve,K22,cAnnual)</f>
        <v>1.002364773909159E-2</v>
      </c>
      <c r="N22" s="80" t="str">
        <f ca="1">_xll.INSTANCE.INTERPOLATION.SWAP.OVERNIGHT(LEFT(I22,LEN(I22)-6),fedFund,K22,L22,TODAY())</f>
        <v>USSO7 #0024</v>
      </c>
      <c r="R22" s="7" t="s">
        <v>747</v>
      </c>
      <c r="S22" s="7" t="s">
        <v>184</v>
      </c>
      <c r="T22" s="7" t="s">
        <v>83</v>
      </c>
      <c r="U22" s="7" t="s">
        <v>84</v>
      </c>
      <c r="V22" s="7" t="s">
        <v>85</v>
      </c>
      <c r="W22" s="7" t="s">
        <v>86</v>
      </c>
    </row>
    <row r="23" spans="2:25" x14ac:dyDescent="0.2">
      <c r="B23" s="77" t="s">
        <v>108</v>
      </c>
      <c r="C23" s="78" t="s">
        <v>121</v>
      </c>
      <c r="D23" s="78" t="s">
        <v>87</v>
      </c>
      <c r="E23" s="91">
        <f ca="1">_xll.CALENDRIER.GAP.FINANCE(pricingDate,D23,"USD","Unadjusted",FALSE)</f>
        <v>43280</v>
      </c>
      <c r="F23" s="79">
        <v>1.1422000000000002E-2</v>
      </c>
      <c r="G23" s="80">
        <f ca="1">_xll.COURBE.TAUX.ZERO(swapCurve,E23,cTreasuries)</f>
        <v>1.149902420523885E-2</v>
      </c>
      <c r="I23" s="77" t="s">
        <v>733</v>
      </c>
      <c r="J23" s="78" t="s">
        <v>91</v>
      </c>
      <c r="K23" s="91">
        <f ca="1">_xll.CALENDRIER.GAP.FINANCE(pricingDate,J23,"USD","Following",FALSE)</f>
        <v>44741</v>
      </c>
      <c r="L23" s="79">
        <v>1.4150000000000001E-2</v>
      </c>
      <c r="M23" s="79">
        <f ca="1">_xll.COURBE.TAUX.ZERO(oisCurve,K23,cAnnual)</f>
        <v>1.4748696503292136E-2</v>
      </c>
      <c r="N23" s="80" t="str">
        <f ca="1">_xll.INSTANCE.INTERPOLATION.SWAP.OVERNIGHT(LEFT(I23,LEN(I23)-6),fedFund,K23,L23,TODAY())</f>
        <v>USSO10 #0024</v>
      </c>
      <c r="Q23" s="8">
        <f ca="1">Q3</f>
        <v>41120</v>
      </c>
      <c r="R23" s="97">
        <f t="shared" ref="R23:R39" ca="1" si="2">S3</f>
        <v>1.7181672571621716E-3</v>
      </c>
      <c r="S23" s="97">
        <f ca="1">_xll.COURBE.TAUX.FORWARD(oisCurve,$Q3,_xll.CALENDRIER.GAP.FINANCE($Q3,S$22,"USD","unadjusted",FALSE),cTreasuries)</f>
        <v>1.864904354554664E-3</v>
      </c>
      <c r="T23" s="97">
        <f ca="1">_xll.COURBE.TAUX.FORWARD(oisCurve,$Q3,_xll.CALENDRIER.GAP.FINANCE($Q3,T$22,"USD","unadjusted",FALSE),cTreasuries)</f>
        <v>2.1167112328690507E-3</v>
      </c>
      <c r="U23" s="97">
        <f ca="1">_xll.COURBE.TAUX.FORWARD(oisCurve,$Q3,_xll.CALENDRIER.GAP.FINANCE($Q3,U$22,"USD","unadjusted",FALSE),cTreasuries)</f>
        <v>2.7348853219826275E-3</v>
      </c>
      <c r="V23" s="97">
        <f ca="1">_xll.COURBE.TAUX.FORWARD(oisCurve,$Q3,_xll.CALENDRIER.GAP.FINANCE($Q3,V$22,"USD","unadjusted",FALSE),cTreasuries)</f>
        <v>4.4330969009518384E-3</v>
      </c>
      <c r="W23" s="97">
        <f ca="1">_xll.COURBE.TAUX.FORWARD(oisCurve,$Q3,_xll.CALENDRIER.GAP.FINANCE($Q3,W$22,"USD","unadjusted",FALSE),cTreasuries)</f>
        <v>6.3816588634093563E-3</v>
      </c>
    </row>
    <row r="24" spans="2:25" x14ac:dyDescent="0.2">
      <c r="B24" s="77" t="s">
        <v>109</v>
      </c>
      <c r="C24" s="78" t="s">
        <v>121</v>
      </c>
      <c r="D24" s="78" t="s">
        <v>88</v>
      </c>
      <c r="E24" s="91">
        <f ca="1">_xll.CALENDRIER.GAP.FINANCE(pricingDate,D24,"USD","Unadjusted",FALSE)</f>
        <v>43645</v>
      </c>
      <c r="F24" s="79">
        <v>1.3385000000000001E-2</v>
      </c>
      <c r="G24" s="80">
        <f ca="1">_xll.COURBE.TAUX.ZERO(swapCurve,E24,cTreasuries)</f>
        <v>1.3547038094400055E-2</v>
      </c>
      <c r="I24" s="77" t="s">
        <v>744</v>
      </c>
      <c r="J24" s="78" t="s">
        <v>93</v>
      </c>
      <c r="K24" s="91">
        <f ca="1">_xll.CALENDRIER.GAP.FINANCE(pricingDate,J24,"USD","Following",FALSE)</f>
        <v>46567</v>
      </c>
      <c r="L24" s="79">
        <v>1.864E-2</v>
      </c>
      <c r="M24" s="79">
        <f ca="1">_xll.COURBE.TAUX.ZERO(oisCurve,K24,cAnnual)</f>
        <v>1.9753663155822831E-2</v>
      </c>
      <c r="N24" s="80" t="str">
        <f ca="1">_xll.INSTANCE.INTERPOLATION.SWAP.OVERNIGHT(LEFT(I24,LEN(I24)-6),fedFund,K24,L24,TODAY())</f>
        <v>USSO15 #0024</v>
      </c>
      <c r="Q24" s="8">
        <f t="shared" ref="Q24:Q39" ca="1" si="3">Q4</f>
        <v>41150</v>
      </c>
      <c r="R24" s="97">
        <f t="shared" ca="1" si="2"/>
        <v>1.7690002154377997E-3</v>
      </c>
      <c r="S24" s="97">
        <f ca="1">_xll.COURBE.TAUX.FORWARD(oisCurve,$Q4,_xll.CALENDRIER.GAP.FINANCE($Q4,S$22,"USD","unadjusted",FALSE),cTreasuries)</f>
        <v>1.8755812037825059E-3</v>
      </c>
      <c r="T24" s="97">
        <f ca="1">_xll.COURBE.TAUX.FORWARD(oisCurve,$Q4,_xll.CALENDRIER.GAP.FINANCE($Q4,T$22,"USD","unadjusted",FALSE),cTreasuries)</f>
        <v>2.1502586336081819E-3</v>
      </c>
      <c r="U24" s="97">
        <f ca="1">_xll.COURBE.TAUX.FORWARD(oisCurve,$Q4,_xll.CALENDRIER.GAP.FINANCE($Q4,U$22,"USD","unadjusted",FALSE),cTreasuries)</f>
        <v>2.8716854720443052E-3</v>
      </c>
      <c r="V24" s="97">
        <f ca="1">_xll.COURBE.TAUX.FORWARD(oisCurve,$Q4,_xll.CALENDRIER.GAP.FINANCE($Q4,V$22,"USD","unadjusted",FALSE),cTreasuries)</f>
        <v>4.6463734168442627E-3</v>
      </c>
      <c r="W24" s="97">
        <f ca="1">_xll.COURBE.TAUX.FORWARD(oisCurve,$Q4,_xll.CALENDRIER.GAP.FINANCE($Q4,W$22,"USD","unadjusted",FALSE),cTreasuries)</f>
        <v>6.6226811775327299E-3</v>
      </c>
    </row>
    <row r="25" spans="2:25" x14ac:dyDescent="0.2">
      <c r="B25" s="77" t="s">
        <v>110</v>
      </c>
      <c r="C25" s="78" t="s">
        <v>121</v>
      </c>
      <c r="D25" s="78" t="s">
        <v>89</v>
      </c>
      <c r="E25" s="91">
        <f ca="1">_xll.CALENDRIER.GAP.FINANCE(pricingDate,D25,"USD","Unadjusted",FALSE)</f>
        <v>44011</v>
      </c>
      <c r="F25" s="79">
        <v>1.4959999999999999E-2</v>
      </c>
      <c r="G25" s="80">
        <f ca="1">_xll.COURBE.TAUX.ZERO(swapCurve,E25,cTreasuries)</f>
        <v>1.5194670017199652E-2</v>
      </c>
      <c r="I25" s="77" t="s">
        <v>745</v>
      </c>
      <c r="J25" s="78" t="s">
        <v>94</v>
      </c>
      <c r="K25" s="91">
        <f ca="1">_xll.CALENDRIER.GAP.FINANCE(pricingDate,J25,"USD","Following",FALSE)</f>
        <v>48394</v>
      </c>
      <c r="L25" s="79">
        <v>2.051E-2</v>
      </c>
      <c r="M25" s="79">
        <f ca="1">_xll.COURBE.TAUX.ZERO(oisCurve,K25,cAnnual)</f>
        <v>2.1865114129800967E-2</v>
      </c>
      <c r="N25" s="80" t="str">
        <f ca="1">_xll.INSTANCE.INTERPOLATION.SWAP.OVERNIGHT(LEFT(I25,LEN(I25)-6),fedFund,K25,L25,TODAY())</f>
        <v>USSO20 #0024</v>
      </c>
      <c r="Q25" s="8">
        <f t="shared" ca="1" si="3"/>
        <v>41183</v>
      </c>
      <c r="R25" s="97">
        <f t="shared" ca="1" si="2"/>
        <v>1.77916671877348E-3</v>
      </c>
      <c r="S25" s="97">
        <f ca="1">_xll.COURBE.TAUX.FORWARD(oisCurve,$Q5,_xll.CALENDRIER.GAP.FINANCE($Q5,S$22,"USD","unadjusted",FALSE),cTreasuries)</f>
        <v>1.8933356333863394E-3</v>
      </c>
      <c r="T25" s="97">
        <f ca="1">_xll.COURBE.TAUX.FORWARD(oisCurve,$Q5,_xll.CALENDRIER.GAP.FINANCE($Q5,T$22,"USD","unadjusted",FALSE),cTreasuries)</f>
        <v>2.1914673871883394E-3</v>
      </c>
      <c r="U25" s="97">
        <f ca="1">_xll.COURBE.TAUX.FORWARD(oisCurve,$Q5,_xll.CALENDRIER.GAP.FINANCE($Q5,U$22,"USD","unadjusted",FALSE),cTreasuries)</f>
        <v>3.0400521511784184E-3</v>
      </c>
      <c r="V25" s="97">
        <f ca="1">_xll.COURBE.TAUX.FORWARD(oisCurve,$Q5,_xll.CALENDRIER.GAP.FINANCE($Q5,V$22,"USD","unadjusted",FALSE),cTreasuries)</f>
        <v>4.8899212351560806E-3</v>
      </c>
      <c r="W25" s="97">
        <f ca="1">_xll.COURBE.TAUX.FORWARD(oisCurve,$Q5,_xll.CALENDRIER.GAP.FINANCE($Q5,W$22,"USD","unadjusted",FALSE),cTreasuries)</f>
        <v>6.894690422594163E-3</v>
      </c>
    </row>
    <row r="26" spans="2:25" x14ac:dyDescent="0.2">
      <c r="B26" s="77" t="s">
        <v>111</v>
      </c>
      <c r="C26" s="78" t="s">
        <v>121</v>
      </c>
      <c r="D26" s="78" t="s">
        <v>90</v>
      </c>
      <c r="E26" s="91">
        <f ca="1">_xll.CALENDRIER.GAP.FINANCE(pricingDate,D26,"USD","Unadjusted",FALSE)</f>
        <v>44376</v>
      </c>
      <c r="F26" s="79">
        <v>1.6354999999999998E-2</v>
      </c>
      <c r="G26" s="80">
        <f ca="1">_xll.COURBE.TAUX.ZERO(swapCurve,E26,cTreasuries)</f>
        <v>1.6685276262941251E-2</v>
      </c>
      <c r="I26" s="77" t="s">
        <v>746</v>
      </c>
      <c r="J26" s="78" t="s">
        <v>95</v>
      </c>
      <c r="K26" s="91">
        <f ca="1">_xll.CALENDRIER.GAP.FINANCE(pricingDate,J26,"USD","Following",FALSE)</f>
        <v>50220</v>
      </c>
      <c r="L26" s="79">
        <v>2.147E-2</v>
      </c>
      <c r="M26" s="79">
        <f ca="1">_xll.COURBE.TAUX.ZERO(oisCurve,K26,cAnnual)</f>
        <v>2.2944280301658404E-2</v>
      </c>
      <c r="N26" s="80" t="str">
        <f ca="1">_xll.INSTANCE.INTERPOLATION.SWAP.OVERNIGHT(LEFT(I26,LEN(I26)-6),fedFund,K26,L26,TODAY())</f>
        <v>USSO25 #0024</v>
      </c>
      <c r="Q26" s="8">
        <f t="shared" ca="1" si="3"/>
        <v>41274</v>
      </c>
      <c r="R26" s="97">
        <f t="shared" ca="1" si="2"/>
        <v>1.8096577673931691E-3</v>
      </c>
      <c r="S26" s="97">
        <f ca="1">_xll.COURBE.TAUX.FORWARD(oisCurve,$Q6,_xll.CALENDRIER.GAP.FINANCE($Q6,S$22,"USD","unadjusted",FALSE),cTreasuries)</f>
        <v>1.973153851371201E-3</v>
      </c>
      <c r="T26" s="97">
        <f ca="1">_xll.COURBE.TAUX.FORWARD(oisCurve,$Q6,_xll.CALENDRIER.GAP.FINANCE($Q6,T$22,"USD","unadjusted",FALSE),cTreasuries)</f>
        <v>2.3397196449743696E-3</v>
      </c>
      <c r="U26" s="97">
        <f ca="1">_xll.COURBE.TAUX.FORWARD(oisCurve,$Q6,_xll.CALENDRIER.GAP.FINANCE($Q6,U$22,"USD","unadjusted",FALSE),cTreasuries)</f>
        <v>3.5884719005934151E-3</v>
      </c>
      <c r="V26" s="97">
        <f ca="1">_xll.COURBE.TAUX.FORWARD(oisCurve,$Q6,_xll.CALENDRIER.GAP.FINANCE($Q6,V$22,"USD","unadjusted",FALSE),cTreasuries)</f>
        <v>5.6044992498174295E-3</v>
      </c>
      <c r="W26" s="97">
        <f ca="1">_xll.COURBE.TAUX.FORWARD(oisCurve,$Q6,_xll.CALENDRIER.GAP.FINANCE($Q6,W$22,"USD","unadjusted",FALSE),cTreasuries)</f>
        <v>7.6765407008334563E-3</v>
      </c>
    </row>
    <row r="27" spans="2:25" x14ac:dyDescent="0.2">
      <c r="B27" s="77" t="s">
        <v>112</v>
      </c>
      <c r="C27" s="78" t="s">
        <v>121</v>
      </c>
      <c r="D27" s="78" t="s">
        <v>91</v>
      </c>
      <c r="E27" s="91">
        <f ca="1">_xll.CALENDRIER.GAP.FINANCE(pricingDate,D27,"USD","Unadjusted",FALSE)</f>
        <v>44741</v>
      </c>
      <c r="F27" s="79">
        <v>1.762E-2</v>
      </c>
      <c r="G27" s="80">
        <f ca="1">_xll.COURBE.TAUX.ZERO(swapCurve,E27,cTreasuries)</f>
        <v>1.8057760733368067E-2</v>
      </c>
      <c r="I27" s="77" t="s">
        <v>716</v>
      </c>
      <c r="J27" s="78" t="s">
        <v>96</v>
      </c>
      <c r="K27" s="91">
        <f ca="1">_xll.CALENDRIER.GAP.FINANCE(pricingDate,J27,"USD","Following",FALSE)</f>
        <v>52047</v>
      </c>
      <c r="L27" s="79">
        <v>2.2069999999999999E-2</v>
      </c>
      <c r="M27" s="79">
        <f ca="1">_xll.COURBE.TAUX.ZERO(oisCurve,K27,cAnnual)</f>
        <v>2.3619771003439816E-2</v>
      </c>
      <c r="N27" s="80" t="str">
        <f ca="1">_xll.INSTANCE.INTERPOLATION.SWAP.OVERNIGHT(LEFT(I27,LEN(I27)-6),fedFund,K27,L27,TODAY())</f>
        <v>USSO30 #0024</v>
      </c>
      <c r="Q27" s="8">
        <f t="shared" ca="1" si="3"/>
        <v>41365</v>
      </c>
      <c r="R27" s="97">
        <f t="shared" ca="1" si="2"/>
        <v>1.8177881303000909E-3</v>
      </c>
      <c r="S27" s="97">
        <f ca="1">_xll.COURBE.TAUX.FORWARD(oisCurve,$Q7,_xll.CALENDRIER.GAP.FINANCE($Q7,S$22,"USD","unadjusted",FALSE),cTreasuries)</f>
        <v>2.1373740470038705E-3</v>
      </c>
      <c r="T27" s="97">
        <f ca="1">_xll.COURBE.TAUX.FORWARD(oisCurve,$Q7,_xll.CALENDRIER.GAP.FINANCE($Q7,T$22,"USD","unadjusted",FALSE),cTreasuries)</f>
        <v>2.5934823480047164E-3</v>
      </c>
      <c r="U27" s="97">
        <f ca="1">_xll.COURBE.TAUX.FORWARD(oisCurve,$Q7,_xll.CALENDRIER.GAP.FINANCE($Q7,U$22,"USD","unadjusted",FALSE),cTreasuries)</f>
        <v>4.2620579344836429E-3</v>
      </c>
      <c r="V27" s="97">
        <f ca="1">_xll.COURBE.TAUX.FORWARD(oisCurve,$Q7,_xll.CALENDRIER.GAP.FINANCE($Q7,V$22,"USD","unadjusted",FALSE),cTreasuries)</f>
        <v>6.3861804751828011E-3</v>
      </c>
      <c r="W27" s="97">
        <f ca="1">_xll.COURBE.TAUX.FORWARD(oisCurve,$Q7,_xll.CALENDRIER.GAP.FINANCE($Q7,W$22,"USD","unadjusted",FALSE),cTreasuries)</f>
        <v>8.5070353870575488E-3</v>
      </c>
    </row>
    <row r="28" spans="2:25" x14ac:dyDescent="0.2">
      <c r="B28" s="77" t="s">
        <v>113</v>
      </c>
      <c r="C28" s="78" t="s">
        <v>121</v>
      </c>
      <c r="D28" s="78" t="s">
        <v>122</v>
      </c>
      <c r="E28" s="91">
        <f ca="1">_xll.CALENDRIER.GAP.FINANCE(pricingDate,D28,"USD","Unadjusted",FALSE)</f>
        <v>45106</v>
      </c>
      <c r="F28" s="79">
        <v>1.8680000000000002E-2</v>
      </c>
      <c r="G28" s="80">
        <f ca="1">_xll.COURBE.TAUX.ZERO(swapCurve,E28,cTreasuries)</f>
        <v>1.9220918735697978E-2</v>
      </c>
      <c r="I28" s="77"/>
      <c r="J28" s="78"/>
      <c r="K28" s="91"/>
      <c r="L28" s="79"/>
      <c r="M28" s="79"/>
      <c r="N28" s="80"/>
      <c r="Q28" s="8">
        <f t="shared" ca="1" si="3"/>
        <v>41456</v>
      </c>
      <c r="R28" s="97">
        <f t="shared" ca="1" si="2"/>
        <v>1.8470058350144036E-3</v>
      </c>
      <c r="S28" s="97">
        <f ca="1">_xll.COURBE.TAUX.FORWARD(oisCurve,$Q8,_xll.CALENDRIER.GAP.FINANCE($Q8,S$22,"USD","unadjusted",FALSE),cTreasuries)</f>
        <v>2.3136387693463156E-3</v>
      </c>
      <c r="T28" s="97">
        <f ca="1">_xll.COURBE.TAUX.FORWARD(oisCurve,$Q8,_xll.CALENDRIER.GAP.FINANCE($Q8,T$22,"USD","unadjusted",FALSE),cTreasuries)</f>
        <v>2.9975485912920874E-3</v>
      </c>
      <c r="U28" s="97">
        <f ca="1">_xll.COURBE.TAUX.FORWARD(oisCurve,$Q8,_xll.CALENDRIER.GAP.FINANCE($Q8,U$22,"USD","unadjusted",FALSE),cTreasuries)</f>
        <v>5.0256671365760397E-3</v>
      </c>
      <c r="V28" s="97">
        <f ca="1">_xll.COURBE.TAUX.FORWARD(oisCurve,$Q8,_xll.CALENDRIER.GAP.FINANCE($Q8,V$22,"USD","unadjusted",FALSE),cTreasuries)</f>
        <v>7.2285906015361334E-3</v>
      </c>
      <c r="W28" s="97">
        <f ca="1">_xll.COURBE.TAUX.FORWARD(oisCurve,$Q8,_xll.CALENDRIER.GAP.FINANCE($Q8,W$22,"USD","unadjusted",FALSE),cTreasuries)</f>
        <v>9.3771840728549272E-3</v>
      </c>
    </row>
    <row r="29" spans="2:25" x14ac:dyDescent="0.2">
      <c r="B29" s="77" t="s">
        <v>114</v>
      </c>
      <c r="C29" s="78" t="s">
        <v>121</v>
      </c>
      <c r="D29" s="78" t="s">
        <v>92</v>
      </c>
      <c r="E29" s="91">
        <f ca="1">_xll.CALENDRIER.GAP.FINANCE(pricingDate,D29,"USD","Unadjusted",FALSE)</f>
        <v>45472</v>
      </c>
      <c r="F29" s="79">
        <v>1.9699999999999999E-2</v>
      </c>
      <c r="G29" s="80">
        <f ca="1">_xll.COURBE.TAUX.ZERO(swapCurve,E29,cTreasuries)</f>
        <v>2.0347915954461726E-2</v>
      </c>
      <c r="I29" s="86" t="str">
        <f ca="1">_xll.INSTANCE.COURBE.INTERPOLEE("OIS_CURVE",pricingDate,"USD",N3:N27)</f>
        <v>OIS_CURVE#0024</v>
      </c>
      <c r="J29" s="83"/>
      <c r="K29" s="83"/>
      <c r="L29" s="83"/>
      <c r="M29" s="83"/>
      <c r="N29" s="85"/>
      <c r="Q29" s="8">
        <f t="shared" ref="Q29:Q38" ca="1" si="4">Q9</f>
        <v>41547</v>
      </c>
      <c r="R29" s="97">
        <f t="shared" ca="1" si="2"/>
        <v>1.8697326430019423E-3</v>
      </c>
      <c r="S29" s="97">
        <f ca="1">_xll.COURBE.TAUX.FORWARD(oisCurve,$Q9,_xll.CALENDRIER.GAP.FINANCE($Q9,S$22,"USD","unadjusted",FALSE),cTreasuries)</f>
        <v>2.4874089808681887E-3</v>
      </c>
      <c r="T29" s="97">
        <f ca="1">_xll.COURBE.TAUX.FORWARD(oisCurve,$Q9,_xll.CALENDRIER.GAP.FINANCE($Q9,T$22,"USD","unadjusted",FALSE),cTreasuries)</f>
        <v>3.6055273823065725E-3</v>
      </c>
      <c r="U29" s="97">
        <f ca="1">_xll.COURBE.TAUX.FORWARD(oisCurve,$Q9,_xll.CALENDRIER.GAP.FINANCE($Q9,U$22,"USD","unadjusted",FALSE),cTreasuries)</f>
        <v>5.8790431278787914E-3</v>
      </c>
      <c r="V29" s="97">
        <f ca="1">_xll.COURBE.TAUX.FORWARD(oisCurve,$Q9,_xll.CALENDRIER.GAP.FINANCE($Q9,V$22,"USD","unadjusted",FALSE),cTreasuries)</f>
        <v>8.135832787093733E-3</v>
      </c>
      <c r="W29" s="97">
        <f ca="1">_xll.COURBE.TAUX.FORWARD(oisCurve,$Q9,_xll.CALENDRIER.GAP.FINANCE($Q9,W$22,"USD","unadjusted",FALSE),cTreasuries)</f>
        <v>1.0287812765552573E-2</v>
      </c>
    </row>
    <row r="30" spans="2:25" x14ac:dyDescent="0.2">
      <c r="B30" s="77" t="s">
        <v>115</v>
      </c>
      <c r="C30" s="78" t="s">
        <v>121</v>
      </c>
      <c r="D30" s="78" t="s">
        <v>93</v>
      </c>
      <c r="E30" s="91">
        <f ca="1">_xll.CALENDRIER.GAP.FINANCE(pricingDate,D30,"USD","Unadjusted",FALSE)</f>
        <v>46567</v>
      </c>
      <c r="F30" s="79">
        <v>2.1739999999999999E-2</v>
      </c>
      <c r="G30" s="80">
        <f ca="1">_xll.COURBE.TAUX.ZERO(swapCurve,E30,cTreasuries)</f>
        <v>2.2626308111160842E-2</v>
      </c>
      <c r="Q30" s="8">
        <f t="shared" ca="1" si="4"/>
        <v>41638</v>
      </c>
      <c r="R30" s="97">
        <f t="shared" ca="1" si="2"/>
        <v>1.9175076313526773E-3</v>
      </c>
      <c r="S30" s="97">
        <f ca="1">_xll.COURBE.TAUX.FORWARD(oisCurve,$Q10,_xll.CALENDRIER.GAP.FINANCE($Q10,S$22,"USD","unadjusted",FALSE),cTreasuries)</f>
        <v>2.7035051490456041E-3</v>
      </c>
      <c r="T30" s="97">
        <f ca="1">_xll.COURBE.TAUX.FORWARD(oisCurve,$Q10,_xll.CALENDRIER.GAP.FINANCE($Q10,T$22,"USD","unadjusted",FALSE),cTreasuries)</f>
        <v>4.3872374355125032E-3</v>
      </c>
      <c r="U30" s="97">
        <f ca="1">_xll.COURBE.TAUX.FORWARD(oisCurve,$Q10,_xll.CALENDRIER.GAP.FINANCE($Q10,U$22,"USD","unadjusted",FALSE),cTreasuries)</f>
        <v>6.8058719756716179E-3</v>
      </c>
      <c r="V30" s="97">
        <f ca="1">_xll.COURBE.TAUX.FORWARD(oisCurve,$Q10,_xll.CALENDRIER.GAP.FINANCE($Q10,V$22,"USD","unadjusted",FALSE),cTreasuries)</f>
        <v>9.094162451911636E-3</v>
      </c>
      <c r="W30" s="97">
        <f ca="1">_xll.COURBE.TAUX.FORWARD(oisCurve,$Q10,_xll.CALENDRIER.GAP.FINANCE($Q10,W$22,"USD","unadjusted",FALSE),cTreasuries)</f>
        <v>1.1227435950194042E-2</v>
      </c>
    </row>
    <row r="31" spans="2:25" x14ac:dyDescent="0.2">
      <c r="B31" s="77" t="s">
        <v>116</v>
      </c>
      <c r="C31" s="78" t="s">
        <v>121</v>
      </c>
      <c r="D31" s="78" t="s">
        <v>94</v>
      </c>
      <c r="E31" s="91">
        <f ca="1">_xll.CALENDRIER.GAP.FINANCE(pricingDate,D31,"USD","Unadjusted",FALSE)</f>
        <v>48394</v>
      </c>
      <c r="F31" s="79">
        <v>2.3429999999999999E-2</v>
      </c>
      <c r="G31" s="80">
        <f ca="1">_xll.COURBE.TAUX.ZERO(swapCurve,E31,cTreasuries)</f>
        <v>2.4516346517348797E-2</v>
      </c>
      <c r="L31" s="88"/>
      <c r="M31" s="88"/>
      <c r="Q31" s="8">
        <f t="shared" ca="1" si="4"/>
        <v>41820</v>
      </c>
      <c r="R31" s="97">
        <f t="shared" ca="1" si="2"/>
        <v>2.0790777184682696E-3</v>
      </c>
      <c r="S31" s="97">
        <f ca="1">_xll.COURBE.TAUX.FORWARD(oisCurve,$Q11,_xll.CALENDRIER.GAP.FINANCE($Q11,S$22,"USD","unadjusted",FALSE),cTreasuries)</f>
        <v>3.6725249626630152E-3</v>
      </c>
      <c r="T31" s="97">
        <f ca="1">_xll.COURBE.TAUX.FORWARD(oisCurve,$Q11,_xll.CALENDRIER.GAP.FINANCE($Q11,T$22,"USD","unadjusted",FALSE),cTreasuries)</f>
        <v>6.3697134391604848E-3</v>
      </c>
      <c r="U31" s="97">
        <f ca="1">_xll.COURBE.TAUX.FORWARD(oisCurve,$Q11,_xll.CALENDRIER.GAP.FINANCE($Q11,U$22,"USD","unadjusted",FALSE),cTreasuries)</f>
        <v>8.8573856420408603E-3</v>
      </c>
      <c r="V31" s="97">
        <f ca="1">_xll.COURBE.TAUX.FORWARD(oisCurve,$Q11,_xll.CALENDRIER.GAP.FINANCE($Q11,V$22,"USD","unadjusted",FALSE),cTreasuries)</f>
        <v>1.113518546165615E-2</v>
      </c>
      <c r="W31" s="97">
        <f ca="1">_xll.COURBE.TAUX.FORWARD(oisCurve,$Q11,_xll.CALENDRIER.GAP.FINANCE($Q11,W$22,"USD","unadjusted",FALSE),cTreasuries)</f>
        <v>1.3170449615082624E-2</v>
      </c>
    </row>
    <row r="32" spans="2:25" x14ac:dyDescent="0.2">
      <c r="B32" s="77" t="s">
        <v>117</v>
      </c>
      <c r="C32" s="78" t="s">
        <v>121</v>
      </c>
      <c r="D32" s="78" t="s">
        <v>95</v>
      </c>
      <c r="E32" s="91">
        <f ca="1">_xll.CALENDRIER.GAP.FINANCE(pricingDate,D32,"USD","Unadjusted",FALSE)</f>
        <v>50220</v>
      </c>
      <c r="F32" s="79">
        <v>2.4235000000000003E-2</v>
      </c>
      <c r="G32" s="80">
        <f ca="1">_xll.COURBE.TAUX.ZERO(swapCurve,E32,cTreasuries)</f>
        <v>2.5394429212747038E-2</v>
      </c>
      <c r="L32" s="90"/>
      <c r="M32" s="90"/>
      <c r="Q32" s="8">
        <f t="shared" ca="1" si="4"/>
        <v>42184</v>
      </c>
      <c r="R32" s="97">
        <f t="shared" ca="1" si="2"/>
        <v>2.6067899210393541E-3</v>
      </c>
      <c r="S32" s="97">
        <f ca="1">_xll.COURBE.TAUX.FORWARD(oisCurve,$Q12,_xll.CALENDRIER.GAP.FINANCE($Q12,S$22,"USD","unadjusted",FALSE),cTreasuries)</f>
        <v>9.0510960868441792E-3</v>
      </c>
      <c r="T32" s="97">
        <f ca="1">_xll.COURBE.TAUX.FORWARD(oisCurve,$Q12,_xll.CALENDRIER.GAP.FINANCE($Q12,T$22,"USD","unadjusted",FALSE),cTreasuries)</f>
        <v>1.1441109710534914E-2</v>
      </c>
      <c r="U32" s="97">
        <f ca="1">_xll.COURBE.TAUX.FORWARD(oisCurve,$Q12,_xll.CALENDRIER.GAP.FINANCE($Q12,U$22,"USD","unadjusted",FALSE),cTreasuries)</f>
        <v>1.3616252557691944E-2</v>
      </c>
      <c r="V32" s="97">
        <f ca="1">_xll.COURBE.TAUX.FORWARD(oisCurve,$Q12,_xll.CALENDRIER.GAP.FINANCE($Q12,V$22,"USD","unadjusted",FALSE),cTreasuries)</f>
        <v>1.554049673349267E-2</v>
      </c>
      <c r="W32" s="97">
        <f ca="1">_xll.COURBE.TAUX.FORWARD(oisCurve,$Q12,_xll.CALENDRIER.GAP.FINANCE($Q12,W$22,"USD","unadjusted",FALSE),cTreasuries)</f>
        <v>1.7199850163814201E-2</v>
      </c>
    </row>
    <row r="33" spans="2:23" x14ac:dyDescent="0.2">
      <c r="B33" s="77" t="s">
        <v>118</v>
      </c>
      <c r="C33" s="78" t="s">
        <v>121</v>
      </c>
      <c r="D33" s="78" t="s">
        <v>96</v>
      </c>
      <c r="E33" s="91">
        <f ca="1">_xll.CALENDRIER.GAP.FINANCE(pricingDate,D33,"USD","Unadjusted",FALSE)</f>
        <v>52046</v>
      </c>
      <c r="F33" s="79">
        <v>2.4735E-2</v>
      </c>
      <c r="G33" s="80">
        <f ca="1">_xll.COURBE.TAUX.ZERO(swapCurve,E33,cTreasuries)</f>
        <v>2.5937466740705073E-2</v>
      </c>
      <c r="L33" s="90"/>
      <c r="M33" s="90"/>
      <c r="Q33" s="8">
        <f t="shared" ca="1" si="4"/>
        <v>42550</v>
      </c>
      <c r="R33" s="97">
        <f t="shared" ca="1" si="2"/>
        <v>4.2181672952099625E-3</v>
      </c>
      <c r="S33" s="97">
        <f ca="1">_xll.COURBE.TAUX.FORWARD(oisCurve,$Q13,_xll.CALENDRIER.GAP.FINANCE($Q13,S$22,"USD","unadjusted",FALSE),cTreasuries)</f>
        <v>1.3840643062211555E-2</v>
      </c>
      <c r="T33" s="97">
        <f ca="1">_xll.COURBE.TAUX.FORWARD(oisCurve,$Q13,_xll.CALENDRIER.GAP.FINANCE($Q13,T$22,"USD","unadjusted",FALSE),cTreasuries)</f>
        <v>1.5907500622977189E-2</v>
      </c>
      <c r="U33" s="97">
        <f ca="1">_xll.COURBE.TAUX.FORWARD(oisCurve,$Q13,_xll.CALENDRIER.GAP.FINANCE($Q13,U$22,"USD","unadjusted",FALSE),cTreasuries)</f>
        <v>1.7712313386116119E-2</v>
      </c>
      <c r="V33" s="97">
        <f ca="1">_xll.COURBE.TAUX.FORWARD(oisCurve,$Q13,_xll.CALENDRIER.GAP.FINANCE($Q13,V$22,"USD","unadjusted",FALSE),cTreasuries)</f>
        <v>1.9245042797744638E-2</v>
      </c>
      <c r="W33" s="97">
        <f ca="1">_xll.COURBE.TAUX.FORWARD(oisCurve,$Q13,_xll.CALENDRIER.GAP.FINANCE($Q13,W$22,"USD","unadjusted",FALSE),cTreasuries)</f>
        <v>2.056412665284979E-2</v>
      </c>
    </row>
    <row r="34" spans="2:23" x14ac:dyDescent="0.2">
      <c r="B34" s="77" t="s">
        <v>119</v>
      </c>
      <c r="C34" s="78" t="s">
        <v>121</v>
      </c>
      <c r="D34" s="78" t="s">
        <v>123</v>
      </c>
      <c r="E34" s="91">
        <f ca="1">_xll.CALENDRIER.GAP.FINANCE(pricingDate,D34,"USD","Unadjusted",FALSE)</f>
        <v>55699</v>
      </c>
      <c r="F34" s="79">
        <v>2.4855000000000002E-2</v>
      </c>
      <c r="G34" s="80">
        <f ca="1">_xll.COURBE.TAUX.ZERO(swapCurve,E34,cTreasuries)</f>
        <v>2.5808872997635124E-2</v>
      </c>
      <c r="L34" s="90"/>
      <c r="M34" s="90"/>
      <c r="Q34" s="8">
        <f t="shared" ca="1" si="4"/>
        <v>42915</v>
      </c>
      <c r="R34" s="97">
        <f t="shared" ca="1" si="2"/>
        <v>6.1368360476516948E-3</v>
      </c>
      <c r="S34" s="97">
        <f ca="1">_xll.COURBE.TAUX.FORWARD(oisCurve,$Q14,_xll.CALENDRIER.GAP.FINANCE($Q14,S$22,"USD","unadjusted",FALSE),cTreasuries)</f>
        <v>1.7973597298104327E-2</v>
      </c>
      <c r="T34" s="97">
        <f ca="1">_xll.COURBE.TAUX.FORWARD(oisCurve,$Q14,_xll.CALENDRIER.GAP.FINANCE($Q14,T$22,"USD","unadjusted",FALSE),cTreasuries)</f>
        <v>1.9648238449949673E-2</v>
      </c>
      <c r="U34" s="97">
        <f ca="1">_xll.COURBE.TAUX.FORWARD(oisCurve,$Q14,_xll.CALENDRIER.GAP.FINANCE($Q14,U$22,"USD","unadjusted",FALSE),cTreasuries)</f>
        <v>2.1046380225334005E-2</v>
      </c>
      <c r="V34" s="97">
        <f ca="1">_xll.COURBE.TAUX.FORWARD(oisCurve,$Q14,_xll.CALENDRIER.GAP.FINANCE($Q14,V$22,"USD","unadjusted",FALSE),cTreasuries)</f>
        <v>2.2246155848780091E-2</v>
      </c>
      <c r="W34" s="97">
        <f ca="1">_xll.COURBE.TAUX.FORWARD(oisCurve,$Q14,_xll.CALENDRIER.GAP.FINANCE($Q14,W$22,"USD","unadjusted",FALSE),cTreasuries)</f>
        <v>2.3286697954240321E-2</v>
      </c>
    </row>
    <row r="35" spans="2:23" x14ac:dyDescent="0.2">
      <c r="B35" s="77" t="s">
        <v>120</v>
      </c>
      <c r="C35" s="78" t="s">
        <v>121</v>
      </c>
      <c r="D35" s="78" t="s">
        <v>124</v>
      </c>
      <c r="E35" s="91">
        <f ca="1">_xll.CALENDRIER.GAP.FINANCE(pricingDate,D35,"USD","Unadjusted",FALSE)</f>
        <v>59351</v>
      </c>
      <c r="F35" s="79">
        <v>2.4729999999999999E-2</v>
      </c>
      <c r="G35" s="80">
        <f ca="1">_xll.COURBE.TAUX.ZERO(swapCurve,E35,cTreasuries)</f>
        <v>2.5388308674025861E-2</v>
      </c>
      <c r="L35" s="90"/>
      <c r="M35" s="90"/>
      <c r="Q35" s="8">
        <f t="shared" ca="1" si="4"/>
        <v>43280</v>
      </c>
      <c r="R35" s="97">
        <f t="shared" ca="1" si="2"/>
        <v>8.1052539951964597E-3</v>
      </c>
      <c r="S35" s="97">
        <f ca="1">_xll.COURBE.TAUX.FORWARD(oisCurve,$Q15,_xll.CALENDRIER.GAP.FINANCE($Q15,S$22,"USD","unadjusted",FALSE),cTreasuries)</f>
        <v>2.132426932413356E-2</v>
      </c>
      <c r="T35" s="97">
        <f ca="1">_xll.COURBE.TAUX.FORWARD(oisCurve,$Q15,_xll.CALENDRIER.GAP.FINANCE($Q15,T$22,"USD","unadjusted",FALSE),cTreasuries)</f>
        <v>2.2583455392501506E-2</v>
      </c>
      <c r="U35" s="97">
        <f ca="1">_xll.COURBE.TAUX.FORWARD(oisCurve,$Q15,_xll.CALENDRIER.GAP.FINANCE($Q15,U$22,"USD","unadjusted",FALSE),cTreasuries)</f>
        <v>2.3672351328010155E-2</v>
      </c>
      <c r="V35" s="97">
        <f ca="1">_xll.COURBE.TAUX.FORWARD(oisCurve,$Q15,_xll.CALENDRIER.GAP.FINANCE($Q15,V$22,"USD","unadjusted",FALSE),cTreasuries)</f>
        <v>2.4617157431956915E-2</v>
      </c>
      <c r="W35" s="97">
        <f ca="1">_xll.COURBE.TAUX.FORWARD(oisCurve,$Q15,_xll.CALENDRIER.GAP.FINANCE($Q15,W$22,"USD","unadjusted",FALSE),cTreasuries)</f>
        <v>2.5434755522221852E-2</v>
      </c>
    </row>
    <row r="36" spans="2:23" x14ac:dyDescent="0.2">
      <c r="B36" s="77"/>
      <c r="C36" s="78"/>
      <c r="D36" s="78"/>
      <c r="E36" s="78"/>
      <c r="F36" s="79"/>
      <c r="G36" s="80"/>
      <c r="L36" s="90"/>
      <c r="M36" s="90"/>
      <c r="N36" s="441"/>
      <c r="Q36" s="8">
        <f t="shared" ca="1" si="4"/>
        <v>43647</v>
      </c>
      <c r="R36" s="97">
        <f t="shared" ca="1" si="2"/>
        <v>9.9986544663073218E-3</v>
      </c>
      <c r="S36" s="97">
        <f ca="1">_xll.COURBE.TAUX.FORWARD(oisCurve,$Q16,_xll.CALENDRIER.GAP.FINANCE($Q16,S$22,"USD","unadjusted",FALSE),cTreasuries)</f>
        <v>2.3854068764214809E-2</v>
      </c>
      <c r="T36" s="97">
        <f ca="1">_xll.COURBE.TAUX.FORWARD(oisCurve,$Q16,_xll.CALENDRIER.GAP.FINANCE($Q16,T$22,"USD","unadjusted",FALSE),cTreasuries)</f>
        <v>2.4858428517099185E-2</v>
      </c>
      <c r="U36" s="97">
        <f ca="1">_xll.COURBE.TAUX.FORWARD(oisCurve,$Q16,_xll.CALENDRIER.GAP.FINANCE($Q16,U$22,"USD","unadjusted",FALSE),cTreasuries)</f>
        <v>2.5725962399274049E-2</v>
      </c>
      <c r="V36" s="97">
        <f ca="1">_xll.COURBE.TAUX.FORWARD(oisCurve,$Q16,_xll.CALENDRIER.GAP.FINANCE($Q16,V$22,"USD","unadjusted",FALSE),cTreasuries)</f>
        <v>2.6472617154845057E-2</v>
      </c>
      <c r="W36" s="97">
        <f ca="1">_xll.COURBE.TAUX.FORWARD(oisCurve,$Q16,_xll.CALENDRIER.GAP.FINANCE($Q16,W$22,"USD","unadjusted",FALSE),cTreasuries)</f>
        <v>2.7099684460359263E-2</v>
      </c>
    </row>
    <row r="37" spans="2:23" x14ac:dyDescent="0.2">
      <c r="B37" s="77" t="s">
        <v>97</v>
      </c>
      <c r="C37" s="78"/>
      <c r="D37" s="78"/>
      <c r="E37" s="78"/>
      <c r="F37" s="79"/>
      <c r="G37" s="92">
        <v>8.9800000000000001E-3</v>
      </c>
      <c r="L37" s="90"/>
      <c r="M37" s="90"/>
      <c r="Q37" s="8">
        <f t="shared" ca="1" si="4"/>
        <v>44011</v>
      </c>
      <c r="R37" s="97">
        <f t="shared" ca="1" si="2"/>
        <v>1.1717574361777672E-2</v>
      </c>
      <c r="S37" s="97">
        <f ca="1">_xll.COURBE.TAUX.FORWARD(oisCurve,$Q17,_xll.CALENDRIER.GAP.FINANCE($Q17,S$22,"USD","unadjusted",FALSE),cTreasuries)</f>
        <v>2.5856462950858639E-2</v>
      </c>
      <c r="T37" s="97">
        <f ca="1">_xll.COURBE.TAUX.FORWARD(oisCurve,$Q17,_xll.CALENDRIER.GAP.FINANCE($Q17,T$22,"USD","unadjusted",FALSE),cTreasuries)</f>
        <v>2.6655742165947238E-2</v>
      </c>
      <c r="U37" s="97">
        <f ca="1">_xll.COURBE.TAUX.FORWARD(oisCurve,$Q17,_xll.CALENDRIER.GAP.FINANCE($Q17,U$22,"USD","unadjusted",FALSE),cTreasuries)</f>
        <v>2.7340065185839979E-2</v>
      </c>
      <c r="V37" s="97">
        <f ca="1">_xll.COURBE.TAUX.FORWARD(oisCurve,$Q17,_xll.CALENDRIER.GAP.FINANCE($Q17,V$22,"USD","unadjusted",FALSE),cTreasuries)</f>
        <v>2.7906209059635589E-2</v>
      </c>
      <c r="W37" s="97">
        <f ca="1">_xll.COURBE.TAUX.FORWARD(oisCurve,$Q17,_xll.CALENDRIER.GAP.FINANCE($Q17,W$22,"USD","unadjusted",FALSE),cTreasuries)</f>
        <v>2.8334454786064001E-2</v>
      </c>
    </row>
    <row r="38" spans="2:23" x14ac:dyDescent="0.2">
      <c r="B38" s="77" t="s">
        <v>98</v>
      </c>
      <c r="C38" s="78"/>
      <c r="D38" s="78"/>
      <c r="E38" s="78"/>
      <c r="F38" s="79"/>
      <c r="G38" s="92">
        <v>0.03</v>
      </c>
      <c r="Q38" s="8">
        <f t="shared" ca="1" si="4"/>
        <v>44376</v>
      </c>
      <c r="R38" s="97">
        <f t="shared" ca="1" si="2"/>
        <v>1.3281737046431541E-2</v>
      </c>
      <c r="S38" s="97">
        <f ca="1">_xll.COURBE.TAUX.FORWARD(oisCurve,$Q18,_xll.CALENDRIER.GAP.FINANCE($Q18,S$22,"USD","unadjusted",FALSE),cTreasuries)</f>
        <v>2.7454223217179941E-2</v>
      </c>
      <c r="T38" s="97">
        <f ca="1">_xll.COURBE.TAUX.FORWARD(oisCurve,$Q18,_xll.CALENDRIER.GAP.FINANCE($Q18,T$22,"USD","unadjusted",FALSE),cTreasuries)</f>
        <v>2.808124010742663E-2</v>
      </c>
      <c r="U38" s="97">
        <f ca="1">_xll.COURBE.TAUX.FORWARD(oisCurve,$Q18,_xll.CALENDRIER.GAP.FINANCE($Q18,U$22,"USD","unadjusted",FALSE),cTreasuries)</f>
        <v>2.8588649648586983E-2</v>
      </c>
      <c r="V38" s="97">
        <f ca="1">_xll.COURBE.TAUX.FORWARD(oisCurve,$Q18,_xll.CALENDRIER.GAP.FINANCE($Q18,V$22,"USD","unadjusted",FALSE),cTreasuries)</f>
        <v>2.8953562869279192E-2</v>
      </c>
      <c r="W38" s="97">
        <f ca="1">_xll.COURBE.TAUX.FORWARD(oisCurve,$Q18,_xll.CALENDRIER.GAP.FINANCE($Q18,W$22,"USD","unadjusted",FALSE),cTreasuries)</f>
        <v>2.9172156678715755E-2</v>
      </c>
    </row>
    <row r="39" spans="2:23" x14ac:dyDescent="0.2">
      <c r="B39" s="86" t="str">
        <f ca="1">_xll.INSTANCE.COURBE.SWAP.UNITED.STATES("SWAP_CURVE",TODAY(),C3:C35,D3:D35,F3:F35,G37,G38,libor3M)</f>
        <v>SWAP_CURVE#0022</v>
      </c>
      <c r="C39" s="82"/>
      <c r="D39" s="83"/>
      <c r="E39" s="83"/>
      <c r="F39" s="83"/>
      <c r="G39" s="85"/>
      <c r="Q39" s="8">
        <f t="shared" ca="1" si="3"/>
        <v>44741</v>
      </c>
      <c r="R39" s="97">
        <f t="shared" ca="1" si="2"/>
        <v>1.4694712856806014E-2</v>
      </c>
      <c r="S39" s="97">
        <f ca="1">_xll.COURBE.TAUX.FORWARD(oisCurve,$Q19,_xll.CALENDRIER.GAP.FINANCE($Q19,S$22,"USD","unadjusted",FALSE),cTreasuries)</f>
        <v>2.8708450910895245E-2</v>
      </c>
      <c r="T39" s="97">
        <f ca="1">_xll.COURBE.TAUX.FORWARD(oisCurve,$Q19,_xll.CALENDRIER.GAP.FINANCE($Q19,T$22,"USD","unadjusted",FALSE),cTreasuries)</f>
        <v>2.9155706055613351E-2</v>
      </c>
      <c r="U39" s="97">
        <f ca="1">_xll.COURBE.TAUX.FORWARD(oisCurve,$Q19,_xll.CALENDRIER.GAP.FINANCE($Q19,U$22,"USD","unadjusted",FALSE),cTreasuries)</f>
        <v>2.9453589110437495E-2</v>
      </c>
      <c r="V39" s="97">
        <f ca="1">_xll.COURBE.TAUX.FORWARD(oisCurve,$Q19,_xll.CALENDRIER.GAP.FINANCE($Q19,V$22,"USD","unadjusted",FALSE),cTreasuries)</f>
        <v>2.9601867443687091E-2</v>
      </c>
      <c r="W39" s="97">
        <f ca="1">_xll.COURBE.TAUX.FORWARD(oisCurve,$Q19,_xll.CALENDRIER.GAP.FINANCE($Q19,W$22,"USD","unadjusted",FALSE),cTreasuries)</f>
        <v>2.9617071369349546E-2</v>
      </c>
    </row>
    <row r="40" spans="2:23" x14ac:dyDescent="0.2">
      <c r="I40" s="89"/>
      <c r="J40" s="88"/>
      <c r="K40" s="90"/>
    </row>
    <row r="41" spans="2:23" x14ac:dyDescent="0.2">
      <c r="B41" s="1" t="s">
        <v>966</v>
      </c>
      <c r="I41" s="1" t="s">
        <v>966</v>
      </c>
    </row>
    <row r="42" spans="2:23" x14ac:dyDescent="0.2">
      <c r="B42" s="156" t="str">
        <f ca="1">_xll.INSTANCE.INDEX.IBOR("US0003M",C42,"3M",2,"USD LIBOR","following",FALSE,"ACT/360")</f>
        <v>US0003M#0024</v>
      </c>
      <c r="C42" s="157" t="str">
        <f ca="1">_xll.INSTANCE.SERIE.TEMPORELLE("H_US0003M",B43,D43,TODAY())</f>
        <v>H_US0003M#0024</v>
      </c>
      <c r="D42" s="158"/>
      <c r="E42" s="88"/>
      <c r="I42" s="156" t="str">
        <f ca="1">_xll.INSTANCE.INDEX.OVERNIGHT("FEDL01",J42,0,"USD","ACT/360",)</f>
        <v>FEDL01#0024</v>
      </c>
      <c r="J42" s="157" t="str">
        <f ca="1">_xll.INSTANCE.SERIE.TEMPORELLE("H_FEDL01",I43:I44,K43:K44,TODAY())</f>
        <v>H_FEDL01#0024</v>
      </c>
      <c r="K42" s="158"/>
    </row>
    <row r="43" spans="2:23" x14ac:dyDescent="0.2">
      <c r="B43" s="159">
        <v>41088</v>
      </c>
      <c r="C43" s="134">
        <v>0.46060000000000001</v>
      </c>
      <c r="D43" s="160">
        <f ca="1">IF(C43="","",C43/100)</f>
        <v>4.6059999999999999E-3</v>
      </c>
      <c r="E43" s="90"/>
      <c r="I43" s="159">
        <v>41087</v>
      </c>
      <c r="J43" s="134">
        <v>0.15</v>
      </c>
      <c r="K43" s="160">
        <f t="shared" ref="K43:K48" si="5">IF(J43="","",J43/100)</f>
        <v>1.5E-3</v>
      </c>
    </row>
    <row r="44" spans="2:23" x14ac:dyDescent="0.2">
      <c r="B44" s="159">
        <v>41087</v>
      </c>
      <c r="C44" s="134">
        <v>0.46060000000000001</v>
      </c>
      <c r="D44" s="160">
        <f t="shared" ref="D44:D50" si="6">IF(C44="","",C44/100)</f>
        <v>4.6059999999999999E-3</v>
      </c>
      <c r="E44" s="90"/>
      <c r="I44" s="159">
        <v>41086</v>
      </c>
      <c r="J44" s="134">
        <v>0.16</v>
      </c>
      <c r="K44" s="160">
        <f t="shared" si="5"/>
        <v>1.6000000000000001E-3</v>
      </c>
    </row>
    <row r="45" spans="2:23" x14ac:dyDescent="0.2">
      <c r="B45" s="159">
        <v>41086</v>
      </c>
      <c r="C45" s="134">
        <v>0.46060000000000001</v>
      </c>
      <c r="D45" s="160">
        <f t="shared" si="6"/>
        <v>4.6059999999999999E-3</v>
      </c>
      <c r="E45" s="90"/>
      <c r="I45" s="159">
        <v>41085</v>
      </c>
      <c r="J45" s="134">
        <v>0.17</v>
      </c>
      <c r="K45" s="160">
        <f t="shared" si="5"/>
        <v>1.7000000000000001E-3</v>
      </c>
    </row>
    <row r="46" spans="2:23" x14ac:dyDescent="0.2">
      <c r="B46" s="159">
        <v>41085</v>
      </c>
      <c r="C46" s="134">
        <v>0.46060000000000001</v>
      </c>
      <c r="D46" s="160">
        <f t="shared" si="6"/>
        <v>4.6059999999999999E-3</v>
      </c>
      <c r="E46" s="90"/>
      <c r="I46" s="159">
        <v>41082</v>
      </c>
      <c r="J46" s="134">
        <v>0.17</v>
      </c>
      <c r="K46" s="160">
        <f t="shared" si="5"/>
        <v>1.7000000000000001E-3</v>
      </c>
    </row>
    <row r="47" spans="2:23" x14ac:dyDescent="0.2">
      <c r="B47" s="159">
        <v>41082</v>
      </c>
      <c r="C47" s="134">
        <v>0.46160000000000001</v>
      </c>
      <c r="D47" s="160">
        <f t="shared" si="6"/>
        <v>4.6160000000000003E-3</v>
      </c>
      <c r="E47" s="90"/>
      <c r="I47" s="159">
        <v>41081</v>
      </c>
      <c r="J47" s="134">
        <v>0.17</v>
      </c>
      <c r="K47" s="160">
        <f t="shared" si="5"/>
        <v>1.7000000000000001E-3</v>
      </c>
    </row>
    <row r="48" spans="2:23" x14ac:dyDescent="0.2">
      <c r="B48" s="159">
        <v>41081</v>
      </c>
      <c r="C48" s="134">
        <v>0.46760000000000002</v>
      </c>
      <c r="D48" s="160">
        <f t="shared" si="6"/>
        <v>4.6760000000000005E-3</v>
      </c>
      <c r="E48" s="90"/>
      <c r="I48" s="161">
        <v>41080</v>
      </c>
      <c r="J48" s="162">
        <v>0.16</v>
      </c>
      <c r="K48" s="163">
        <f t="shared" si="5"/>
        <v>1.6000000000000001E-3</v>
      </c>
    </row>
    <row r="49" spans="2:18" x14ac:dyDescent="0.2">
      <c r="B49" s="159">
        <v>41080</v>
      </c>
      <c r="C49" s="134">
        <v>0.46760000000000002</v>
      </c>
      <c r="D49" s="160">
        <f t="shared" si="6"/>
        <v>4.6760000000000005E-3</v>
      </c>
    </row>
    <row r="50" spans="2:18" x14ac:dyDescent="0.2">
      <c r="B50" s="161">
        <v>41079</v>
      </c>
      <c r="C50" s="162">
        <v>0.46784999999999999</v>
      </c>
      <c r="D50" s="163">
        <f t="shared" si="6"/>
        <v>4.6784999999999995E-3</v>
      </c>
    </row>
    <row r="51" spans="2:18" x14ac:dyDescent="0.2">
      <c r="B51" s="89"/>
      <c r="C51" s="88"/>
      <c r="D51" s="90"/>
    </row>
    <row r="52" spans="2:18" x14ac:dyDescent="0.2">
      <c r="B52" s="89"/>
      <c r="C52" s="88"/>
      <c r="D52" s="90"/>
    </row>
    <row r="64" spans="2:18" x14ac:dyDescent="0.2">
      <c r="Q64" s="8"/>
      <c r="R64" s="211"/>
    </row>
    <row r="65" spans="17:18" x14ac:dyDescent="0.2">
      <c r="Q65" s="8"/>
      <c r="R65" s="211"/>
    </row>
    <row r="66" spans="17:18" x14ac:dyDescent="0.2">
      <c r="Q66" s="8"/>
      <c r="R66" s="211"/>
    </row>
    <row r="67" spans="17:18" x14ac:dyDescent="0.2">
      <c r="Q67" s="8"/>
      <c r="R67" s="211"/>
    </row>
    <row r="68" spans="17:18" x14ac:dyDescent="0.2">
      <c r="Q68" s="8"/>
      <c r="R68" s="211"/>
    </row>
    <row r="69" spans="17:18" x14ac:dyDescent="0.2">
      <c r="Q69" s="8"/>
      <c r="R69" s="211"/>
    </row>
    <row r="70" spans="17:18" x14ac:dyDescent="0.2">
      <c r="Q70" s="8"/>
      <c r="R70" s="211"/>
    </row>
    <row r="71" spans="17:18" x14ac:dyDescent="0.2">
      <c r="Q71" s="8"/>
      <c r="R71" s="211"/>
    </row>
    <row r="72" spans="17:18" x14ac:dyDescent="0.2">
      <c r="Q72" s="8"/>
      <c r="R72" s="211"/>
    </row>
    <row r="73" spans="17:18" x14ac:dyDescent="0.2">
      <c r="Q73" s="8"/>
      <c r="R73" s="211"/>
    </row>
    <row r="74" spans="17:18" x14ac:dyDescent="0.2">
      <c r="Q74" s="8"/>
      <c r="R74" s="211"/>
    </row>
    <row r="75" spans="17:18" x14ac:dyDescent="0.2">
      <c r="Q75" s="8"/>
      <c r="R75" s="211"/>
    </row>
    <row r="76" spans="17:18" x14ac:dyDescent="0.2">
      <c r="Q76" s="8"/>
      <c r="R76" s="211"/>
    </row>
    <row r="77" spans="17:18" x14ac:dyDescent="0.2">
      <c r="Q77" s="8"/>
      <c r="R77" s="211"/>
    </row>
    <row r="78" spans="17:18" x14ac:dyDescent="0.2">
      <c r="Q78" s="8"/>
      <c r="R78" s="211"/>
    </row>
    <row r="79" spans="17:18" x14ac:dyDescent="0.2">
      <c r="Q79" s="8"/>
      <c r="R79" s="211"/>
    </row>
    <row r="80" spans="17:18" x14ac:dyDescent="0.2">
      <c r="Q80" s="8"/>
      <c r="R80" s="211"/>
    </row>
    <row r="81" spans="17:18" x14ac:dyDescent="0.2">
      <c r="Q81" s="8"/>
      <c r="R81" s="211"/>
    </row>
    <row r="82" spans="17:18" x14ac:dyDescent="0.2">
      <c r="Q82" s="8"/>
      <c r="R82" s="211"/>
    </row>
    <row r="83" spans="17:18" x14ac:dyDescent="0.2">
      <c r="Q83" s="8"/>
      <c r="R83" s="211"/>
    </row>
    <row r="84" spans="17:18" x14ac:dyDescent="0.2">
      <c r="Q84" s="8"/>
      <c r="R84" s="211"/>
    </row>
    <row r="85" spans="17:18" x14ac:dyDescent="0.2">
      <c r="Q85" s="8"/>
      <c r="R85" s="211"/>
    </row>
    <row r="86" spans="17:18" x14ac:dyDescent="0.2">
      <c r="Q86" s="8"/>
      <c r="R86" s="211"/>
    </row>
    <row r="87" spans="17:18" x14ac:dyDescent="0.2">
      <c r="Q87" s="8"/>
      <c r="R87" s="211"/>
    </row>
    <row r="88" spans="17:18" x14ac:dyDescent="0.2">
      <c r="Q88" s="8"/>
      <c r="R88" s="211"/>
    </row>
    <row r="89" spans="17:18" x14ac:dyDescent="0.2">
      <c r="Q89" s="8"/>
      <c r="R89" s="211"/>
    </row>
    <row r="90" spans="17:18" x14ac:dyDescent="0.2">
      <c r="Q90" s="8"/>
      <c r="R90" s="211"/>
    </row>
    <row r="91" spans="17:18" x14ac:dyDescent="0.2">
      <c r="Q91" s="8"/>
      <c r="R91" s="211"/>
    </row>
    <row r="92" spans="17:18" x14ac:dyDescent="0.2">
      <c r="Q92" s="8"/>
      <c r="R92" s="211"/>
    </row>
    <row r="93" spans="17:18" x14ac:dyDescent="0.2">
      <c r="Q93" s="8"/>
      <c r="R93" s="211"/>
    </row>
    <row r="94" spans="17:18" x14ac:dyDescent="0.2">
      <c r="Q94" s="8"/>
      <c r="R94" s="211"/>
    </row>
    <row r="95" spans="17:18" x14ac:dyDescent="0.2">
      <c r="Q95" s="8"/>
      <c r="R95" s="211"/>
    </row>
    <row r="96" spans="17:18" x14ac:dyDescent="0.2">
      <c r="Q96" s="8"/>
      <c r="R96" s="211"/>
    </row>
    <row r="97" spans="17:18" x14ac:dyDescent="0.2">
      <c r="Q97" s="8"/>
      <c r="R97" s="211"/>
    </row>
    <row r="98" spans="17:18" x14ac:dyDescent="0.2">
      <c r="Q98" s="8"/>
      <c r="R98" s="211"/>
    </row>
    <row r="99" spans="17:18" x14ac:dyDescent="0.2">
      <c r="Q99" s="8"/>
      <c r="R99" s="211"/>
    </row>
    <row r="100" spans="17:18" x14ac:dyDescent="0.2">
      <c r="Q100" s="8"/>
      <c r="R100" s="211"/>
    </row>
    <row r="101" spans="17:18" x14ac:dyDescent="0.2">
      <c r="Q101" s="8"/>
      <c r="R101" s="211"/>
    </row>
    <row r="102" spans="17:18" x14ac:dyDescent="0.2">
      <c r="Q102" s="8"/>
      <c r="R102" s="211"/>
    </row>
    <row r="103" spans="17:18" x14ac:dyDescent="0.2">
      <c r="Q103" s="8"/>
      <c r="R103" s="211"/>
    </row>
    <row r="104" spans="17:18" x14ac:dyDescent="0.2">
      <c r="Q104" s="8"/>
      <c r="R104" s="211"/>
    </row>
    <row r="105" spans="17:18" x14ac:dyDescent="0.2">
      <c r="Q105" s="8"/>
      <c r="R105" s="211"/>
    </row>
    <row r="106" spans="17:18" x14ac:dyDescent="0.2">
      <c r="Q106" s="8"/>
      <c r="R106" s="211"/>
    </row>
    <row r="107" spans="17:18" x14ac:dyDescent="0.2">
      <c r="Q107" s="8"/>
      <c r="R107" s="211"/>
    </row>
    <row r="108" spans="17:18" x14ac:dyDescent="0.2">
      <c r="Q108" s="8"/>
      <c r="R108" s="211"/>
    </row>
    <row r="109" spans="17:18" x14ac:dyDescent="0.2">
      <c r="Q109" s="8"/>
      <c r="R109" s="211"/>
    </row>
    <row r="110" spans="17:18" x14ac:dyDescent="0.2">
      <c r="Q110" s="8"/>
      <c r="R110" s="211"/>
    </row>
    <row r="111" spans="17:18" x14ac:dyDescent="0.2">
      <c r="Q111" s="8"/>
      <c r="R111" s="211"/>
    </row>
    <row r="112" spans="17:18" x14ac:dyDescent="0.2">
      <c r="Q112" s="8"/>
      <c r="R112" s="211"/>
    </row>
    <row r="113" spans="17:18" x14ac:dyDescent="0.2">
      <c r="Q113" s="8"/>
      <c r="R113" s="211"/>
    </row>
    <row r="114" spans="17:18" x14ac:dyDescent="0.2">
      <c r="Q114" s="8"/>
      <c r="R114" s="211"/>
    </row>
    <row r="115" spans="17:18" x14ac:dyDescent="0.2">
      <c r="Q115" s="8"/>
      <c r="R115" s="211"/>
    </row>
    <row r="116" spans="17:18" x14ac:dyDescent="0.2">
      <c r="Q116" s="8"/>
      <c r="R116" s="211"/>
    </row>
    <row r="117" spans="17:18" x14ac:dyDescent="0.2">
      <c r="Q117" s="8"/>
      <c r="R117" s="211"/>
    </row>
    <row r="118" spans="17:18" x14ac:dyDescent="0.2">
      <c r="Q118" s="8"/>
      <c r="R118" s="211"/>
    </row>
    <row r="119" spans="17:18" x14ac:dyDescent="0.2">
      <c r="Q119" s="8"/>
      <c r="R119" s="211"/>
    </row>
    <row r="120" spans="17:18" x14ac:dyDescent="0.2">
      <c r="Q120" s="8"/>
      <c r="R120" s="211"/>
    </row>
    <row r="121" spans="17:18" x14ac:dyDescent="0.2">
      <c r="Q121" s="8"/>
      <c r="R121" s="211"/>
    </row>
    <row r="122" spans="17:18" x14ac:dyDescent="0.2">
      <c r="Q122" s="8"/>
      <c r="R122" s="211"/>
    </row>
    <row r="123" spans="17:18" x14ac:dyDescent="0.2">
      <c r="Q123" s="8"/>
      <c r="R123" s="211"/>
    </row>
    <row r="124" spans="17:18" x14ac:dyDescent="0.2">
      <c r="Q124" s="8"/>
      <c r="R124" s="211"/>
    </row>
    <row r="125" spans="17:18" x14ac:dyDescent="0.2">
      <c r="Q125" s="8"/>
      <c r="R125" s="211"/>
    </row>
    <row r="126" spans="17:18" x14ac:dyDescent="0.2">
      <c r="Q126" s="8"/>
      <c r="R126" s="211"/>
    </row>
    <row r="127" spans="17:18" x14ac:dyDescent="0.2">
      <c r="Q127" s="8"/>
      <c r="R127" s="211"/>
    </row>
    <row r="128" spans="17:18" x14ac:dyDescent="0.2">
      <c r="Q128" s="8"/>
      <c r="R128" s="211"/>
    </row>
    <row r="129" spans="17:18" x14ac:dyDescent="0.2">
      <c r="Q129" s="8"/>
      <c r="R129" s="211"/>
    </row>
    <row r="130" spans="17:18" x14ac:dyDescent="0.2">
      <c r="Q130" s="8"/>
      <c r="R130" s="211"/>
    </row>
    <row r="131" spans="17:18" x14ac:dyDescent="0.2">
      <c r="Q131" s="8"/>
      <c r="R131" s="211"/>
    </row>
    <row r="132" spans="17:18" x14ac:dyDescent="0.2">
      <c r="Q132" s="8"/>
      <c r="R132" s="211"/>
    </row>
    <row r="133" spans="17:18" x14ac:dyDescent="0.2">
      <c r="Q133" s="8"/>
      <c r="R133" s="211"/>
    </row>
    <row r="134" spans="17:18" x14ac:dyDescent="0.2">
      <c r="Q134" s="8"/>
      <c r="R134" s="211"/>
    </row>
    <row r="135" spans="17:18" x14ac:dyDescent="0.2">
      <c r="Q135" s="8"/>
      <c r="R135" s="211"/>
    </row>
    <row r="136" spans="17:18" x14ac:dyDescent="0.2">
      <c r="Q136" s="8"/>
      <c r="R136" s="211"/>
    </row>
    <row r="137" spans="17:18" x14ac:dyDescent="0.2">
      <c r="Q137" s="8"/>
      <c r="R137" s="211"/>
    </row>
    <row r="138" spans="17:18" x14ac:dyDescent="0.2">
      <c r="Q138" s="8"/>
      <c r="R138" s="211"/>
    </row>
    <row r="139" spans="17:18" x14ac:dyDescent="0.2">
      <c r="Q139" s="8"/>
      <c r="R139" s="211"/>
    </row>
    <row r="140" spans="17:18" x14ac:dyDescent="0.2">
      <c r="Q140" s="8"/>
      <c r="R140" s="211"/>
    </row>
    <row r="141" spans="17:18" x14ac:dyDescent="0.2">
      <c r="Q141" s="8"/>
      <c r="R141" s="211"/>
    </row>
    <row r="142" spans="17:18" x14ac:dyDescent="0.2">
      <c r="Q142" s="8"/>
      <c r="R142" s="211"/>
    </row>
    <row r="143" spans="17:18" x14ac:dyDescent="0.2">
      <c r="Q143" s="8"/>
      <c r="R143" s="211"/>
    </row>
    <row r="144" spans="17:18" x14ac:dyDescent="0.2">
      <c r="Q144" s="8"/>
      <c r="R144" s="211"/>
    </row>
    <row r="145" spans="17:18" x14ac:dyDescent="0.2">
      <c r="Q145" s="8"/>
      <c r="R145" s="211"/>
    </row>
    <row r="146" spans="17:18" x14ac:dyDescent="0.2">
      <c r="Q146" s="8"/>
      <c r="R146" s="211"/>
    </row>
    <row r="147" spans="17:18" x14ac:dyDescent="0.2">
      <c r="Q147" s="8"/>
      <c r="R147" s="211"/>
    </row>
    <row r="148" spans="17:18" x14ac:dyDescent="0.2">
      <c r="Q148" s="8"/>
      <c r="R148" s="211"/>
    </row>
    <row r="149" spans="17:18" x14ac:dyDescent="0.2">
      <c r="Q149" s="8"/>
      <c r="R149" s="211"/>
    </row>
    <row r="150" spans="17:18" x14ac:dyDescent="0.2">
      <c r="Q150" s="8"/>
      <c r="R150" s="211"/>
    </row>
    <row r="151" spans="17:18" x14ac:dyDescent="0.2">
      <c r="Q151" s="8"/>
      <c r="R151" s="211"/>
    </row>
    <row r="152" spans="17:18" x14ac:dyDescent="0.2">
      <c r="Q152" s="8"/>
      <c r="R152" s="211"/>
    </row>
    <row r="153" spans="17:18" x14ac:dyDescent="0.2">
      <c r="Q153" s="8"/>
      <c r="R153" s="211"/>
    </row>
    <row r="154" spans="17:18" x14ac:dyDescent="0.2">
      <c r="Q154" s="8"/>
      <c r="R154" s="211"/>
    </row>
    <row r="155" spans="17:18" x14ac:dyDescent="0.2">
      <c r="Q155" s="8"/>
      <c r="R155" s="211"/>
    </row>
    <row r="156" spans="17:18" x14ac:dyDescent="0.2">
      <c r="Q156" s="8"/>
      <c r="R156" s="211"/>
    </row>
    <row r="157" spans="17:18" x14ac:dyDescent="0.2">
      <c r="Q157" s="8"/>
      <c r="R157" s="211"/>
    </row>
    <row r="158" spans="17:18" x14ac:dyDescent="0.2">
      <c r="Q158" s="8"/>
      <c r="R158" s="211"/>
    </row>
    <row r="159" spans="17:18" x14ac:dyDescent="0.2">
      <c r="Q159" s="8"/>
      <c r="R159" s="211"/>
    </row>
    <row r="160" spans="17:18" x14ac:dyDescent="0.2">
      <c r="Q160" s="8"/>
      <c r="R160" s="211"/>
    </row>
    <row r="161" spans="17:18" x14ac:dyDescent="0.2">
      <c r="Q161" s="8"/>
      <c r="R161" s="211"/>
    </row>
    <row r="162" spans="17:18" x14ac:dyDescent="0.2">
      <c r="Q162" s="8"/>
      <c r="R162" s="211"/>
    </row>
    <row r="163" spans="17:18" x14ac:dyDescent="0.2">
      <c r="Q163" s="8"/>
      <c r="R163" s="211"/>
    </row>
    <row r="164" spans="17:18" x14ac:dyDescent="0.2">
      <c r="Q164" s="8"/>
      <c r="R164" s="211"/>
    </row>
    <row r="165" spans="17:18" x14ac:dyDescent="0.2">
      <c r="Q165" s="8"/>
      <c r="R165" s="211"/>
    </row>
    <row r="166" spans="17:18" x14ac:dyDescent="0.2">
      <c r="Q166" s="8"/>
      <c r="R166" s="211"/>
    </row>
    <row r="167" spans="17:18" x14ac:dyDescent="0.2">
      <c r="Q167" s="8"/>
      <c r="R167" s="211"/>
    </row>
    <row r="168" spans="17:18" x14ac:dyDescent="0.2">
      <c r="Q168" s="8"/>
      <c r="R168" s="211"/>
    </row>
    <row r="169" spans="17:18" x14ac:dyDescent="0.2">
      <c r="Q169" s="8"/>
      <c r="R169" s="211"/>
    </row>
    <row r="170" spans="17:18" x14ac:dyDescent="0.2">
      <c r="Q170" s="8"/>
      <c r="R170" s="211"/>
    </row>
    <row r="171" spans="17:18" x14ac:dyDescent="0.2">
      <c r="Q171" s="8"/>
      <c r="R171" s="211"/>
    </row>
    <row r="172" spans="17:18" x14ac:dyDescent="0.2">
      <c r="Q172" s="8"/>
      <c r="R172" s="211"/>
    </row>
    <row r="173" spans="17:18" x14ac:dyDescent="0.2">
      <c r="Q173" s="8"/>
      <c r="R173" s="211"/>
    </row>
    <row r="174" spans="17:18" x14ac:dyDescent="0.2">
      <c r="Q174" s="8"/>
      <c r="R174" s="211"/>
    </row>
    <row r="175" spans="17:18" x14ac:dyDescent="0.2">
      <c r="Q175" s="8"/>
      <c r="R175" s="211"/>
    </row>
    <row r="176" spans="17:18" x14ac:dyDescent="0.2">
      <c r="Q176" s="8"/>
      <c r="R176" s="211"/>
    </row>
    <row r="177" spans="17:18" x14ac:dyDescent="0.2">
      <c r="Q177" s="8"/>
      <c r="R177" s="211"/>
    </row>
    <row r="178" spans="17:18" x14ac:dyDescent="0.2">
      <c r="Q178" s="8"/>
      <c r="R178" s="211"/>
    </row>
    <row r="179" spans="17:18" x14ac:dyDescent="0.2">
      <c r="Q179" s="8"/>
      <c r="R179" s="211"/>
    </row>
    <row r="180" spans="17:18" x14ac:dyDescent="0.2">
      <c r="Q180" s="8"/>
      <c r="R180" s="211"/>
    </row>
    <row r="181" spans="17:18" x14ac:dyDescent="0.2">
      <c r="Q181" s="8"/>
      <c r="R181" s="211"/>
    </row>
    <row r="182" spans="17:18" x14ac:dyDescent="0.2">
      <c r="Q182" s="8"/>
      <c r="R182" s="211"/>
    </row>
    <row r="183" spans="17:18" x14ac:dyDescent="0.2">
      <c r="Q183" s="8"/>
      <c r="R183" s="211"/>
    </row>
    <row r="184" spans="17:18" x14ac:dyDescent="0.2">
      <c r="Q184" s="8"/>
      <c r="R184" s="211"/>
    </row>
    <row r="185" spans="17:18" x14ac:dyDescent="0.2">
      <c r="Q185" s="8"/>
      <c r="R185" s="211"/>
    </row>
    <row r="186" spans="17:18" x14ac:dyDescent="0.2">
      <c r="Q186" s="8"/>
      <c r="R186" s="211"/>
    </row>
    <row r="187" spans="17:18" x14ac:dyDescent="0.2">
      <c r="Q187" s="8"/>
      <c r="R187" s="211"/>
    </row>
    <row r="188" spans="17:18" x14ac:dyDescent="0.2">
      <c r="Q188" s="8"/>
      <c r="R188" s="211"/>
    </row>
    <row r="189" spans="17:18" x14ac:dyDescent="0.2">
      <c r="Q189" s="8"/>
      <c r="R189" s="211"/>
    </row>
    <row r="190" spans="17:18" x14ac:dyDescent="0.2">
      <c r="Q190" s="8"/>
      <c r="R190" s="211"/>
    </row>
    <row r="191" spans="17:18" x14ac:dyDescent="0.2">
      <c r="Q191" s="8"/>
      <c r="R191" s="211"/>
    </row>
    <row r="192" spans="17:18" x14ac:dyDescent="0.2">
      <c r="Q192" s="8"/>
      <c r="R192" s="211"/>
    </row>
    <row r="193" spans="17:18" x14ac:dyDescent="0.2">
      <c r="Q193" s="8"/>
      <c r="R193" s="211"/>
    </row>
    <row r="194" spans="17:18" x14ac:dyDescent="0.2">
      <c r="Q194" s="8"/>
      <c r="R194" s="211"/>
    </row>
    <row r="195" spans="17:18" x14ac:dyDescent="0.2">
      <c r="Q195" s="8"/>
      <c r="R195" s="211"/>
    </row>
    <row r="196" spans="17:18" x14ac:dyDescent="0.2">
      <c r="Q196" s="8"/>
      <c r="R196" s="211"/>
    </row>
    <row r="197" spans="17:18" x14ac:dyDescent="0.2">
      <c r="Q197" s="8"/>
      <c r="R197" s="211"/>
    </row>
    <row r="198" spans="17:18" x14ac:dyDescent="0.2">
      <c r="Q198" s="8"/>
      <c r="R198" s="211"/>
    </row>
    <row r="199" spans="17:18" x14ac:dyDescent="0.2">
      <c r="Q199" s="8"/>
      <c r="R199" s="211"/>
    </row>
    <row r="200" spans="17:18" x14ac:dyDescent="0.2">
      <c r="Q200" s="8"/>
      <c r="R200" s="211"/>
    </row>
    <row r="201" spans="17:18" x14ac:dyDescent="0.2">
      <c r="Q201" s="8"/>
      <c r="R201" s="211"/>
    </row>
    <row r="202" spans="17:18" x14ac:dyDescent="0.2">
      <c r="Q202" s="8"/>
      <c r="R202" s="211"/>
    </row>
    <row r="203" spans="17:18" x14ac:dyDescent="0.2">
      <c r="Q203" s="8"/>
      <c r="R203" s="211"/>
    </row>
    <row r="204" spans="17:18" x14ac:dyDescent="0.2">
      <c r="Q204" s="8"/>
      <c r="R204" s="211"/>
    </row>
    <row r="205" spans="17:18" x14ac:dyDescent="0.2">
      <c r="Q205" s="8"/>
      <c r="R205" s="211"/>
    </row>
    <row r="206" spans="17:18" x14ac:dyDescent="0.2">
      <c r="Q206" s="8"/>
      <c r="R206" s="211"/>
    </row>
    <row r="207" spans="17:18" x14ac:dyDescent="0.2">
      <c r="Q207" s="8"/>
      <c r="R207" s="211"/>
    </row>
    <row r="208" spans="17:18" x14ac:dyDescent="0.2">
      <c r="Q208" s="8"/>
      <c r="R208" s="211"/>
    </row>
    <row r="209" spans="17:18" x14ac:dyDescent="0.2">
      <c r="Q209" s="8"/>
      <c r="R209" s="211"/>
    </row>
    <row r="210" spans="17:18" x14ac:dyDescent="0.2">
      <c r="Q210" s="8"/>
      <c r="R210" s="211"/>
    </row>
    <row r="211" spans="17:18" x14ac:dyDescent="0.2">
      <c r="Q211" s="8"/>
      <c r="R211" s="211"/>
    </row>
    <row r="212" spans="17:18" x14ac:dyDescent="0.2">
      <c r="Q212" s="8"/>
      <c r="R212" s="211"/>
    </row>
    <row r="213" spans="17:18" x14ac:dyDescent="0.2">
      <c r="Q213" s="8"/>
      <c r="R213" s="211"/>
    </row>
    <row r="214" spans="17:18" x14ac:dyDescent="0.2">
      <c r="Q214" s="8"/>
      <c r="R214" s="211"/>
    </row>
    <row r="215" spans="17:18" x14ac:dyDescent="0.2">
      <c r="Q215" s="8"/>
      <c r="R215" s="211"/>
    </row>
    <row r="216" spans="17:18" x14ac:dyDescent="0.2">
      <c r="Q216" s="8"/>
      <c r="R216" s="211"/>
    </row>
    <row r="217" spans="17:18" x14ac:dyDescent="0.2">
      <c r="Q217" s="8"/>
      <c r="R217" s="211"/>
    </row>
    <row r="218" spans="17:18" x14ac:dyDescent="0.2">
      <c r="Q218" s="8"/>
      <c r="R218" s="211"/>
    </row>
    <row r="219" spans="17:18" x14ac:dyDescent="0.2">
      <c r="Q219" s="8"/>
      <c r="R219" s="211"/>
    </row>
    <row r="220" spans="17:18" x14ac:dyDescent="0.2">
      <c r="Q220" s="8"/>
      <c r="R220" s="211"/>
    </row>
    <row r="221" spans="17:18" x14ac:dyDescent="0.2">
      <c r="Q221" s="8"/>
      <c r="R221" s="211"/>
    </row>
    <row r="222" spans="17:18" x14ac:dyDescent="0.2">
      <c r="Q222" s="8"/>
      <c r="R222" s="211"/>
    </row>
    <row r="223" spans="17:18" x14ac:dyDescent="0.2">
      <c r="Q223" s="8"/>
      <c r="R223" s="211"/>
    </row>
    <row r="224" spans="17:18" x14ac:dyDescent="0.2">
      <c r="Q224" s="8"/>
      <c r="R224" s="211"/>
    </row>
    <row r="225" spans="17:18" x14ac:dyDescent="0.2">
      <c r="Q225" s="8"/>
      <c r="R225" s="211"/>
    </row>
    <row r="226" spans="17:18" x14ac:dyDescent="0.2">
      <c r="Q226" s="8"/>
      <c r="R226" s="211"/>
    </row>
    <row r="227" spans="17:18" x14ac:dyDescent="0.2">
      <c r="Q227" s="8"/>
      <c r="R227" s="211"/>
    </row>
    <row r="228" spans="17:18" x14ac:dyDescent="0.2">
      <c r="Q228" s="8"/>
      <c r="R228" s="211"/>
    </row>
    <row r="229" spans="17:18" x14ac:dyDescent="0.2">
      <c r="Q229" s="8"/>
      <c r="R229" s="211"/>
    </row>
    <row r="230" spans="17:18" x14ac:dyDescent="0.2">
      <c r="Q230" s="8"/>
      <c r="R230" s="211"/>
    </row>
    <row r="231" spans="17:18" x14ac:dyDescent="0.2">
      <c r="Q231" s="8"/>
      <c r="R231" s="211"/>
    </row>
    <row r="232" spans="17:18" x14ac:dyDescent="0.2">
      <c r="Q232" s="8"/>
      <c r="R232" s="211"/>
    </row>
    <row r="233" spans="17:18" x14ac:dyDescent="0.2">
      <c r="Q233" s="8"/>
      <c r="R233" s="211"/>
    </row>
    <row r="234" spans="17:18" x14ac:dyDescent="0.2">
      <c r="Q234" s="8"/>
      <c r="R234" s="211"/>
    </row>
    <row r="235" spans="17:18" x14ac:dyDescent="0.2">
      <c r="Q235" s="8"/>
      <c r="R235" s="211"/>
    </row>
    <row r="236" spans="17:18" x14ac:dyDescent="0.2">
      <c r="Q236" s="8"/>
      <c r="R236" s="211"/>
    </row>
    <row r="237" spans="17:18" x14ac:dyDescent="0.2">
      <c r="Q237" s="8"/>
      <c r="R237" s="211"/>
    </row>
    <row r="238" spans="17:18" x14ac:dyDescent="0.2">
      <c r="Q238" s="8"/>
      <c r="R238" s="211"/>
    </row>
    <row r="239" spans="17:18" x14ac:dyDescent="0.2">
      <c r="Q239" s="8"/>
      <c r="R239" s="211"/>
    </row>
    <row r="240" spans="17:18" x14ac:dyDescent="0.2">
      <c r="Q240" s="8"/>
      <c r="R240" s="211"/>
    </row>
    <row r="241" spans="17:18" x14ac:dyDescent="0.2">
      <c r="Q241" s="8"/>
      <c r="R241" s="211"/>
    </row>
    <row r="242" spans="17:18" x14ac:dyDescent="0.2">
      <c r="Q242" s="8"/>
      <c r="R242" s="211"/>
    </row>
    <row r="243" spans="17:18" x14ac:dyDescent="0.2">
      <c r="Q243" s="8"/>
      <c r="R243" s="211"/>
    </row>
    <row r="244" spans="17:18" x14ac:dyDescent="0.2">
      <c r="Q244" s="8"/>
      <c r="R244" s="211"/>
    </row>
    <row r="245" spans="17:18" x14ac:dyDescent="0.2">
      <c r="Q245" s="8"/>
      <c r="R245" s="211"/>
    </row>
    <row r="246" spans="17:18" x14ac:dyDescent="0.2">
      <c r="Q246" s="8"/>
      <c r="R246" s="211"/>
    </row>
    <row r="247" spans="17:18" x14ac:dyDescent="0.2">
      <c r="Q247" s="8"/>
      <c r="R247" s="211"/>
    </row>
    <row r="248" spans="17:18" x14ac:dyDescent="0.2">
      <c r="Q248" s="8"/>
      <c r="R248" s="211"/>
    </row>
    <row r="249" spans="17:18" x14ac:dyDescent="0.2">
      <c r="Q249" s="8"/>
      <c r="R249" s="211"/>
    </row>
    <row r="250" spans="17:18" x14ac:dyDescent="0.2">
      <c r="Q250" s="8"/>
      <c r="R250" s="211"/>
    </row>
    <row r="251" spans="17:18" x14ac:dyDescent="0.2">
      <c r="Q251" s="8"/>
      <c r="R251" s="211"/>
    </row>
    <row r="252" spans="17:18" x14ac:dyDescent="0.2">
      <c r="Q252" s="8"/>
      <c r="R252" s="211"/>
    </row>
    <row r="253" spans="17:18" x14ac:dyDescent="0.2">
      <c r="Q253" s="8"/>
      <c r="R253" s="211"/>
    </row>
    <row r="254" spans="17:18" x14ac:dyDescent="0.2">
      <c r="Q254" s="8"/>
      <c r="R254" s="211"/>
    </row>
    <row r="255" spans="17:18" x14ac:dyDescent="0.2">
      <c r="Q255" s="8"/>
      <c r="R255" s="211"/>
    </row>
    <row r="256" spans="17:18" x14ac:dyDescent="0.2">
      <c r="Q256" s="8"/>
      <c r="R256" s="211"/>
    </row>
    <row r="257" spans="17:18" x14ac:dyDescent="0.2">
      <c r="Q257" s="8"/>
      <c r="R257" s="211"/>
    </row>
    <row r="258" spans="17:18" x14ac:dyDescent="0.2">
      <c r="Q258" s="8"/>
      <c r="R258" s="211"/>
    </row>
    <row r="259" spans="17:18" x14ac:dyDescent="0.2">
      <c r="Q259" s="8"/>
      <c r="R259" s="211"/>
    </row>
    <row r="260" spans="17:18" x14ac:dyDescent="0.2">
      <c r="Q260" s="8"/>
      <c r="R260" s="211"/>
    </row>
    <row r="261" spans="17:18" x14ac:dyDescent="0.2">
      <c r="Q261" s="8"/>
      <c r="R261" s="211"/>
    </row>
    <row r="262" spans="17:18" x14ac:dyDescent="0.2">
      <c r="Q262" s="8"/>
      <c r="R262" s="211"/>
    </row>
    <row r="263" spans="17:18" x14ac:dyDescent="0.2">
      <c r="Q263" s="8"/>
      <c r="R263" s="211"/>
    </row>
    <row r="264" spans="17:18" x14ac:dyDescent="0.2">
      <c r="Q264" s="8"/>
      <c r="R264" s="211"/>
    </row>
    <row r="265" spans="17:18" x14ac:dyDescent="0.2">
      <c r="Q265" s="8"/>
      <c r="R265" s="211"/>
    </row>
    <row r="266" spans="17:18" x14ac:dyDescent="0.2">
      <c r="Q266" s="8"/>
      <c r="R266" s="211"/>
    </row>
    <row r="267" spans="17:18" x14ac:dyDescent="0.2">
      <c r="Q267" s="8"/>
      <c r="R267" s="211"/>
    </row>
    <row r="268" spans="17:18" x14ac:dyDescent="0.2">
      <c r="Q268" s="8"/>
      <c r="R268" s="211"/>
    </row>
    <row r="269" spans="17:18" x14ac:dyDescent="0.2">
      <c r="Q269" s="8"/>
      <c r="R269" s="211"/>
    </row>
    <row r="270" spans="17:18" x14ac:dyDescent="0.2">
      <c r="Q270" s="8"/>
      <c r="R270" s="211"/>
    </row>
    <row r="271" spans="17:18" x14ac:dyDescent="0.2">
      <c r="Q271" s="8"/>
      <c r="R271" s="211"/>
    </row>
    <row r="272" spans="17:18" x14ac:dyDescent="0.2">
      <c r="Q272" s="8"/>
      <c r="R272" s="211"/>
    </row>
    <row r="273" spans="17:18" x14ac:dyDescent="0.2">
      <c r="Q273" s="8"/>
      <c r="R273" s="211"/>
    </row>
    <row r="274" spans="17:18" x14ac:dyDescent="0.2">
      <c r="Q274" s="8"/>
      <c r="R274" s="211"/>
    </row>
    <row r="275" spans="17:18" x14ac:dyDescent="0.2">
      <c r="Q275" s="8"/>
      <c r="R275" s="211"/>
    </row>
    <row r="276" spans="17:18" x14ac:dyDescent="0.2">
      <c r="Q276" s="8"/>
      <c r="R276" s="211"/>
    </row>
    <row r="277" spans="17:18" x14ac:dyDescent="0.2">
      <c r="Q277" s="8"/>
      <c r="R277" s="211"/>
    </row>
    <row r="278" spans="17:18" x14ac:dyDescent="0.2">
      <c r="Q278" s="8"/>
      <c r="R278" s="211"/>
    </row>
    <row r="279" spans="17:18" x14ac:dyDescent="0.2">
      <c r="Q279" s="8"/>
      <c r="R279" s="211"/>
    </row>
    <row r="280" spans="17:18" x14ac:dyDescent="0.2">
      <c r="Q280" s="8"/>
      <c r="R280" s="211"/>
    </row>
    <row r="281" spans="17:18" x14ac:dyDescent="0.2">
      <c r="Q281" s="8"/>
      <c r="R281" s="211"/>
    </row>
    <row r="282" spans="17:18" x14ac:dyDescent="0.2">
      <c r="Q282" s="8"/>
      <c r="R282" s="211"/>
    </row>
    <row r="283" spans="17:18" x14ac:dyDescent="0.2">
      <c r="Q283" s="8"/>
      <c r="R283" s="211"/>
    </row>
    <row r="284" spans="17:18" x14ac:dyDescent="0.2">
      <c r="Q284" s="8"/>
      <c r="R284" s="211"/>
    </row>
    <row r="285" spans="17:18" x14ac:dyDescent="0.2">
      <c r="Q285" s="8"/>
      <c r="R285" s="211"/>
    </row>
    <row r="286" spans="17:18" x14ac:dyDescent="0.2">
      <c r="Q286" s="8"/>
      <c r="R286" s="211"/>
    </row>
    <row r="287" spans="17:18" x14ac:dyDescent="0.2">
      <c r="Q287" s="8"/>
      <c r="R287" s="211"/>
    </row>
    <row r="288" spans="17:18" x14ac:dyDescent="0.2">
      <c r="Q288" s="8"/>
      <c r="R288" s="211"/>
    </row>
    <row r="289" spans="17:18" x14ac:dyDescent="0.2">
      <c r="Q289" s="8"/>
      <c r="R289" s="211"/>
    </row>
    <row r="290" spans="17:18" x14ac:dyDescent="0.2">
      <c r="Q290" s="8"/>
      <c r="R290" s="211"/>
    </row>
    <row r="291" spans="17:18" x14ac:dyDescent="0.2">
      <c r="Q291" s="8"/>
      <c r="R291" s="211"/>
    </row>
    <row r="292" spans="17:18" x14ac:dyDescent="0.2">
      <c r="Q292" s="8"/>
      <c r="R292" s="211"/>
    </row>
    <row r="293" spans="17:18" x14ac:dyDescent="0.2">
      <c r="Q293" s="8"/>
      <c r="R293" s="211"/>
    </row>
    <row r="294" spans="17:18" x14ac:dyDescent="0.2">
      <c r="Q294" s="8"/>
      <c r="R294" s="211"/>
    </row>
    <row r="295" spans="17:18" x14ac:dyDescent="0.2">
      <c r="Q295" s="8"/>
      <c r="R295" s="211"/>
    </row>
    <row r="296" spans="17:18" x14ac:dyDescent="0.2">
      <c r="Q296" s="8"/>
      <c r="R296" s="211"/>
    </row>
    <row r="297" spans="17:18" x14ac:dyDescent="0.2">
      <c r="Q297" s="8"/>
      <c r="R297" s="211"/>
    </row>
    <row r="298" spans="17:18" x14ac:dyDescent="0.2">
      <c r="Q298" s="8"/>
      <c r="R298" s="211"/>
    </row>
    <row r="299" spans="17:18" x14ac:dyDescent="0.2">
      <c r="Q299" s="8"/>
      <c r="R299" s="211"/>
    </row>
    <row r="300" spans="17:18" x14ac:dyDescent="0.2">
      <c r="Q300" s="8"/>
      <c r="R300" s="211"/>
    </row>
    <row r="301" spans="17:18" x14ac:dyDescent="0.2">
      <c r="Q301" s="8"/>
      <c r="R301" s="211"/>
    </row>
    <row r="302" spans="17:18" x14ac:dyDescent="0.2">
      <c r="Q302" s="8"/>
      <c r="R302" s="211"/>
    </row>
    <row r="303" spans="17:18" x14ac:dyDescent="0.2">
      <c r="Q303" s="8"/>
      <c r="R303" s="211"/>
    </row>
    <row r="304" spans="17:18" x14ac:dyDescent="0.2">
      <c r="Q304" s="8"/>
      <c r="R304" s="211"/>
    </row>
    <row r="305" spans="17:18" x14ac:dyDescent="0.2">
      <c r="Q305" s="8"/>
      <c r="R305" s="211"/>
    </row>
    <row r="306" spans="17:18" x14ac:dyDescent="0.2">
      <c r="Q306" s="8"/>
      <c r="R306" s="211"/>
    </row>
    <row r="307" spans="17:18" x14ac:dyDescent="0.2">
      <c r="Q307" s="8"/>
      <c r="R307" s="211"/>
    </row>
    <row r="308" spans="17:18" x14ac:dyDescent="0.2">
      <c r="Q308" s="8"/>
      <c r="R308" s="211"/>
    </row>
    <row r="309" spans="17:18" x14ac:dyDescent="0.2">
      <c r="Q309" s="8"/>
      <c r="R309" s="211"/>
    </row>
    <row r="310" spans="17:18" x14ac:dyDescent="0.2">
      <c r="Q310" s="8"/>
      <c r="R310" s="211"/>
    </row>
    <row r="311" spans="17:18" x14ac:dyDescent="0.2">
      <c r="Q311" s="8"/>
      <c r="R311" s="211"/>
    </row>
    <row r="312" spans="17:18" x14ac:dyDescent="0.2">
      <c r="Q312" s="8"/>
      <c r="R312" s="211"/>
    </row>
    <row r="313" spans="17:18" x14ac:dyDescent="0.2">
      <c r="Q313" s="8"/>
      <c r="R313" s="211"/>
    </row>
    <row r="314" spans="17:18" x14ac:dyDescent="0.2">
      <c r="Q314" s="8"/>
      <c r="R314" s="211"/>
    </row>
    <row r="315" spans="17:18" x14ac:dyDescent="0.2">
      <c r="Q315" s="8"/>
      <c r="R315" s="211"/>
    </row>
    <row r="316" spans="17:18" x14ac:dyDescent="0.2">
      <c r="Q316" s="8"/>
      <c r="R316" s="211"/>
    </row>
    <row r="317" spans="17:18" x14ac:dyDescent="0.2">
      <c r="Q317" s="8"/>
      <c r="R317" s="211"/>
    </row>
    <row r="318" spans="17:18" x14ac:dyDescent="0.2">
      <c r="Q318" s="8"/>
      <c r="R318" s="211"/>
    </row>
    <row r="319" spans="17:18" x14ac:dyDescent="0.2">
      <c r="Q319" s="8"/>
      <c r="R319" s="211"/>
    </row>
    <row r="320" spans="17:18" x14ac:dyDescent="0.2">
      <c r="Q320" s="8"/>
      <c r="R320" s="211"/>
    </row>
    <row r="321" spans="17:18" x14ac:dyDescent="0.2">
      <c r="Q321" s="8"/>
      <c r="R321" s="211"/>
    </row>
  </sheetData>
  <mergeCells count="2">
    <mergeCell ref="B1:G1"/>
    <mergeCell ref="I1:N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3" sqref="J23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73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8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80" customWidth="1"/>
    <col min="18" max="18" width="7" style="147" customWidth="1"/>
    <col min="19" max="19" width="12" style="200" customWidth="1"/>
    <col min="20" max="20" width="6.42578125" style="213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383</v>
      </c>
      <c r="B1" s="100" t="s">
        <v>384</v>
      </c>
      <c r="C1" s="374" t="s">
        <v>755</v>
      </c>
      <c r="D1" s="101" t="s">
        <v>385</v>
      </c>
      <c r="E1" s="102" t="s">
        <v>386</v>
      </c>
      <c r="F1" s="100" t="s">
        <v>387</v>
      </c>
      <c r="G1" s="376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7" t="s">
        <v>909</v>
      </c>
      <c r="R1" s="108" t="s">
        <v>396</v>
      </c>
      <c r="S1" s="99" t="s">
        <v>387</v>
      </c>
      <c r="T1" s="212" t="s">
        <v>388</v>
      </c>
      <c r="U1" s="110" t="s">
        <v>657</v>
      </c>
      <c r="V1" s="111" t="s">
        <v>397</v>
      </c>
      <c r="W1" s="112" t="s">
        <v>398</v>
      </c>
      <c r="X1" s="112" t="s">
        <v>399</v>
      </c>
      <c r="Y1" s="112" t="s">
        <v>400</v>
      </c>
      <c r="Z1" s="112" t="s">
        <v>401</v>
      </c>
      <c r="AA1" s="112" t="s">
        <v>402</v>
      </c>
      <c r="AB1" s="113" t="s">
        <v>403</v>
      </c>
      <c r="AC1" s="112" t="s">
        <v>404</v>
      </c>
    </row>
    <row r="2" spans="1:29" x14ac:dyDescent="0.2">
      <c r="A2" s="131" t="s">
        <v>144</v>
      </c>
      <c r="B2" s="115" t="str">
        <f ca="1">_xll.BDP($A2 &amp; " Govt",B$1)</f>
        <v>B 07/05/12</v>
      </c>
      <c r="C2" s="372"/>
      <c r="D2" s="116"/>
      <c r="E2" s="117"/>
      <c r="F2" s="118"/>
      <c r="G2" s="377"/>
      <c r="H2" s="120">
        <f ca="1">IF(E2="",_xll.BDP(A2 &amp; " Govt","YLD_YTM_ASK")/100,E2)</f>
        <v>-1.0166659862136385E-4</v>
      </c>
      <c r="I2" s="121">
        <f ca="1">_xll.INSTRUMENT.PRIX(AC2,D2,H2,cTreasuries)</f>
        <v>100.00008333334701</v>
      </c>
      <c r="J2" s="122">
        <f ca="1">_xll.INSTRUMENT.DV01(A2,,,I2,cContinuous,I2)</f>
        <v>-8.1967281081249947E-5</v>
      </c>
      <c r="K2" s="123">
        <f ca="1">_xll.INSTRUMENT.CONVEXITE(A2,,,I2,cContinuous,I2)</f>
        <v>6.7186240257995319E-5</v>
      </c>
      <c r="L2" s="123">
        <f ca="1">_xll.INSTRUMENT.Z.SPREAD(A2,swapCurve,I2,cContinuous,D2)</f>
        <v>-18.997230511029731</v>
      </c>
      <c r="M2" s="123">
        <f ca="1">_xll.INSTRUMENT.Z.SPREAD(A2,ustCurve,I2,cContinuous,D2)</f>
        <v>4.4726201743558014E-2</v>
      </c>
      <c r="N2" s="123">
        <f ca="1">_xll.INSTRUMENT.Z.SPREAD(A2,oisCurve,I2,cContinuous,D2)</f>
        <v>-18.241268347753138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9" t="e">
        <f ca="1">-(O2-curve!$S$3)/J2</f>
        <v>#VALUE!</v>
      </c>
      <c r="R2" s="381">
        <f t="shared" ref="R2:R60" ca="1" si="0">K2/J2</f>
        <v>-0.81967145148314802</v>
      </c>
      <c r="S2" s="199" t="str">
        <f>IF(F2&lt;&gt;"","",IF(G2="","",-G2*(SUMIF('bench Comparison'!$A:$A,"RESINV1USD",'bench Comparison'!$G:$G)+SUMIF('bench Comparison'!$A:$A,"RESSWAPORUSD",'bench Comparison'!$G:$G))/(36500*J2)))</f>
        <v/>
      </c>
      <c r="T2" s="210" t="str">
        <f>IF(G2&lt;&gt;"","",IF(F2="","",-36500*J2*F2/(SUMIF('bench Comparison'!$A:$A,"RESINV1USD",'bench Comparison'!$G:$G)+SUMIF('bench Comparison'!$A:$A,"RESSWAPORUSD",'bench Comparison'!$G:$G))))</f>
        <v/>
      </c>
      <c r="U2" s="125">
        <f>SUMIF('bench Comparison'!$E:$E,A2,'bench Comparison'!$N:$N)</f>
        <v>-366652552.98645103</v>
      </c>
      <c r="V2" s="126">
        <f ca="1">VALUE(_xll.BDP($A2 &amp; " Corp",V$1))</f>
        <v>40913</v>
      </c>
      <c r="W2" s="127" t="e">
        <f ca="1">VALUE(_xll.BDP($A2 &amp; " Corp",W$1))</f>
        <v>#VALUE!</v>
      </c>
      <c r="X2" s="127" t="e">
        <f ca="1">VALUE(_xll.BDP($A2 &amp; " Corp",X$1))</f>
        <v>#VALUE!</v>
      </c>
      <c r="Y2" s="127" t="e">
        <f ca="1">VALUE(_xll.BDP($A2 &amp; " Corp",Y$1))</f>
        <v>#VALUE!</v>
      </c>
      <c r="Z2" s="127">
        <f ca="1">VALUE(_xll.BDP($A2 &amp; " Corp",Z$1))</f>
        <v>41095</v>
      </c>
      <c r="AA2" s="128">
        <f ca="1">_xll.BDP($A2 &amp; " Corp",AA$1)/100</f>
        <v>0</v>
      </c>
      <c r="AB2" s="129">
        <f ca="1">_xll.BDP($A2 &amp; " Corp",AB$1)</f>
        <v>91782000000</v>
      </c>
      <c r="AC2" s="130" t="str">
        <f ca="1">IF(LEFT(B2,1)="B",_xll.INSTANCE.TBILL(A2,V2,Z2,TODAY()),_xll.INSTANCE.TNOTE(A2,V2,W2,X2,Y2,Z2,AA2,TODAY()))</f>
        <v>US9127955U17#0027</v>
      </c>
    </row>
    <row r="3" spans="1:29" x14ac:dyDescent="0.2">
      <c r="A3" s="131" t="s">
        <v>146</v>
      </c>
      <c r="B3" s="115" t="str">
        <f ca="1">_xll.BDP($A3 &amp; " Govt",B$1)</f>
        <v>B 07/12/12</v>
      </c>
      <c r="C3" s="372"/>
      <c r="D3" s="116"/>
      <c r="E3" s="117"/>
      <c r="F3" s="118"/>
      <c r="G3" s="377"/>
      <c r="H3" s="120">
        <f ca="1">IF(E3="",_xll.BDP(A3 &amp; " Govt","YLD_YTM_ASK")/100,E3)</f>
        <v>-1.0166640091958357E-4</v>
      </c>
      <c r="I3" s="121">
        <f ca="1">_xll.INSTRUMENT.PRIX(AC3,D3,H3,cTreasuries)</f>
        <v>100.0002777778233</v>
      </c>
      <c r="J3" s="122">
        <f ca="1">_xll.INSTRUMENT.DV01(A3,,,I3,cContinuous,I3)</f>
        <v>-2.7322479889755767E-4</v>
      </c>
      <c r="K3" s="123">
        <f ca="1">_xll.INSTRUMENT.CONVEXITE(A3,,,I3,cContinuous,I3)</f>
        <v>7.4651378064439231E-4</v>
      </c>
      <c r="L3" s="123">
        <f ca="1">_xll.INSTRUMENT.Z.SPREAD(A3,swapCurve,I3,cContinuous,D3)</f>
        <v>-21.251105005737237</v>
      </c>
      <c r="M3" s="123">
        <f ca="1">_xll.INSTRUMENT.Z.SPREAD(A3,ustCurve,I3,cContinuous,D3)</f>
        <v>-0.48904744097911057</v>
      </c>
      <c r="N3" s="123">
        <f ca="1">_xll.INSTRUMENT.Z.SPREAD(A3,oisCurve,I3,cContinuous,D3)</f>
        <v>-18.402998338972687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9" t="e">
        <f ca="1">-(O3-curve!$S$3)/J3</f>
        <v>#VALUE!</v>
      </c>
      <c r="R3" s="381">
        <f t="shared" ca="1" si="0"/>
        <v>-2.732232885362242</v>
      </c>
      <c r="S3" s="199" t="str">
        <f>IF(F3&lt;&gt;"","",IF(G3="","",-G3*(SUMIF('bench Comparison'!$A:$A,"RESINV1USD",'bench Comparison'!$G:$G)+SUMIF('bench Comparison'!$A:$A,"RESSWAPORUSD",'bench Comparison'!$G:$G))/(36500*J3)))</f>
        <v/>
      </c>
      <c r="T3" s="210" t="str">
        <f>IF(G3&lt;&gt;"","",IF(F3="","",-36500*J3*F3/(SUMIF('bench Comparison'!$A:$A,"RESINV1USD",'bench Comparison'!$G:$G)+SUMIF('bench Comparison'!$A:$A,"RESSWAPORUSD",'bench Comparison'!$G:$G))))</f>
        <v/>
      </c>
      <c r="U3" s="125">
        <f>SUMIF('bench Comparison'!$E:$E,A3,'bench Comparison'!$N:$N)</f>
        <v>-111388117.36297247</v>
      </c>
      <c r="V3" s="126">
        <f ca="1">VALUE(_xll.BDP($A3 &amp; " Corp",V$1))</f>
        <v>40920</v>
      </c>
      <c r="W3" s="127" t="e">
        <f ca="1">VALUE(_xll.BDP($A3 &amp; " Corp",W$1))</f>
        <v>#VALUE!</v>
      </c>
      <c r="X3" s="127" t="e">
        <f ca="1">VALUE(_xll.BDP($A3 &amp; " Corp",X$1))</f>
        <v>#VALUE!</v>
      </c>
      <c r="Y3" s="127" t="e">
        <f ca="1">VALUE(_xll.BDP($A3 &amp; " Corp",Y$1))</f>
        <v>#VALUE!</v>
      </c>
      <c r="Z3" s="127">
        <f ca="1">VALUE(_xll.BDP($A3 &amp; " Corp",Z$1))</f>
        <v>41102</v>
      </c>
      <c r="AA3" s="128">
        <f ca="1">_xll.BDP($A3 &amp; " Corp",AA$1)/100</f>
        <v>0</v>
      </c>
      <c r="AB3" s="129">
        <f ca="1">_xll.BDP($A3 &amp; " Corp",AB$1)</f>
        <v>94286000000</v>
      </c>
      <c r="AC3" s="130" t="str">
        <f ca="1">IF(LEFT(B3,1)="B",_xll.INSTANCE.TBILL(A3,V3,Z3,TODAY()),_xll.INSTANCE.TNOTE(A3,V3,W3,X3,Y3,Z3,AA3,TODAY()))</f>
        <v>US9127955W72#0027</v>
      </c>
    </row>
    <row r="4" spans="1:29" x14ac:dyDescent="0.2">
      <c r="A4" s="131" t="s">
        <v>405</v>
      </c>
      <c r="B4" s="115" t="str">
        <f ca="1">_xll.BDP($A4 &amp; " Govt",B$1)</f>
        <v>T 1 1/2 07/15/12</v>
      </c>
      <c r="C4" s="372"/>
      <c r="D4" s="116"/>
      <c r="E4" s="117"/>
      <c r="F4" s="118"/>
      <c r="G4" s="377"/>
      <c r="H4" s="120">
        <f ca="1">IF(E4="",_xll.BDP(A4 &amp; " Govt","YLD_YTM_ASK")/100,E4)</f>
        <v>-1.3957120623859787E-3</v>
      </c>
      <c r="I4" s="121">
        <f ca="1">_xll.INSTRUMENT.PRIX(AC4,D4,H4,cTreasuries)</f>
        <v>100.05856630426003</v>
      </c>
      <c r="J4" s="122">
        <f ca="1">_xll.INSTRUMENT.DV01(A4,,,I4,cContinuous,I4)</f>
        <v>-3.8540161239311908E-4</v>
      </c>
      <c r="K4" s="123">
        <f ca="1">_xll.INSTRUMENT.CONVEXITE(A4,,,I4,cContinuous,I4)</f>
        <v>1.463167010063009E-3</v>
      </c>
      <c r="L4" s="123">
        <f ca="1">_xll.INSTRUMENT.Z.SPREAD(A4,swapCurve,I4,cContinuous,D4)</f>
        <v>-34.482789721119858</v>
      </c>
      <c r="M4" s="123">
        <f ca="1">_xll.INSTRUMENT.Z.SPREAD(A4,ustCurve,I4,cContinuous,D4)</f>
        <v>-25.284068480080006</v>
      </c>
      <c r="N4" s="123">
        <f ca="1">_xll.INSTRUMENT.Z.SPREAD(A4,oisCurve,I4,cContinuous,D4)</f>
        <v>-29.380896383557001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9" t="e">
        <f ca="1">-(O4-curve!$S$3)/J4</f>
        <v>#VALUE!</v>
      </c>
      <c r="R4" s="381">
        <f t="shared" ca="1" si="0"/>
        <v>-3.7964735045543683</v>
      </c>
      <c r="S4" s="199" t="str">
        <f>IF(F4&lt;&gt;"","",IF(G4="","",-G4*(SUMIF('bench Comparison'!$A:$A,"RESINV1USD",'bench Comparison'!$G:$G)+SUMIF('bench Comparison'!$A:$A,"RESSWAPORUSD",'bench Comparison'!$G:$G))/(36500*J4)))</f>
        <v/>
      </c>
      <c r="T4" s="210" t="str">
        <f>IF(G4&lt;&gt;"","",IF(F4="","",-36500*J4*F4/(SUMIF('bench Comparison'!$A:$A,"RESINV1USD",'bench Comparison'!$G:$G)+SUMIF('bench Comparison'!$A:$A,"RESSWAPORUSD",'bench Comparison'!$G:$G))))</f>
        <v/>
      </c>
      <c r="U4" s="125">
        <f>SUMIF('bench Comparison'!$E:$E,A4,'bench Comparison'!$N:$N)</f>
        <v>0</v>
      </c>
      <c r="V4" s="126">
        <f ca="1">VALUE(_xll.BDP($A4 &amp; " Corp",V$1))</f>
        <v>40009</v>
      </c>
      <c r="W4" s="127">
        <f ca="1">VALUE(_xll.BDP($A4 &amp; " Corp",W$1))</f>
        <v>40009</v>
      </c>
      <c r="X4" s="127">
        <f ca="1">VALUE(_xll.BDP($A4 &amp; " Corp",X$1))</f>
        <v>40193</v>
      </c>
      <c r="Y4" s="127">
        <f ca="1">VALUE(_xll.BDP($A4 &amp; " Corp",Y$1))</f>
        <v>40923</v>
      </c>
      <c r="Z4" s="127">
        <f ca="1">VALUE(_xll.BDP($A4 &amp; " Corp",Z$1))</f>
        <v>41105</v>
      </c>
      <c r="AA4" s="128">
        <f ca="1">_xll.BDP($A4 &amp; " Corp",AA$1)/100</f>
        <v>1.4999999999999999E-2</v>
      </c>
      <c r="AB4" s="129">
        <f ca="1">_xll.BDP($A4 &amp; " Corp",AB$1)</f>
        <v>35592000000</v>
      </c>
      <c r="AC4" s="130" t="str">
        <f ca="1">IF(LEFT(B4,1)="B",_xll.INSTANCE.TBILL(A4,V4,Z4,TODAY()),_xll.INSTANCE.TNOTE(A4,V4,W4,X4,Y4,Z4,AA4,TODAY()))</f>
        <v>US912828LB42#0028</v>
      </c>
    </row>
    <row r="5" spans="1:29" x14ac:dyDescent="0.2">
      <c r="A5" s="131" t="s">
        <v>150</v>
      </c>
      <c r="B5" s="115" t="str">
        <f ca="1">_xll.BDP($A5 &amp; " Govt",B$1)</f>
        <v>B 07/19/12</v>
      </c>
      <c r="C5" s="372"/>
      <c r="D5" s="116"/>
      <c r="E5" s="117"/>
      <c r="F5" s="118"/>
      <c r="G5" s="377"/>
      <c r="H5" s="120">
        <f ca="1">IF(E5="",_xll.BDP(A5 &amp; " Govt","YLD_YTM_ASK")/100,E5)</f>
        <v>5.0833442752909428E-5</v>
      </c>
      <c r="I5" s="121">
        <f ca="1">_xll.INSTRUMENT.PRIX(AC5,D5,H5,cTreasuries)</f>
        <v>99.999763888938148</v>
      </c>
      <c r="J5" s="122">
        <f ca="1">_xll.INSTRUMENT.DV01(A5,,,I5,cContinuous,I5)</f>
        <v>-4.6447976675008271E-4</v>
      </c>
      <c r="K5" s="123">
        <f ca="1">_xll.INSTRUMENT.CONVEXITE(A5,,,I5,cContinuous,I5)</f>
        <v>2.1574248260622939E-3</v>
      </c>
      <c r="L5" s="123">
        <f ca="1">_xll.INSTRUMENT.Z.SPREAD(A5,swapCurve,I5,cContinuous,D5)</f>
        <v>-21.753281399865653</v>
      </c>
      <c r="M5" s="123">
        <f ca="1">_xll.INSTRUMENT.Z.SPREAD(A5,ustCurve,I5,cContinuous,D5)</f>
        <v>0.27317166903611906</v>
      </c>
      <c r="N5" s="123">
        <f ca="1">_xll.INSTRUMENT.Z.SPREAD(A5,oisCurve,I5,cContinuous,D5)</f>
        <v>-15.424187945421867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9" t="e">
        <f ca="1">-(O5-curve!$S$3)/J5</f>
        <v>#VALUE!</v>
      </c>
      <c r="R5" s="381">
        <f t="shared" ca="1" si="0"/>
        <v>-4.6448198188643914</v>
      </c>
      <c r="S5" s="199" t="str">
        <f>IF(F5&lt;&gt;"","",IF(G5="","",-G5*(SUMIF('bench Comparison'!$A:$A,"RESINV1USD",'bench Comparison'!$G:$G)+SUMIF('bench Comparison'!$A:$A,"RESSWAPORUSD",'bench Comparison'!$G:$G))/(36500*J5)))</f>
        <v/>
      </c>
      <c r="T5" s="210" t="str">
        <f>IF(G5&lt;&gt;"","",IF(F5="","",-36500*J5*F5/(SUMIF('bench Comparison'!$A:$A,"RESINV1USD",'bench Comparison'!$G:$G)+SUMIF('bench Comparison'!$A:$A,"RESSWAPORUSD",'bench Comparison'!$G:$G))))</f>
        <v/>
      </c>
      <c r="U5" s="125">
        <f>SUMIF('bench Comparison'!$E:$E,A5,'bench Comparison'!$N:$N)</f>
        <v>-366652552.98645103</v>
      </c>
      <c r="V5" s="126">
        <f ca="1">VALUE(_xll.BDP($A5 &amp; " Corp",V$1))</f>
        <v>40927</v>
      </c>
      <c r="W5" s="127" t="e">
        <f ca="1">VALUE(_xll.BDP($A5 &amp; " Corp",W$1))</f>
        <v>#VALUE!</v>
      </c>
      <c r="X5" s="127" t="e">
        <f ca="1">VALUE(_xll.BDP($A5 &amp; " Corp",X$1))</f>
        <v>#VALUE!</v>
      </c>
      <c r="Y5" s="127" t="e">
        <f ca="1">VALUE(_xll.BDP($A5 &amp; " Corp",Y$1))</f>
        <v>#VALUE!</v>
      </c>
      <c r="Z5" s="127">
        <f ca="1">VALUE(_xll.BDP($A5 &amp; " Corp",Z$1))</f>
        <v>41109</v>
      </c>
      <c r="AA5" s="128">
        <f ca="1">_xll.BDP($A5 &amp; " Corp",AA$1)/100</f>
        <v>0</v>
      </c>
      <c r="AB5" s="129">
        <f ca="1">_xll.BDP($A5 &amp; " Corp",AB$1)</f>
        <v>89421000000</v>
      </c>
      <c r="AC5" s="130" t="str">
        <f ca="1">IF(LEFT(B5,1)="B",_xll.INSTANCE.TBILL(A5,V5,Z5,TODAY()),_xll.INSTANCE.TNOTE(A5,V5,W5,X5,Y5,Z5,AA5,TODAY()))</f>
        <v>US9127955X55#0027</v>
      </c>
    </row>
    <row r="6" spans="1:29" x14ac:dyDescent="0.2">
      <c r="A6" s="131" t="s">
        <v>152</v>
      </c>
      <c r="B6" s="115" t="str">
        <f ca="1">_xll.BDP($A6 &amp; " Govt",B$1)</f>
        <v>B 07/26/12</v>
      </c>
      <c r="C6" s="372"/>
      <c r="D6" s="116"/>
      <c r="E6" s="117"/>
      <c r="F6" s="118"/>
      <c r="G6" s="377"/>
      <c r="H6" s="120">
        <f ca="1">IF(E6="",_xll.BDP(A6 &amp; " Govt","YLD_YTM_ASK")/100,E6)</f>
        <v>1.5250153107647434E-4</v>
      </c>
      <c r="I6" s="121">
        <f ca="1">_xll.INSTRUMENT.PRIX(AC6,D6,H6,cTreasuries)</f>
        <v>99.998999999960276</v>
      </c>
      <c r="J6" s="122">
        <f ca="1">_xll.INSTRUMENT.DV01(A6,,,I6,cContinuous,I6)</f>
        <v>-6.5573112630772827E-4</v>
      </c>
      <c r="K6" s="123">
        <f ca="1">_xll.INSTRUMENT.CONVEXITE(A6,,,I6,cContinuous,I6)</f>
        <v>4.2999193765116857E-3</v>
      </c>
      <c r="L6" s="123">
        <f ca="1">_xll.INSTRUMENT.Z.SPREAD(A6,swapCurve,I6,cContinuous,D6)</f>
        <v>-21.86041562046837</v>
      </c>
      <c r="M6" s="123">
        <f ca="1">_xll.INSTRUMENT.Z.SPREAD(A6,ustCurve,I6,cContinuous,D6)</f>
        <v>0.44301436345161804</v>
      </c>
      <c r="N6" s="123">
        <f ca="1">_xll.INSTRUMENT.Z.SPREAD(A6,oisCurve,I6,cContinuous,D6)</f>
        <v>-15.023579583987267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9" t="e">
        <f ca="1">-(O6-curve!$S$3)/J6</f>
        <v>#VALUE!</v>
      </c>
      <c r="R6" s="381">
        <f t="shared" ca="1" si="0"/>
        <v>-6.5574428359433634</v>
      </c>
      <c r="S6" s="199" t="str">
        <f>IF(F6&lt;&gt;"","",IF(G6="","",-G6*(SUMIF('bench Comparison'!$A:$A,"RESINV1USD",'bench Comparison'!$G:$G)+SUMIF('bench Comparison'!$A:$A,"RESSWAPORUSD",'bench Comparison'!$G:$G))/(36500*J6)))</f>
        <v/>
      </c>
      <c r="T6" s="210" t="str">
        <f>IF(G6&lt;&gt;"","",IF(F6="","",-36500*J6*F6/(SUMIF('bench Comparison'!$A:$A,"RESINV1USD",'bench Comparison'!$G:$G)+SUMIF('bench Comparison'!$A:$A,"RESSWAPORUSD",'bench Comparison'!$G:$G))))</f>
        <v/>
      </c>
      <c r="U6" s="125">
        <f>SUMIF('bench Comparison'!$E:$E,A6,'bench Comparison'!$N:$N)</f>
        <v>-111388117.36297247</v>
      </c>
      <c r="V6" s="126">
        <f ca="1">VALUE(_xll.BDP($A6 &amp; " Corp",V$1))</f>
        <v>40752</v>
      </c>
      <c r="W6" s="127" t="e">
        <f ca="1">VALUE(_xll.BDP($A6 &amp; " Corp",W$1))</f>
        <v>#VALUE!</v>
      </c>
      <c r="X6" s="127" t="e">
        <f ca="1">VALUE(_xll.BDP($A6 &amp; " Corp",X$1))</f>
        <v>#VALUE!</v>
      </c>
      <c r="Y6" s="127" t="e">
        <f ca="1">VALUE(_xll.BDP($A6 &amp; " Corp",Y$1))</f>
        <v>#VALUE!</v>
      </c>
      <c r="Z6" s="127">
        <f ca="1">VALUE(_xll.BDP($A6 &amp; " Corp",Z$1))</f>
        <v>41116</v>
      </c>
      <c r="AA6" s="128">
        <f ca="1">_xll.BDP($A6 &amp; " Corp",AA$1)/100</f>
        <v>0</v>
      </c>
      <c r="AB6" s="129">
        <f ca="1">_xll.BDP($A6 &amp; " Corp",AB$1)</f>
        <v>112941000000</v>
      </c>
      <c r="AC6" s="130" t="str">
        <f ca="1">IF(LEFT(B6,1)="B",_xll.INSTANCE.TBILL(A6,V6,Z6,TODAY()),_xll.INSTANCE.TNOTE(A6,V6,W6,X6,Y6,Z6,AA6,TODAY()))</f>
        <v>US9127954B45#0027</v>
      </c>
    </row>
    <row r="7" spans="1:29" x14ac:dyDescent="0.2">
      <c r="A7" s="131" t="s">
        <v>172</v>
      </c>
      <c r="B7" s="115" t="str">
        <f ca="1">_xll.BDP($A7 &amp; " Govt",B$1)</f>
        <v>T 0 5/8 07/31/12</v>
      </c>
      <c r="C7" s="372"/>
      <c r="D7" s="116"/>
      <c r="E7" s="117"/>
      <c r="F7" s="118"/>
      <c r="G7" s="377"/>
      <c r="H7" s="120">
        <f ca="1">IF(E7="",_xll.BDP(A7 &amp; " Govt","YLD_YTM_ASK")/100,E7)</f>
        <v>3.6524857000880072E-4</v>
      </c>
      <c r="I7" s="121">
        <f ca="1">_xll.INSTRUMENT.PRIX(AC7,D7,H7,cTreasuries)</f>
        <v>100.04689095011788</v>
      </c>
      <c r="J7" s="122">
        <f ca="1">_xll.INSTRUMENT.DV01(A7,,,I7,cContinuous,I7)</f>
        <v>-7.9480278605786555E-4</v>
      </c>
      <c r="K7" s="123">
        <f ca="1">_xll.INSTRUMENT.CONVEXITE(A7,,,I7,cContinuous,I7)</f>
        <v>6.2781808952193218E-3</v>
      </c>
      <c r="L7" s="123">
        <f ca="1">_xll.INSTRUMENT.Z.SPREAD(A7,swapCurve,I7,cContinuous,D7)</f>
        <v>-20.490402305904663</v>
      </c>
      <c r="M7" s="123">
        <f ca="1">_xll.INSTRUMENT.Z.SPREAD(A7,ustCurve,I7,cContinuous,D7)</f>
        <v>-0.2156320453995817</v>
      </c>
      <c r="N7" s="123">
        <f ca="1">_xll.INSTRUMENT.Z.SPREAD(A7,oisCurve,I7,cContinuous,D7)</f>
        <v>-13.637585483526145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9" t="e">
        <f ca="1">-(O7-curve!$S$3)/J7</f>
        <v>#VALUE!</v>
      </c>
      <c r="R7" s="381">
        <f t="shared" ca="1" si="0"/>
        <v>-7.8990423855437255</v>
      </c>
      <c r="S7" s="199" t="str">
        <f>IF(F7&lt;&gt;"","",IF(G7="","",-G7*(SUMIF('bench Comparison'!$A:$A,"RESINV1USD",'bench Comparison'!$G:$G)+SUMIF('bench Comparison'!$A:$A,"RESSWAPORUSD",'bench Comparison'!$G:$G))/(36500*J7)))</f>
        <v/>
      </c>
      <c r="T7" s="210" t="str">
        <f>IF(G7&lt;&gt;"","",IF(F7="","",-36500*J7*F7/(SUMIF('bench Comparison'!$A:$A,"RESINV1USD",'bench Comparison'!$G:$G)+SUMIF('bench Comparison'!$A:$A,"RESSWAPORUSD",'bench Comparison'!$G:$G))))</f>
        <v/>
      </c>
      <c r="U7" s="125">
        <f>SUMIF('bench Comparison'!$E:$E,A7,'bench Comparison'!$N:$N)</f>
        <v>-431048808.33691949</v>
      </c>
      <c r="V7" s="126">
        <f ca="1">VALUE(_xll.BDP($A7 &amp; " Corp",V$1))</f>
        <v>40392</v>
      </c>
      <c r="W7" s="127">
        <f ca="1">VALUE(_xll.BDP($A7 &amp; " Corp",W$1))</f>
        <v>40390</v>
      </c>
      <c r="X7" s="127">
        <f ca="1">VALUE(_xll.BDP($A7 &amp; " Corp",X$1))</f>
        <v>40574</v>
      </c>
      <c r="Y7" s="127">
        <f ca="1">VALUE(_xll.BDP($A7 &amp; " Corp",Y$1))</f>
        <v>40939</v>
      </c>
      <c r="Z7" s="127">
        <f ca="1">VALUE(_xll.BDP($A7 &amp; " Corp",Z$1))</f>
        <v>41121</v>
      </c>
      <c r="AA7" s="128">
        <f ca="1">_xll.BDP($A7 &amp; " Corp",AA$1)/100</f>
        <v>6.2500000000000003E-3</v>
      </c>
      <c r="AB7" s="129">
        <f ca="1">_xll.BDP($A7 &amp; " Corp",AB$1)</f>
        <v>39248000000</v>
      </c>
      <c r="AC7" s="130" t="str">
        <f ca="1">IF(LEFT(B7,1)="B",_xll.INSTANCE.TBILL(A7,V7,Z7,TODAY()),_xll.INSTANCE.TNOTE(A7,V7,W7,X7,Y7,Z7,AA7,TODAY()))</f>
        <v>US912828NQ92#0028</v>
      </c>
    </row>
    <row r="8" spans="1:29" x14ac:dyDescent="0.2">
      <c r="A8" s="131" t="s">
        <v>406</v>
      </c>
      <c r="B8" s="115" t="str">
        <f ca="1">_xll.BDP($A8 &amp; " Govt",B$1)</f>
        <v>T 4 5/8 07/31/12</v>
      </c>
      <c r="C8" s="372"/>
      <c r="D8" s="116"/>
      <c r="E8" s="117"/>
      <c r="F8" s="118"/>
      <c r="G8" s="377"/>
      <c r="H8" s="120">
        <f ca="1">IF(E8="",_xll.BDP(A8 &amp; " Govt","YLD_YTM_ASK")/100,E8)</f>
        <v>1.5798652710569317E-4</v>
      </c>
      <c r="I8" s="121">
        <f ca="1">_xll.INSTRUMENT.PRIX(AC8,D8,H8,cTreasuries)</f>
        <v>100.36719453693225</v>
      </c>
      <c r="J8" s="122">
        <f ca="1">_xll.INSTRUMENT.DV01(A8,,,I8,cContinuous,I8)</f>
        <v>-8.1066263376442936E-4</v>
      </c>
      <c r="K8" s="123">
        <f ca="1">_xll.INSTRUMENT.CONVEXITE(A8,,,I8,cContinuous,I8)</f>
        <v>6.2781808952193227E-3</v>
      </c>
      <c r="L8" s="123">
        <f ca="1">_xll.INSTRUMENT.Z.SPREAD(A8,swapCurve,I8,cContinuous,D8)</f>
        <v>-22.557316986346557</v>
      </c>
      <c r="M8" s="123">
        <f ca="1">_xll.INSTRUMENT.Z.SPREAD(A8,ustCurve,I8,cContinuous,D8)</f>
        <v>-16.313083066999834</v>
      </c>
      <c r="N8" s="123">
        <f ca="1">_xll.INSTRUMENT.Z.SPREAD(A8,oisCurve,I8,cContinuous,D8)</f>
        <v>-15.704500163876032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9" t="e">
        <f ca="1">-(O8-curve!$S$3)/J8</f>
        <v>#VALUE!</v>
      </c>
      <c r="R8" s="381">
        <f t="shared" ca="1" si="0"/>
        <v>-7.7445050921684651</v>
      </c>
      <c r="S8" s="199" t="str">
        <f>IF(F8&lt;&gt;"","",IF(G8="","",-G8*(SUMIF('bench Comparison'!$A:$A,"RESINV1USD",'bench Comparison'!$G:$G)+SUMIF('bench Comparison'!$A:$A,"RESSWAPORUSD",'bench Comparison'!$G:$G))/(36500*J8)))</f>
        <v/>
      </c>
      <c r="T8" s="210" t="str">
        <f>IF(G8&lt;&gt;"","",IF(F8="","",-36500*J8*F8/(SUMIF('bench Comparison'!$A:$A,"RESINV1USD",'bench Comparison'!$G:$G)+SUMIF('bench Comparison'!$A:$A,"RESSWAPORUSD",'bench Comparison'!$G:$G))))</f>
        <v/>
      </c>
      <c r="U8" s="125">
        <f>SUMIF('bench Comparison'!$E:$E,A8,'bench Comparison'!$N:$N)</f>
        <v>0</v>
      </c>
      <c r="V8" s="126">
        <f ca="1">VALUE(_xll.BDP($A8 &amp; " Corp",V$1))</f>
        <v>39294</v>
      </c>
      <c r="W8" s="127">
        <f ca="1">VALUE(_xll.BDP($A8 &amp; " Corp",W$1))</f>
        <v>39294</v>
      </c>
      <c r="X8" s="127">
        <f ca="1">VALUE(_xll.BDP($A8 &amp; " Corp",X$1))</f>
        <v>39478</v>
      </c>
      <c r="Y8" s="127">
        <f ca="1">VALUE(_xll.BDP($A8 &amp; " Corp",Y$1))</f>
        <v>40939</v>
      </c>
      <c r="Z8" s="127">
        <f ca="1">VALUE(_xll.BDP($A8 &amp; " Corp",Z$1))</f>
        <v>41121</v>
      </c>
      <c r="AA8" s="128">
        <f ca="1">_xll.BDP($A8 &amp; " Corp",AA$1)/100</f>
        <v>4.6249999999999999E-2</v>
      </c>
      <c r="AB8" s="129">
        <f ca="1">_xll.BDP($A8 &amp; " Corp",AB$1)</f>
        <v>15804000000</v>
      </c>
      <c r="AC8" s="130" t="str">
        <f ca="1">IF(LEFT(B8,1)="B",_xll.INSTANCE.TBILL(A8,V8,Z8,TODAY()),_xll.INSTANCE.TNOTE(A8,V8,W8,X8,Y8,Z8,AA8,TODAY()))</f>
        <v>US912828GZ74#0028</v>
      </c>
    </row>
    <row r="9" spans="1:29" x14ac:dyDescent="0.2">
      <c r="A9" s="131" t="s">
        <v>154</v>
      </c>
      <c r="B9" s="115" t="str">
        <f ca="1">_xll.BDP($A9 &amp; " Govt",B$1)</f>
        <v>B 08/02/12</v>
      </c>
      <c r="C9" s="372"/>
      <c r="D9" s="116"/>
      <c r="E9" s="117"/>
      <c r="F9" s="118"/>
      <c r="G9" s="377"/>
      <c r="H9" s="120">
        <f ca="1">IF(E9="",_xll.BDP(A9 &amp; " Govt","YLD_YTM_ASK")/100,E9)</f>
        <v>2.0333683070152949E-4</v>
      </c>
      <c r="I9" s="121">
        <f ca="1">_xll.INSTRUMENT.PRIX(AC9,D9,H9,cTreasuries)</f>
        <v>99.99827777781627</v>
      </c>
      <c r="J9" s="122">
        <f ca="1">_xll.INSTRUMENT.DV01(A9,,,I9,cContinuous,I9)</f>
        <v>-8.4697991254918106E-4</v>
      </c>
      <c r="K9" s="123">
        <f ca="1">_xll.INSTRUMENT.CONVEXITE(A9,,,I9,cContinuous,I9)</f>
        <v>7.1739974319925915E-3</v>
      </c>
      <c r="L9" s="123">
        <f ca="1">_xll.INSTRUMENT.Z.SPREAD(A9,swapCurve,I9,cContinuous,D9)</f>
        <v>-22.433462748204921</v>
      </c>
      <c r="M9" s="123">
        <f ca="1">_xll.INSTRUMENT.Z.SPREAD(A9,ustCurve,I9,cContinuous,D9)</f>
        <v>9.6763980236782995E-2</v>
      </c>
      <c r="N9" s="123">
        <f ca="1">_xll.INSTRUMENT.Z.SPREAD(A9,oisCurve,I9,cContinuous,D9)</f>
        <v>-15.439943602680057</v>
      </c>
      <c r="O9" s="124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2.1945174176857878E-4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9">
        <f ca="1">-(O9-curve!$S$3)/J9</f>
        <v>-1.7694817706867019</v>
      </c>
      <c r="R9" s="381">
        <f t="shared" ca="1" si="0"/>
        <v>-8.4700915874153306</v>
      </c>
      <c r="S9" s="199" t="str">
        <f>IF(F9&lt;&gt;"","",IF(G9="","",-G9*(SUMIF('bench Comparison'!$A:$A,"RESINV1USD",'bench Comparison'!$G:$G)+SUMIF('bench Comparison'!$A:$A,"RESSWAPORUSD",'bench Comparison'!$G:$G))/(36500*J9)))</f>
        <v/>
      </c>
      <c r="T9" s="210" t="str">
        <f>IF(G9&lt;&gt;"","",IF(F9="","",-36500*J9*F9/(SUMIF('bench Comparison'!$A:$A,"RESINV1USD",'bench Comparison'!$G:$G)+SUMIF('bench Comparison'!$A:$A,"RESSWAPORUSD",'bench Comparison'!$G:$G))))</f>
        <v/>
      </c>
      <c r="U9" s="125">
        <f>SUMIF('bench Comparison'!$E:$E,A9,'bench Comparison'!$N:$N)</f>
        <v>-366652552.98645103</v>
      </c>
      <c r="V9" s="126">
        <f ca="1">VALUE(_xll.BDP($A9 &amp; " Corp",V$1))</f>
        <v>40941</v>
      </c>
      <c r="W9" s="127" t="e">
        <f ca="1">VALUE(_xll.BDP($A9 &amp; " Corp",W$1))</f>
        <v>#VALUE!</v>
      </c>
      <c r="X9" s="127" t="e">
        <f ca="1">VALUE(_xll.BDP($A9 &amp; " Corp",X$1))</f>
        <v>#VALUE!</v>
      </c>
      <c r="Y9" s="127" t="e">
        <f ca="1">VALUE(_xll.BDP($A9 &amp; " Corp",Y$1))</f>
        <v>#VALUE!</v>
      </c>
      <c r="Z9" s="127">
        <f ca="1">VALUE(_xll.BDP($A9 &amp; " Corp",Z$1))</f>
        <v>41123</v>
      </c>
      <c r="AA9" s="128">
        <f ca="1">_xll.BDP($A9 &amp; " Corp",AA$1)/100</f>
        <v>0</v>
      </c>
      <c r="AB9" s="129">
        <f ca="1">_xll.BDP($A9 &amp; " Corp",AB$1)</f>
        <v>59002000000</v>
      </c>
      <c r="AC9" s="130" t="str">
        <f ca="1">IF(LEFT(B9,1)="B",_xll.INSTANCE.TBILL(A9,V9,Z9,TODAY()),_xll.INSTANCE.TNOTE(A9,V9,W9,X9,Y9,Z9,AA9,TODAY()))</f>
        <v>US9127955Y39#0027</v>
      </c>
    </row>
    <row r="10" spans="1:29" x14ac:dyDescent="0.2">
      <c r="A10" s="131" t="s">
        <v>156</v>
      </c>
      <c r="B10" s="115" t="str">
        <f ca="1">_xll.BDP($A10 &amp; " Govt",B$1)</f>
        <v>B 08/09/12</v>
      </c>
      <c r="C10" s="372"/>
      <c r="D10" s="116"/>
      <c r="E10" s="117"/>
      <c r="F10" s="118"/>
      <c r="G10" s="377"/>
      <c r="H10" s="120">
        <f ca="1">IF(E10="",_xll.BDP(A10 &amp; " Govt","YLD_YTM_ASK")/100,E10)</f>
        <v>3.0500967075880681E-4</v>
      </c>
      <c r="I10" s="121">
        <f ca="1">_xll.INSTRUMENT.PRIX(AC10,D10,H10,cTreasuries)</f>
        <v>99.996833333207505</v>
      </c>
      <c r="J10" s="122">
        <f ca="1">_xll.INSTRUMENT.DV01(A10,,,I10,cContinuous,I10)</f>
        <v>-1.0382184338911941E-3</v>
      </c>
      <c r="K10" s="123">
        <f ca="1">_xll.INSTRUMENT.CONVEXITE(A10,,,I10,cContinuous,I10)</f>
        <v>1.0779658992505003E-2</v>
      </c>
      <c r="L10" s="123">
        <f ca="1">_xll.INSTRUMENT.Z.SPREAD(A10,swapCurve,I10,cContinuous,D10)</f>
        <v>-22.771136810715522</v>
      </c>
      <c r="M10" s="123">
        <f ca="1">_xll.INSTRUMENT.Z.SPREAD(A10,ustCurve,I10,cContinuous,D10)</f>
        <v>0.29381659537590959</v>
      </c>
      <c r="N10" s="123">
        <f ca="1">_xll.INSTRUMENT.Z.SPREAD(A10,oisCurve,I10,cContinuous,D10)</f>
        <v>-14.736611110426811</v>
      </c>
      <c r="O10" s="124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3.3747128410832584E-4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9">
        <f ca="1">-(O10-curve!$S$3)/J10</f>
        <v>-1.3298704087530617</v>
      </c>
      <c r="R10" s="381">
        <f t="shared" ca="1" si="0"/>
        <v>-10.382842993938516</v>
      </c>
      <c r="S10" s="199" t="str">
        <f>IF(F10&lt;&gt;"","",IF(G10="","",-G10*(SUMIF('bench Comparison'!$A:$A,"RESINV1USD",'bench Comparison'!$G:$G)+SUMIF('bench Comparison'!$A:$A,"RESSWAPORUSD",'bench Comparison'!$G:$G))/(36500*J10)))</f>
        <v/>
      </c>
      <c r="T10" s="210" t="str">
        <f>IF(G10&lt;&gt;"","",IF(F10="","",-36500*J10*F10/(SUMIF('bench Comparison'!$A:$A,"RESINV1USD",'bench Comparison'!$G:$G)+SUMIF('bench Comparison'!$A:$A,"RESSWAPORUSD",'bench Comparison'!$G:$G))))</f>
        <v/>
      </c>
      <c r="U10" s="125">
        <f>SUMIF('bench Comparison'!$E:$E,A10,'bench Comparison'!$N:$N)</f>
        <v>-111388117.36297247</v>
      </c>
      <c r="V10" s="126">
        <f ca="1">VALUE(_xll.BDP($A10 &amp; " Corp",V$1))</f>
        <v>40948</v>
      </c>
      <c r="W10" s="127" t="e">
        <f ca="1">VALUE(_xll.BDP($A10 &amp; " Corp",W$1))</f>
        <v>#VALUE!</v>
      </c>
      <c r="X10" s="127" t="e">
        <f ca="1">VALUE(_xll.BDP($A10 &amp; " Corp",X$1))</f>
        <v>#VALUE!</v>
      </c>
      <c r="Y10" s="127" t="e">
        <f ca="1">VALUE(_xll.BDP($A10 &amp; " Corp",Y$1))</f>
        <v>#VALUE!</v>
      </c>
      <c r="Z10" s="127">
        <f ca="1">VALUE(_xll.BDP($A10 &amp; " Corp",Z$1))</f>
        <v>41130</v>
      </c>
      <c r="AA10" s="128">
        <f ca="1">_xll.BDP($A10 &amp; " Corp",AA$1)/100</f>
        <v>0</v>
      </c>
      <c r="AB10" s="129">
        <f ca="1">_xll.BDP($A10 &amp; " Corp",AB$1)</f>
        <v>61001000000</v>
      </c>
      <c r="AC10" s="130" t="str">
        <f ca="1">IF(LEFT(B10,1)="B",_xll.INSTANCE.TBILL(A10,V10,Z10,TODAY()),_xll.INSTANCE.TNOTE(A10,V10,W10,X10,Y10,Z10,AA10,TODAY()))</f>
        <v>US9127956A44#0027</v>
      </c>
    </row>
    <row r="11" spans="1:29" x14ac:dyDescent="0.2">
      <c r="A11" s="131" t="s">
        <v>407</v>
      </c>
      <c r="B11" s="115" t="str">
        <f ca="1">_xll.BDP($A11 &amp; " Govt",B$1)</f>
        <v>T 4 3/8 08/15/12</v>
      </c>
      <c r="C11" s="372"/>
      <c r="D11" s="116"/>
      <c r="E11" s="117"/>
      <c r="F11" s="118"/>
      <c r="G11" s="377"/>
      <c r="H11" s="120">
        <f ca="1">IF(E11="",_xll.BDP(A11 &amp; " Govt","YLD_YTM_ASK")/100,E11)</f>
        <v>4.3788806426202744E-4</v>
      </c>
      <c r="I11" s="121">
        <f ca="1">_xll.INSTRUMENT.PRIX(AC11,D11,H11,cTreasuries)</f>
        <v>100.52346705392974</v>
      </c>
      <c r="J11" s="122">
        <f ca="1">_xll.INSTRUMENT.DV01(A11,,,I11,cContinuous,I11)</f>
        <v>-1.2284188659017999E-3</v>
      </c>
      <c r="K11" s="123">
        <f ca="1">_xll.INSTRUMENT.CONVEXITE(A11,,,I11,cContinuous,I11)</f>
        <v>1.4452506793275408E-2</v>
      </c>
      <c r="L11" s="123">
        <f ca="1">_xll.INSTRUMENT.Z.SPREAD(A11,swapCurve,I11,cContinuous,D11)</f>
        <v>-22.905480722816311</v>
      </c>
      <c r="M11" s="123">
        <f ca="1">_xll.INSTRUMENT.Z.SPREAD(A11,ustCurve,I11,cContinuous,D11)</f>
        <v>-9.0403671065886329</v>
      </c>
      <c r="N11" s="123">
        <f ca="1">_xll.INSTRUMENT.Z.SPREAD(A11,oisCurve,I11,cContinuous,D11)</f>
        <v>-13.444114050603822</v>
      </c>
      <c r="O11" s="124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-2.7179051075997447E-3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9">
        <f ca="1">-(O11-curve!$S$3)/J11</f>
        <v>-3.6112050114968981</v>
      </c>
      <c r="R11" s="381">
        <f t="shared" ca="1" si="0"/>
        <v>-11.76512930112451</v>
      </c>
      <c r="S11" s="199" t="str">
        <f>IF(F11&lt;&gt;"","",IF(G11="","",-G11*(SUMIF('bench Comparison'!$A:$A,"RESINV1USD",'bench Comparison'!$G:$G)+SUMIF('bench Comparison'!$A:$A,"RESSWAPORUSD",'bench Comparison'!$G:$G))/(36500*J11)))</f>
        <v/>
      </c>
      <c r="T11" s="210" t="str">
        <f>IF(G11&lt;&gt;"","",IF(F11="","",-36500*J11*F11/(SUMIF('bench Comparison'!$A:$A,"RESINV1USD",'bench Comparison'!$G:$G)+SUMIF('bench Comparison'!$A:$A,"RESSWAPORUSD",'bench Comparison'!$G:$G))))</f>
        <v/>
      </c>
      <c r="U11" s="125">
        <f>SUMIF('bench Comparison'!$E:$E,A11,'bench Comparison'!$N:$N)</f>
        <v>0</v>
      </c>
      <c r="V11" s="126">
        <f ca="1">VALUE(_xll.BDP($A11 &amp; " Corp",V$1))</f>
        <v>37483</v>
      </c>
      <c r="W11" s="127">
        <f ca="1">VALUE(_xll.BDP($A11 &amp; " Corp",W$1))</f>
        <v>37483</v>
      </c>
      <c r="X11" s="127">
        <f ca="1">VALUE(_xll.BDP($A11 &amp; " Corp",X$1))</f>
        <v>37667</v>
      </c>
      <c r="Y11" s="127">
        <f ca="1">VALUE(_xll.BDP($A11 &amp; " Corp",Y$1))</f>
        <v>40954</v>
      </c>
      <c r="Z11" s="127">
        <f ca="1">VALUE(_xll.BDP($A11 &amp; " Corp",Z$1))</f>
        <v>41136</v>
      </c>
      <c r="AA11" s="128">
        <f ca="1">_xll.BDP($A11 &amp; " Corp",AA$1)/100</f>
        <v>4.3749999999999997E-2</v>
      </c>
      <c r="AB11" s="129">
        <f ca="1">_xll.BDP($A11 &amp; " Corp",AB$1)</f>
        <v>19648000000</v>
      </c>
      <c r="AC11" s="130" t="str">
        <f ca="1">IF(LEFT(B11,1)="B",_xll.INSTANCE.TBILL(A11,V11,Z11,TODAY()),_xll.INSTANCE.TNOTE(A11,V11,W11,X11,Y11,Z11,AA11,TODAY()))</f>
        <v>US912828AJ96#0028</v>
      </c>
    </row>
    <row r="12" spans="1:29" x14ac:dyDescent="0.2">
      <c r="A12" s="131" t="s">
        <v>408</v>
      </c>
      <c r="B12" s="115" t="str">
        <f ca="1">_xll.BDP($A12 &amp; " Govt",B$1)</f>
        <v>T 1 3/4 08/15/12</v>
      </c>
      <c r="C12" s="372"/>
      <c r="D12" s="116"/>
      <c r="E12" s="117"/>
      <c r="F12" s="118"/>
      <c r="G12" s="377"/>
      <c r="H12" s="120">
        <f ca="1">IF(E12="",_xll.BDP(A12 &amp; " Govt","YLD_YTM_ASK")/100,E12)</f>
        <v>6.9004290831919946E-4</v>
      </c>
      <c r="I12" s="121">
        <f ca="1">_xll.INSTRUMENT.PRIX(AC12,D12,H12,cTreasuries)</f>
        <v>100.20317097138609</v>
      </c>
      <c r="J12" s="122">
        <f ca="1">_xll.INSTRUMENT.DV01(A12,,,I12,cContinuous,I12)</f>
        <v>-1.2126042521326368E-3</v>
      </c>
      <c r="K12" s="123">
        <f ca="1">_xll.INSTRUMENT.CONVEXITE(A12,,,I12,cContinuous,I12)</f>
        <v>1.4452506793275411E-2</v>
      </c>
      <c r="L12" s="123">
        <f ca="1">_xll.INSTRUMENT.Z.SPREAD(A12,swapCurve,I12,cContinuous,D12)</f>
        <v>-20.390992294179807</v>
      </c>
      <c r="M12" s="123">
        <f ca="1">_xll.INSTRUMENT.Z.SPREAD(A12,ustCurve,I12,cContinuous,D12)</f>
        <v>-0.52928171586576089</v>
      </c>
      <c r="N12" s="123">
        <f ca="1">_xll.INSTRUMENT.Z.SPREAD(A12,oisCurve,I12,cContinuous,D12)</f>
        <v>-10.929625622713514</v>
      </c>
      <c r="O12" s="124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-5.1378002280956232E-4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9">
        <f ca="1">-(O12-curve!$S$3)/J12</f>
        <v>-1.8406230029676653</v>
      </c>
      <c r="R12" s="381">
        <f t="shared" ca="1" si="0"/>
        <v>-11.918568459460236</v>
      </c>
      <c r="S12" s="199" t="str">
        <f>IF(F12&lt;&gt;"","",IF(G12="","",-G12*(SUMIF('bench Comparison'!$A:$A,"RESINV1USD",'bench Comparison'!$G:$G)+SUMIF('bench Comparison'!$A:$A,"RESSWAPORUSD",'bench Comparison'!$G:$G))/(36500*J12)))</f>
        <v/>
      </c>
      <c r="T12" s="210" t="str">
        <f>IF(G12&lt;&gt;"","",IF(F12="","",-36500*J12*F12/(SUMIF('bench Comparison'!$A:$A,"RESINV1USD",'bench Comparison'!$G:$G)+SUMIF('bench Comparison'!$A:$A,"RESSWAPORUSD",'bench Comparison'!$G:$G))))</f>
        <v/>
      </c>
      <c r="U12" s="125">
        <f>SUMIF('bench Comparison'!$E:$E,A12,'bench Comparison'!$N:$N)</f>
        <v>0</v>
      </c>
      <c r="V12" s="126">
        <f ca="1">VALUE(_xll.BDP($A12 &amp; " Corp",V$1))</f>
        <v>40042</v>
      </c>
      <c r="W12" s="127">
        <f ca="1">VALUE(_xll.BDP($A12 &amp; " Corp",W$1))</f>
        <v>40040</v>
      </c>
      <c r="X12" s="127">
        <f ca="1">VALUE(_xll.BDP($A12 &amp; " Corp",X$1))</f>
        <v>40224</v>
      </c>
      <c r="Y12" s="127">
        <f ca="1">VALUE(_xll.BDP($A12 &amp; " Corp",Y$1))</f>
        <v>40954</v>
      </c>
      <c r="Z12" s="127">
        <f ca="1">VALUE(_xll.BDP($A12 &amp; " Corp",Z$1))</f>
        <v>41136</v>
      </c>
      <c r="AA12" s="128">
        <f ca="1">_xll.BDP($A12 &amp; " Corp",AA$1)/100</f>
        <v>1.7500000000000002E-2</v>
      </c>
      <c r="AB12" s="129">
        <f ca="1">_xll.BDP($A12 &amp; " Corp",AB$1)</f>
        <v>42715000000</v>
      </c>
      <c r="AC12" s="130" t="str">
        <f ca="1">IF(LEFT(B12,1)="B",_xll.INSTANCE.TBILL(A12,V12,Z12,TODAY()),_xll.INSTANCE.TNOTE(A12,V12,W12,X12,Y12,Z12,AA12,TODAY()))</f>
        <v>US912828LH12#0028</v>
      </c>
    </row>
    <row r="13" spans="1:29" x14ac:dyDescent="0.2">
      <c r="A13" s="131" t="s">
        <v>158</v>
      </c>
      <c r="B13" s="115" t="str">
        <f ca="1">_xll.BDP($A13 &amp; " Govt",B$1)</f>
        <v>B 08/16/12</v>
      </c>
      <c r="C13" s="372"/>
      <c r="D13" s="116"/>
      <c r="E13" s="117"/>
      <c r="F13" s="118"/>
      <c r="G13" s="377"/>
      <c r="H13" s="120">
        <f ca="1">IF(E13="",_xll.BDP(A13 &amp; " Govt","YLD_YTM_ASK")/100,E13)</f>
        <v>3.5584890323804076E-4</v>
      </c>
      <c r="I13" s="121">
        <f ca="1">_xll.INSTRUMENT.PRIX(AC13,D13,H13,cTreasuries)</f>
        <v>99.995624999981374</v>
      </c>
      <c r="J13" s="122">
        <f ca="1">_xll.INSTRUMENT.DV01(A13,,,I13,cContinuous,I13)</f>
        <v>-1.2294543305699467E-3</v>
      </c>
      <c r="K13" s="123">
        <f ca="1">_xll.INSTRUMENT.CONVEXITE(A13,,,I13,cContinuous,I13)</f>
        <v>1.5116904058048917E-2</v>
      </c>
      <c r="L13" s="123">
        <f ca="1">_xll.INSTRUMENT.Z.SPREAD(A13,swapCurve,I13,cContinuous,D13)</f>
        <v>-23.996507206305619</v>
      </c>
      <c r="M13" s="123">
        <f ca="1">_xll.INSTRUMENT.Z.SPREAD(A13,ustCurve,I13,cContinuous,D13)</f>
        <v>-9.6706317299670649E-3</v>
      </c>
      <c r="N13" s="123">
        <f ca="1">_xll.INSTRUMENT.Z.SPREAD(A13,oisCurve,I13,cContinuous,D13)</f>
        <v>-14.25722861375422</v>
      </c>
      <c r="O13" s="124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4.3766369230375802E-4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9">
        <f ca="1">-(O13-curve!$S$3)/J13</f>
        <v>-1.0415218630079588</v>
      </c>
      <c r="R13" s="381">
        <f t="shared" ca="1" si="0"/>
        <v>-12.295620652327173</v>
      </c>
      <c r="S13" s="199" t="str">
        <f>IF(F13&lt;&gt;"","",IF(G13="","",-G13*(SUMIF('bench Comparison'!$A:$A,"RESINV1USD",'bench Comparison'!$G:$G)+SUMIF('bench Comparison'!$A:$A,"RESSWAPORUSD",'bench Comparison'!$G:$G))/(36500*J13)))</f>
        <v/>
      </c>
      <c r="T13" s="210" t="str">
        <f>IF(G13&lt;&gt;"","",IF(F13="","",-36500*J13*F13/(SUMIF('bench Comparison'!$A:$A,"RESINV1USD",'bench Comparison'!$G:$G)+SUMIF('bench Comparison'!$A:$A,"RESSWAPORUSD",'bench Comparison'!$G:$G))))</f>
        <v/>
      </c>
      <c r="U13" s="125">
        <f>SUMIF('bench Comparison'!$E:$E,A13,'bench Comparison'!$N:$N)</f>
        <v>-268027657.40465251</v>
      </c>
      <c r="V13" s="126">
        <f ca="1">VALUE(_xll.BDP($A13 &amp; " Corp",V$1))</f>
        <v>40955</v>
      </c>
      <c r="W13" s="127" t="e">
        <f ca="1">VALUE(_xll.BDP($A13 &amp; " Corp",W$1))</f>
        <v>#VALUE!</v>
      </c>
      <c r="X13" s="127" t="e">
        <f ca="1">VALUE(_xll.BDP($A13 &amp; " Corp",X$1))</f>
        <v>#VALUE!</v>
      </c>
      <c r="Y13" s="127" t="e">
        <f ca="1">VALUE(_xll.BDP($A13 &amp; " Corp",Y$1))</f>
        <v>#VALUE!</v>
      </c>
      <c r="Z13" s="127">
        <f ca="1">VALUE(_xll.BDP($A13 &amp; " Corp",Z$1))</f>
        <v>41137</v>
      </c>
      <c r="AA13" s="128">
        <f ca="1">_xll.BDP($A13 &amp; " Corp",AA$1)/100</f>
        <v>0</v>
      </c>
      <c r="AB13" s="129">
        <f ca="1">_xll.BDP($A13 &amp; " Corp",AB$1)</f>
        <v>61000000000</v>
      </c>
      <c r="AC13" s="130" t="str">
        <f ca="1">IF(LEFT(B13,1)="B",_xll.INSTANCE.TBILL(A13,V13,Z13,TODAY()),_xll.INSTANCE.TNOTE(A13,V13,W13,X13,Y13,Z13,AA13,TODAY()))</f>
        <v>US9127956B27#0027</v>
      </c>
    </row>
    <row r="14" spans="1:29" x14ac:dyDescent="0.2">
      <c r="A14" s="131" t="s">
        <v>160</v>
      </c>
      <c r="B14" s="115" t="str">
        <f ca="1">_xll.BDP($A14 &amp; " Govt",B$1)</f>
        <v>B 08/23/12</v>
      </c>
      <c r="C14" s="372"/>
      <c r="D14" s="116"/>
      <c r="E14" s="117"/>
      <c r="F14" s="118"/>
      <c r="G14" s="377"/>
      <c r="H14" s="120">
        <f ca="1">IF(E14="",_xll.BDP(A14 &amp; " Govt","YLD_YTM_ASK")/100,E14)</f>
        <v>3.0501322936024496E-4</v>
      </c>
      <c r="I14" s="121">
        <f ca="1">_xll.INSTRUMENT.PRIX(AC14,D14,H14,cTreasuries)</f>
        <v>99.995666666494472</v>
      </c>
      <c r="J14" s="122">
        <f ca="1">_xll.INSTRUMENT.DV01(A14,,,I14,cContinuous,I14)</f>
        <v>-1.4207033595751946E-3</v>
      </c>
      <c r="K14" s="123">
        <f ca="1">_xll.INSTRUMENT.CONVEXITE(A14,,,I14,cContinuous,I14)</f>
        <v>2.0185732628624338E-2</v>
      </c>
      <c r="L14" s="123">
        <f ca="1">_xll.INSTRUMENT.Z.SPREAD(A14,swapCurve,I14,cContinuous,D14)</f>
        <v>-26.663990008546399</v>
      </c>
      <c r="M14" s="123">
        <f ca="1">_xll.INSTRUMENT.Z.SPREAD(A14,ustCurve,I14,cContinuous,D14)</f>
        <v>-1.3245646584138742</v>
      </c>
      <c r="N14" s="123">
        <f ca="1">_xll.INSTRUMENT.Z.SPREAD(A14,oisCurve,I14,cContinuous,D14)</f>
        <v>-14.695961881273284</v>
      </c>
      <c r="O14" s="124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4.5847586559996114E-4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9">
        <f ca="1">-(O14-curve!$S$3)/J14</f>
        <v>-0.88666742643508034</v>
      </c>
      <c r="R14" s="381">
        <f t="shared" ca="1" si="0"/>
        <v>-14.208266977463955</v>
      </c>
      <c r="S14" s="199" t="str">
        <f>IF(F14&lt;&gt;"","",IF(G14="","",-G14*(SUMIF('bench Comparison'!$A:$A,"RESINV1USD",'bench Comparison'!$G:$G)+SUMIF('bench Comparison'!$A:$A,"RESSWAPORUSD",'bench Comparison'!$G:$G))/(36500*J14)))</f>
        <v/>
      </c>
      <c r="T14" s="210" t="str">
        <f>IF(G14&lt;&gt;"","",IF(F14="","",-36500*J14*F14/(SUMIF('bench Comparison'!$A:$A,"RESINV1USD",'bench Comparison'!$G:$G)+SUMIF('bench Comparison'!$A:$A,"RESSWAPORUSD",'bench Comparison'!$G:$G))))</f>
        <v/>
      </c>
      <c r="U14" s="125">
        <f>SUMIF('bench Comparison'!$E:$E,A14,'bench Comparison'!$N:$N)</f>
        <v>-268027657.40465251</v>
      </c>
      <c r="V14" s="126">
        <f ca="1">VALUE(_xll.BDP($A14 &amp; " Corp",V$1))</f>
        <v>40780</v>
      </c>
      <c r="W14" s="127" t="e">
        <f ca="1">VALUE(_xll.BDP($A14 &amp; " Corp",W$1))</f>
        <v>#VALUE!</v>
      </c>
      <c r="X14" s="127" t="e">
        <f ca="1">VALUE(_xll.BDP($A14 &amp; " Corp",X$1))</f>
        <v>#VALUE!</v>
      </c>
      <c r="Y14" s="127" t="e">
        <f ca="1">VALUE(_xll.BDP($A14 &amp; " Corp",Y$1))</f>
        <v>#VALUE!</v>
      </c>
      <c r="Z14" s="127">
        <f ca="1">VALUE(_xll.BDP($A14 &amp; " Corp",Z$1))</f>
        <v>41144</v>
      </c>
      <c r="AA14" s="128">
        <f ca="1">_xll.BDP($A14 &amp; " Corp",AA$1)/100</f>
        <v>0</v>
      </c>
      <c r="AB14" s="129">
        <f ca="1">_xll.BDP($A14 &amp; " Corp",AB$1)</f>
        <v>86001000000</v>
      </c>
      <c r="AC14" s="130" t="str">
        <f ca="1">IF(LEFT(B14,1)="B",_xll.INSTANCE.TBILL(A14,V14,Z14,TODAY()),_xll.INSTANCE.TNOTE(A14,V14,W14,X14,Y14,Z14,AA14,TODAY()))</f>
        <v>US912795Y967#0027</v>
      </c>
    </row>
    <row r="15" spans="1:29" x14ac:dyDescent="0.2">
      <c r="A15" s="131" t="s">
        <v>162</v>
      </c>
      <c r="B15" s="115" t="str">
        <f ca="1">_xll.BDP($A15 &amp; " Govt",B$1)</f>
        <v>B 08/30/12</v>
      </c>
      <c r="C15" s="372"/>
      <c r="D15" s="116"/>
      <c r="E15" s="117"/>
      <c r="F15" s="118"/>
      <c r="G15" s="377"/>
      <c r="H15" s="120">
        <f ca="1">IF(E15="",_xll.BDP(A15 &amp; " Govt","YLD_YTM_ASK")/100,E15)</f>
        <v>3.5488146901775847E-4</v>
      </c>
      <c r="I15" s="121">
        <f ca="1">_xll.INSTRUMENT.PRIX(AC15,D15,H15,cTreasuries)</f>
        <v>99.994279560402731</v>
      </c>
      <c r="J15" s="122">
        <f ca="1">_xll.INSTRUMENT.DV01(A15,,,I15,cContinuous,I15)</f>
        <v>-1.6119295124160465E-3</v>
      </c>
      <c r="K15" s="123">
        <f ca="1">_xll.INSTRUMENT.CONVEXITE(A15,,,I15,cContinuous,I15)</f>
        <v>2.5986144704231228E-2</v>
      </c>
      <c r="L15" s="123">
        <f ca="1">_xll.INSTRUMENT.Z.SPREAD(A15,swapCurve,I15,cContinuous,D15)</f>
        <v>-28.780283578152744</v>
      </c>
      <c r="M15" s="123">
        <f ca="1">_xll.INSTRUMENT.Z.SPREAD(A15,ustCurve,I15,cContinuous,D15)</f>
        <v>-1.5913944556140402</v>
      </c>
      <c r="N15" s="123">
        <f ca="1">_xll.INSTRUMENT.Z.SPREAD(A15,oisCurve,I15,cContinuous,D15)</f>
        <v>-14.133084984330544</v>
      </c>
      <c r="O15" s="124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4.4708798232646771E-4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9">
        <f ca="1">-(O15-curve!$S$3)/J15</f>
        <v>-0.78854519694880587</v>
      </c>
      <c r="R15" s="381">
        <f t="shared" ca="1" si="0"/>
        <v>-16.121142087213105</v>
      </c>
      <c r="S15" s="199" t="str">
        <f>IF(F15&lt;&gt;"","",IF(G15="","",-G15*(SUMIF('bench Comparison'!$A:$A,"RESINV1USD",'bench Comparison'!$G:$G)+SUMIF('bench Comparison'!$A:$A,"RESSWAPORUSD",'bench Comparison'!$G:$G))/(36500*J15)))</f>
        <v/>
      </c>
      <c r="T15" s="210" t="str">
        <f>IF(G15&lt;&gt;"","",IF(F15="","",-36500*J15*F15/(SUMIF('bench Comparison'!$A:$A,"RESINV1USD",'bench Comparison'!$G:$G)+SUMIF('bench Comparison'!$A:$A,"RESSWAPORUSD",'bench Comparison'!$G:$G))))</f>
        <v/>
      </c>
      <c r="U15" s="125">
        <f>SUMIF('bench Comparison'!$E:$E,A15,'bench Comparison'!$N:$N)</f>
        <v>-268317730.6269519</v>
      </c>
      <c r="V15" s="126">
        <f ca="1">VALUE(_xll.BDP($A15 &amp; " Corp",V$1))</f>
        <v>40969</v>
      </c>
      <c r="W15" s="127" t="e">
        <f ca="1">VALUE(_xll.BDP($A15 &amp; " Corp",W$1))</f>
        <v>#VALUE!</v>
      </c>
      <c r="X15" s="127" t="e">
        <f ca="1">VALUE(_xll.BDP($A15 &amp; " Corp",X$1))</f>
        <v>#VALUE!</v>
      </c>
      <c r="Y15" s="127" t="e">
        <f ca="1">VALUE(_xll.BDP($A15 &amp; " Corp",Y$1))</f>
        <v>#VALUE!</v>
      </c>
      <c r="Z15" s="127">
        <f ca="1">VALUE(_xll.BDP($A15 &amp; " Corp",Z$1))</f>
        <v>41151</v>
      </c>
      <c r="AA15" s="128">
        <f ca="1">_xll.BDP($A15 &amp; " Corp",AA$1)/100</f>
        <v>0</v>
      </c>
      <c r="AB15" s="129">
        <f ca="1">_xll.BDP($A15 &amp; " Corp",AB$1)</f>
        <v>61005000000</v>
      </c>
      <c r="AC15" s="130" t="str">
        <f ca="1">IF(LEFT(B15,1)="B",_xll.INSTANCE.TBILL(A15,V15,Z15,TODAY()),_xll.INSTANCE.TNOTE(A15,V15,W15,X15,Y15,Z15,AA15,TODAY()))</f>
        <v>US9127956C00#0027</v>
      </c>
    </row>
    <row r="16" spans="1:29" x14ac:dyDescent="0.2">
      <c r="A16" s="131" t="s">
        <v>174</v>
      </c>
      <c r="B16" s="115" t="str">
        <f ca="1">_xll.BDP($A16 &amp; " Govt",B$1)</f>
        <v>T 0 3/8 08/31/12</v>
      </c>
      <c r="C16" s="372"/>
      <c r="D16" s="116"/>
      <c r="E16" s="117"/>
      <c r="F16" s="118"/>
      <c r="G16" s="377"/>
      <c r="H16" s="120">
        <f ca="1">IF(E16="",_xll.BDP(A16 &amp; " Govt","YLD_YTM_ASK")/100,E16)</f>
        <v>8.7348682649022178E-4</v>
      </c>
      <c r="I16" s="121">
        <f ca="1">_xll.INSTRUMENT.PRIX(AC16,D16,H16,cTreasuries)</f>
        <v>100.04679705321429</v>
      </c>
      <c r="J16" s="122">
        <f ca="1">_xll.INSTRUMENT.DV01(A16,,,I16,cContinuous,I16)</f>
        <v>-1.6421827473592691E-3</v>
      </c>
      <c r="K16" s="123">
        <f ca="1">_xll.INSTRUMENT.CONVEXITE(A16,,,I16,cContinuous,I16)</f>
        <v>2.6874496103198055E-2</v>
      </c>
      <c r="L16" s="123">
        <f ca="1">_xll.INSTRUMENT.Z.SPREAD(A16,swapCurve,I16,cContinuous,D16)</f>
        <v>-24.02020556549266</v>
      </c>
      <c r="M16" s="123">
        <f ca="1">_xll.INSTRUMENT.Z.SPREAD(A16,ustCurve,I16,cContinuous,D16)</f>
        <v>2.9296131475592113</v>
      </c>
      <c r="N16" s="123">
        <f ca="1">_xll.INSTRUMENT.Z.SPREAD(A16,oisCurve,I16,cContinuous,D16)</f>
        <v>-8.9559717681004134</v>
      </c>
      <c r="O16" s="124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7.5550745937692006E-4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9">
        <f ca="1">-(O16-curve!$S$3)/J16</f>
        <v>-0.5862074725442511</v>
      </c>
      <c r="R16" s="381">
        <f t="shared" ca="1" si="0"/>
        <v>-16.365106835042507</v>
      </c>
      <c r="S16" s="199" t="str">
        <f>IF(F16&lt;&gt;"","",IF(G16="","",-G16*(SUMIF('bench Comparison'!$A:$A,"RESINV1USD",'bench Comparison'!$G:$G)+SUMIF('bench Comparison'!$A:$A,"RESSWAPORUSD",'bench Comparison'!$G:$G))/(36500*J16)))</f>
        <v/>
      </c>
      <c r="T16" s="210" t="str">
        <f>IF(G16&lt;&gt;"","",IF(F16="","",-36500*J16*F16/(SUMIF('bench Comparison'!$A:$A,"RESINV1USD",'bench Comparison'!$G:$G)+SUMIF('bench Comparison'!$A:$A,"RESSWAPORUSD",'bench Comparison'!$G:$G))))</f>
        <v/>
      </c>
      <c r="U16" s="125">
        <f>SUMIF('bench Comparison'!$E:$E,A16,'bench Comparison'!$N:$N)</f>
        <v>-431628954.78151828</v>
      </c>
      <c r="V16" s="126">
        <f ca="1">VALUE(_xll.BDP($A16 &amp; " Corp",V$1))</f>
        <v>40421</v>
      </c>
      <c r="W16" s="127">
        <f ca="1">VALUE(_xll.BDP($A16 &amp; " Corp",W$1))</f>
        <v>40421</v>
      </c>
      <c r="X16" s="127">
        <f ca="1">VALUE(_xll.BDP($A16 &amp; " Corp",X$1))</f>
        <v>40602</v>
      </c>
      <c r="Y16" s="127">
        <f ca="1">VALUE(_xll.BDP($A16 &amp; " Corp",Y$1))</f>
        <v>40968</v>
      </c>
      <c r="Z16" s="127">
        <f ca="1">VALUE(_xll.BDP($A16 &amp; " Corp",Z$1))</f>
        <v>41152</v>
      </c>
      <c r="AA16" s="128">
        <f ca="1">_xll.BDP($A16 &amp; " Corp",AA$1)/100</f>
        <v>3.7499999999999999E-3</v>
      </c>
      <c r="AB16" s="129">
        <f ca="1">_xll.BDP($A16 &amp; " Corp",AB$1)</f>
        <v>37906000000</v>
      </c>
      <c r="AC16" s="130" t="str">
        <f ca="1">IF(LEFT(B16,1)="B",_xll.INSTANCE.TBILL(A16,V16,Z16,TODAY()),_xll.INSTANCE.TNOTE(A16,V16,W16,X16,Y16,Z16,AA16,TODAY()))</f>
        <v>US912828PH75#0028</v>
      </c>
    </row>
    <row r="17" spans="1:29" x14ac:dyDescent="0.2">
      <c r="A17" s="131" t="s">
        <v>409</v>
      </c>
      <c r="B17" s="115" t="str">
        <f ca="1">_xll.BDP($A17 &amp; " Govt",B$1)</f>
        <v>T 4 1/8 08/31/12</v>
      </c>
      <c r="C17" s="372"/>
      <c r="D17" s="116"/>
      <c r="E17" s="117"/>
      <c r="F17" s="118"/>
      <c r="G17" s="377"/>
      <c r="H17" s="120">
        <f ca="1">IF(E17="",_xll.BDP(A17 &amp; " Govt","YLD_YTM_ASK")/100,E17)</f>
        <v>5.1035068858560349E-4</v>
      </c>
      <c r="I17" s="121">
        <f ca="1">_xll.INSTRUMENT.PRIX(AC17,D17,H17,cTreasuries)</f>
        <v>100.6640161003419</v>
      </c>
      <c r="J17" s="122">
        <f ca="1">_xll.INSTRUMENT.DV01(A17,,,I17,cContinuous,I17)</f>
        <v>-1.6730156292280498E-3</v>
      </c>
      <c r="K17" s="123">
        <f ca="1">_xll.INSTRUMENT.CONVEXITE(A17,,,I17,cContinuous,I17)</f>
        <v>2.6874496103198049E-2</v>
      </c>
      <c r="L17" s="123">
        <f ca="1">_xll.INSTRUMENT.Z.SPREAD(A17,swapCurve,I17,cContinuous,D17)</f>
        <v>-27.641234462409145</v>
      </c>
      <c r="M17" s="123">
        <f ca="1">_xll.INSTRUMENT.Z.SPREAD(A17,ustCurve,I17,cContinuous,D17)</f>
        <v>-6.9180595065275163</v>
      </c>
      <c r="N17" s="123">
        <f ca="1">_xll.INSTRUMENT.Z.SPREAD(A17,oisCurve,I17,cContinuous,D17)</f>
        <v>-12.577000665017755</v>
      </c>
      <c r="O17" s="124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-1.9595105930139949E-3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9">
        <f ca="1">-(O17-curve!$S$3)/J17</f>
        <v>-2.1982328114131802</v>
      </c>
      <c r="R17" s="381">
        <f t="shared" ca="1" si="0"/>
        <v>-16.06350570412679</v>
      </c>
      <c r="S17" s="199" t="str">
        <f>IF(F17&lt;&gt;"","",IF(G17="","",-G17*(SUMIF('bench Comparison'!$A:$A,"RESINV1USD",'bench Comparison'!$G:$G)+SUMIF('bench Comparison'!$A:$A,"RESSWAPORUSD",'bench Comparison'!$G:$G))/(36500*J17)))</f>
        <v/>
      </c>
      <c r="T17" s="210" t="str">
        <f>IF(G17&lt;&gt;"","",IF(F17="","",-36500*J17*F17/(SUMIF('bench Comparison'!$A:$A,"RESINV1USD",'bench Comparison'!$G:$G)+SUMIF('bench Comparison'!$A:$A,"RESSWAPORUSD",'bench Comparison'!$G:$G))))</f>
        <v/>
      </c>
      <c r="U17" s="125">
        <f>SUMIF('bench Comparison'!$E:$E,A17,'bench Comparison'!$N:$N)</f>
        <v>0</v>
      </c>
      <c r="V17" s="126">
        <f ca="1">VALUE(_xll.BDP($A17 &amp; " Corp",V$1))</f>
        <v>39325</v>
      </c>
      <c r="W17" s="127">
        <f ca="1">VALUE(_xll.BDP($A17 &amp; " Corp",W$1))</f>
        <v>39325</v>
      </c>
      <c r="X17" s="127">
        <f ca="1">VALUE(_xll.BDP($A17 &amp; " Corp",X$1))</f>
        <v>39507</v>
      </c>
      <c r="Y17" s="127">
        <f ca="1">VALUE(_xll.BDP($A17 &amp; " Corp",Y$1))</f>
        <v>40968</v>
      </c>
      <c r="Z17" s="127">
        <f ca="1">VALUE(_xll.BDP($A17 &amp; " Corp",Z$1))</f>
        <v>41152</v>
      </c>
      <c r="AA17" s="128">
        <f ca="1">_xll.BDP($A17 &amp; " Corp",AA$1)/100</f>
        <v>4.1250000000000002E-2</v>
      </c>
      <c r="AB17" s="129">
        <f ca="1">_xll.BDP($A17 &amp; " Corp",AB$1)</f>
        <v>16091000000</v>
      </c>
      <c r="AC17" s="130" t="str">
        <f ca="1">IF(LEFT(B17,1)="B",_xll.INSTANCE.TBILL(A17,V17,Z17,TODAY()),_xll.INSTANCE.TNOTE(A17,V17,W17,X17,Y17,Z17,AA17,TODAY()))</f>
        <v>US912828HC70#0028</v>
      </c>
    </row>
    <row r="18" spans="1:29" x14ac:dyDescent="0.2">
      <c r="A18" s="131" t="s">
        <v>164</v>
      </c>
      <c r="B18" s="115" t="str">
        <f ca="1">_xll.BDP($A18 &amp; " Govt",B$1)</f>
        <v>B 09/06/12</v>
      </c>
      <c r="C18" s="372"/>
      <c r="D18" s="116"/>
      <c r="E18" s="117"/>
      <c r="F18" s="118"/>
      <c r="G18" s="377"/>
      <c r="H18" s="120">
        <f ca="1">IF(E18="",_xll.BDP(A18 &amp; " Govt","YLD_YTM_ASK")/100,E18)</f>
        <v>6.5910629710182124E-4</v>
      </c>
      <c r="I18" s="121">
        <f ca="1">_xll.INSTRUMENT.PRIX(AC18,D18,H18,cTreasuries)</f>
        <v>99.988115889098424</v>
      </c>
      <c r="J18" s="122">
        <f ca="1">_xll.INSTRUMENT.DV01(A18,,,I18,cContinuous,I18)</f>
        <v>-1.8030642215585066E-3</v>
      </c>
      <c r="K18" s="123">
        <f ca="1">_xll.INSTRUMENT.CONVEXITE(A18,,,I18,cContinuous,I18)</f>
        <v>3.251814028486965E-2</v>
      </c>
      <c r="L18" s="123">
        <f ca="1">_xll.INSTRUMENT.Z.SPREAD(A18,swapCurve,I18,cContinuous,D18)</f>
        <v>-28.825174983315996</v>
      </c>
      <c r="M18" s="123">
        <f ca="1">_xll.INSTRUMENT.Z.SPREAD(A18,ustCurve,I18,cContinuous,D18)</f>
        <v>0.73765222856195445</v>
      </c>
      <c r="N18" s="123">
        <f ca="1">_xll.INSTRUMENT.Z.SPREAD(A18,oisCurve,I18,cContinuous,D18)</f>
        <v>-11.077742570815206</v>
      </c>
      <c r="O18" s="124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7.0920598881362177E-4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9">
        <f ca="1">-(O18-curve!$S$3)/J18</f>
        <v>-0.55958143713618724</v>
      </c>
      <c r="R18" s="381">
        <f t="shared" ca="1" si="0"/>
        <v>-18.034931810006238</v>
      </c>
      <c r="S18" s="199" t="str">
        <f>IF(F18&lt;&gt;"","",IF(G18="","",-G18*(SUMIF('bench Comparison'!$A:$A,"RESINV1USD",'bench Comparison'!$G:$G)+SUMIF('bench Comparison'!$A:$A,"RESSWAPORUSD",'bench Comparison'!$G:$G))/(36500*J18)))</f>
        <v/>
      </c>
      <c r="T18" s="210" t="str">
        <f>IF(G18&lt;&gt;"","",IF(F18="","",-36500*J18*F18/(SUMIF('bench Comparison'!$A:$A,"RESINV1USD",'bench Comparison'!$G:$G)+SUMIF('bench Comparison'!$A:$A,"RESSWAPORUSD",'bench Comparison'!$G:$G))))</f>
        <v/>
      </c>
      <c r="U18" s="125">
        <f>SUMIF('bench Comparison'!$E:$E,A18,'bench Comparison'!$N:$N)</f>
        <v>-268201701.33803213</v>
      </c>
      <c r="V18" s="126">
        <f ca="1">VALUE(_xll.BDP($A18 &amp; " Corp",V$1))</f>
        <v>40976</v>
      </c>
      <c r="W18" s="127" t="e">
        <f ca="1">VALUE(_xll.BDP($A18 &amp; " Corp",W$1))</f>
        <v>#VALUE!</v>
      </c>
      <c r="X18" s="127" t="e">
        <f ca="1">VALUE(_xll.BDP($A18 &amp; " Corp",X$1))</f>
        <v>#VALUE!</v>
      </c>
      <c r="Y18" s="127" t="e">
        <f ca="1">VALUE(_xll.BDP($A18 &amp; " Corp",Y$1))</f>
        <v>#VALUE!</v>
      </c>
      <c r="Z18" s="127">
        <f ca="1">VALUE(_xll.BDP($A18 &amp; " Corp",Z$1))</f>
        <v>41158</v>
      </c>
      <c r="AA18" s="128">
        <f ca="1">_xll.BDP($A18 &amp; " Corp",AA$1)/100</f>
        <v>0</v>
      </c>
      <c r="AB18" s="129">
        <f ca="1">_xll.BDP($A18 &amp; " Corp",AB$1)</f>
        <v>61002000000</v>
      </c>
      <c r="AC18" s="130" t="str">
        <f ca="1">IF(LEFT(B18,1)="B",_xll.INSTANCE.TBILL(A18,V18,Z18,TODAY()),_xll.INSTANCE.TNOTE(A18,V18,W18,X18,Y18,Z18,AA18,TODAY()))</f>
        <v>US9127956G14#0027</v>
      </c>
    </row>
    <row r="19" spans="1:29" x14ac:dyDescent="0.2">
      <c r="A19" s="131" t="s">
        <v>166</v>
      </c>
      <c r="B19" s="115" t="str">
        <f ca="1">_xll.BDP($A19 &amp; " Govt",B$1)</f>
        <v>B 09/13/12</v>
      </c>
      <c r="C19" s="372"/>
      <c r="D19" s="116"/>
      <c r="E19" s="117"/>
      <c r="F19" s="118"/>
      <c r="G19" s="377"/>
      <c r="H19" s="120">
        <f ca="1">IF(E19="",_xll.BDP(A19 &amp; " Govt","YLD_YTM_ASK")/100,E19)</f>
        <v>7.6053221005736307E-4</v>
      </c>
      <c r="I19" s="121">
        <f ca="1">_xll.INSTRUMENT.PRIX(AC19,D19,H19,cTreasuries)</f>
        <v>99.984833215598442</v>
      </c>
      <c r="J19" s="122">
        <f ca="1">_xll.INSTRUMENT.DV01(A19,,,I19,cContinuous,I19)</f>
        <v>-1.9942328110612423E-3</v>
      </c>
      <c r="K19" s="123">
        <f ca="1">_xll.INSTRUMENT.CONVEXITE(A19,,,I19,cContinuous,I19)</f>
        <v>3.9781719370539578E-2</v>
      </c>
      <c r="L19" s="123">
        <f ca="1">_xll.INSTRUMENT.Z.SPREAD(A19,swapCurve,I19,cContinuous,D19)</f>
        <v>-31.16689491839378</v>
      </c>
      <c r="M19" s="123">
        <f ca="1">_xll.INSTRUMENT.Z.SPREAD(A19,ustCurve,I19,cContinuous,D19)</f>
        <v>1.0287387845872018</v>
      </c>
      <c r="N19" s="123">
        <f ca="1">_xll.INSTRUMENT.Z.SPREAD(A19,oisCurve,I19,cContinuous,D19)</f>
        <v>-10.077905135069742</v>
      </c>
      <c r="O19" s="124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7.9623750745425905E-4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9">
        <f ca="1">-(O19-curve!$S$3)/J19</f>
        <v>-0.46229795467927459</v>
      </c>
      <c r="R19" s="381">
        <f t="shared" ca="1" si="0"/>
        <v>-19.948382731387071</v>
      </c>
      <c r="S19" s="199" t="str">
        <f>IF(F19&lt;&gt;"","",IF(G19="","",-G19*(SUMIF('bench Comparison'!$A:$A,"RESINV1USD",'bench Comparison'!$G:$G)+SUMIF('bench Comparison'!$A:$A,"RESSWAPORUSD",'bench Comparison'!$G:$G))/(36500*J19)))</f>
        <v/>
      </c>
      <c r="T19" s="210" t="str">
        <f>IF(G19&lt;&gt;"","",IF(F19="","",-36500*J19*F19/(SUMIF('bench Comparison'!$A:$A,"RESINV1USD",'bench Comparison'!$G:$G)+SUMIF('bench Comparison'!$A:$A,"RESSWAPORUSD",'bench Comparison'!$G:$G))))</f>
        <v/>
      </c>
      <c r="U19" s="125">
        <f>SUMIF('bench Comparison'!$E:$E,A19,'bench Comparison'!$N:$N)</f>
        <v>-268027657.40465251</v>
      </c>
      <c r="V19" s="126">
        <f ca="1">VALUE(_xll.BDP($A19 &amp; " Corp",V$1))</f>
        <v>40983</v>
      </c>
      <c r="W19" s="127" t="e">
        <f ca="1">VALUE(_xll.BDP($A19 &amp; " Corp",W$1))</f>
        <v>#VALUE!</v>
      </c>
      <c r="X19" s="127" t="e">
        <f ca="1">VALUE(_xll.BDP($A19 &amp; " Corp",X$1))</f>
        <v>#VALUE!</v>
      </c>
      <c r="Y19" s="127" t="e">
        <f ca="1">VALUE(_xll.BDP($A19 &amp; " Corp",Y$1))</f>
        <v>#VALUE!</v>
      </c>
      <c r="Z19" s="127">
        <f ca="1">VALUE(_xll.BDP($A19 &amp; " Corp",Z$1))</f>
        <v>41165</v>
      </c>
      <c r="AA19" s="128">
        <f ca="1">_xll.BDP($A19 &amp; " Corp",AA$1)/100</f>
        <v>0</v>
      </c>
      <c r="AB19" s="129">
        <f ca="1">_xll.BDP($A19 &amp; " Corp",AB$1)</f>
        <v>61001000000</v>
      </c>
      <c r="AC19" s="130" t="str">
        <f ca="1">IF(LEFT(B19,1)="B",_xll.INSTANCE.TBILL(A19,V19,Z19,TODAY()),_xll.INSTANCE.TNOTE(A19,V19,W19,X19,Y19,Z19,AA19,TODAY()))</f>
        <v>US9127956H96#0027</v>
      </c>
    </row>
    <row r="20" spans="1:29" x14ac:dyDescent="0.2">
      <c r="A20" s="131" t="s">
        <v>410</v>
      </c>
      <c r="B20" s="115" t="str">
        <f ca="1">_xll.BDP($A20 &amp; " Govt",B$1)</f>
        <v>T 1 3/8 09/15/12</v>
      </c>
      <c r="C20" s="372"/>
      <c r="D20" s="116"/>
      <c r="E20" s="117"/>
      <c r="F20" s="118"/>
      <c r="G20" s="377"/>
      <c r="H20" s="120">
        <f ca="1">IF(E20="",_xll.BDP(A20 &amp; " Govt","YLD_YTM_ASK")/100,E20)</f>
        <v>9.0229707622872487E-4</v>
      </c>
      <c r="I20" s="121">
        <f ca="1">_xll.INSTRUMENT.PRIX(AC20,D20,H20,cTreasuries)</f>
        <v>100.26161760898339</v>
      </c>
      <c r="J20" s="122">
        <f ca="1">_xll.INSTRUMENT.DV01(A20,,,I20,cContinuous,I20)</f>
        <v>-2.1178971211575697E-3</v>
      </c>
      <c r="K20" s="123">
        <f ca="1">_xll.INSTRUMENT.CONVEXITE(A20,,,I20,cContinuous,I20)</f>
        <v>4.4260802054405933E-2</v>
      </c>
      <c r="L20" s="123">
        <f ca="1">_xll.INSTRUMENT.Z.SPREAD(A20,swapCurve,I20,cContinuous,D20)</f>
        <v>-31.851889414862971</v>
      </c>
      <c r="M20" s="123">
        <f ca="1">_xll.INSTRUMENT.Z.SPREAD(A20,ustCurve,I20,cContinuous,D20)</f>
        <v>3.0956763577576853E-2</v>
      </c>
      <c r="N20" s="123">
        <f ca="1">_xll.INSTRUMENT.Z.SPREAD(A20,oisCurve,I20,cContinuous,D20)</f>
        <v>-8.9145924068231253</v>
      </c>
      <c r="O20" s="124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1.3063592477616272E-4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9">
        <f ca="1">-(O20-curve!$S$3)/J20</f>
        <v>-0.74957905959016491</v>
      </c>
      <c r="R20" s="381">
        <f t="shared" ca="1" si="0"/>
        <v>-20.898466508238371</v>
      </c>
      <c r="S20" s="199" t="str">
        <f>IF(F20&lt;&gt;"","",IF(G20="","",-G20*(SUMIF('bench Comparison'!$A:$A,"RESINV1USD",'bench Comparison'!$G:$G)+SUMIF('bench Comparison'!$A:$A,"RESSWAPORUSD",'bench Comparison'!$G:$G))/(36500*J20)))</f>
        <v/>
      </c>
      <c r="T20" s="210" t="str">
        <f>IF(G20&lt;&gt;"","",IF(F20="","",-36500*J20*F20/(SUMIF('bench Comparison'!$A:$A,"RESINV1USD",'bench Comparison'!$G:$G)+SUMIF('bench Comparison'!$A:$A,"RESSWAPORUSD",'bench Comparison'!$G:$G))))</f>
        <v/>
      </c>
      <c r="U20" s="125">
        <f>SUMIF('bench Comparison'!$E:$E,A20,'bench Comparison'!$N:$N)</f>
        <v>0</v>
      </c>
      <c r="V20" s="126">
        <f ca="1">VALUE(_xll.BDP($A20 &amp; " Corp",V$1))</f>
        <v>40071</v>
      </c>
      <c r="W20" s="127">
        <f ca="1">VALUE(_xll.BDP($A20 &amp; " Corp",W$1))</f>
        <v>40071</v>
      </c>
      <c r="X20" s="127">
        <f ca="1">VALUE(_xll.BDP($A20 &amp; " Corp",X$1))</f>
        <v>40252</v>
      </c>
      <c r="Y20" s="127">
        <f ca="1">VALUE(_xll.BDP($A20 &amp; " Corp",Y$1))</f>
        <v>40983</v>
      </c>
      <c r="Z20" s="127">
        <f ca="1">VALUE(_xll.BDP($A20 &amp; " Corp",Z$1))</f>
        <v>41167</v>
      </c>
      <c r="AA20" s="128">
        <f ca="1">_xll.BDP($A20 &amp; " Corp",AA$1)/100</f>
        <v>1.375E-2</v>
      </c>
      <c r="AB20" s="129">
        <f ca="1">_xll.BDP($A20 &amp; " Corp",AB$1)</f>
        <v>38082000000</v>
      </c>
      <c r="AC20" s="130" t="str">
        <f ca="1">IF(LEFT(B20,1)="B",_xll.INSTANCE.TBILL(A20,V20,Z20,TODAY()),_xll.INSTANCE.TNOTE(A20,V20,W20,X20,Y20,Z20,AA20,TODAY()))</f>
        <v>US912828LM07#0028</v>
      </c>
    </row>
    <row r="21" spans="1:29" x14ac:dyDescent="0.2">
      <c r="A21" s="131" t="s">
        <v>168</v>
      </c>
      <c r="B21" s="115" t="str">
        <f ca="1">_xll.BDP($A21 &amp; " Govt",B$1)</f>
        <v>B 09/20/12</v>
      </c>
      <c r="C21" s="372"/>
      <c r="D21" s="116"/>
      <c r="E21" s="117"/>
      <c r="F21" s="118"/>
      <c r="G21" s="377"/>
      <c r="H21" s="120">
        <f ca="1">IF(E21="",_xll.BDP(A21 &amp; " Govt","YLD_YTM_ASK")/100,E21)</f>
        <v>7.1177731485289541E-4</v>
      </c>
      <c r="I21" s="121">
        <f ca="1">_xll.INSTRUMENT.PRIX(AC21,D21,H21,cTreasuries)</f>
        <v>99.984444446033919</v>
      </c>
      <c r="J21" s="122">
        <f ca="1">_xll.INSTRUMENT.DV01(A21,,,I21,cContinuous,I21)</f>
        <v>-2.1854520985589336E-3</v>
      </c>
      <c r="K21" s="123">
        <f ca="1">_xll.INSTRUMENT.CONVEXITE(A21,,,I21,cContinuous,I21)</f>
        <v>4.7776881961241018E-2</v>
      </c>
      <c r="L21" s="123">
        <f ca="1">_xll.INSTRUMENT.Z.SPREAD(A21,swapCurve,I21,cContinuous,D21)</f>
        <v>-34.838923686504152</v>
      </c>
      <c r="M21" s="123">
        <f ca="1">_xll.INSTRUMENT.Z.SPREAD(A21,ustCurve,I21,cContinuous,D21)</f>
        <v>-0.17765914130900631</v>
      </c>
      <c r="N21" s="123">
        <f ca="1">_xll.INSTRUMENT.Z.SPREAD(A21,oisCurve,I21,cContinuous,D21)</f>
        <v>-10.596381544017426</v>
      </c>
      <c r="O21" s="124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7.512531382143896E-4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9">
        <f ca="1">-(O21-curve!$S$3)/J21</f>
        <v>-0.44243208056829797</v>
      </c>
      <c r="R21" s="381">
        <f t="shared" ca="1" si="0"/>
        <v>-21.86132653868032</v>
      </c>
      <c r="S21" s="199" t="str">
        <f>IF(F21&lt;&gt;"","",IF(G21="","",-G21*(SUMIF('bench Comparison'!$A:$A,"RESINV1USD",'bench Comparison'!$G:$G)+SUMIF('bench Comparison'!$A:$A,"RESSWAPORUSD",'bench Comparison'!$G:$G))/(36500*J21)))</f>
        <v/>
      </c>
      <c r="T21" s="210" t="str">
        <f>IF(G21&lt;&gt;"","",IF(F21="","",-36500*J21*F21/(SUMIF('bench Comparison'!$A:$A,"RESINV1USD",'bench Comparison'!$G:$G)+SUMIF('bench Comparison'!$A:$A,"RESSWAPORUSD",'bench Comparison'!$G:$G))))</f>
        <v/>
      </c>
      <c r="U21" s="125">
        <f>SUMIF('bench Comparison'!$E:$E,A21,'bench Comparison'!$N:$N)</f>
        <v>-268027657.40465251</v>
      </c>
      <c r="V21" s="126">
        <f ca="1">VALUE(_xll.BDP($A21 &amp; " Corp",V$1))</f>
        <v>40808</v>
      </c>
      <c r="W21" s="127" t="e">
        <f ca="1">VALUE(_xll.BDP($A21 &amp; " Corp",W$1))</f>
        <v>#VALUE!</v>
      </c>
      <c r="X21" s="127" t="e">
        <f ca="1">VALUE(_xll.BDP($A21 &amp; " Corp",X$1))</f>
        <v>#VALUE!</v>
      </c>
      <c r="Y21" s="127" t="e">
        <f ca="1">VALUE(_xll.BDP($A21 &amp; " Corp",Y$1))</f>
        <v>#VALUE!</v>
      </c>
      <c r="Z21" s="127">
        <f ca="1">VALUE(_xll.BDP($A21 &amp; " Corp",Z$1))</f>
        <v>41172</v>
      </c>
      <c r="AA21" s="128">
        <f ca="1">_xll.BDP($A21 &amp; " Corp",AA$1)/100</f>
        <v>0</v>
      </c>
      <c r="AB21" s="129">
        <f ca="1">_xll.BDP($A21 &amp; " Corp",AB$1)</f>
        <v>86011000000</v>
      </c>
      <c r="AC21" s="130" t="str">
        <f ca="1">IF(LEFT(B21,1)="B",_xll.INSTANCE.TBILL(A21,V21,Z21,TODAY()),_xll.INSTANCE.TNOTE(A21,V21,W21,X21,Y21,Z21,AA21,TODAY()))</f>
        <v>US9127955C19#0027</v>
      </c>
    </row>
    <row r="22" spans="1:29" x14ac:dyDescent="0.2">
      <c r="A22" s="131" t="s">
        <v>170</v>
      </c>
      <c r="B22" s="115" t="str">
        <f ca="1">_xll.BDP($A22 &amp; " Govt",B$1)</f>
        <v>B 09/27/12</v>
      </c>
      <c r="C22" s="372"/>
      <c r="D22" s="116"/>
      <c r="E22" s="117"/>
      <c r="F22" s="118"/>
      <c r="G22" s="377"/>
      <c r="H22" s="120">
        <f ca="1">IF(E22="",_xll.BDP(A22 &amp; " Govt","YLD_YTM_ASK")/100,E22)</f>
        <v>8.1126778697313212E-4</v>
      </c>
      <c r="I22" s="121">
        <f ca="1">_xll.INSTRUMENT.PRIX(AC22,D22,H22,cTreasuries)</f>
        <v>99.980719483819399</v>
      </c>
      <c r="J22" s="122">
        <f ca="1">_xll.INSTRUMENT.DV01(A22,,,I22,cContinuous,I22)</f>
        <v>-2.3765905920217303E-3</v>
      </c>
      <c r="K22" s="123">
        <f ca="1">_xll.INSTRUMENT.CONVEXITE(A22,,,I22,cContinuous,I22)</f>
        <v>5.6503628056973947E-2</v>
      </c>
      <c r="L22" s="123">
        <f ca="1">_xll.INSTRUMENT.Z.SPREAD(A22,swapCurve,I22,cContinuous,D22)</f>
        <v>-36.536328387189833</v>
      </c>
      <c r="M22" s="123">
        <f ca="1">_xll.INSTRUMENT.Z.SPREAD(A22,ustCurve,I22,cContinuous,D22)</f>
        <v>0.13298349415864333</v>
      </c>
      <c r="N22" s="123">
        <f ca="1">_xll.INSTRUMENT.Z.SPREAD(A22,oisCurve,I22,cContinuous,D22)</f>
        <v>-9.6491488762681534</v>
      </c>
      <c r="O22" s="124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8.7940126594405067E-4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9">
        <f ca="1">-(O22-curve!$S$3)/J22</f>
        <v>-0.35292826372109604</v>
      </c>
      <c r="R22" s="381">
        <f t="shared" ca="1" si="0"/>
        <v>-23.775078571234751</v>
      </c>
      <c r="S22" s="199" t="str">
        <f>IF(F22&lt;&gt;"","",IF(G22="","",-G22*(SUMIF('bench Comparison'!$A:$A,"RESINV1USD",'bench Comparison'!$G:$G)+SUMIF('bench Comparison'!$A:$A,"RESSWAPORUSD",'bench Comparison'!$G:$G))/(36500*J22)))</f>
        <v/>
      </c>
      <c r="T22" s="210" t="str">
        <f>IF(G22&lt;&gt;"","",IF(F22="","",-36500*J22*F22/(SUMIF('bench Comparison'!$A:$A,"RESINV1USD",'bench Comparison'!$G:$G)+SUMIF('bench Comparison'!$A:$A,"RESSWAPORUSD",'bench Comparison'!$G:$G))))</f>
        <v/>
      </c>
      <c r="U22" s="125">
        <f>SUMIF('bench Comparison'!$E:$E,A22,'bench Comparison'!$N:$N)</f>
        <v>-268027657.40465251</v>
      </c>
      <c r="V22" s="126">
        <f ca="1">VALUE(_xll.BDP($A22 &amp; " Corp",V$1))</f>
        <v>40997</v>
      </c>
      <c r="W22" s="127" t="e">
        <f ca="1">VALUE(_xll.BDP($A22 &amp; " Corp",W$1))</f>
        <v>#VALUE!</v>
      </c>
      <c r="X22" s="127" t="e">
        <f ca="1">VALUE(_xll.BDP($A22 &amp; " Corp",X$1))</f>
        <v>#VALUE!</v>
      </c>
      <c r="Y22" s="127" t="e">
        <f ca="1">VALUE(_xll.BDP($A22 &amp; " Corp",Y$1))</f>
        <v>#VALUE!</v>
      </c>
      <c r="Z22" s="127">
        <f ca="1">VALUE(_xll.BDP($A22 &amp; " Corp",Z$1))</f>
        <v>41179</v>
      </c>
      <c r="AA22" s="128">
        <f ca="1">_xll.BDP($A22 &amp; " Corp",AA$1)/100</f>
        <v>0</v>
      </c>
      <c r="AB22" s="129">
        <f ca="1">_xll.BDP($A22 &amp; " Corp",AB$1)</f>
        <v>59004000000</v>
      </c>
      <c r="AC22" s="130" t="str">
        <f ca="1">IF(LEFT(B22,1)="B",_xll.INSTANCE.TBILL(A22,V22,Z22,TODAY()),_xll.INSTANCE.TNOTE(A22,V22,W22,X22,Y22,Z22,AA22,TODAY()))</f>
        <v>US9127956J52#0027</v>
      </c>
    </row>
    <row r="23" spans="1:29" x14ac:dyDescent="0.2">
      <c r="A23" s="131" t="s">
        <v>411</v>
      </c>
      <c r="B23" s="115" t="str">
        <f ca="1">_xll.BDP($A23 &amp; " Govt",B$1)</f>
        <v>T 4 1/4 09/30/12</v>
      </c>
      <c r="C23" s="372"/>
      <c r="D23" s="116"/>
      <c r="E23" s="117"/>
      <c r="F23" s="118"/>
      <c r="G23" s="377"/>
      <c r="H23" s="120">
        <f ca="1">IF(E23="",_xll.BDP(A23 &amp; " Govt","YLD_YTM_ASK")/100,E23)</f>
        <v>8.6207581400321587E-4</v>
      </c>
      <c r="I23" s="121">
        <f ca="1">_xll.INSTRUMENT.PRIX(AC23,D23,H23,cTreasuries)</f>
        <v>101.02343749999999</v>
      </c>
      <c r="J23" s="122">
        <f ca="1">_xll.INSTRUMENT.DV01(A23,,,I23,cContinuous,I23)</f>
        <v>-2.5386350276608563E-3</v>
      </c>
      <c r="K23" s="123">
        <f ca="1">_xll.INSTRUMENT.CONVEXITE(A23,,,I23,cContinuous,I23)</f>
        <v>6.1818806175162021E-2</v>
      </c>
      <c r="L23" s="123">
        <f ca="1">_xll.INSTRUMENT.Z.SPREAD(A23,swapCurve,I23,cContinuous,D23)</f>
        <v>-37.346197698681991</v>
      </c>
      <c r="M23" s="123">
        <f ca="1">_xll.INSTRUMENT.Z.SPREAD(A23,ustCurve,I23,cContinuous,D23)</f>
        <v>-4.4498934739235496</v>
      </c>
      <c r="N23" s="123">
        <f ca="1">_xll.INSTRUMENT.Z.SPREAD(A23,oisCurve,I23,cContinuous,D23)</f>
        <v>-9.2658598983344955</v>
      </c>
      <c r="O23" s="124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-1.9055500061478724E-3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9">
        <f ca="1">-(O23-curve!$S$3)/J23</f>
        <v>-1.4274274260877122</v>
      </c>
      <c r="R23" s="381">
        <f t="shared" ca="1" si="0"/>
        <v>-24.351198774769518</v>
      </c>
      <c r="S23" s="199" t="str">
        <f>IF(F23&lt;&gt;"","",IF(G23="","",-G23*(SUMIF('bench Comparison'!$A:$A,"RESINV1USD",'bench Comparison'!$G:$G)+SUMIF('bench Comparison'!$A:$A,"RESSWAPORUSD",'bench Comparison'!$G:$G))/(36500*J23)))</f>
        <v/>
      </c>
      <c r="T23" s="210" t="str">
        <f>IF(G23&lt;&gt;"","",IF(F23="","",-36500*J23*F23/(SUMIF('bench Comparison'!$A:$A,"RESINV1USD",'bench Comparison'!$G:$G)+SUMIF('bench Comparison'!$A:$A,"RESSWAPORUSD",'bench Comparison'!$G:$G))))</f>
        <v/>
      </c>
      <c r="U23" s="125">
        <f>SUMIF('bench Comparison'!$E:$E,A23,'bench Comparison'!$N:$N)</f>
        <v>0</v>
      </c>
      <c r="V23" s="126">
        <f ca="1">VALUE(_xll.BDP($A23 &amp; " Corp",V$1))</f>
        <v>39356</v>
      </c>
      <c r="W23" s="127">
        <f ca="1">VALUE(_xll.BDP($A23 &amp; " Corp",W$1))</f>
        <v>39355</v>
      </c>
      <c r="X23" s="127">
        <f ca="1">VALUE(_xll.BDP($A23 &amp; " Corp",X$1))</f>
        <v>39538</v>
      </c>
      <c r="Y23" s="127">
        <f ca="1">VALUE(_xll.BDP($A23 &amp; " Corp",Y$1))</f>
        <v>40999</v>
      </c>
      <c r="Z23" s="127">
        <f ca="1">VALUE(_xll.BDP($A23 &amp; " Corp",Z$1))</f>
        <v>41182</v>
      </c>
      <c r="AA23" s="128">
        <f ca="1">_xll.BDP($A23 &amp; " Corp",AA$1)/100</f>
        <v>4.2500000000000003E-2</v>
      </c>
      <c r="AB23" s="129">
        <f ca="1">_xll.BDP($A23 &amp; " Corp",AB$1)</f>
        <v>15874000000</v>
      </c>
      <c r="AC23" s="130" t="str">
        <f ca="1">IF(LEFT(B23,1)="B",_xll.INSTANCE.TBILL(A23,V23,Z23,TODAY()),_xll.INSTANCE.TNOTE(A23,V23,W23,X23,Y23,Z23,AA23,TODAY()))</f>
        <v>US912828HE37#0028</v>
      </c>
    </row>
    <row r="24" spans="1:29" x14ac:dyDescent="0.2">
      <c r="A24" s="131" t="s">
        <v>176</v>
      </c>
      <c r="B24" s="115" t="str">
        <f ca="1">_xll.BDP($A24 &amp; " Govt",B$1)</f>
        <v>T 0 3/8 09/30/12</v>
      </c>
      <c r="C24" s="372"/>
      <c r="D24" s="116"/>
      <c r="E24" s="117"/>
      <c r="F24" s="118"/>
      <c r="G24" s="377"/>
      <c r="H24" s="120">
        <f ca="1">IF(E24="",_xll.BDP(A24 &amp; " Govt","YLD_YTM_ASK")/100,E24)</f>
        <v>8.8915256881255298E-4</v>
      </c>
      <c r="I24" s="121">
        <f ca="1">_xll.INSTRUMENT.PRIX(AC24,D24,H24,cTreasuries)</f>
        <v>100.0703125</v>
      </c>
      <c r="J24" s="122">
        <f ca="1">_xll.INSTRUMENT.DV01(A24,,,I24,cContinuous,I24)</f>
        <v>-2.4904558485651426E-3</v>
      </c>
      <c r="K24" s="123">
        <f ca="1">_xll.INSTRUMENT.CONVEXITE(A24,,,I24,cContinuous,I24)</f>
        <v>6.1818806175162028E-2</v>
      </c>
      <c r="L24" s="123">
        <f ca="1">_xll.INSTRUMENT.Z.SPREAD(A24,swapCurve,I24,cContinuous,D24)</f>
        <v>-37.079194780185112</v>
      </c>
      <c r="M24" s="123">
        <f ca="1">_xll.INSTRUMENT.Z.SPREAD(A24,ustCurve,I24,cContinuous,D24)</f>
        <v>1.7281518646622526E-2</v>
      </c>
      <c r="N24" s="123">
        <f ca="1">_xll.INSTRUMENT.Z.SPREAD(A24,oisCurve,I24,cContinuous,D24)</f>
        <v>-8.9988569798428841</v>
      </c>
      <c r="O24" s="124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7.3974296005808668E-4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9">
        <f ca="1">-(O24-curve!$S$3)/J24</f>
        <v>-0.39286956147718771</v>
      </c>
      <c r="R24" s="381">
        <f t="shared" ca="1" si="0"/>
        <v>-24.82228553089125</v>
      </c>
      <c r="S24" s="199" t="str">
        <f>IF(F24&lt;&gt;"","",IF(G24="","",-G24*(SUMIF('bench Comparison'!$A:$A,"RESINV1USD",'bench Comparison'!$G:$G)+SUMIF('bench Comparison'!$A:$A,"RESSWAPORUSD",'bench Comparison'!$G:$G))/(36500*J24)))</f>
        <v/>
      </c>
      <c r="T24" s="210" t="str">
        <f>IF(G24&lt;&gt;"","",IF(F24="","",-36500*J24*F24/(SUMIF('bench Comparison'!$A:$A,"RESINV1USD",'bench Comparison'!$G:$G)+SUMIF('bench Comparison'!$A:$A,"RESSWAPORUSD",'bench Comparison'!$G:$G))))</f>
        <v/>
      </c>
      <c r="U24" s="125">
        <f>SUMIF('bench Comparison'!$E:$E,A24,'bench Comparison'!$N:$N)</f>
        <v>-431048808.33691949</v>
      </c>
      <c r="V24" s="126">
        <f ca="1">VALUE(_xll.BDP($A24 &amp; " Corp",V$1))</f>
        <v>40451</v>
      </c>
      <c r="W24" s="127">
        <f ca="1">VALUE(_xll.BDP($A24 &amp; " Corp",W$1))</f>
        <v>40451</v>
      </c>
      <c r="X24" s="127">
        <f ca="1">VALUE(_xll.BDP($A24 &amp; " Corp",X$1))</f>
        <v>40633</v>
      </c>
      <c r="Y24" s="127">
        <f ca="1">VALUE(_xll.BDP($A24 &amp; " Corp",Y$1))</f>
        <v>40999</v>
      </c>
      <c r="Z24" s="127">
        <f ca="1">VALUE(_xll.BDP($A24 &amp; " Corp",Z$1))</f>
        <v>41182</v>
      </c>
      <c r="AA24" s="128">
        <f ca="1">_xll.BDP($A24 &amp; " Corp",AA$1)/100</f>
        <v>3.7499999999999999E-3</v>
      </c>
      <c r="AB24" s="129">
        <f ca="1">_xll.BDP($A24 &amp; " Corp",AB$1)</f>
        <v>37129000000</v>
      </c>
      <c r="AC24" s="130" t="str">
        <f ca="1">IF(LEFT(B24,1)="B",_xll.INSTANCE.TBILL(A24,V24,Z24,TODAY()),_xll.INSTANCE.TNOTE(A24,V24,W24,X24,Y24,Z24,AA24,TODAY()))</f>
        <v>US912828NX44#0028</v>
      </c>
    </row>
    <row r="25" spans="1:29" x14ac:dyDescent="0.2">
      <c r="A25" s="131" t="s">
        <v>44</v>
      </c>
      <c r="B25" s="115" t="str">
        <f ca="1">_xll.BDP($A25 &amp; " Govt",B$1)</f>
        <v>B 10/04/12</v>
      </c>
      <c r="C25" s="372"/>
      <c r="D25" s="116"/>
      <c r="E25" s="117"/>
      <c r="F25" s="118"/>
      <c r="G25" s="377"/>
      <c r="H25" s="120">
        <f ca="1">IF(E25="",_xll.BDP(A25 &amp; " Govt","YLD_YTM_ASK")/100,E25)</f>
        <v>8.6199665331852674E-4</v>
      </c>
      <c r="I25" s="121">
        <f ca="1">_xll.INSTRUMENT.PRIX(AC25,D25,H25,cTreasuries)</f>
        <v>99.97786618827962</v>
      </c>
      <c r="J25" s="122">
        <f ca="1">_xll.INSTRUMENT.DV01(A25,,,I25,cContinuous,I25)</f>
        <v>-2.5677372196705856E-3</v>
      </c>
      <c r="K25" s="123">
        <f ca="1">_xll.INSTRUMENT.CONVEXITE(A25,,,I25,cContinuous,I25)</f>
        <v>6.5961957657738338E-2</v>
      </c>
      <c r="L25" s="123">
        <f ca="1">_xll.INSTRUMENT.Z.SPREAD(A25,swapCurve,I25,cContinuous,D25)</f>
        <v>-37.992493040710897</v>
      </c>
      <c r="M25" s="123">
        <f ca="1">_xll.INSTRUMENT.Z.SPREAD(A25,ustCurve,I25,cContinuous,D25)</f>
        <v>-2.9809958863702465E-2</v>
      </c>
      <c r="N25" s="123">
        <f ca="1">_xll.INSTRUMENT.Z.SPREAD(A25,oisCurve,I25,cContinuous,D25)</f>
        <v>-9.1947000331113227</v>
      </c>
      <c r="O25" s="124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9.5669449129613736E-4</v>
      </c>
      <c r="P25" s="124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8.6149416314237827E-4</v>
      </c>
      <c r="Q25" s="379">
        <f ca="1">-(O25-curve!$S$3)/J25</f>
        <v>-0.29655400873291987</v>
      </c>
      <c r="R25" s="381">
        <f t="shared" ca="1" si="0"/>
        <v>-25.688749281828997</v>
      </c>
      <c r="S25" s="199" t="str">
        <f>IF(F25&lt;&gt;"","",IF(G25="","",-G25*(SUMIF('bench Comparison'!$A:$A,"RESINV1USD",'bench Comparison'!$G:$G)+SUMIF('bench Comparison'!$A:$A,"RESSWAPORUSD",'bench Comparison'!$G:$G))/(36500*J25)))</f>
        <v/>
      </c>
      <c r="T25" s="210" t="str">
        <f>IF(G25&lt;&gt;"","",IF(F25="","",-36500*J25*F25/(SUMIF('bench Comparison'!$A:$A,"RESINV1USD",'bench Comparison'!$G:$G)+SUMIF('bench Comparison'!$A:$A,"RESSWAPORUSD",'bench Comparison'!$G:$G))))</f>
        <v/>
      </c>
      <c r="U25" s="125">
        <f>SUMIF('bench Comparison'!$E:$E,A25,'bench Comparison'!$N:$N)</f>
        <v>-268027657.40465251</v>
      </c>
      <c r="V25" s="126">
        <f ca="1">VALUE(_xll.BDP($A25 &amp; " Corp",V$1))</f>
        <v>41004</v>
      </c>
      <c r="W25" s="127" t="e">
        <f ca="1">VALUE(_xll.BDP($A25 &amp; " Corp",W$1))</f>
        <v>#VALUE!</v>
      </c>
      <c r="X25" s="127" t="e">
        <f ca="1">VALUE(_xll.BDP($A25 &amp; " Corp",X$1))</f>
        <v>#VALUE!</v>
      </c>
      <c r="Y25" s="127" t="e">
        <f ca="1">VALUE(_xll.BDP($A25 &amp; " Corp",Y$1))</f>
        <v>#VALUE!</v>
      </c>
      <c r="Z25" s="127">
        <f ca="1">VALUE(_xll.BDP($A25 &amp; " Corp",Z$1))</f>
        <v>41186</v>
      </c>
      <c r="AA25" s="128">
        <f ca="1">_xll.BDP($A25 &amp; " Corp",AA$1)/100</f>
        <v>0</v>
      </c>
      <c r="AB25" s="129">
        <f ca="1">_xll.BDP($A25 &amp; " Corp",AB$1)</f>
        <v>29003000000</v>
      </c>
      <c r="AC25" s="130" t="str">
        <f ca="1">IF(LEFT(B25,1)="B",_xll.INSTANCE.TBILL(A25,V25,Z25,TODAY()),_xll.INSTANCE.TNOTE(A25,V25,W25,X25,Y25,Z25,AA25,TODAY()))</f>
        <v>US9127956K26#0027</v>
      </c>
    </row>
    <row r="26" spans="1:29" x14ac:dyDescent="0.2">
      <c r="A26" s="131" t="s">
        <v>46</v>
      </c>
      <c r="B26" s="115" t="str">
        <f ca="1">_xll.BDP($A26 &amp; " Govt",B$1)</f>
        <v>B 10/11/12</v>
      </c>
      <c r="C26" s="372"/>
      <c r="D26" s="116"/>
      <c r="E26" s="117"/>
      <c r="F26" s="118"/>
      <c r="G26" s="377"/>
      <c r="H26" s="120">
        <f ca="1">IF(E26="",_xll.BDP(A26 &amp; " Govt","YLD_YTM_ASK")/100,E26)</f>
        <v>9.1273080303532817E-4</v>
      </c>
      <c r="I26" s="121">
        <f ca="1">_xll.INSTRUMENT.PRIX(AC26,D26,H26,cTreasuries)</f>
        <v>99.97481896235989</v>
      </c>
      <c r="J26" s="122">
        <f ca="1">_xll.INSTRUMENT.DV01(A26,,,I26,cContinuous,I26)</f>
        <v>-2.7588675770112334E-3</v>
      </c>
      <c r="K26" s="123">
        <f ca="1">_xll.INSTRUMENT.CONVEXITE(A26,,,I26,cContinuous,I26)</f>
        <v>7.6151870763534274E-2</v>
      </c>
      <c r="L26" s="123">
        <f ca="1">_xll.INSTRUMENT.Z.SPREAD(A26,swapCurve,I26,cContinuous,D26)</f>
        <v>-38.650388089659508</v>
      </c>
      <c r="M26" s="123">
        <f ca="1">_xll.INSTRUMENT.Z.SPREAD(A26,ustCurve,I26,cContinuous,D26)</f>
        <v>-0.17420144738792512</v>
      </c>
      <c r="N26" s="123">
        <f ca="1">_xll.INSTRUMENT.Z.SPREAD(A26,oisCurve,I26,cContinuous,D26)</f>
        <v>-8.7422943660087569</v>
      </c>
      <c r="O26" s="124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1.0291159497730984E-3</v>
      </c>
      <c r="P26" s="124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9.1522028050276577E-4</v>
      </c>
      <c r="Q26" s="379">
        <f ca="1">-(O26-curve!$S$3)/J26</f>
        <v>-0.24975874635329318</v>
      </c>
      <c r="R26" s="381">
        <f t="shared" ca="1" si="0"/>
        <v>-27.602582812630665</v>
      </c>
      <c r="S26" s="199" t="str">
        <f>IF(F26&lt;&gt;"","",IF(G26="","",-G26*(SUMIF('bench Comparison'!$A:$A,"RESINV1USD",'bench Comparison'!$G:$G)+SUMIF('bench Comparison'!$A:$A,"RESSWAPORUSD",'bench Comparison'!$G:$G))/(36500*J26)))</f>
        <v/>
      </c>
      <c r="T26" s="210" t="str">
        <f>IF(G26&lt;&gt;"","",IF(F26="","",-36500*J26*F26/(SUMIF('bench Comparison'!$A:$A,"RESINV1USD",'bench Comparison'!$G:$G)+SUMIF('bench Comparison'!$A:$A,"RESSWAPORUSD",'bench Comparison'!$G:$G))))</f>
        <v/>
      </c>
      <c r="U26" s="125">
        <f>SUMIF('bench Comparison'!$E:$E,A26,'bench Comparison'!$N:$N)</f>
        <v>-268027657.40465251</v>
      </c>
      <c r="V26" s="126">
        <f ca="1">VALUE(_xll.BDP($A26 &amp; " Corp",V$1))</f>
        <v>41011</v>
      </c>
      <c r="W26" s="127" t="e">
        <f ca="1">VALUE(_xll.BDP($A26 &amp; " Corp",W$1))</f>
        <v>#VALUE!</v>
      </c>
      <c r="X26" s="127" t="e">
        <f ca="1">VALUE(_xll.BDP($A26 &amp; " Corp",X$1))</f>
        <v>#VALUE!</v>
      </c>
      <c r="Y26" s="127" t="e">
        <f ca="1">VALUE(_xll.BDP($A26 &amp; " Corp",Y$1))</f>
        <v>#VALUE!</v>
      </c>
      <c r="Z26" s="127">
        <f ca="1">VALUE(_xll.BDP($A26 &amp; " Corp",Z$1))</f>
        <v>41193</v>
      </c>
      <c r="AA26" s="128">
        <f ca="1">_xll.BDP($A26 &amp; " Corp",AA$1)/100</f>
        <v>0</v>
      </c>
      <c r="AB26" s="129">
        <f ca="1">_xll.BDP($A26 &amp; " Corp",AB$1)</f>
        <v>29001000000</v>
      </c>
      <c r="AC26" s="130" t="str">
        <f ca="1">IF(LEFT(B26,1)="B",_xll.INSTANCE.TBILL(A26,V26,Z26,TODAY()),_xll.INSTANCE.TNOTE(A26,V26,W26,X26,Y26,Z26,AA26,TODAY()))</f>
        <v>US9127956M81#0027</v>
      </c>
    </row>
    <row r="27" spans="1:29" x14ac:dyDescent="0.2">
      <c r="A27" s="131" t="s">
        <v>412</v>
      </c>
      <c r="B27" s="115" t="str">
        <f ca="1">_xll.BDP($A27 &amp; " Govt",B$1)</f>
        <v>T 1 3/8 10/15/12</v>
      </c>
      <c r="C27" s="372"/>
      <c r="D27" s="116"/>
      <c r="E27" s="117"/>
      <c r="F27" s="118"/>
      <c r="G27" s="377"/>
      <c r="H27" s="120">
        <f ca="1">IF(E27="",_xll.BDP(A27 &amp; " Govt","YLD_YTM_ASK")/100,E27)</f>
        <v>1.079965605565939E-3</v>
      </c>
      <c r="I27" s="121">
        <f ca="1">_xll.INSTRUMENT.PRIX(AC27,D27,H27,cTreasuries)</f>
        <v>100.36328125000001</v>
      </c>
      <c r="J27" s="122">
        <f ca="1">_xll.INSTRUMENT.DV01(A27,,,I27,cContinuous,I27)</f>
        <v>-2.8876807243102373E-3</v>
      </c>
      <c r="K27" s="123">
        <f ca="1">_xll.INSTRUMENT.CONVEXITE(A27,,,I27,cContinuous,I27)</f>
        <v>8.2303144316044047E-2</v>
      </c>
      <c r="L27" s="123">
        <f ca="1">_xll.INSTRUMENT.Z.SPREAD(A27,swapCurve,I27,cContinuous,D27)</f>
        <v>-37.359838503949916</v>
      </c>
      <c r="M27" s="123">
        <f ca="1">_xll.INSTRUMENT.Z.SPREAD(A27,ustCurve,I27,cContinuous,D27)</f>
        <v>-0.16705171925551296</v>
      </c>
      <c r="N27" s="123">
        <f ca="1">_xll.INSTRUMENT.Z.SPREAD(A27,oisCurve,I27,cContinuous,D27)</f>
        <v>-7.1050407098393364</v>
      </c>
      <c r="O27" s="124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2.8105716604979775E-4</v>
      </c>
      <c r="P27" s="124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1.1394501459660996E-3</v>
      </c>
      <c r="Q27" s="379">
        <f ca="1">-(O27-curve!$S$3)/J27</f>
        <v>-0.49766931607567094</v>
      </c>
      <c r="R27" s="381">
        <f t="shared" ca="1" si="0"/>
        <v>-28.501469578394371</v>
      </c>
      <c r="S27" s="199" t="str">
        <f>IF(F27&lt;&gt;"","",IF(G27="","",-G27*(SUMIF('bench Comparison'!$A:$A,"RESINV1USD",'bench Comparison'!$G:$G)+SUMIF('bench Comparison'!$A:$A,"RESSWAPORUSD",'bench Comparison'!$G:$G))/(36500*J27)))</f>
        <v/>
      </c>
      <c r="T27" s="210" t="str">
        <f>IF(G27&lt;&gt;"","",IF(F27="","",-36500*J27*F27/(SUMIF('bench Comparison'!$A:$A,"RESINV1USD",'bench Comparison'!$G:$G)+SUMIF('bench Comparison'!$A:$A,"RESSWAPORUSD",'bench Comparison'!$G:$G))))</f>
        <v/>
      </c>
      <c r="U27" s="125">
        <f>SUMIF('bench Comparison'!$E:$E,A27,'bench Comparison'!$N:$N)</f>
        <v>0</v>
      </c>
      <c r="V27" s="126">
        <f ca="1">VALUE(_xll.BDP($A27 &amp; " Corp",V$1))</f>
        <v>40101</v>
      </c>
      <c r="W27" s="127">
        <f ca="1">VALUE(_xll.BDP($A27 &amp; " Corp",W$1))</f>
        <v>40101</v>
      </c>
      <c r="X27" s="127">
        <f ca="1">VALUE(_xll.BDP($A27 &amp; " Corp",X$1))</f>
        <v>40283</v>
      </c>
      <c r="Y27" s="127">
        <f ca="1">VALUE(_xll.BDP($A27 &amp; " Corp",Y$1))</f>
        <v>41014</v>
      </c>
      <c r="Z27" s="127">
        <f ca="1">VALUE(_xll.BDP($A27 &amp; " Corp",Z$1))</f>
        <v>41197</v>
      </c>
      <c r="AA27" s="128">
        <f ca="1">_xll.BDP($A27 &amp; " Corp",AA$1)/100</f>
        <v>1.375E-2</v>
      </c>
      <c r="AB27" s="129">
        <f ca="1">_xll.BDP($A27 &amp; " Corp",AB$1)</f>
        <v>39306000000</v>
      </c>
      <c r="AC27" s="130" t="str">
        <f ca="1">IF(LEFT(B27,1)="B",_xll.INSTANCE.TBILL(A27,V27,Z27,TODAY()),_xll.INSTANCE.TNOTE(A27,V27,W27,X27,Y27,Z27,AA27,TODAY()))</f>
        <v>US912828LR93#0028</v>
      </c>
    </row>
    <row r="28" spans="1:29" x14ac:dyDescent="0.2">
      <c r="A28" s="131" t="s">
        <v>69</v>
      </c>
      <c r="B28" s="115" t="str">
        <f ca="1">_xll.BDP($A28 &amp; " Govt",B$1)</f>
        <v>B 10/18/12</v>
      </c>
      <c r="C28" s="372"/>
      <c r="D28" s="116"/>
      <c r="E28" s="117"/>
      <c r="F28" s="118"/>
      <c r="G28" s="377"/>
      <c r="H28" s="120">
        <f ca="1">IF(E28="",_xll.BDP(A28 &amp; " Govt","YLD_YTM_ASK")/100,E28)</f>
        <v>9.6610896534198465E-4</v>
      </c>
      <c r="I28" s="121">
        <f ca="1">_xll.INSTRUMENT.PRIX(AC28,D28,H28,cTreasuries)</f>
        <v>99.971499991416934</v>
      </c>
      <c r="J28" s="122">
        <f ca="1">_xll.INSTRUMENT.DV01(A28,,,I28,cContinuous,I28)</f>
        <v>-2.9499782566108431E-3</v>
      </c>
      <c r="K28" s="123">
        <f ca="1">_xll.INSTRUMENT.CONVEXITE(A28,,,I28,cContinuous,I28)</f>
        <v>8.7073367374361721E-2</v>
      </c>
      <c r="L28" s="123">
        <f ca="1">_xll.INSTRUMENT.Z.SPREAD(A28,swapCurve,I28,cContinuous,D28)</f>
        <v>-38.667313836470285</v>
      </c>
      <c r="M28" s="123">
        <f ca="1">_xll.INSTRUMENT.Z.SPREAD(A28,ustCurve,I28,cContinuous,D28)</f>
        <v>-0.27418536683479455</v>
      </c>
      <c r="N28" s="123">
        <f ca="1">_xll.INSTRUMENT.Z.SPREAD(A28,oisCurve,I28,cContinuous,D28)</f>
        <v>-8.2620459838187514</v>
      </c>
      <c r="O28" s="124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1.0994917196631348E-3</v>
      </c>
      <c r="P28" s="124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1.0001511596060737E-3</v>
      </c>
      <c r="Q28" s="379">
        <f ca="1">-(O28-curve!$S$3)/J28</f>
        <v>-0.20972206697205212</v>
      </c>
      <c r="R28" s="381">
        <f t="shared" ca="1" si="0"/>
        <v>-29.516613276464675</v>
      </c>
      <c r="S28" s="199" t="str">
        <f>IF(F28&lt;&gt;"","",IF(G28="","",-G28*(SUMIF('bench Comparison'!$A:$A,"RESINV1USD",'bench Comparison'!$G:$G)+SUMIF('bench Comparison'!$A:$A,"RESSWAPORUSD",'bench Comparison'!$G:$G))/(36500*J28)))</f>
        <v/>
      </c>
      <c r="T28" s="210" t="str">
        <f>IF(G28&lt;&gt;"","",IF(F28="","",-36500*J28*F28/(SUMIF('bench Comparison'!$A:$A,"RESINV1USD",'bench Comparison'!$G:$G)+SUMIF('bench Comparison'!$A:$A,"RESSWAPORUSD",'bench Comparison'!$G:$G))))</f>
        <v/>
      </c>
      <c r="U28" s="125">
        <f>SUMIF('bench Comparison'!$E:$E,A28,'bench Comparison'!$N:$N)</f>
        <v>-268027657.40465251</v>
      </c>
      <c r="V28" s="126">
        <f ca="1">VALUE(_xll.BDP($A28 &amp; " Corp",V$1))</f>
        <v>40836</v>
      </c>
      <c r="W28" s="127" t="e">
        <f ca="1">VALUE(_xll.BDP($A28 &amp; " Corp",W$1))</f>
        <v>#VALUE!</v>
      </c>
      <c r="X28" s="127" t="e">
        <f ca="1">VALUE(_xll.BDP($A28 &amp; " Corp",X$1))</f>
        <v>#VALUE!</v>
      </c>
      <c r="Y28" s="127" t="e">
        <f ca="1">VALUE(_xll.BDP($A28 &amp; " Corp",Y$1))</f>
        <v>#VALUE!</v>
      </c>
      <c r="Z28" s="127">
        <f ca="1">VALUE(_xll.BDP($A28 &amp; " Corp",Z$1))</f>
        <v>41200</v>
      </c>
      <c r="AA28" s="128">
        <f ca="1">_xll.BDP($A28 &amp; " Corp",AA$1)/100</f>
        <v>0</v>
      </c>
      <c r="AB28" s="129">
        <f ca="1">_xll.BDP($A28 &amp; " Corp",AB$1)</f>
        <v>53001000000</v>
      </c>
      <c r="AC28" s="130" t="str">
        <f ca="1">IF(LEFT(B28,1)="B",_xll.INSTANCE.TBILL(A28,V28,Z28,TODAY()),_xll.INSTANCE.TNOTE(A28,V28,W28,X28,Y28,Z28,AA28,TODAY()))</f>
        <v>US9127955G23#0027</v>
      </c>
    </row>
    <row r="29" spans="1:29" x14ac:dyDescent="0.2">
      <c r="A29" s="131" t="s">
        <v>617</v>
      </c>
      <c r="B29" s="115" t="str">
        <f ca="1">_xll.BDP($A29 &amp; " Govt",B$1)</f>
        <v>B 10/25/12</v>
      </c>
      <c r="C29" s="372"/>
      <c r="D29" s="116"/>
      <c r="E29" s="117"/>
      <c r="F29" s="118"/>
      <c r="G29" s="377"/>
      <c r="H29" s="120">
        <f ca="1">IF(E29="",_xll.BDP(A29 &amp; " Govt","YLD_YTM_ASK")/100,E29)</f>
        <v>1.0142131154411516E-3</v>
      </c>
      <c r="I29" s="121">
        <f ca="1">_xll.INSTRUMENT.PRIX(AC29,D29,H29,cTreasuries)</f>
        <v>99.968142800058146</v>
      </c>
      <c r="J29" s="122">
        <f ca="1">_xll.INSTRUMENT.DV01(A29,,,I29,cContinuous,I29)</f>
        <v>-3.141075030702318E-3</v>
      </c>
      <c r="K29" s="123">
        <f ca="1">_xll.INSTRUMENT.CONVEXITE(A29,,,I29,cContinuous,I29)</f>
        <v>9.8726447490220665E-2</v>
      </c>
      <c r="L29" s="123">
        <f ca="1">_xll.INSTRUMENT.Z.SPREAD(A29,swapCurve,I29,cContinuous,D29)</f>
        <v>-38.297034027399484</v>
      </c>
      <c r="M29" s="123">
        <f ca="1">_xll.INSTRUMENT.Z.SPREAD(A29,ustCurve,I29,cContinuous,D29)</f>
        <v>-0.4099666600542215</v>
      </c>
      <c r="N29" s="123">
        <f ca="1">_xll.INSTRUMENT.Z.SPREAD(A29,oisCurve,I29,cContinuous,D29)</f>
        <v>-7.8301752621609522</v>
      </c>
      <c r="O29" s="124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1.1594638539410985E-3</v>
      </c>
      <c r="P29" s="124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1.0483030966285207E-3</v>
      </c>
      <c r="Q29" s="379">
        <f ca="1">-(O29-curve!$S$3)/J29</f>
        <v>-0.17787012336860725</v>
      </c>
      <c r="R29" s="381">
        <f t="shared" ca="1" si="0"/>
        <v>-31.430782940624713</v>
      </c>
      <c r="S29" s="199" t="str">
        <f>IF(F29&lt;&gt;"","",IF(G29="","",-G29*(SUMIF('bench Comparison'!$A:$A,"RESINV1USD",'bench Comparison'!$G:$G)+SUMIF('bench Comparison'!$A:$A,"RESSWAPORUSD",'bench Comparison'!$G:$G))/(36500*J29)))</f>
        <v/>
      </c>
      <c r="T29" s="210" t="str">
        <f>IF(G29&lt;&gt;"","",IF(F29="","",-36500*J29*F29/(SUMIF('bench Comparison'!$A:$A,"RESINV1USD",'bench Comparison'!$G:$G)+SUMIF('bench Comparison'!$A:$A,"RESSWAPORUSD",'bench Comparison'!$G:$G))))</f>
        <v/>
      </c>
      <c r="U29" s="125">
        <f>SUMIF('bench Comparison'!$E:$E,A29,'bench Comparison'!$N:$N)</f>
        <v>-268027657.40465251</v>
      </c>
      <c r="V29" s="126">
        <f ca="1">VALUE(_xll.BDP($A29 &amp; " Corp",V$1))</f>
        <v>41025</v>
      </c>
      <c r="W29" s="127" t="e">
        <f ca="1">VALUE(_xll.BDP($A29 &amp; " Corp",W$1))</f>
        <v>#VALUE!</v>
      </c>
      <c r="X29" s="127" t="e">
        <f ca="1">VALUE(_xll.BDP($A29 &amp; " Corp",X$1))</f>
        <v>#VALUE!</v>
      </c>
      <c r="Y29" s="127" t="e">
        <f ca="1">VALUE(_xll.BDP($A29 &amp; " Corp",Y$1))</f>
        <v>#VALUE!</v>
      </c>
      <c r="Z29" s="127">
        <f ca="1">VALUE(_xll.BDP($A29 &amp; " Corp",Z$1))</f>
        <v>41207</v>
      </c>
      <c r="AA29" s="128">
        <f ca="1">_xll.BDP($A29 &amp; " Corp",AA$1)/100</f>
        <v>0</v>
      </c>
      <c r="AB29" s="129">
        <f ca="1">_xll.BDP($A29 &amp; " Corp",AB$1)</f>
        <v>28003000000</v>
      </c>
      <c r="AC29" s="130" t="str">
        <f ca="1">IF(LEFT(B29,1)="B",_xll.INSTANCE.TBILL(A29,V29,Z29,TODAY()),_xll.INSTANCE.TNOTE(A29,V29,W29,X29,Y29,Z29,AA29,TODAY()))</f>
        <v>US9127956N64#0027</v>
      </c>
    </row>
    <row r="30" spans="1:29" x14ac:dyDescent="0.2">
      <c r="A30" s="131" t="s">
        <v>413</v>
      </c>
      <c r="B30" s="115" t="str">
        <f ca="1">_xll.BDP($A30 &amp; " Govt",B$1)</f>
        <v>T 3 7/8 10/31/12</v>
      </c>
      <c r="C30" s="372"/>
      <c r="D30" s="116"/>
      <c r="E30" s="117"/>
      <c r="F30" s="118"/>
      <c r="G30" s="377"/>
      <c r="H30" s="120">
        <f ca="1">IF(E30="",_xll.BDP(A30 &amp; " Govt","YLD_YTM_ASK")/100,E30)</f>
        <v>1.3028061203510578E-3</v>
      </c>
      <c r="I30" s="121">
        <f ca="1">_xll.INSTRUMENT.PRIX(AC30,D30,H30,cTreasuries)</f>
        <v>101.23023033849023</v>
      </c>
      <c r="J30" s="122">
        <f ca="1">_xll.INSTRUMENT.DV01(A30,,,I30,cContinuous,I30)</f>
        <v>-3.3686134442927657E-3</v>
      </c>
      <c r="K30" s="123">
        <f ca="1">_xll.INSTRUMENT.CONVEXITE(A30,,,I30,cContinuous,I30)</f>
        <v>0.10929708262414529</v>
      </c>
      <c r="L30" s="123">
        <f ca="1">_xll.INSTRUMENT.Z.SPREAD(A30,swapCurve,I30,cContinuous,D30)</f>
        <v>-35.266675017112085</v>
      </c>
      <c r="M30" s="123">
        <f ca="1">_xll.INSTRUMENT.Z.SPREAD(A30,ustCurve,I30,cContinuous,D30)</f>
        <v>-1.1696805712318457</v>
      </c>
      <c r="N30" s="123">
        <f ca="1">_xll.INSTRUMENT.Z.SPREAD(A30,oisCurve,I30,cContinuous,D30)</f>
        <v>-4.9891641770956872</v>
      </c>
      <c r="O30" s="124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-9.1890066813904382E-4</v>
      </c>
      <c r="P30" s="124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1.6395816906301834E-3</v>
      </c>
      <c r="Q30" s="379">
        <f ca="1">-(O30-curve!$S$3)/J30</f>
        <v>-0.78283482771495705</v>
      </c>
      <c r="R30" s="381">
        <f t="shared" ca="1" si="0"/>
        <v>-32.44571822549738</v>
      </c>
      <c r="S30" s="199" t="str">
        <f>IF(F30&lt;&gt;"","",IF(G30="","",-G30*(SUMIF('bench Comparison'!$A:$A,"RESINV1USD",'bench Comparison'!$G:$G)+SUMIF('bench Comparison'!$A:$A,"RESSWAPORUSD",'bench Comparison'!$G:$G))/(36500*J30)))</f>
        <v/>
      </c>
      <c r="T30" s="210" t="str">
        <f>IF(G30&lt;&gt;"","",IF(F30="","",-36500*J30*F30/(SUMIF('bench Comparison'!$A:$A,"RESINV1USD",'bench Comparison'!$G:$G)+SUMIF('bench Comparison'!$A:$A,"RESSWAPORUSD",'bench Comparison'!$G:$G))))</f>
        <v/>
      </c>
      <c r="U30" s="125">
        <f>SUMIF('bench Comparison'!$E:$E,A30,'bench Comparison'!$N:$N)</f>
        <v>0</v>
      </c>
      <c r="V30" s="126">
        <f ca="1">VALUE(_xll.BDP($A30 &amp; " Corp",V$1))</f>
        <v>39386</v>
      </c>
      <c r="W30" s="127">
        <f ca="1">VALUE(_xll.BDP($A30 &amp; " Corp",W$1))</f>
        <v>39386</v>
      </c>
      <c r="X30" s="127">
        <f ca="1">VALUE(_xll.BDP($A30 &amp; " Corp",X$1))</f>
        <v>39568</v>
      </c>
      <c r="Y30" s="127">
        <f ca="1">VALUE(_xll.BDP($A30 &amp; " Corp",Y$1))</f>
        <v>41029</v>
      </c>
      <c r="Z30" s="127">
        <f ca="1">VALUE(_xll.BDP($A30 &amp; " Corp",Z$1))</f>
        <v>41213</v>
      </c>
      <c r="AA30" s="128">
        <f ca="1">_xll.BDP($A30 &amp; " Corp",AA$1)/100</f>
        <v>3.875E-2</v>
      </c>
      <c r="AB30" s="129">
        <f ca="1">_xll.BDP($A30 &amp; " Corp",AB$1)</f>
        <v>15510000000</v>
      </c>
      <c r="AC30" s="130" t="str">
        <f ca="1">IF(LEFT(B30,1)="B",_xll.INSTANCE.TBILL(A30,V30,Z30,TODAY()),_xll.INSTANCE.TNOTE(A30,V30,W30,X30,Y30,Z30,AA30,TODAY()))</f>
        <v>US912828HG84#0028</v>
      </c>
    </row>
    <row r="31" spans="1:29" x14ac:dyDescent="0.2">
      <c r="A31" s="131" t="s">
        <v>179</v>
      </c>
      <c r="B31" s="115" t="str">
        <f ca="1">_xll.BDP($A31 &amp; " Govt",B$1)</f>
        <v>T 0 3/8 10/31/12</v>
      </c>
      <c r="C31" s="372"/>
      <c r="D31" s="116"/>
      <c r="E31" s="117"/>
      <c r="F31" s="118"/>
      <c r="G31" s="377"/>
      <c r="H31" s="120">
        <f ca="1">IF(E31="",_xll.BDP(A31 &amp; " Govt","YLD_YTM_ASK")/100,E31)</f>
        <v>1.2533325458421855E-3</v>
      </c>
      <c r="I31" s="121">
        <f ca="1">_xll.INSTRUMENT.PRIX(AC31,D31,H31,cTreasuries)</f>
        <v>100.08180582220216</v>
      </c>
      <c r="J31" s="122">
        <f ca="1">_xll.INSTRUMENT.DV01(A31,,,I31,cContinuous,I31)</f>
        <v>-3.3108372934288082E-3</v>
      </c>
      <c r="K31" s="123">
        <f ca="1">_xll.INSTRUMENT.CONVEXITE(A31,,,I31,cContinuous,I31)</f>
        <v>0.10929708262414524</v>
      </c>
      <c r="L31" s="123">
        <f ca="1">_xll.INSTRUMENT.Z.SPREAD(A31,swapCurve,I31,cContinuous,D31)</f>
        <v>-35.759850643528182</v>
      </c>
      <c r="M31" s="123">
        <f ca="1">_xll.INSTRUMENT.Z.SPREAD(A31,ustCurve,I31,cContinuous,D31)</f>
        <v>1.1666922272805758</v>
      </c>
      <c r="N31" s="123">
        <f ca="1">_xll.INSTRUMENT.Z.SPREAD(A31,oisCurve,I31,cContinuous,D31)</f>
        <v>-5.4823398035397934</v>
      </c>
      <c r="O31" s="124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1.184482883187118E-3</v>
      </c>
      <c r="P31" s="124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1.3009076239180524E-3</v>
      </c>
      <c r="Q31" s="379">
        <f ca="1">-(O31-curve!$S$3)/J31</f>
        <v>-0.1611931746190865</v>
      </c>
      <c r="R31" s="381">
        <f t="shared" ca="1" si="0"/>
        <v>-33.011916001149579</v>
      </c>
      <c r="S31" s="199" t="str">
        <f>IF(F31&lt;&gt;"","",IF(G31="","",-G31*(SUMIF('bench Comparison'!$A:$A,"RESINV1USD",'bench Comparison'!$G:$G)+SUMIF('bench Comparison'!$A:$A,"RESSWAPORUSD",'bench Comparison'!$G:$G))/(36500*J31)))</f>
        <v/>
      </c>
      <c r="T31" s="210" t="str">
        <f>IF(G31&lt;&gt;"","",IF(F31="","",-36500*J31*F31/(SUMIF('bench Comparison'!$A:$A,"RESINV1USD",'bench Comparison'!$G:$G)+SUMIF('bench Comparison'!$A:$A,"RESSWAPORUSD",'bench Comparison'!$G:$G))))</f>
        <v/>
      </c>
      <c r="U31" s="125">
        <f>SUMIF('bench Comparison'!$E:$E,A31,'bench Comparison'!$N:$N)</f>
        <v>-430468661.89232069</v>
      </c>
      <c r="V31" s="126">
        <f ca="1">VALUE(_xll.BDP($A31 &amp; " Corp",V$1))</f>
        <v>40483</v>
      </c>
      <c r="W31" s="127">
        <f ca="1">VALUE(_xll.BDP($A31 &amp; " Corp",W$1))</f>
        <v>40482</v>
      </c>
      <c r="X31" s="127">
        <f ca="1">VALUE(_xll.BDP($A31 &amp; " Corp",X$1))</f>
        <v>40663</v>
      </c>
      <c r="Y31" s="127">
        <f ca="1">VALUE(_xll.BDP($A31 &amp; " Corp",Y$1))</f>
        <v>41029</v>
      </c>
      <c r="Z31" s="127">
        <f ca="1">VALUE(_xll.BDP($A31 &amp; " Corp",Z$1))</f>
        <v>41213</v>
      </c>
      <c r="AA31" s="128">
        <f ca="1">_xll.BDP($A31 &amp; " Corp",AA$1)/100</f>
        <v>3.7499999999999999E-3</v>
      </c>
      <c r="AB31" s="129">
        <f ca="1">_xll.BDP($A31 &amp; " Corp",AB$1)</f>
        <v>35717000000</v>
      </c>
      <c r="AC31" s="130" t="str">
        <f ca="1">IF(LEFT(B31,1)="B",_xll.INSTANCE.TBILL(A31,V31,Z31,TODAY()),_xll.INSTANCE.TNOTE(A31,V31,W31,X31,Y31,Z31,AA31,TODAY()))</f>
        <v>US912828PD61#0028</v>
      </c>
    </row>
    <row r="32" spans="1:29" x14ac:dyDescent="0.2">
      <c r="A32" s="131" t="s">
        <v>751</v>
      </c>
      <c r="B32" s="115" t="str">
        <f ca="1">_xll.BDP($A32 &amp; " Govt",B$1)</f>
        <v>B 11/01/12</v>
      </c>
      <c r="C32" s="372"/>
      <c r="D32" s="116"/>
      <c r="E32" s="117"/>
      <c r="F32" s="118"/>
      <c r="G32" s="377"/>
      <c r="H32" s="120">
        <f ca="1">IF(E32="",_xll.BDP(A32 &amp; " Govt","YLD_YTM_ASK")/100,E32)</f>
        <v>1.1156938287357856E-3</v>
      </c>
      <c r="I32" s="121">
        <f ca="1">_xll.INSTRUMENT.PRIX(AC32,D32,H32,cTreasuries)</f>
        <v>99.962824031375064</v>
      </c>
      <c r="J32" s="122">
        <f ca="1">_xll.INSTRUMENT.DV01(A32,,,I32,cContinuous,I32)</f>
        <v>-3.3320935859888091E-3</v>
      </c>
      <c r="K32" s="123">
        <f ca="1">_xll.INSTRUMENT.CONVEXITE(A32,,,I32,cContinuous,I32)</f>
        <v>0.11111111111111113</v>
      </c>
      <c r="L32" s="123">
        <f ca="1">_xll.INSTRUMENT.Z.SPREAD(A32,swapCurve,I32,cContinuous,D32)</f>
        <v>-37.089551161555761</v>
      </c>
      <c r="M32" s="123">
        <f ca="1">_xll.INSTRUMENT.Z.SPREAD(A32,ustCurve,I32,cContinuous,D32)</f>
        <v>7.5622777414176747E-3</v>
      </c>
      <c r="N32" s="123">
        <f ca="1">_xll.INSTRUMENT.Z.SPREAD(A32,oisCurve,I32,cContinuous,D32)</f>
        <v>-6.8598955750747059</v>
      </c>
      <c r="O32" s="124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1.2717203374185374E-3</v>
      </c>
      <c r="P32" s="124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1.1301944307044913E-3</v>
      </c>
      <c r="Q32" s="379">
        <f ca="1">-(O32-curve!$S$3)/J32</f>
        <v>-0.13398390778125449</v>
      </c>
      <c r="R32" s="381">
        <f t="shared" ca="1" si="0"/>
        <v>-33.345735419414567</v>
      </c>
      <c r="S32" s="199" t="str">
        <f>IF(F32&lt;&gt;"","",IF(G32="","",-G32*(SUMIF('bench Comparison'!$A:$A,"RESINV1USD",'bench Comparison'!$G:$G)+SUMIF('bench Comparison'!$A:$A,"RESSWAPORUSD",'bench Comparison'!$G:$G))/(36500*J32)))</f>
        <v/>
      </c>
      <c r="T32" s="210" t="str">
        <f>IF(G32&lt;&gt;"","",IF(F32="","",-36500*J32*F32/(SUMIF('bench Comparison'!$A:$A,"RESINV1USD",'bench Comparison'!$G:$G)+SUMIF('bench Comparison'!$A:$A,"RESSWAPORUSD",'bench Comparison'!$G:$G))))</f>
        <v/>
      </c>
      <c r="U32" s="125">
        <f>SUMIF('bench Comparison'!$E:$E,A32,'bench Comparison'!$N:$N)</f>
        <v>-268027657.40465251</v>
      </c>
      <c r="V32" s="126">
        <f ca="1">VALUE(_xll.BDP($A32 &amp; " Corp",V$1))</f>
        <v>41032</v>
      </c>
      <c r="W32" s="127" t="e">
        <f ca="1">VALUE(_xll.BDP($A32 &amp; " Corp",W$1))</f>
        <v>#VALUE!</v>
      </c>
      <c r="X32" s="127" t="e">
        <f ca="1">VALUE(_xll.BDP($A32 &amp; " Corp",X$1))</f>
        <v>#VALUE!</v>
      </c>
      <c r="Y32" s="127" t="e">
        <f ca="1">VALUE(_xll.BDP($A32 &amp; " Corp",Y$1))</f>
        <v>#VALUE!</v>
      </c>
      <c r="Z32" s="127">
        <f ca="1">VALUE(_xll.BDP($A32 &amp; " Corp",Z$1))</f>
        <v>41214</v>
      </c>
      <c r="AA32" s="128">
        <f ca="1">_xll.BDP($A32 &amp; " Corp",AA$1)/100</f>
        <v>0</v>
      </c>
      <c r="AB32" s="129">
        <f ca="1">_xll.BDP($A32 &amp; " Corp",AB$1)</f>
        <v>28000000000</v>
      </c>
      <c r="AC32" s="130" t="str">
        <f ca="1">IF(LEFT(B32,1)="B",_xll.INSTANCE.TBILL(A32,V32,Z32,TODAY()),_xll.INSTANCE.TNOTE(A32,V32,W32,X32,Y32,Z32,AA32,TODAY()))</f>
        <v>US9127956P13#0027</v>
      </c>
    </row>
    <row r="33" spans="1:29" x14ac:dyDescent="0.2">
      <c r="A33" s="131" t="s">
        <v>865</v>
      </c>
      <c r="B33" s="115" t="str">
        <f ca="1">_xll.BDP($A33 &amp; " Govt",B$1)</f>
        <v>B 11/08/12</v>
      </c>
      <c r="C33" s="372"/>
      <c r="D33" s="116"/>
      <c r="E33" s="117"/>
      <c r="F33" s="118"/>
      <c r="G33" s="377"/>
      <c r="H33" s="120">
        <f ca="1">IF(E33="",_xll.BDP(A33 &amp; " Govt","YLD_YTM_ASK")/100,E33)</f>
        <v>1.1157177016003432E-3</v>
      </c>
      <c r="I33" s="121">
        <f ca="1">_xll.INSTRUMENT.PRIX(AC33,D33,H33,cTreasuries)</f>
        <v>99.960690981697738</v>
      </c>
      <c r="J33" s="122">
        <f ca="1">_xll.INSTRUMENT.DV01(A33,,,I33,cContinuous,I33)</f>
        <v>-3.5232040679301479E-3</v>
      </c>
      <c r="K33" s="123">
        <f ca="1">_xll.INSTRUMENT.CONVEXITE(A33,,,I33,cContinuous,I33)</f>
        <v>0.12422735823703301</v>
      </c>
      <c r="L33" s="123">
        <f ca="1">_xll.INSTRUMENT.Z.SPREAD(A33,swapCurve,I33,cContinuous,D33)</f>
        <v>-36.693872645510879</v>
      </c>
      <c r="M33" s="123">
        <f ca="1">_xll.INSTRUMENT.Z.SPREAD(A33,ustCurve,I33,cContinuous,D33)</f>
        <v>-0.57841884242577613</v>
      </c>
      <c r="N33" s="123">
        <f ca="1">_xll.INSTRUMENT.Z.SPREAD(A33,oisCurve,I33,cContinuous,D33)</f>
        <v>-6.8933216771590402</v>
      </c>
      <c r="O33" s="124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1.2709457757653399E-3</v>
      </c>
      <c r="P33" s="124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1.1226090170419528E-3</v>
      </c>
      <c r="Q33" s="379">
        <f ca="1">-(O33-curve!$S$3)/J33</f>
        <v>-0.12693601414339037</v>
      </c>
      <c r="R33" s="381">
        <f t="shared" ca="1" si="0"/>
        <v>-35.259768052554364</v>
      </c>
      <c r="S33" s="199" t="str">
        <f>IF(F33&lt;&gt;"","",IF(G33="","",-G33*(SUMIF('bench Comparison'!$A:$A,"RESINV1USD",'bench Comparison'!$G:$G)+SUMIF('bench Comparison'!$A:$A,"RESSWAPORUSD",'bench Comparison'!$G:$G))/(36500*J33)))</f>
        <v/>
      </c>
      <c r="T33" s="210" t="str">
        <f>IF(G33&lt;&gt;"","",IF(F33="","",-36500*J33*F33/(SUMIF('bench Comparison'!$A:$A,"RESINV1USD",'bench Comparison'!$G:$G)+SUMIF('bench Comparison'!$A:$A,"RESSWAPORUSD",'bench Comparison'!$G:$G))))</f>
        <v/>
      </c>
      <c r="U33" s="125">
        <f>SUMIF('bench Comparison'!$E:$E,A33,'bench Comparison'!$N:$N)</f>
        <v>-268027657.40465251</v>
      </c>
      <c r="V33" s="126">
        <f ca="1">VALUE(_xll.BDP($A33 &amp; " Corp",V$1))</f>
        <v>41039</v>
      </c>
      <c r="W33" s="127" t="e">
        <f ca="1">VALUE(_xll.BDP($A33 &amp; " Corp",W$1))</f>
        <v>#VALUE!</v>
      </c>
      <c r="X33" s="127" t="e">
        <f ca="1">VALUE(_xll.BDP($A33 &amp; " Corp",X$1))</f>
        <v>#VALUE!</v>
      </c>
      <c r="Y33" s="127" t="e">
        <f ca="1">VALUE(_xll.BDP($A33 &amp; " Corp",Y$1))</f>
        <v>#VALUE!</v>
      </c>
      <c r="Z33" s="127">
        <f ca="1">VALUE(_xll.BDP($A33 &amp; " Corp",Z$1))</f>
        <v>41221</v>
      </c>
      <c r="AA33" s="128">
        <f ca="1">_xll.BDP($A33 &amp; " Corp",AA$1)/100</f>
        <v>0</v>
      </c>
      <c r="AB33" s="129">
        <f ca="1">_xll.BDP($A33 &amp; " Corp",AB$1)</f>
        <v>28001000000</v>
      </c>
      <c r="AC33" s="130" t="str">
        <f ca="1">IF(LEFT(B33,1)="B",_xll.INSTANCE.TBILL(A33,V33,Z33,TODAY()),_xll.INSTANCE.TNOTE(A33,V33,W33,X33,Y33,Z33,AA33,TODAY()))</f>
        <v>US9127956S51#0027</v>
      </c>
    </row>
    <row r="34" spans="1:29" x14ac:dyDescent="0.2">
      <c r="A34" s="131" t="s">
        <v>904</v>
      </c>
      <c r="B34" s="115" t="str">
        <f ca="1">_xll.BDP($A34 &amp; " Govt",B$1)</f>
        <v>B 11/15/12</v>
      </c>
      <c r="C34" s="372"/>
      <c r="D34" s="116"/>
      <c r="E34" s="117"/>
      <c r="F34" s="118"/>
      <c r="G34" s="377"/>
      <c r="H34" s="120">
        <f ca="1">IF(E34="",_xll.BDP(A34 &amp; " Govt","YLD_YTM_ASK")/100,E34)</f>
        <v>1.118798401720302E-3</v>
      </c>
      <c r="I34" s="121">
        <f ca="1">_xll.INSTRUMENT.PRIX(AC34,D34,H34,cTreasuries)</f>
        <v>99.958444439040306</v>
      </c>
      <c r="J34" s="122">
        <f ca="1">_xll.INSTRUMENT.DV01(A34,,,I34,cContinuous,I34)</f>
        <v>-3.714302168474811E-3</v>
      </c>
      <c r="K34" s="123">
        <f ca="1">_xll.INSTRUMENT.CONVEXITE(A34,,,I34,cContinuous,I34)</f>
        <v>0.13807518886798648</v>
      </c>
      <c r="L34" s="123">
        <f ca="1">_xll.INSTRUMENT.Z.SPREAD(A34,swapCurve,I34,cContinuous,D34)</f>
        <v>-36.151817080266248</v>
      </c>
      <c r="M34" s="123">
        <f ca="1">_xll.INSTRUMENT.Z.SPREAD(A34,ustCurve,I34,cContinuous,D34)</f>
        <v>-1.1174360270171024</v>
      </c>
      <c r="N34" s="123">
        <f ca="1">_xll.INSTRUMENT.Z.SPREAD(A34,oisCurve,I34,cContinuous,D34)</f>
        <v>-6.8876220951347396</v>
      </c>
      <c r="O34" s="124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1.2690473293944656E-3</v>
      </c>
      <c r="P34" s="124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1.1273787091528168E-3</v>
      </c>
      <c r="Q34" s="379">
        <f ca="1">-(O34-curve!$S$3)/J34</f>
        <v>-0.1209163679734022</v>
      </c>
      <c r="R34" s="381">
        <f t="shared" ca="1" si="0"/>
        <v>-37.173924631092611</v>
      </c>
      <c r="S34" s="199" t="str">
        <f>IF(F34&lt;&gt;"","",IF(G34="","",-G34*(SUMIF('bench Comparison'!$A:$A,"RESINV1USD",'bench Comparison'!$G:$G)+SUMIF('bench Comparison'!$A:$A,"RESSWAPORUSD",'bench Comparison'!$G:$G))/(36500*J34)))</f>
        <v/>
      </c>
      <c r="T34" s="210" t="str">
        <f>IF(G34&lt;&gt;"","",IF(F34="","",-36500*J34*F34/(SUMIF('bench Comparison'!$A:$A,"RESINV1USD",'bench Comparison'!$G:$G)+SUMIF('bench Comparison'!$A:$A,"RESSWAPORUSD",'bench Comparison'!$G:$G))))</f>
        <v/>
      </c>
      <c r="U34" s="125">
        <f>SUMIF('bench Comparison'!$E:$E,A34,'bench Comparison'!$N:$N)</f>
        <v>-268027657.40465251</v>
      </c>
      <c r="V34" s="126">
        <f ca="1">VALUE(_xll.BDP($A34 &amp; " Corp",V$1))</f>
        <v>40864</v>
      </c>
      <c r="W34" s="127" t="e">
        <f ca="1">VALUE(_xll.BDP($A34 &amp; " Corp",W$1))</f>
        <v>#VALUE!</v>
      </c>
      <c r="X34" s="127" t="e">
        <f ca="1">VALUE(_xll.BDP($A34 &amp; " Corp",X$1))</f>
        <v>#VALUE!</v>
      </c>
      <c r="Y34" s="127" t="e">
        <f ca="1">VALUE(_xll.BDP($A34 &amp; " Corp",Y$1))</f>
        <v>#VALUE!</v>
      </c>
      <c r="Z34" s="127">
        <f ca="1">VALUE(_xll.BDP($A34 &amp; " Corp",Z$1))</f>
        <v>41228</v>
      </c>
      <c r="AA34" s="128">
        <f ca="1">_xll.BDP($A34 &amp; " Corp",AA$1)/100</f>
        <v>0</v>
      </c>
      <c r="AB34" s="129">
        <f ca="1">_xll.BDP($A34 &amp; " Corp",AB$1)</f>
        <v>52001000000</v>
      </c>
      <c r="AC34" s="130" t="str">
        <f ca="1">IF(LEFT(B34,1)="B",_xll.INSTANCE.TBILL(A34,V34,Z34,TODAY()),_xll.INSTANCE.TNOTE(A34,V34,W34,X34,Y34,Z34,AA34,TODAY()))</f>
        <v>US9127955L18#0027</v>
      </c>
    </row>
    <row r="35" spans="1:29" x14ac:dyDescent="0.2">
      <c r="A35" s="131" t="s">
        <v>415</v>
      </c>
      <c r="B35" s="115" t="str">
        <f ca="1">_xll.BDP($A35 &amp; " Govt",B$1)</f>
        <v>T 4 11/15/12</v>
      </c>
      <c r="C35" s="372"/>
      <c r="D35" s="116"/>
      <c r="E35" s="117"/>
      <c r="F35" s="118"/>
      <c r="G35" s="377"/>
      <c r="H35" s="120">
        <f ca="1">IF(E35="",_xll.BDP(A35 &amp; " Govt","YLD_YTM_ASK")/100,E35)</f>
        <v>1.2891808175067236E-3</v>
      </c>
      <c r="I35" s="121">
        <f ca="1">_xll.INSTRUMENT.PRIX(AC35,D35,H35,cTreasuries)</f>
        <v>101.42942219884084</v>
      </c>
      <c r="J35" s="122">
        <f ca="1">_xll.INSTRUMENT.DV01(A35,,,I35,cContinuous,I35)</f>
        <v>-3.7883484599549517E-3</v>
      </c>
      <c r="K35" s="123">
        <f ca="1">_xll.INSTRUMENT.CONVEXITE(A35,,,I35,cContinuous,I35)</f>
        <v>0.13807518886798648</v>
      </c>
      <c r="L35" s="123">
        <f ca="1">_xll.INSTRUMENT.Z.SPREAD(A35,swapCurve,I35,cContinuous,D35)</f>
        <v>-34.453408016968282</v>
      </c>
      <c r="M35" s="123">
        <f ca="1">_xll.INSTRUMENT.Z.SPREAD(A35,ustCurve,I35,cContinuous,D35)</f>
        <v>-2.2888573919029911</v>
      </c>
      <c r="N35" s="123">
        <f ca="1">_xll.INSTRUMENT.Z.SPREAD(A35,oisCurve,I35,cContinuous,D35)</f>
        <v>-5.1892130315998282</v>
      </c>
      <c r="O35" s="124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-1.0139199590804399E-3</v>
      </c>
      <c r="P35" s="124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1.6254354203967434E-3</v>
      </c>
      <c r="Q35" s="379">
        <f ca="1">-(O35-curve!$S$3)/J35</f>
        <v>-0.72118160330876735</v>
      </c>
      <c r="R35" s="381">
        <f t="shared" ca="1" si="0"/>
        <v>-36.447330631678049</v>
      </c>
      <c r="S35" s="199" t="str">
        <f>IF(F35&lt;&gt;"","",IF(G35="","",-G35*(SUMIF('bench Comparison'!$A:$A,"RESINV1USD",'bench Comparison'!$G:$G)+SUMIF('bench Comparison'!$A:$A,"RESSWAPORUSD",'bench Comparison'!$G:$G))/(36500*J35)))</f>
        <v/>
      </c>
      <c r="T35" s="210" t="str">
        <f>IF(G35&lt;&gt;"","",IF(F35="","",-36500*J35*F35/(SUMIF('bench Comparison'!$A:$A,"RESINV1USD",'bench Comparison'!$G:$G)+SUMIF('bench Comparison'!$A:$A,"RESSWAPORUSD",'bench Comparison'!$G:$G))))</f>
        <v/>
      </c>
      <c r="U35" s="125">
        <f>SUMIF('bench Comparison'!$E:$E,A35,'bench Comparison'!$N:$N)</f>
        <v>0</v>
      </c>
      <c r="V35" s="126">
        <f ca="1">VALUE(_xll.BDP($A35 &amp; " Corp",V$1))</f>
        <v>37575</v>
      </c>
      <c r="W35" s="127">
        <f ca="1">VALUE(_xll.BDP($A35 &amp; " Corp",W$1))</f>
        <v>37575</v>
      </c>
      <c r="X35" s="127">
        <f ca="1">VALUE(_xll.BDP($A35 &amp; " Corp",X$1))</f>
        <v>37756</v>
      </c>
      <c r="Y35" s="127">
        <f ca="1">VALUE(_xll.BDP($A35 &amp; " Corp",Y$1))</f>
        <v>41044</v>
      </c>
      <c r="Z35" s="127">
        <f ca="1">VALUE(_xll.BDP($A35 &amp; " Corp",Z$1))</f>
        <v>41228</v>
      </c>
      <c r="AA35" s="128">
        <f ca="1">_xll.BDP($A35 &amp; " Corp",AA$1)/100</f>
        <v>0.04</v>
      </c>
      <c r="AB35" s="129">
        <f ca="1">_xll.BDP($A35 &amp; " Corp",AB$1)</f>
        <v>18113000000</v>
      </c>
      <c r="AC35" s="130" t="str">
        <f ca="1">IF(LEFT(B35,1)="B",_xll.INSTANCE.TBILL(A35,V35,Z35,TODAY()),_xll.INSTANCE.TNOTE(A35,V35,W35,X35,Y35,Z35,AA35,TODAY()))</f>
        <v>US912828AP56#0028</v>
      </c>
    </row>
    <row r="36" spans="1:29" x14ac:dyDescent="0.2">
      <c r="A36" s="131" t="s">
        <v>414</v>
      </c>
      <c r="B36" s="115" t="str">
        <f ca="1">_xll.BDP($A36 &amp; " Govt",B$1)</f>
        <v>T 1 3/8 11/15/12</v>
      </c>
      <c r="C36" s="372"/>
      <c r="D36" s="116"/>
      <c r="E36" s="117"/>
      <c r="F36" s="118"/>
      <c r="G36" s="377"/>
      <c r="H36" s="120">
        <f ca="1">IF(E36="",_xll.BDP(A36 &amp; " Govt","YLD_YTM_ASK")/100,E36)</f>
        <v>1.4796124416109108E-3</v>
      </c>
      <c r="I36" s="121">
        <f ca="1">_xll.INSTRUMENT.PRIX(AC36,D36,H36,cTreasuries)</f>
        <v>100.45282447029223</v>
      </c>
      <c r="J36" s="122">
        <f ca="1">_xll.INSTRUMENT.DV01(A36,,,I36,cContinuous,I36)</f>
        <v>-3.7393368598737228E-3</v>
      </c>
      <c r="K36" s="123">
        <f ca="1">_xll.INSTRUMENT.CONVEXITE(A36,,,I36,cContinuous,I36)</f>
        <v>0.13807518886798648</v>
      </c>
      <c r="L36" s="123">
        <f ca="1">_xll.INSTRUMENT.Z.SPREAD(A36,swapCurve,I36,cContinuous,D36)</f>
        <v>-32.555271261876818</v>
      </c>
      <c r="M36" s="123">
        <f ca="1">_xll.INSTRUMENT.Z.SPREAD(A36,ustCurve,I36,cContinuous,D36)</f>
        <v>1.5019003102419266</v>
      </c>
      <c r="N36" s="123">
        <f ca="1">_xll.INSTRUMENT.Z.SPREAD(A36,oisCurve,I36,cContinuous,D36)</f>
        <v>-3.291076276222531</v>
      </c>
      <c r="O36" s="124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7.9923063025152475E-4</v>
      </c>
      <c r="P36" s="124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1.6013927551204669E-3</v>
      </c>
      <c r="Q36" s="379">
        <f ca="1">-(O36-curve!$S$3)/J36</f>
        <v>-0.24574855418125643</v>
      </c>
      <c r="R36" s="381">
        <f t="shared" ca="1" si="0"/>
        <v>-36.925046884556231</v>
      </c>
      <c r="S36" s="199" t="str">
        <f>IF(F36&lt;&gt;"","",IF(G36="","",-G36*(SUMIF('bench Comparison'!$A:$A,"RESINV1USD",'bench Comparison'!$G:$G)+SUMIF('bench Comparison'!$A:$A,"RESSWAPORUSD",'bench Comparison'!$G:$G))/(36500*J36)))</f>
        <v/>
      </c>
      <c r="T36" s="210" t="str">
        <f>IF(G36&lt;&gt;"","",IF(F36="","",-36500*J36*F36/(SUMIF('bench Comparison'!$A:$A,"RESINV1USD",'bench Comparison'!$G:$G)+SUMIF('bench Comparison'!$A:$A,"RESSWAPORUSD",'bench Comparison'!$G:$G))))</f>
        <v/>
      </c>
      <c r="U36" s="125">
        <f>SUMIF('bench Comparison'!$E:$E,A36,'bench Comparison'!$N:$N)</f>
        <v>0</v>
      </c>
      <c r="V36" s="126">
        <f ca="1">VALUE(_xll.BDP($A36 &amp; " Corp",V$1))</f>
        <v>40133</v>
      </c>
      <c r="W36" s="127">
        <f ca="1">VALUE(_xll.BDP($A36 &amp; " Corp",W$1))</f>
        <v>40132</v>
      </c>
      <c r="X36" s="127">
        <f ca="1">VALUE(_xll.BDP($A36 &amp; " Corp",X$1))</f>
        <v>40313</v>
      </c>
      <c r="Y36" s="127">
        <f ca="1">VALUE(_xll.BDP($A36 &amp; " Corp",Y$1))</f>
        <v>41044</v>
      </c>
      <c r="Z36" s="127">
        <f ca="1">VALUE(_xll.BDP($A36 &amp; " Corp",Z$1))</f>
        <v>41228</v>
      </c>
      <c r="AA36" s="128">
        <f ca="1">_xll.BDP($A36 &amp; " Corp",AA$1)/100</f>
        <v>1.375E-2</v>
      </c>
      <c r="AB36" s="129">
        <f ca="1">_xll.BDP($A36 &amp; " Corp",AB$1)</f>
        <v>44975000000.000008</v>
      </c>
      <c r="AC36" s="130" t="str">
        <f ca="1">IF(LEFT(B36,1)="B",_xll.INSTANCE.TBILL(A36,V36,Z36,TODAY()),_xll.INSTANCE.TNOTE(A36,V36,W36,X36,Y36,Z36,AA36,TODAY()))</f>
        <v>US912828LX61#0028</v>
      </c>
    </row>
    <row r="37" spans="1:29" x14ac:dyDescent="0.2">
      <c r="A37" s="131" t="s">
        <v>906</v>
      </c>
      <c r="B37" s="115" t="str">
        <f ca="1">_xll.BDP($A37 &amp; " Govt",B$1)</f>
        <v>B 11/23/12</v>
      </c>
      <c r="C37" s="372"/>
      <c r="D37" s="116"/>
      <c r="E37" s="117"/>
      <c r="F37" s="118"/>
      <c r="G37" s="377"/>
      <c r="H37" s="120">
        <f ca="1">IF(E37="",_xll.BDP(A37 &amp; " Govt","YLD_YTM_ASK")/100,E37)</f>
        <v>1.1665089130585787E-3</v>
      </c>
      <c r="I37" s="121">
        <f ca="1">_xll.INSTRUMENT.PRIX(AC37,D37,H37,cTreasuries)</f>
        <v>99.95412562159953</v>
      </c>
      <c r="J37" s="122">
        <f ca="1">_xll.INSTRUMENT.DV01(A37,,,I37,cContinuous,I37)</f>
        <v>-3.9326205658620043E-3</v>
      </c>
      <c r="K37" s="123">
        <f ca="1">_xll.INSTRUMENT.CONVEXITE(A37,,,I37,cContinuous,I37)</f>
        <v>0.15479709755442084</v>
      </c>
      <c r="L37" s="123">
        <f ca="1">_xll.INSTRUMENT.Z.SPREAD(A37,swapCurve,I37,cContinuous,D37)</f>
        <v>-35.035707687286198</v>
      </c>
      <c r="M37" s="123">
        <f ca="1">_xll.INSTRUMENT.Z.SPREAD(A37,ustCurve,I37,cContinuous,D37)</f>
        <v>-1.2706672264505454</v>
      </c>
      <c r="N37" s="123">
        <f ca="1">_xll.INSTRUMENT.Z.SPREAD(A37,oisCurve,I37,cContinuous,D37)</f>
        <v>-6.4291157439947009</v>
      </c>
      <c r="O37" s="124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1.3090809513716382E-3</v>
      </c>
      <c r="P37" s="124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1.1826305530175923E-3</v>
      </c>
      <c r="Q37" s="379">
        <f ca="1">-(O37-curve!$S$3)/J37</f>
        <v>-0.10402384337347441</v>
      </c>
      <c r="R37" s="381">
        <f t="shared" ca="1" si="0"/>
        <v>-39.362327222252709</v>
      </c>
      <c r="S37" s="199" t="str">
        <f>IF(F37&lt;&gt;"","",IF(G37="","",-G37*(SUMIF('bench Comparison'!$A:$A,"RESINV1USD",'bench Comparison'!$G:$G)+SUMIF('bench Comparison'!$A:$A,"RESSWAPORUSD",'bench Comparison'!$G:$G))/(36500*J37)))</f>
        <v/>
      </c>
      <c r="T37" s="210" t="str">
        <f>IF(G37&lt;&gt;"","",IF(F37="","",-36500*J37*F37/(SUMIF('bench Comparison'!$A:$A,"RESINV1USD",'bench Comparison'!$G:$G)+SUMIF('bench Comparison'!$A:$A,"RESSWAPORUSD",'bench Comparison'!$G:$G))))</f>
        <v/>
      </c>
      <c r="U37" s="125">
        <f>SUMIF('bench Comparison'!$E:$E,A37,'bench Comparison'!$N:$N)</f>
        <v>-268027657.40465251</v>
      </c>
      <c r="V37" s="126">
        <f ca="1">VALUE(_xll.BDP($A37 &amp; " Corp",V$1))</f>
        <v>41053</v>
      </c>
      <c r="W37" s="127" t="e">
        <f ca="1">VALUE(_xll.BDP($A37 &amp; " Corp",W$1))</f>
        <v>#VALUE!</v>
      </c>
      <c r="X37" s="127" t="e">
        <f ca="1">VALUE(_xll.BDP($A37 &amp; " Corp",X$1))</f>
        <v>#VALUE!</v>
      </c>
      <c r="Y37" s="127" t="e">
        <f ca="1">VALUE(_xll.BDP($A37 &amp; " Corp",Y$1))</f>
        <v>#VALUE!</v>
      </c>
      <c r="Z37" s="127">
        <f ca="1">VALUE(_xll.BDP($A37 &amp; " Corp",Z$1))</f>
        <v>41236</v>
      </c>
      <c r="AA37" s="128">
        <f ca="1">_xll.BDP($A37 &amp; " Corp",AA$1)/100</f>
        <v>0</v>
      </c>
      <c r="AB37" s="129">
        <f ca="1">_xll.BDP($A37 &amp; " Corp",AB$1)</f>
        <v>27000000000</v>
      </c>
      <c r="AC37" s="130" t="str">
        <f ca="1">IF(LEFT(B37,1)="B",_xll.INSTANCE.TBILL(A37,V37,Z37,TODAY()),_xll.INSTANCE.TNOTE(A37,V37,W37,X37,Y37,Z37,AA37,TODAY()))</f>
        <v>US9127956T35#0027</v>
      </c>
    </row>
    <row r="38" spans="1:29" x14ac:dyDescent="0.2">
      <c r="A38" s="131" t="s">
        <v>917</v>
      </c>
      <c r="B38" s="115" t="str">
        <f ca="1">_xll.BDP($A38 &amp; " Govt",B$1)</f>
        <v>B 11/29/12</v>
      </c>
      <c r="C38" s="372"/>
      <c r="D38" s="116"/>
      <c r="E38" s="117"/>
      <c r="F38" s="118"/>
      <c r="G38" s="377"/>
      <c r="H38" s="120">
        <f ca="1">IF(E38="",_xll.BDP(A38 &amp; " Govt","YLD_YTM_ASK")/100,E38)</f>
        <v>1.3695202583989213E-3</v>
      </c>
      <c r="I38" s="121">
        <f ca="1">_xll.INSTRUMENT.PRIX(AC38,D38,H38,cTreasuries)</f>
        <v>99.943903606273665</v>
      </c>
      <c r="J38" s="122">
        <f ca="1">_xll.INSTRUMENT.DV01(A38,,,I38,cContinuous,I38)</f>
        <v>-4.096060776649358E-3</v>
      </c>
      <c r="K38" s="123">
        <f ca="1">_xll.INSTRUMENT.CONVEXITE(A38,,,I38,cContinuous,I38)</f>
        <v>0.16796560064498792</v>
      </c>
      <c r="L38" s="123">
        <f ca="1">_xll.INSTRUMENT.Z.SPREAD(A38,swapCurve,I38,cContinuous,D38)</f>
        <v>-32.539147619010684</v>
      </c>
      <c r="M38" s="123">
        <f ca="1">_xll.INSTRUMENT.Z.SPREAD(A38,ustCurve,I38,cContinuous,D38)</f>
        <v>0.30522161859045993</v>
      </c>
      <c r="N38" s="123">
        <f ca="1">_xll.INSTRUMENT.Z.SPREAD(A38,oisCurve,I38,cContinuous,D38)</f>
        <v>-4.4098759270382155</v>
      </c>
      <c r="O38" s="124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1.5144557190432254E-3</v>
      </c>
      <c r="P38" s="124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1.3910338710480411E-3</v>
      </c>
      <c r="Q38" s="379">
        <f ca="1">-(O38-curve!$S$3)/J38</f>
        <v>-4.9733524287592583E-2</v>
      </c>
      <c r="R38" s="381">
        <f t="shared" ca="1" si="0"/>
        <v>-41.006618261750113</v>
      </c>
      <c r="S38" s="199" t="str">
        <f>IF(F38&lt;&gt;"","",IF(G38="","",-G38*(SUMIF('bench Comparison'!$A:$A,"RESINV1USD",'bench Comparison'!$G:$G)+SUMIF('bench Comparison'!$A:$A,"RESSWAPORUSD",'bench Comparison'!$G:$G))/(36500*J38)))</f>
        <v/>
      </c>
      <c r="T38" s="210" t="str">
        <f>IF(G38&lt;&gt;"","",IF(F38="","",-36500*J38*F38/(SUMIF('bench Comparison'!$A:$A,"RESINV1USD",'bench Comparison'!$G:$G)+SUMIF('bench Comparison'!$A:$A,"RESSWAPORUSD",'bench Comparison'!$G:$G))))</f>
        <v/>
      </c>
      <c r="U38" s="125">
        <f>SUMIF('bench Comparison'!$E:$E,A38,'bench Comparison'!$N:$N)</f>
        <v>-268027657.40465251</v>
      </c>
      <c r="V38" s="126">
        <f ca="1">VALUE(_xll.BDP($A38 &amp; " Corp",V$1))</f>
        <v>41060</v>
      </c>
      <c r="W38" s="127" t="e">
        <f ca="1">VALUE(_xll.BDP($A38 &amp; " Corp",W$1))</f>
        <v>#VALUE!</v>
      </c>
      <c r="X38" s="127" t="e">
        <f ca="1">VALUE(_xll.BDP($A38 &amp; " Corp",X$1))</f>
        <v>#VALUE!</v>
      </c>
      <c r="Y38" s="127" t="e">
        <f ca="1">VALUE(_xll.BDP($A38 &amp; " Corp",Y$1))</f>
        <v>#VALUE!</v>
      </c>
      <c r="Z38" s="127">
        <f ca="1">VALUE(_xll.BDP($A38 &amp; " Corp",Z$1))</f>
        <v>41242</v>
      </c>
      <c r="AA38" s="128">
        <f ca="1">_xll.BDP($A38 &amp; " Corp",AA$1)/100</f>
        <v>0</v>
      </c>
      <c r="AB38" s="129">
        <f ca="1">_xll.BDP($A38 &amp; " Corp",AB$1)</f>
        <v>27000000000</v>
      </c>
      <c r="AC38" s="130" t="str">
        <f ca="1">IF(LEFT(B38,1)="B",_xll.INSTANCE.TBILL(A38,V38,Z38,TODAY()),_xll.INSTANCE.TNOTE(A38,V38,W38,X38,Y38,Z38,AA38,TODAY()))</f>
        <v>US9127956U08#0027</v>
      </c>
    </row>
    <row r="39" spans="1:29" x14ac:dyDescent="0.2">
      <c r="A39" s="131" t="s">
        <v>416</v>
      </c>
      <c r="B39" s="115" t="str">
        <f ca="1">_xll.BDP($A39 &amp; " Govt",B$1)</f>
        <v>T 3 3/8 11/30/12</v>
      </c>
      <c r="C39" s="372"/>
      <c r="D39" s="116"/>
      <c r="E39" s="117"/>
      <c r="F39" s="118"/>
      <c r="G39" s="377"/>
      <c r="H39" s="120">
        <f ca="1">IF(E39="",_xll.BDP(A39 &amp; " Govt","YLD_YTM_ASK")/100,E39)</f>
        <v>1.5334695426949554E-3</v>
      </c>
      <c r="I39" s="121">
        <f ca="1">_xll.INSTRUMENT.PRIX(AC39,D39,H39,cTreasuries)</f>
        <v>101.32812500000003</v>
      </c>
      <c r="J39" s="122">
        <f ca="1">_xll.INSTRUMENT.DV01(A39,,,I39,cContinuous,I39)</f>
        <v>-4.1926505665034787E-3</v>
      </c>
      <c r="K39" s="123">
        <f ca="1">_xll.INSTRUMENT.CONVEXITE(A39,,,I39,cContinuous,I39)</f>
        <v>0.17021260712472755</v>
      </c>
      <c r="L39" s="123">
        <f ca="1">_xll.INSTRUMENT.Z.SPREAD(A39,swapCurve,I39,cContinuous,D39)</f>
        <v>-30.829261450851519</v>
      </c>
      <c r="M39" s="123">
        <f ca="1">_xll.INSTRUMENT.Z.SPREAD(A39,ustCurve,I39,cContinuous,D39)</f>
        <v>-0.33366364278015376</v>
      </c>
      <c r="N39" s="123">
        <f ca="1">_xll.INSTRUMENT.Z.SPREAD(A39,oisCurve,I39,cContinuous,D39)</f>
        <v>-2.7758274771025047</v>
      </c>
      <c r="O39" s="124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-5.8931124696027333E-4</v>
      </c>
      <c r="P39" s="124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1.6508361156973399E-3</v>
      </c>
      <c r="Q39" s="379">
        <f ca="1">-(O39-curve!$S$3)/J39</f>
        <v>-0.55036270433736623</v>
      </c>
      <c r="R39" s="381">
        <f t="shared" ca="1" si="0"/>
        <v>-40.597851985236822</v>
      </c>
      <c r="S39" s="199" t="str">
        <f>IF(F39&lt;&gt;"","",IF(G39="","",-G39*(SUMIF('bench Comparison'!$A:$A,"RESINV1USD",'bench Comparison'!$G:$G)+SUMIF('bench Comparison'!$A:$A,"RESSWAPORUSD",'bench Comparison'!$G:$G))/(36500*J39)))</f>
        <v/>
      </c>
      <c r="T39" s="210" t="str">
        <f>IF(G39&lt;&gt;"","",IF(F39="","",-36500*J39*F39/(SUMIF('bench Comparison'!$A:$A,"RESINV1USD",'bench Comparison'!$G:$G)+SUMIF('bench Comparison'!$A:$A,"RESSWAPORUSD",'bench Comparison'!$G:$G))))</f>
        <v/>
      </c>
      <c r="U39" s="125">
        <f>SUMIF('bench Comparison'!$E:$E,A39,'bench Comparison'!$N:$N)</f>
        <v>0</v>
      </c>
      <c r="V39" s="126">
        <f ca="1">VALUE(_xll.BDP($A39 &amp; " Corp",V$1))</f>
        <v>39416</v>
      </c>
      <c r="W39" s="127">
        <f ca="1">VALUE(_xll.BDP($A39 &amp; " Corp",W$1))</f>
        <v>39416</v>
      </c>
      <c r="X39" s="127">
        <f ca="1">VALUE(_xll.BDP($A39 &amp; " Corp",X$1))</f>
        <v>39599</v>
      </c>
      <c r="Y39" s="127">
        <f ca="1">VALUE(_xll.BDP($A39 &amp; " Corp",Y$1))</f>
        <v>41060</v>
      </c>
      <c r="Z39" s="127">
        <f ca="1">VALUE(_xll.BDP($A39 &amp; " Corp",Z$1))</f>
        <v>41243</v>
      </c>
      <c r="AA39" s="128">
        <f ca="1">_xll.BDP($A39 &amp; " Corp",AA$1)/100</f>
        <v>3.3750000000000002E-2</v>
      </c>
      <c r="AB39" s="129">
        <f ca="1">_xll.BDP($A39 &amp; " Corp",AB$1)</f>
        <v>15953000000</v>
      </c>
      <c r="AC39" s="130" t="str">
        <f ca="1">IF(LEFT(B39,1)="B",_xll.INSTANCE.TBILL(A39,V39,Z39,TODAY()),_xll.INSTANCE.TNOTE(A39,V39,W39,X39,Y39,Z39,AA39,TODAY()))</f>
        <v>US912828HK96#0028</v>
      </c>
    </row>
    <row r="40" spans="1:29" x14ac:dyDescent="0.2">
      <c r="A40" s="131" t="s">
        <v>181</v>
      </c>
      <c r="B40" s="115" t="str">
        <f ca="1">_xll.BDP($A40 &amp; " Govt",B$1)</f>
        <v>T 0 1/2 11/30/12</v>
      </c>
      <c r="C40" s="372"/>
      <c r="D40" s="116"/>
      <c r="E40" s="117"/>
      <c r="F40" s="118"/>
      <c r="G40" s="377"/>
      <c r="H40" s="120">
        <f ca="1">IF(E40="",_xll.BDP(A40 &amp; " Govt","YLD_YTM_ASK")/100,E40)</f>
        <v>1.5885451723086294E-3</v>
      </c>
      <c r="I40" s="121">
        <f ca="1">_xll.INSTRUMENT.PRIX(AC40,D40,H40,cTreasuries)</f>
        <v>100.14062499999997</v>
      </c>
      <c r="J40" s="122">
        <f ca="1">_xll.INSTRUMENT.DV01(A40,,,I40,cContinuous,I40)</f>
        <v>-4.1332875207836196E-3</v>
      </c>
      <c r="K40" s="123">
        <f ca="1">_xll.INSTRUMENT.CONVEXITE(A40,,,I40,cContinuous,I40)</f>
        <v>0.17021260712472755</v>
      </c>
      <c r="L40" s="123">
        <f ca="1">_xll.INSTRUMENT.Z.SPREAD(A40,swapCurve,I40,cContinuous,D40)</f>
        <v>-30.2803634532304</v>
      </c>
      <c r="M40" s="123">
        <f ca="1">_xll.INSTRUMENT.Z.SPREAD(A40,ustCurve,I40,cContinuous,D40)</f>
        <v>2.0949967076972027</v>
      </c>
      <c r="N40" s="123">
        <f ca="1">_xll.INSTRUMENT.Z.SPREAD(A40,oisCurve,I40,cContinuous,D40)</f>
        <v>-2.2269294793104772</v>
      </c>
      <c r="O40" s="124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1.4049423619914851E-3</v>
      </c>
      <c r="P40" s="124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1.6245587986947671E-3</v>
      </c>
      <c r="Q40" s="379">
        <f ca="1">-(O40-curve!$S$3)/J40</f>
        <v>-7.5781056506638314E-2</v>
      </c>
      <c r="R40" s="381">
        <f t="shared" ca="1" si="0"/>
        <v>-41.180925901921619</v>
      </c>
      <c r="S40" s="199" t="str">
        <f>IF(F40&lt;&gt;"","",IF(G40="","",-G40*(SUMIF('bench Comparison'!$A:$A,"RESINV1USD",'bench Comparison'!$G:$G)+SUMIF('bench Comparison'!$A:$A,"RESSWAPORUSD",'bench Comparison'!$G:$G))/(36500*J40)))</f>
        <v/>
      </c>
      <c r="T40" s="210" t="str">
        <f>IF(G40&lt;&gt;"","",IF(F40="","",-36500*J40*F40/(SUMIF('bench Comparison'!$A:$A,"RESINV1USD",'bench Comparison'!$G:$G)+SUMIF('bench Comparison'!$A:$A,"RESSWAPORUSD",'bench Comparison'!$G:$G))))</f>
        <v/>
      </c>
      <c r="U40" s="125">
        <f>SUMIF('bench Comparison'!$E:$E,A40,'bench Comparison'!$N:$N)</f>
        <v>-430468661.89232069</v>
      </c>
      <c r="V40" s="126">
        <f ca="1">VALUE(_xll.BDP($A40 &amp; " Corp",V$1))</f>
        <v>40512</v>
      </c>
      <c r="W40" s="127">
        <f ca="1">VALUE(_xll.BDP($A40 &amp; " Corp",W$1))</f>
        <v>40512</v>
      </c>
      <c r="X40" s="127">
        <f ca="1">VALUE(_xll.BDP($A40 &amp; " Corp",X$1))</f>
        <v>40694</v>
      </c>
      <c r="Y40" s="127">
        <f ca="1">VALUE(_xll.BDP($A40 &amp; " Corp",Y$1))</f>
        <v>41060</v>
      </c>
      <c r="Z40" s="127">
        <f ca="1">VALUE(_xll.BDP($A40 &amp; " Corp",Z$1))</f>
        <v>41243</v>
      </c>
      <c r="AA40" s="128">
        <f ca="1">_xll.BDP($A40 &amp; " Corp",AA$1)/100</f>
        <v>5.0000000000000001E-3</v>
      </c>
      <c r="AB40" s="129">
        <f ca="1">_xll.BDP($A40 &amp; " Corp",AB$1)</f>
        <v>36383000000</v>
      </c>
      <c r="AC40" s="130" t="str">
        <f ca="1">IF(LEFT(B40,1)="B",_xll.INSTANCE.TBILL(A40,V40,Z40,TODAY()),_xll.INSTANCE.TNOTE(A40,V40,W40,X40,Y40,Z40,AA40,TODAY()))</f>
        <v>US912828PV69#0028</v>
      </c>
    </row>
    <row r="41" spans="1:29" x14ac:dyDescent="0.2">
      <c r="A41" s="131" t="s">
        <v>417</v>
      </c>
      <c r="B41" s="115" t="str">
        <f ca="1">_xll.BDP($A41 &amp; " Govt",B$1)</f>
        <v>B 12/13/12</v>
      </c>
      <c r="C41" s="372"/>
      <c r="D41" s="116"/>
      <c r="E41" s="117"/>
      <c r="F41" s="118"/>
      <c r="G41" s="377"/>
      <c r="H41" s="120">
        <f ca="1">IF(E41="",_xll.BDP(A41 &amp; " Govt","YLD_YTM_ASK")/100,E41)</f>
        <v>1.3733445098568005E-3</v>
      </c>
      <c r="I41" s="121">
        <f ca="1">_xll.INSTRUMENT.PRIX(AC41,D41,H41,cTreasuries)</f>
        <v>99.938500004344519</v>
      </c>
      <c r="J41" s="122">
        <f ca="1">_xll.INSTRUMENT.DV01(A41,,,I41,cContinuous,I41)</f>
        <v>-4.4781175759195484E-3</v>
      </c>
      <c r="K41" s="123">
        <f ca="1">_xll.INSTRUMENT.CONVEXITE(A41,,,I41,cContinuous,I41)</f>
        <v>0.20078234644211537</v>
      </c>
      <c r="L41" s="123">
        <f ca="1">_xll.INSTRUMENT.Z.SPREAD(A41,swapCurve,I41,cContinuous,D41)</f>
        <v>-31.584821352636087</v>
      </c>
      <c r="M41" s="123">
        <f ca="1">_xll.INSTRUMENT.Z.SPREAD(A41,ustCurve,I41,cContinuous,D41)</f>
        <v>-0.69213107655849859</v>
      </c>
      <c r="N41" s="123">
        <f ca="1">_xll.INSTRUMENT.Z.SPREAD(A41,oisCurve,I41,cContinuous,D41)</f>
        <v>-4.3615726846251412</v>
      </c>
      <c r="O41" s="124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1.48648814568306E-3</v>
      </c>
      <c r="P41" s="124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1.4008143366461214E-3</v>
      </c>
      <c r="Q41" s="379">
        <f ca="1">-(O41-curve!$S$3)/J41</f>
        <v>-5.173582594725374E-2</v>
      </c>
      <c r="R41" s="381">
        <f t="shared" ca="1" si="0"/>
        <v>-44.836327550172953</v>
      </c>
      <c r="S41" s="199" t="str">
        <f>IF(F41&lt;&gt;"","",IF(G41="","",-G41*(SUMIF('bench Comparison'!$A:$A,"RESINV1USD",'bench Comparison'!$G:$G)+SUMIF('bench Comparison'!$A:$A,"RESSWAPORUSD",'bench Comparison'!$G:$G))/(36500*J41)))</f>
        <v/>
      </c>
      <c r="T41" s="210" t="str">
        <f>IF(G41&lt;&gt;"","",IF(F41="","",-36500*J41*F41/(SUMIF('bench Comparison'!$A:$A,"RESINV1USD",'bench Comparison'!$G:$G)+SUMIF('bench Comparison'!$A:$A,"RESSWAPORUSD",'bench Comparison'!$G:$G))))</f>
        <v/>
      </c>
      <c r="U41" s="125">
        <f>SUMIF('bench Comparison'!$E:$E,A41,'bench Comparison'!$N:$N)</f>
        <v>-268027657.40465251</v>
      </c>
      <c r="V41" s="126">
        <f ca="1">VALUE(_xll.BDP($A41 &amp; " Corp",V$1))</f>
        <v>40892</v>
      </c>
      <c r="W41" s="127" t="e">
        <f ca="1">VALUE(_xll.BDP($A41 &amp; " Corp",W$1))</f>
        <v>#VALUE!</v>
      </c>
      <c r="X41" s="127" t="e">
        <f ca="1">VALUE(_xll.BDP($A41 &amp; " Corp",X$1))</f>
        <v>#VALUE!</v>
      </c>
      <c r="Y41" s="127" t="e">
        <f ca="1">VALUE(_xll.BDP($A41 &amp; " Corp",Y$1))</f>
        <v>#VALUE!</v>
      </c>
      <c r="Z41" s="127">
        <f ca="1">VALUE(_xll.BDP($A41 &amp; " Corp",Z$1))</f>
        <v>41256</v>
      </c>
      <c r="AA41" s="128">
        <f ca="1">_xll.BDP($A41 &amp; " Corp",AA$1)/100</f>
        <v>0</v>
      </c>
      <c r="AB41" s="129">
        <f ca="1">_xll.BDP($A41 &amp; " Corp",AB$1)</f>
        <v>52002000000</v>
      </c>
      <c r="AC41" s="130" t="str">
        <f ca="1">IF(LEFT(B41,1)="B",_xll.INSTANCE.TBILL(A41,V41,Z41,TODAY()),_xll.INSTANCE.TNOTE(A41,V41,W41,X41,Y41,Z41,AA41,TODAY()))</f>
        <v>US9127955Q05#0027</v>
      </c>
    </row>
    <row r="42" spans="1:29" x14ac:dyDescent="0.2">
      <c r="A42" s="131" t="s">
        <v>418</v>
      </c>
      <c r="B42" s="115" t="str">
        <f ca="1">_xll.BDP($A42 &amp; " Govt",B$1)</f>
        <v>T 1 1/8 12/15/12</v>
      </c>
      <c r="C42" s="372"/>
      <c r="D42" s="116"/>
      <c r="E42" s="117"/>
      <c r="F42" s="118"/>
      <c r="G42" s="377"/>
      <c r="H42" s="120">
        <f ca="1">IF(E42="",_xll.BDP(A42 &amp; " Govt","YLD_YTM_ASK")/100,E42)</f>
        <v>1.5960987038348435E-3</v>
      </c>
      <c r="I42" s="121">
        <f ca="1">_xll.INSTRUMENT.PRIX(AC42,D42,H42,cTreasuries)</f>
        <v>100.4375</v>
      </c>
      <c r="J42" s="122">
        <f ca="1">_xll.INSTRUMENT.DV01(A42,,,I42,cContinuous,I42)</f>
        <v>-4.6126433958657825E-3</v>
      </c>
      <c r="K42" s="123">
        <f ca="1">_xll.INSTRUMENT.CONVEXITE(A42,,,I42,cContinuous,I42)</f>
        <v>0.21069604944907278</v>
      </c>
      <c r="L42" s="123">
        <f ca="1">_xll.INSTRUMENT.Z.SPREAD(A42,swapCurve,I42,cContinuous,D42)</f>
        <v>-29.369747479792768</v>
      </c>
      <c r="M42" s="123">
        <f ca="1">_xll.INSTRUMENT.Z.SPREAD(A42,ustCurve,I42,cContinuous,D42)</f>
        <v>0.3965475511802708</v>
      </c>
      <c r="N42" s="123">
        <f ca="1">_xll.INSTRUMENT.Z.SPREAD(A42,oisCurve,I42,cContinuous,D42)</f>
        <v>-2.3278445908191023</v>
      </c>
      <c r="O42" s="124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1.0453192941292759E-3</v>
      </c>
      <c r="P42" s="124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1.6699362867686049E-3</v>
      </c>
      <c r="Q42" s="379">
        <f ca="1">-(O42-curve!$S$3)/J42</f>
        <v>-0.14587036223870145</v>
      </c>
      <c r="R42" s="381">
        <f t="shared" ca="1" si="0"/>
        <v>-45.677940253936676</v>
      </c>
      <c r="S42" s="199" t="str">
        <f>IF(F42&lt;&gt;"","",IF(G42="","",-G42*(SUMIF('bench Comparison'!$A:$A,"RESINV1USD",'bench Comparison'!$G:$G)+SUMIF('bench Comparison'!$A:$A,"RESSWAPORUSD",'bench Comparison'!$G:$G))/(36500*J42)))</f>
        <v/>
      </c>
      <c r="T42" s="210" t="str">
        <f>IF(G42&lt;&gt;"","",IF(F42="","",-36500*J42*F42/(SUMIF('bench Comparison'!$A:$A,"RESINV1USD",'bench Comparison'!$G:$G)+SUMIF('bench Comparison'!$A:$A,"RESSWAPORUSD",'bench Comparison'!$G:$G))))</f>
        <v/>
      </c>
      <c r="U42" s="125">
        <f>SUMIF('bench Comparison'!$E:$E,A42,'bench Comparison'!$N:$N)</f>
        <v>0</v>
      </c>
      <c r="V42" s="126">
        <f ca="1">VALUE(_xll.BDP($A42 &amp; " Corp",V$1))</f>
        <v>40162</v>
      </c>
      <c r="W42" s="127">
        <f ca="1">VALUE(_xll.BDP($A42 &amp; " Corp",W$1))</f>
        <v>40162</v>
      </c>
      <c r="X42" s="127">
        <f ca="1">VALUE(_xll.BDP($A42 &amp; " Corp",X$1))</f>
        <v>40344</v>
      </c>
      <c r="Y42" s="127">
        <f ca="1">VALUE(_xll.BDP($A42 &amp; " Corp",Y$1))</f>
        <v>41075</v>
      </c>
      <c r="Z42" s="127">
        <f ca="1">VALUE(_xll.BDP($A42 &amp; " Corp",Z$1))</f>
        <v>41258</v>
      </c>
      <c r="AA42" s="128">
        <f ca="1">_xll.BDP($A42 &amp; " Corp",AA$1)/100</f>
        <v>1.125E-2</v>
      </c>
      <c r="AB42" s="129">
        <f ca="1">_xll.BDP($A42 &amp; " Corp",AB$1)</f>
        <v>40217000000</v>
      </c>
      <c r="AC42" s="130" t="str">
        <f ca="1">IF(LEFT(B42,1)="B",_xll.INSTANCE.TBILL(A42,V42,Z42,TODAY()),_xll.INSTANCE.TNOTE(A42,V42,W42,X42,Y42,Z42,AA42,TODAY()))</f>
        <v>US912828MB33#0028</v>
      </c>
    </row>
    <row r="43" spans="1:29" x14ac:dyDescent="0.2">
      <c r="A43" s="131" t="s">
        <v>419</v>
      </c>
      <c r="B43" s="115" t="str">
        <f ca="1">_xll.BDP($A43 &amp; " Govt",B$1)</f>
        <v>T 3 5/8 12/31/12</v>
      </c>
      <c r="C43" s="372"/>
      <c r="D43" s="116"/>
      <c r="E43" s="117"/>
      <c r="F43" s="118"/>
      <c r="G43" s="377"/>
      <c r="H43" s="120">
        <f ca="1">IF(E43="",_xll.BDP(A43 &amp; " Govt","YLD_YTM_ASK")/100,E43)</f>
        <v>1.6270612307275618E-3</v>
      </c>
      <c r="I43" s="121">
        <f ca="1">_xll.INSTRUMENT.PRIX(AC43,D43,H43,cTreasuries)</f>
        <v>101.71049053150959</v>
      </c>
      <c r="J43" s="122">
        <f ca="1">_xll.INSTRUMENT.DV01(A43,,,I43,cContinuous,I43)</f>
        <v>-5.0587131916707186E-3</v>
      </c>
      <c r="K43" s="123">
        <f ca="1">_xll.INSTRUMENT.CONVEXITE(A43,,,I43,cContinuous,I43)</f>
        <v>0.247275224700648</v>
      </c>
      <c r="L43" s="123">
        <f ca="1">_xll.INSTRUMENT.Z.SPREAD(A43,swapCurve,I43,cContinuous,D43)</f>
        <v>-28.561929190395524</v>
      </c>
      <c r="M43" s="123">
        <f ca="1">_xll.INSTRUMENT.Z.SPREAD(A43,ustCurve,I43,cContinuous,D43)</f>
        <v>-1.3526974033283901</v>
      </c>
      <c r="N43" s="123">
        <f ca="1">_xll.INSTRUMENT.Z.SPREAD(A43,oisCurve,I43,cContinuous,D43)</f>
        <v>-1.8386564952690627</v>
      </c>
      <c r="O43" s="124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-4.9085508993120897E-4</v>
      </c>
      <c r="P43" s="124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1.9422223608109377E-3</v>
      </c>
      <c r="Q43" s="379">
        <f ca="1">-(O43-curve!$S$3)/J43</f>
        <v>-0.4366767324802252</v>
      </c>
      <c r="R43" s="381">
        <f t="shared" ca="1" si="0"/>
        <v>-48.881052420167258</v>
      </c>
      <c r="S43" s="199" t="str">
        <f>IF(F43&lt;&gt;"","",IF(G43="","",-G43*(SUMIF('bench Comparison'!$A:$A,"RESINV1USD",'bench Comparison'!$G:$G)+SUMIF('bench Comparison'!$A:$A,"RESSWAPORUSD",'bench Comparison'!$G:$G))/(36500*J43)))</f>
        <v/>
      </c>
      <c r="T43" s="210" t="str">
        <f>IF(G43&lt;&gt;"","",IF(F43="","",-36500*J43*F43/(SUMIF('bench Comparison'!$A:$A,"RESINV1USD",'bench Comparison'!$G:$G)+SUMIF('bench Comparison'!$A:$A,"RESSWAPORUSD",'bench Comparison'!$G:$G))))</f>
        <v/>
      </c>
      <c r="U43" s="125">
        <f>SUMIF('bench Comparison'!$E:$E,A43,'bench Comparison'!$N:$N)</f>
        <v>0</v>
      </c>
      <c r="V43" s="126">
        <f ca="1">VALUE(_xll.BDP($A43 &amp; " Corp",V$1))</f>
        <v>39447</v>
      </c>
      <c r="W43" s="127">
        <f ca="1">VALUE(_xll.BDP($A43 &amp; " Corp",W$1))</f>
        <v>39447</v>
      </c>
      <c r="X43" s="127">
        <f ca="1">VALUE(_xll.BDP($A43 &amp; " Corp",X$1))</f>
        <v>39629</v>
      </c>
      <c r="Y43" s="127">
        <f ca="1">VALUE(_xll.BDP($A43 &amp; " Corp",Y$1))</f>
        <v>41090</v>
      </c>
      <c r="Z43" s="127">
        <f ca="1">VALUE(_xll.BDP($A43 &amp; " Corp",Z$1))</f>
        <v>41274</v>
      </c>
      <c r="AA43" s="128">
        <f ca="1">_xll.BDP($A43 &amp; " Corp",AA$1)/100</f>
        <v>3.6249999999999998E-2</v>
      </c>
      <c r="AB43" s="129">
        <f ca="1">_xll.BDP($A43 &amp; " Corp",AB$1)</f>
        <v>15657000000</v>
      </c>
      <c r="AC43" s="130" t="str">
        <f ca="1">IF(LEFT(B43,1)="B",_xll.INSTANCE.TBILL(A43,V43,Z43,TODAY()),_xll.INSTANCE.TNOTE(A43,V43,W43,X43,Y43,Z43,AA43,TODAY()))</f>
        <v>US912828HM52#0028</v>
      </c>
    </row>
    <row r="44" spans="1:29" x14ac:dyDescent="0.2">
      <c r="A44" s="131" t="s">
        <v>183</v>
      </c>
      <c r="B44" s="115" t="str">
        <f ca="1">_xll.BDP($A44 &amp; " Govt",B$1)</f>
        <v>T 0 5/8 12/31/12</v>
      </c>
      <c r="C44" s="372"/>
      <c r="D44" s="116"/>
      <c r="E44" s="117"/>
      <c r="F44" s="118"/>
      <c r="G44" s="377"/>
      <c r="H44" s="120">
        <f ca="1">IF(E44="",_xll.BDP(A44 &amp; " Govt","YLD_YTM_ASK")/100,E44)</f>
        <v>1.6651269307353615E-3</v>
      </c>
      <c r="I44" s="121">
        <f ca="1">_xll.INSTRUMENT.PRIX(AC44,D44,H44,cTreasuries)</f>
        <v>100.22611183075131</v>
      </c>
      <c r="J44" s="122">
        <f ca="1">_xll.INSTRUMENT.DV01(A44,,,I44,cContinuous,I44)</f>
        <v>-4.9840890700422313E-3</v>
      </c>
      <c r="K44" s="123">
        <f ca="1">_xll.INSTRUMENT.CONVEXITE(A44,,,I44,cContinuous,I44)</f>
        <v>0.24727522470064797</v>
      </c>
      <c r="L44" s="123">
        <f ca="1">_xll.INSTRUMENT.Z.SPREAD(A44,swapCurve,I44,cContinuous,D44)</f>
        <v>-28.182622709785065</v>
      </c>
      <c r="M44" s="123">
        <f ca="1">_xll.INSTRUMENT.Z.SPREAD(A44,ustCurve,I44,cContinuous,D44)</f>
        <v>0.63955940321609728</v>
      </c>
      <c r="N44" s="123">
        <f ca="1">_xll.INSTRUMENT.Z.SPREAD(A44,oisCurve,I44,cContinuous,D44)</f>
        <v>-1.4593500141335942</v>
      </c>
      <c r="O44" s="124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1.3930002467875361E-3</v>
      </c>
      <c r="P44" s="124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1.7401957979042914E-3</v>
      </c>
      <c r="Q44" s="379">
        <f ca="1">-(O44-curve!$S$3)/J44</f>
        <v>-6.5241011106545149E-2</v>
      </c>
      <c r="R44" s="381">
        <f t="shared" ca="1" si="0"/>
        <v>-49.612922487067983</v>
      </c>
      <c r="S44" s="199" t="str">
        <f>IF(F44&lt;&gt;"","",IF(G44="","",-G44*(SUMIF('bench Comparison'!$A:$A,"RESINV1USD",'bench Comparison'!$G:$G)+SUMIF('bench Comparison'!$A:$A,"RESSWAPORUSD",'bench Comparison'!$G:$G))/(36500*J44)))</f>
        <v/>
      </c>
      <c r="T44" s="210" t="str">
        <f>IF(G44&lt;&gt;"","",IF(F44="","",-36500*J44*F44/(SUMIF('bench Comparison'!$A:$A,"RESINV1USD",'bench Comparison'!$G:$G)+SUMIF('bench Comparison'!$A:$A,"RESSWAPORUSD",'bench Comparison'!$G:$G))))</f>
        <v/>
      </c>
      <c r="U44" s="125">
        <f>SUMIF('bench Comparison'!$E:$E,A44,'bench Comparison'!$N:$N)</f>
        <v>-431628954.78151828</v>
      </c>
      <c r="V44" s="126">
        <f ca="1">VALUE(_xll.BDP($A44 &amp; " Corp",V$1))</f>
        <v>40543</v>
      </c>
      <c r="W44" s="127">
        <f ca="1">VALUE(_xll.BDP($A44 &amp; " Corp",W$1))</f>
        <v>40543</v>
      </c>
      <c r="X44" s="127">
        <f ca="1">VALUE(_xll.BDP($A44 &amp; " Corp",X$1))</f>
        <v>40724</v>
      </c>
      <c r="Y44" s="127">
        <f ca="1">VALUE(_xll.BDP($A44 &amp; " Corp",Y$1))</f>
        <v>41090</v>
      </c>
      <c r="Z44" s="127">
        <f ca="1">VALUE(_xll.BDP($A44 &amp; " Corp",Z$1))</f>
        <v>41274</v>
      </c>
      <c r="AA44" s="128">
        <f ca="1">_xll.BDP($A44 &amp; " Corp",AA$1)/100</f>
        <v>6.2500000000000003E-3</v>
      </c>
      <c r="AB44" s="129">
        <f ca="1">_xll.BDP($A44 &amp; " Corp",AB$1)</f>
        <v>36755000000</v>
      </c>
      <c r="AC44" s="130" t="str">
        <f ca="1">IF(LEFT(B44,1)="B",_xll.INSTANCE.TBILL(A44,V44,Z44,TODAY()),_xll.INSTANCE.TNOTE(A44,V44,W44,X44,Y44,Z44,AA44,TODAY()))</f>
        <v>US912828PW43#0028</v>
      </c>
    </row>
    <row r="45" spans="1:29" x14ac:dyDescent="0.2">
      <c r="A45" s="131" t="s">
        <v>420</v>
      </c>
      <c r="B45" s="115" t="str">
        <f ca="1">_xll.BDP($A45 &amp; " Govt",B$1)</f>
        <v>B 01/10/13</v>
      </c>
      <c r="C45" s="372"/>
      <c r="D45" s="116"/>
      <c r="E45" s="117"/>
      <c r="F45" s="118"/>
      <c r="G45" s="377"/>
      <c r="H45" s="120">
        <f ca="1">IF(E45="",_xll.BDP(A45 &amp; " Govt","YLD_YTM_ASK")/100,E45)</f>
        <v>1.4243491880422752E-3</v>
      </c>
      <c r="I45" s="121">
        <f ca="1">_xll.INSTRUMENT.PRIX(AC45,D45,H45,cTreasuries)</f>
        <v>99.925324940038038</v>
      </c>
      <c r="J45" s="122">
        <f ca="1">_xll.INSTRUMENT.DV01(A45,,,I45,cContinuous,I45)</f>
        <v>-5.2426560718531372E-3</v>
      </c>
      <c r="K45" s="123">
        <f ca="1">_xll.INSTRUMENT.CONVEXITE(A45,,,I45,cContinuous,I45)</f>
        <v>0.27526552824169637</v>
      </c>
      <c r="L45" s="123">
        <f ca="1">_xll.INSTRUMENT.Z.SPREAD(A45,swapCurve,I45,cContinuous,D45)</f>
        <v>-30.613895341280493</v>
      </c>
      <c r="M45" s="123">
        <f ca="1">_xll.INSTRUMENT.Z.SPREAD(A45,ustCurve,I45,cContinuous,D45)</f>
        <v>-2.086973277584161</v>
      </c>
      <c r="N45" s="123">
        <f ca="1">_xll.INSTRUMENT.Z.SPREAD(A45,oisCurve,I45,cContinuous,D45)</f>
        <v>-3.8892454489206685</v>
      </c>
      <c r="O45" s="124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1.5491975849469784E-3</v>
      </c>
      <c r="P45" s="124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1.4478176383891045E-3</v>
      </c>
      <c r="Q45" s="379">
        <f ca="1">-(O45-curve!$S$3)/J45</f>
        <v>-3.2229783891863602E-2</v>
      </c>
      <c r="R45" s="381">
        <f t="shared" ca="1" si="0"/>
        <v>-52.504975430211168</v>
      </c>
      <c r="S45" s="199" t="str">
        <f>IF(F45&lt;&gt;"","",IF(G45="","",-G45*(SUMIF('bench Comparison'!$A:$A,"RESINV1USD",'bench Comparison'!$G:$G)+SUMIF('bench Comparison'!$A:$A,"RESSWAPORUSD",'bench Comparison'!$G:$G))/(36500*J45)))</f>
        <v/>
      </c>
      <c r="T45" s="210" t="str">
        <f>IF(G45&lt;&gt;"","",IF(F45="","",-36500*J45*F45/(SUMIF('bench Comparison'!$A:$A,"RESINV1USD",'bench Comparison'!$G:$G)+SUMIF('bench Comparison'!$A:$A,"RESSWAPORUSD",'bench Comparison'!$G:$G))))</f>
        <v/>
      </c>
      <c r="U45" s="125">
        <f>SUMIF('bench Comparison'!$E:$E,A45,'bench Comparison'!$N:$N)</f>
        <v>0</v>
      </c>
      <c r="V45" s="126">
        <f ca="1">VALUE(_xll.BDP($A45 &amp; " Corp",V$1))</f>
        <v>40920</v>
      </c>
      <c r="W45" s="127" t="e">
        <f ca="1">VALUE(_xll.BDP($A45 &amp; " Corp",W$1))</f>
        <v>#VALUE!</v>
      </c>
      <c r="X45" s="127" t="e">
        <f ca="1">VALUE(_xll.BDP($A45 &amp; " Corp",X$1))</f>
        <v>#VALUE!</v>
      </c>
      <c r="Y45" s="127" t="e">
        <f ca="1">VALUE(_xll.BDP($A45 &amp; " Corp",Y$1))</f>
        <v>#VALUE!</v>
      </c>
      <c r="Z45" s="127">
        <f ca="1">VALUE(_xll.BDP($A45 &amp; " Corp",Z$1))</f>
        <v>41284</v>
      </c>
      <c r="AA45" s="128">
        <f ca="1">_xll.BDP($A45 &amp; " Corp",AA$1)/100</f>
        <v>0</v>
      </c>
      <c r="AB45" s="129">
        <f ca="1">_xll.BDP($A45 &amp; " Corp",AB$1)</f>
        <v>25000000000</v>
      </c>
      <c r="AC45" s="130" t="str">
        <f ca="1">IF(LEFT(B45,1)="B",_xll.INSTANCE.TBILL(A45,V45,Z45,TODAY()),_xll.INSTANCE.TNOTE(A45,V45,W45,X45,Y45,Z45,AA45,TODAY()))</f>
        <v>US9127955V99#0027</v>
      </c>
    </row>
    <row r="46" spans="1:29" x14ac:dyDescent="0.2">
      <c r="A46" s="131" t="s">
        <v>421</v>
      </c>
      <c r="B46" s="115" t="str">
        <f ca="1">_xll.BDP($A46 &amp; " Govt",B$1)</f>
        <v>T 1 3/8 01/15/13</v>
      </c>
      <c r="C46" s="372"/>
      <c r="D46" s="116"/>
      <c r="E46" s="117"/>
      <c r="F46" s="118"/>
      <c r="G46" s="377"/>
      <c r="H46" s="120">
        <f ca="1">IF(E46="",_xll.BDP(A46 &amp; " Govt","YLD_YTM_ASK")/100,E46)</f>
        <v>1.6352349999999999E-3</v>
      </c>
      <c r="I46" s="121">
        <f ca="1">_xll.INSTRUMENT.PRIX(AC46,D46,H46,cTreasuries)</f>
        <v>100.64800106845902</v>
      </c>
      <c r="J46" s="122">
        <f ca="1">_xll.INSTRUMENT.DV01(A46,,,I46,cContinuous,I46)</f>
        <v>-5.4184339370629588E-3</v>
      </c>
      <c r="K46" s="123">
        <f ca="1">_xll.INSTRUMENT.CONVEXITE(A46,,,I46,cContinuous,I46)</f>
        <v>0.28787015718806025</v>
      </c>
      <c r="L46" s="123">
        <f ca="1">_xll.INSTRUMENT.Z.SPREAD(A46,swapCurve,I46,cContinuous,D46)</f>
        <v>-28.574331673293251</v>
      </c>
      <c r="M46" s="123">
        <f ca="1">_xll.INSTRUMENT.Z.SPREAD(A46,ustCurve,I46,cContinuous,D46)</f>
        <v>-0.9836215555206882</v>
      </c>
      <c r="N46" s="123">
        <f ca="1">_xll.INSTRUMENT.Z.SPREAD(A46,oisCurve,I46,cContinuous,D46)</f>
        <v>-1.8057653744169317</v>
      </c>
      <c r="O46" s="124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8.6856978428290622E-4</v>
      </c>
      <c r="P46" s="124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1.748413928878822E-3</v>
      </c>
      <c r="Q46" s="379">
        <f ca="1">-(O46-curve!$S$3)/J46</f>
        <v>-0.15679760660508973</v>
      </c>
      <c r="R46" s="381">
        <f t="shared" ca="1" si="0"/>
        <v>-53.127925989644744</v>
      </c>
      <c r="S46" s="199" t="str">
        <f>IF(F46&lt;&gt;"","",IF(G46="","",-G46*(SUMIF('bench Comparison'!$A:$A,"RESINV1USD",'bench Comparison'!$G:$G)+SUMIF('bench Comparison'!$A:$A,"RESSWAPORUSD",'bench Comparison'!$G:$G))/(36500*J46)))</f>
        <v/>
      </c>
      <c r="T46" s="210" t="str">
        <f>IF(G46&lt;&gt;"","",IF(F46="","",-36500*J46*F46/(SUMIF('bench Comparison'!$A:$A,"RESINV1USD",'bench Comparison'!$G:$G)+SUMIF('bench Comparison'!$A:$A,"RESSWAPORUSD",'bench Comparison'!$G:$G))))</f>
        <v/>
      </c>
      <c r="U46" s="125">
        <f>SUMIF('bench Comparison'!$E:$E,A46,'bench Comparison'!$N:$N)</f>
        <v>0</v>
      </c>
      <c r="V46" s="126">
        <f ca="1">VALUE(_xll.BDP($A46 &amp; " Corp",V$1))</f>
        <v>40193</v>
      </c>
      <c r="W46" s="127">
        <f ca="1">VALUE(_xll.BDP($A46 &amp; " Corp",W$1))</f>
        <v>40193</v>
      </c>
      <c r="X46" s="127">
        <f ca="1">VALUE(_xll.BDP($A46 &amp; " Corp",X$1))</f>
        <v>40374</v>
      </c>
      <c r="Y46" s="127">
        <f ca="1">VALUE(_xll.BDP($A46 &amp; " Corp",Y$1))</f>
        <v>41105</v>
      </c>
      <c r="Z46" s="127">
        <f ca="1">VALUE(_xll.BDP($A46 &amp; " Corp",Z$1))</f>
        <v>41289</v>
      </c>
      <c r="AA46" s="128">
        <f ca="1">_xll.BDP($A46 &amp; " Corp",AA$1)/100</f>
        <v>1.375E-2</v>
      </c>
      <c r="AB46" s="129">
        <f ca="1">_xll.BDP($A46 &amp; " Corp",AB$1)</f>
        <v>41552000000</v>
      </c>
      <c r="AC46" s="130" t="str">
        <f ca="1">IF(LEFT(B46,1)="B",_xll.INSTANCE.TBILL(A46,V46,Z46,TODAY()),_xll.INSTANCE.TNOTE(A46,V46,W46,X46,Y46,Z46,AA46,TODAY()))</f>
        <v>US912828MG20#0028</v>
      </c>
    </row>
    <row r="47" spans="1:29" x14ac:dyDescent="0.2">
      <c r="A47" s="131" t="s">
        <v>186</v>
      </c>
      <c r="B47" s="115" t="str">
        <f ca="1">_xll.BDP($A47 &amp; " Govt",B$1)</f>
        <v>T 0 5/8 01/31/13</v>
      </c>
      <c r="C47" s="372"/>
      <c r="D47" s="116"/>
      <c r="E47" s="117"/>
      <c r="F47" s="118"/>
      <c r="G47" s="377"/>
      <c r="H47" s="120">
        <f ca="1">IF(E47="",_xll.BDP(A47 &amp; " Govt","YLD_YTM_ASK")/100,E47)</f>
        <v>1.663239E-3</v>
      </c>
      <c r="I47" s="121">
        <f ca="1">_xll.INSTRUMENT.PRIX(AC47,D47,H47,cTreasuries)</f>
        <v>100.26520049306963</v>
      </c>
      <c r="J47" s="122">
        <f ca="1">_xll.INSTRUMENT.DV01(A47,,,I47,cContinuous,I47)</f>
        <v>-5.8369350615953197E-3</v>
      </c>
      <c r="K47" s="123">
        <f ca="1">_xll.INSTRUMENT.CONVEXITE(A47,,,I47,cContinuous,I47)</f>
        <v>0.33791327422804535</v>
      </c>
      <c r="L47" s="123">
        <f ca="1">_xll.INSTRUMENT.Z.SPREAD(A47,swapCurve,I47,cContinuous,D47)</f>
        <v>-28.705569796602706</v>
      </c>
      <c r="M47" s="123">
        <f ca="1">_xll.INSTRUMENT.Z.SPREAD(A47,ustCurve,I47,cContinuous,D47)</f>
        <v>-1.2784660888726092</v>
      </c>
      <c r="N47" s="123">
        <f ca="1">_xll.INSTRUMENT.Z.SPREAD(A47,oisCurve,I47,cContinuous,D47)</f>
        <v>-1.5732047467976904</v>
      </c>
      <c r="O47" s="124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1.3970222133543721E-3</v>
      </c>
      <c r="P47" s="124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1.7126714322524021E-3</v>
      </c>
      <c r="Q47" s="379">
        <f ca="1">-(O47-curve!$S$3)/J47</f>
        <v>-5.5019464910755045E-2</v>
      </c>
      <c r="R47" s="381">
        <f t="shared" ca="1" si="0"/>
        <v>-57.892244930285159</v>
      </c>
      <c r="S47" s="199" t="str">
        <f>IF(F47&lt;&gt;"","",IF(G47="","",-G47*(SUMIF('bench Comparison'!$A:$A,"RESINV1USD",'bench Comparison'!$G:$G)+SUMIF('bench Comparison'!$A:$A,"RESSWAPORUSD",'bench Comparison'!$G:$G))/(36500*J47)))</f>
        <v/>
      </c>
      <c r="T47" s="210" t="str">
        <f>IF(G47&lt;&gt;"","",IF(F47="","",-36500*J47*F47/(SUMIF('bench Comparison'!$A:$A,"RESINV1USD",'bench Comparison'!$G:$G)+SUMIF('bench Comparison'!$A:$A,"RESSWAPORUSD",'bench Comparison'!$G:$G))))</f>
        <v/>
      </c>
      <c r="U47" s="125">
        <f>SUMIF('bench Comparison'!$E:$E,A47,'bench Comparison'!$N:$N)</f>
        <v>-430468661.89232069</v>
      </c>
      <c r="V47" s="126">
        <f ca="1">VALUE(_xll.BDP($A47 &amp; " Corp",V$1))</f>
        <v>40574</v>
      </c>
      <c r="W47" s="127">
        <f ca="1">VALUE(_xll.BDP($A47 &amp; " Corp",W$1))</f>
        <v>40574</v>
      </c>
      <c r="X47" s="127">
        <f ca="1">VALUE(_xll.BDP($A47 &amp; " Corp",X$1))</f>
        <v>40755</v>
      </c>
      <c r="Y47" s="127">
        <f ca="1">VALUE(_xll.BDP($A47 &amp; " Corp",Y$1))</f>
        <v>41121</v>
      </c>
      <c r="Z47" s="127">
        <f ca="1">VALUE(_xll.BDP($A47 &amp; " Corp",Z$1))</f>
        <v>41305</v>
      </c>
      <c r="AA47" s="128">
        <f ca="1">_xll.BDP($A47 &amp; " Corp",AA$1)/100</f>
        <v>6.2500000000000003E-3</v>
      </c>
      <c r="AB47" s="129">
        <f ca="1">_xll.BDP($A47 &amp; " Corp",AB$1)</f>
        <v>35698000000</v>
      </c>
      <c r="AC47" s="130" t="str">
        <f ca="1">IF(LEFT(B47,1)="B",_xll.INSTANCE.TBILL(A47,V47,Z47,TODAY()),_xll.INSTANCE.TNOTE(A47,V47,W47,X47,Y47,Z47,AA47,TODAY()))</f>
        <v>US912828PR57#0028</v>
      </c>
    </row>
    <row r="48" spans="1:29" x14ac:dyDescent="0.2">
      <c r="A48" s="131" t="s">
        <v>422</v>
      </c>
      <c r="B48" s="115" t="str">
        <f ca="1">_xll.BDP($A48 &amp; " Govt",B$1)</f>
        <v>T 2 7/8 01/31/13</v>
      </c>
      <c r="C48" s="372"/>
      <c r="D48" s="116"/>
      <c r="E48" s="117"/>
      <c r="F48" s="118"/>
      <c r="G48" s="377"/>
      <c r="H48" s="120">
        <f ca="1">IF(E48="",_xll.BDP(A48 &amp; " Govt","YLD_YTM_ASK")/100,E48)</f>
        <v>1.701403E-3</v>
      </c>
      <c r="I48" s="121">
        <f ca="1">_xll.INSTRUMENT.PRIX(AC48,D48,H48,cTreasuries)</f>
        <v>101.56596777679702</v>
      </c>
      <c r="J48" s="122">
        <f ca="1">_xll.INSTRUMENT.DV01(A48,,,I48,cContinuous,I48)</f>
        <v>-5.9111499927957988E-3</v>
      </c>
      <c r="K48" s="123">
        <f ca="1">_xll.INSTRUMENT.CONVEXITE(A48,,,I48,cContinuous,I48)</f>
        <v>0.33429487272982777</v>
      </c>
      <c r="L48" s="123">
        <f ca="1">_xll.INSTRUMENT.Z.SPREAD(A48,swapCurve,I48,cContinuous,D48)</f>
        <v>-28.293240879816729</v>
      </c>
      <c r="M48" s="123">
        <f ca="1">_xll.INSTRUMENT.Z.SPREAD(A48,ustCurve,I48,cContinuous,D48)</f>
        <v>-1.9167504406875964</v>
      </c>
      <c r="N48" s="123">
        <f ca="1">_xll.INSTRUMENT.Z.SPREAD(A48,oisCurve,I48,cContinuous,D48)</f>
        <v>-1.1914223598775513</v>
      </c>
      <c r="O48" s="124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-1.7994499842471622E-4</v>
      </c>
      <c r="P48" s="124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1.8567939594678873E-3</v>
      </c>
      <c r="Q48" s="379">
        <f ca="1">-(O48-curve!$S$3)/J48</f>
        <v>-0.32110710401532833</v>
      </c>
      <c r="R48" s="381">
        <f t="shared" ca="1" si="0"/>
        <v>-56.553271890790953</v>
      </c>
      <c r="S48" s="199" t="str">
        <f>IF(F48&lt;&gt;"","",IF(G48="","",-G48*(SUMIF('bench Comparison'!$A:$A,"RESINV1USD",'bench Comparison'!$G:$G)+SUMIF('bench Comparison'!$A:$A,"RESSWAPORUSD",'bench Comparison'!$G:$G))/(36500*J48)))</f>
        <v/>
      </c>
      <c r="T48" s="210" t="str">
        <f>IF(G48&lt;&gt;"","",IF(F48="","",-36500*J48*F48/(SUMIF('bench Comparison'!$A:$A,"RESINV1USD",'bench Comparison'!$G:$G)+SUMIF('bench Comparison'!$A:$A,"RESSWAPORUSD",'bench Comparison'!$G:$G))))</f>
        <v/>
      </c>
      <c r="U48" s="125">
        <f>SUMIF('bench Comparison'!$E:$E,A48,'bench Comparison'!$N:$N)</f>
        <v>0</v>
      </c>
      <c r="V48" s="126">
        <f ca="1">VALUE(_xll.BDP($A48 &amp; " Corp",V$1))</f>
        <v>39478</v>
      </c>
      <c r="W48" s="127">
        <f ca="1">VALUE(_xll.BDP($A48 &amp; " Corp",W$1))</f>
        <v>39478</v>
      </c>
      <c r="X48" s="127">
        <f ca="1">VALUE(_xll.BDP($A48 &amp; " Corp",X$1))</f>
        <v>39660</v>
      </c>
      <c r="Y48" s="127">
        <f ca="1">VALUE(_xll.BDP($A48 &amp; " Corp",Y$1))</f>
        <v>41121</v>
      </c>
      <c r="Z48" s="127">
        <f ca="1">VALUE(_xll.BDP($A48 &amp; " Corp",Z$1))</f>
        <v>41305</v>
      </c>
      <c r="AA48" s="128">
        <f ca="1">_xll.BDP($A48 &amp; " Corp",AA$1)/100</f>
        <v>2.8750000000000001E-2</v>
      </c>
      <c r="AB48" s="129">
        <f ca="1">_xll.BDP($A48 &amp; " Corp",AB$1)</f>
        <v>15700000000</v>
      </c>
      <c r="AC48" s="130" t="str">
        <f ca="1">IF(LEFT(B48,1)="B",_xll.INSTANCE.TBILL(A48,V48,Z48,TODAY()),_xll.INSTANCE.TNOTE(A48,V48,W48,X48,Y48,Z48,AA48,TODAY()))</f>
        <v>US912828HQ66#0028</v>
      </c>
    </row>
    <row r="49" spans="1:29" x14ac:dyDescent="0.2">
      <c r="A49" s="131" t="s">
        <v>423</v>
      </c>
      <c r="B49" s="115" t="str">
        <f ca="1">_xll.BDP($A49 &amp; " Govt",B$1)</f>
        <v>B 02/07/13</v>
      </c>
      <c r="C49" s="372"/>
      <c r="D49" s="116"/>
      <c r="E49" s="117"/>
      <c r="F49" s="118"/>
      <c r="G49" s="377"/>
      <c r="H49" s="120">
        <f ca="1">IF(E49="",_xll.BDP(A49 &amp; " Govt","YLD_YTM_ASK")/100,E49)</f>
        <v>1.5771185690498873E-3</v>
      </c>
      <c r="I49" s="121">
        <f ca="1">_xll.INSTRUMENT.PRIX(AC49,D49,H49,cTreasuries)</f>
        <v>99.905239143780122</v>
      </c>
      <c r="J49" s="122">
        <f ca="1">_xll.INSTRUMENT.DV01(A49,,,I49,cContinuous,I49)</f>
        <v>-6.0079981913456742E-3</v>
      </c>
      <c r="K49" s="123">
        <f ca="1">_xll.INSTRUMENT.CONVEXITE(A49,,,I49,cContinuous,I49)</f>
        <v>0.36164571214111468</v>
      </c>
      <c r="L49" s="123">
        <f ca="1">_xll.INSTRUMENT.Z.SPREAD(A49,swapCurve,I49,cContinuous,D49)</f>
        <v>-29.806087003497144</v>
      </c>
      <c r="M49" s="123">
        <f ca="1">_xll.INSTRUMENT.Z.SPREAD(A49,ustCurve,I49,cContinuous,D49)</f>
        <v>-2.2634721702795546</v>
      </c>
      <c r="N49" s="123">
        <f ca="1">_xll.INSTRUMENT.Z.SPREAD(A49,oisCurve,I49,cContinuous,D49)</f>
        <v>-2.4385209806326045</v>
      </c>
      <c r="O49" s="124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1.7562128899394468E-3</v>
      </c>
      <c r="P49" s="124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1.5944712105696709E-3</v>
      </c>
      <c r="Q49" s="379">
        <f ca="1">-(O49-curve!$S$3)/J49</f>
        <v>6.3324973752619867E-3</v>
      </c>
      <c r="R49" s="381">
        <f t="shared" ca="1" si="0"/>
        <v>-60.194044775521661</v>
      </c>
      <c r="S49" s="199" t="str">
        <f>IF(F49&lt;&gt;"","",IF(G49="","",-G49*(SUMIF('bench Comparison'!$A:$A,"RESINV1USD",'bench Comparison'!$G:$G)+SUMIF('bench Comparison'!$A:$A,"RESSWAPORUSD",'bench Comparison'!$G:$G))/(36500*J49)))</f>
        <v/>
      </c>
      <c r="T49" s="210" t="str">
        <f>IF(G49&lt;&gt;"","",IF(F49="","",-36500*J49*F49/(SUMIF('bench Comparison'!$A:$A,"RESINV1USD",'bench Comparison'!$G:$G)+SUMIF('bench Comparison'!$A:$A,"RESSWAPORUSD",'bench Comparison'!$G:$G))))</f>
        <v/>
      </c>
      <c r="U49" s="125">
        <f>SUMIF('bench Comparison'!$E:$E,A49,'bench Comparison'!$N:$N)</f>
        <v>0</v>
      </c>
      <c r="V49" s="126">
        <f ca="1">VALUE(_xll.BDP($A49 &amp; " Corp",V$1))</f>
        <v>40948</v>
      </c>
      <c r="W49" s="127" t="e">
        <f ca="1">VALUE(_xll.BDP($A49 &amp; " Corp",W$1))</f>
        <v>#VALUE!</v>
      </c>
      <c r="X49" s="127" t="e">
        <f ca="1">VALUE(_xll.BDP($A49 &amp; " Corp",X$1))</f>
        <v>#VALUE!</v>
      </c>
      <c r="Y49" s="127" t="e">
        <f ca="1">VALUE(_xll.BDP($A49 &amp; " Corp",Y$1))</f>
        <v>#VALUE!</v>
      </c>
      <c r="Z49" s="127">
        <f ca="1">VALUE(_xll.BDP($A49 &amp; " Corp",Z$1))</f>
        <v>41312</v>
      </c>
      <c r="AA49" s="128">
        <f ca="1">_xll.BDP($A49 &amp; " Corp",AA$1)/100</f>
        <v>0</v>
      </c>
      <c r="AB49" s="129">
        <f ca="1">_xll.BDP($A49 &amp; " Corp",AB$1)</f>
        <v>26001000000</v>
      </c>
      <c r="AC49" s="130" t="str">
        <f ca="1">IF(LEFT(B49,1)="B",_xll.INSTANCE.TBILL(A49,V49,Z49,TODAY()),_xll.INSTANCE.TNOTE(A49,V49,W49,X49,Y49,Z49,AA49,TODAY()))</f>
        <v>US9127955Z04#0027</v>
      </c>
    </row>
    <row r="50" spans="1:29" x14ac:dyDescent="0.2">
      <c r="A50" s="131" t="s">
        <v>424</v>
      </c>
      <c r="B50" s="115" t="str">
        <f ca="1">_xll.BDP($A50 &amp; " Govt",B$1)</f>
        <v>T 3 7/8 02/15/13</v>
      </c>
      <c r="C50" s="372"/>
      <c r="D50" s="116"/>
      <c r="E50" s="117"/>
      <c r="F50" s="118"/>
      <c r="G50" s="377"/>
      <c r="H50" s="120">
        <f ca="1">IF(E50="",_xll.BDP(A50 &amp; " Govt","YLD_YTM_ASK")/100,E50)</f>
        <v>1.8412329999999998E-3</v>
      </c>
      <c r="I50" s="121">
        <f ca="1">_xll.INSTRUMENT.PRIX(AC50,D50,H50,cTreasuries)</f>
        <v>102.28860551150707</v>
      </c>
      <c r="J50" s="122">
        <f ca="1">_xll.INSTRUMENT.DV01(A50,,,I50,cContinuous,I50)</f>
        <v>-6.3696393972063501E-3</v>
      </c>
      <c r="K50" s="123">
        <f ca="1">_xll.INSTRUMENT.CONVEXITE(A50,,,I50,cContinuous,I50)</f>
        <v>0.38150459340843645</v>
      </c>
      <c r="L50" s="123">
        <f ca="1">_xll.INSTRUMENT.Z.SPREAD(A50,swapCurve,I50,cContinuous,D50)</f>
        <v>-27.388114884670355</v>
      </c>
      <c r="M50" s="123">
        <f ca="1">_xll.INSTRUMENT.Z.SPREAD(A50,ustCurve,I50,cContinuous,D50)</f>
        <v>-1.6926807410025229</v>
      </c>
      <c r="N50" s="123">
        <f ca="1">_xll.INSTRUMENT.Z.SPREAD(A50,oisCurve,I50,cContinuous,D50)</f>
        <v>0.19965204905703038</v>
      </c>
      <c r="O50" s="124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-7.7044855987750641E-4</v>
      </c>
      <c r="P50" s="124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1.9724126520679511E-3</v>
      </c>
      <c r="Q50" s="379">
        <f ca="1">-(O50-curve!$S$3)/J50</f>
        <v>-0.39069963962656284</v>
      </c>
      <c r="R50" s="381">
        <f t="shared" ca="1" si="0"/>
        <v>-59.894221574891652</v>
      </c>
      <c r="S50" s="199" t="str">
        <f>IF(F50&lt;&gt;"","",IF(G50="","",-G50*(SUMIF('bench Comparison'!$A:$A,"RESINV1USD",'bench Comparison'!$G:$G)+SUMIF('bench Comparison'!$A:$A,"RESSWAPORUSD",'bench Comparison'!$G:$G))/(36500*J50)))</f>
        <v/>
      </c>
      <c r="T50" s="210" t="str">
        <f>IF(G50&lt;&gt;"","",IF(F50="","",-36500*J50*F50/(SUMIF('bench Comparison'!$A:$A,"RESINV1USD",'bench Comparison'!$G:$G)+SUMIF('bench Comparison'!$A:$A,"RESSWAPORUSD",'bench Comparison'!$G:$G))))</f>
        <v/>
      </c>
      <c r="U50" s="125">
        <f>SUMIF('bench Comparison'!$E:$E,A50,'bench Comparison'!$N:$N)</f>
        <v>0</v>
      </c>
      <c r="V50" s="126">
        <f ca="1">VALUE(_xll.BDP($A50 &amp; " Corp",V$1))</f>
        <v>37670</v>
      </c>
      <c r="W50" s="127">
        <f ca="1">VALUE(_xll.BDP($A50 &amp; " Corp",W$1))</f>
        <v>37667</v>
      </c>
      <c r="X50" s="127">
        <f ca="1">VALUE(_xll.BDP($A50 &amp; " Corp",X$1))</f>
        <v>37848</v>
      </c>
      <c r="Y50" s="127">
        <f ca="1">VALUE(_xll.BDP($A50 &amp; " Corp",Y$1))</f>
        <v>41136</v>
      </c>
      <c r="Z50" s="127">
        <f ca="1">VALUE(_xll.BDP($A50 &amp; " Corp",Z$1))</f>
        <v>41320</v>
      </c>
      <c r="AA50" s="128">
        <f ca="1">_xll.BDP($A50 &amp; " Corp",AA$1)/100</f>
        <v>3.875E-2</v>
      </c>
      <c r="AB50" s="129">
        <f ca="1">_xll.BDP($A50 &amp; " Corp",AB$1)</f>
        <v>19498000000</v>
      </c>
      <c r="AC50" s="130" t="str">
        <f ca="1">IF(LEFT(B50,1)="B",_xll.INSTANCE.TBILL(A50,V50,Z50,TODAY()),_xll.INSTANCE.TNOTE(A50,V50,W50,X50,Y50,Z50,AA50,TODAY()))</f>
        <v>US912828AU42#0028</v>
      </c>
    </row>
    <row r="51" spans="1:29" x14ac:dyDescent="0.2">
      <c r="A51" s="131" t="s">
        <v>425</v>
      </c>
      <c r="B51" s="115" t="str">
        <f ca="1">_xll.BDP($A51 &amp; " Govt",B$1)</f>
        <v>T 1 3/8 02/15/13</v>
      </c>
      <c r="C51" s="372"/>
      <c r="D51" s="116"/>
      <c r="E51" s="117"/>
      <c r="F51" s="118"/>
      <c r="G51" s="377"/>
      <c r="H51" s="120">
        <f ca="1">IF(E51="",_xll.BDP(A51 &amp; " Govt","YLD_YTM_ASK")/100,E51)</f>
        <v>1.8458599999999999E-3</v>
      </c>
      <c r="I51" s="121">
        <f ca="1">_xll.INSTRUMENT.PRIX(AC51,D51,H51,cTreasuries)</f>
        <v>100.73782727409869</v>
      </c>
      <c r="J51" s="122">
        <f ca="1">_xll.INSTRUMENT.DV01(A51,,,I51,cContinuous,I51)</f>
        <v>-6.2767757009914186E-3</v>
      </c>
      <c r="K51" s="123">
        <f ca="1">_xll.INSTRUMENT.CONVEXITE(A51,,,I51,cContinuous,I51)</f>
        <v>0.38594856913418968</v>
      </c>
      <c r="L51" s="123">
        <f ca="1">_xll.INSTRUMENT.Z.SPREAD(A51,swapCurve,I51,cContinuous,D51)</f>
        <v>-27.385393004271716</v>
      </c>
      <c r="M51" s="123">
        <f ca="1">_xll.INSTRUMENT.Z.SPREAD(A51,ustCurve,I51,cContinuous,D51)</f>
        <v>-0.60971786494431446</v>
      </c>
      <c r="N51" s="123">
        <f ca="1">_xll.INSTRUMENT.Z.SPREAD(A51,oisCurve,I51,cContinuous,D51)</f>
        <v>0.24496416131778914</v>
      </c>
      <c r="O51" s="124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1.0187564553347519E-3</v>
      </c>
      <c r="P51" s="124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1.9019877488767689E-3</v>
      </c>
      <c r="Q51" s="379">
        <f ca="1">-(O51-curve!$S$3)/J51</f>
        <v>-0.11142835671457044</v>
      </c>
      <c r="R51" s="381">
        <f t="shared" ca="1" si="0"/>
        <v>-61.488348081839057</v>
      </c>
      <c r="S51" s="199" t="str">
        <f>IF(F51&lt;&gt;"","",IF(G51="","",-G51*(SUMIF('bench Comparison'!$A:$A,"RESINV1USD",'bench Comparison'!$G:$G)+SUMIF('bench Comparison'!$A:$A,"RESSWAPORUSD",'bench Comparison'!$G:$G))/(36500*J51)))</f>
        <v/>
      </c>
      <c r="T51" s="210" t="str">
        <f>IF(G51&lt;&gt;"","",IF(F51="","",-36500*J51*F51/(SUMIF('bench Comparison'!$A:$A,"RESINV1USD",'bench Comparison'!$G:$G)+SUMIF('bench Comparison'!$A:$A,"RESSWAPORUSD",'bench Comparison'!$G:$G))))</f>
        <v/>
      </c>
      <c r="U51" s="125">
        <f>SUMIF('bench Comparison'!$E:$E,A51,'bench Comparison'!$N:$N)</f>
        <v>0</v>
      </c>
      <c r="V51" s="126">
        <f ca="1">VALUE(_xll.BDP($A51 &amp; " Corp",V$1))</f>
        <v>40225</v>
      </c>
      <c r="W51" s="127">
        <f ca="1">VALUE(_xll.BDP($A51 &amp; " Corp",W$1))</f>
        <v>40224</v>
      </c>
      <c r="X51" s="127">
        <f ca="1">VALUE(_xll.BDP($A51 &amp; " Corp",X$1))</f>
        <v>40405</v>
      </c>
      <c r="Y51" s="127">
        <f ca="1">VALUE(_xll.BDP($A51 &amp; " Corp",Y$1))</f>
        <v>41136</v>
      </c>
      <c r="Z51" s="127">
        <f ca="1">VALUE(_xll.BDP($A51 &amp; " Corp",Z$1))</f>
        <v>41320</v>
      </c>
      <c r="AA51" s="128">
        <f ca="1">_xll.BDP($A51 &amp; " Corp",AA$1)/100</f>
        <v>1.375E-2</v>
      </c>
      <c r="AB51" s="129">
        <f ca="1">_xll.BDP($A51 &amp; " Corp",AB$1)</f>
        <v>44497000000</v>
      </c>
      <c r="AC51" s="130" t="str">
        <f ca="1">IF(LEFT(B51,1)="B",_xll.INSTANCE.TBILL(A51,V51,Z51,TODAY()),_xll.INSTANCE.TNOTE(A51,V51,W51,X51,Y51,Z51,AA51,TODAY()))</f>
        <v>US912828MN70#0028</v>
      </c>
    </row>
    <row r="52" spans="1:29" x14ac:dyDescent="0.2">
      <c r="A52" s="131" t="s">
        <v>48</v>
      </c>
      <c r="B52" s="115" t="str">
        <f ca="1">_xll.BDP($A52 &amp; " Govt",B$1)</f>
        <v>T 0 5/8 02/28/13</v>
      </c>
      <c r="C52" s="372"/>
      <c r="D52" s="116"/>
      <c r="E52" s="117"/>
      <c r="F52" s="118"/>
      <c r="G52" s="377"/>
      <c r="H52" s="120">
        <f ca="1">IF(E52="",_xll.BDP(A52 &amp; " Govt","YLD_YTM_ASK")/100,E52)</f>
        <v>1.826289E-3</v>
      </c>
      <c r="I52" s="121">
        <f ca="1">_xll.INSTRUMENT.PRIX(AC52,D52,H52,cTreasuries)</f>
        <v>100.29371566243015</v>
      </c>
      <c r="J52" s="122">
        <f ca="1">_xll.INSTRUMENT.DV01(A52,,,I52,cContinuous,I52)</f>
        <v>-6.6068051387730541E-3</v>
      </c>
      <c r="K52" s="123">
        <f ca="1">_xll.INSTRUMENT.CONVEXITE(A52,,,I52,cContinuous,I52)</f>
        <v>0.43288864060778343</v>
      </c>
      <c r="L52" s="123">
        <f ca="1">_xll.INSTRUMENT.Z.SPREAD(A52,swapCurve,I52,cContinuous,D52)</f>
        <v>-28.06325973331667</v>
      </c>
      <c r="M52" s="123">
        <f ca="1">_xll.INSTRUMENT.Z.SPREAD(A52,ustCurve,I52,cContinuous,D52)</f>
        <v>-1.18036439127302</v>
      </c>
      <c r="N52" s="123">
        <f ca="1">_xll.INSTRUMENT.Z.SPREAD(A52,oisCurve,I52,cContinuous,D52)</f>
        <v>6.5104617945351995E-2</v>
      </c>
      <c r="O52" s="124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1.5753298117970038E-3</v>
      </c>
      <c r="P52" s="124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1.8547166495107015E-3</v>
      </c>
      <c r="Q52" s="379">
        <f ca="1">-(O52-curve!$S$3)/J52</f>
        <v>-2.1619745454108247E-2</v>
      </c>
      <c r="R52" s="381">
        <f t="shared" ca="1" si="0"/>
        <v>-65.521629821849857</v>
      </c>
      <c r="S52" s="199" t="str">
        <f>IF(F52&lt;&gt;"","",IF(G52="","",-G52*(SUMIF('bench Comparison'!$A:$A,"RESINV1USD",'bench Comparison'!$G:$G)+SUMIF('bench Comparison'!$A:$A,"RESSWAPORUSD",'bench Comparison'!$G:$G))/(36500*J52)))</f>
        <v/>
      </c>
      <c r="T52" s="210" t="str">
        <f>IF(G52&lt;&gt;"","",IF(F52="","",-36500*J52*F52/(SUMIF('bench Comparison'!$A:$A,"RESINV1USD",'bench Comparison'!$G:$G)+SUMIF('bench Comparison'!$A:$A,"RESSWAPORUSD",'bench Comparison'!$G:$G))))</f>
        <v/>
      </c>
      <c r="U52" s="125">
        <f>SUMIF('bench Comparison'!$E:$E,A52,'bench Comparison'!$N:$N)</f>
        <v>-431628954.78151828</v>
      </c>
      <c r="V52" s="126">
        <f ca="1">VALUE(_xll.BDP($A52 &amp; " Corp",V$1))</f>
        <v>40602</v>
      </c>
      <c r="W52" s="127">
        <f ca="1">VALUE(_xll.BDP($A52 &amp; " Corp",W$1))</f>
        <v>40602</v>
      </c>
      <c r="X52" s="127">
        <f ca="1">VALUE(_xll.BDP($A52 &amp; " Corp",X$1))</f>
        <v>40786</v>
      </c>
      <c r="Y52" s="127">
        <f ca="1">VALUE(_xll.BDP($A52 &amp; " Corp",Y$1))</f>
        <v>41152</v>
      </c>
      <c r="Z52" s="127">
        <f ca="1">VALUE(_xll.BDP($A52 &amp; " Corp",Z$1))</f>
        <v>41333</v>
      </c>
      <c r="AA52" s="128">
        <f ca="1">_xll.BDP($A52 &amp; " Corp",AA$1)/100</f>
        <v>6.2500000000000003E-3</v>
      </c>
      <c r="AB52" s="129">
        <f ca="1">_xll.BDP($A52 &amp; " Corp",AB$1)</f>
        <v>36923000000</v>
      </c>
      <c r="AC52" s="130" t="str">
        <f ca="1">IF(LEFT(B52,1)="B",_xll.INSTANCE.TBILL(A52,V52,Z52,TODAY()),_xll.INSTANCE.TNOTE(A52,V52,W52,X52,Y52,Z52,AA52,TODAY()))</f>
        <v>US912828QK95#0028</v>
      </c>
    </row>
    <row r="53" spans="1:29" x14ac:dyDescent="0.2">
      <c r="A53" s="131" t="s">
        <v>426</v>
      </c>
      <c r="B53" s="115" t="str">
        <f ca="1">_xll.BDP($A53 &amp; " Govt",B$1)</f>
        <v>T 2 3/4 02/28/13</v>
      </c>
      <c r="C53" s="372"/>
      <c r="D53" s="116"/>
      <c r="E53" s="117"/>
      <c r="F53" s="118"/>
      <c r="G53" s="377"/>
      <c r="H53" s="120">
        <f ca="1">IF(E53="",_xll.BDP(A53 &amp; " Govt","YLD_YTM_ASK")/100,E53)</f>
        <v>1.9009200000000002E-3</v>
      </c>
      <c r="I53" s="121">
        <f ca="1">_xll.INSTRUMENT.PRIX(AC53,D53,H53,cTreasuries)</f>
        <v>101.69609578227163</v>
      </c>
      <c r="J53" s="122">
        <f ca="1">_xll.INSTRUMENT.DV01(A53,,,I53,cContinuous,I53)</f>
        <v>-6.6938142788676861E-3</v>
      </c>
      <c r="K53" s="123">
        <f ca="1">_xll.INSTRUMENT.CONVEXITE(A53,,,I53,cContinuous,I53)</f>
        <v>0.42869934511441615</v>
      </c>
      <c r="L53" s="123">
        <f ca="1">_xll.INSTRUMENT.Z.SPREAD(A53,swapCurve,I53,cContinuous,D53)</f>
        <v>-27.283923886948806</v>
      </c>
      <c r="M53" s="123">
        <f ca="1">_xll.INSTRUMENT.Z.SPREAD(A53,ustCurve,I53,cContinuous,D53)</f>
        <v>-1.2579098236477018</v>
      </c>
      <c r="N53" s="123">
        <f ca="1">_xll.INSTRUMENT.Z.SPREAD(A53,oisCurve,I53,cContinuous,D53)</f>
        <v>0.81053606433696956</v>
      </c>
      <c r="O53" s="124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3.6498923210102023E-4</v>
      </c>
      <c r="P53" s="124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1.9886705723876049E-3</v>
      </c>
      <c r="Q53" s="379">
        <f ca="1">-(O53-curve!$S$3)/J53</f>
        <v>-0.20215350601123228</v>
      </c>
      <c r="R53" s="381">
        <f t="shared" ca="1" si="0"/>
        <v>-64.044105087859435</v>
      </c>
      <c r="S53" s="199" t="str">
        <f>IF(F53&lt;&gt;"","",IF(G53="","",-G53*(SUMIF('bench Comparison'!$A:$A,"RESINV1USD",'bench Comparison'!$G:$G)+SUMIF('bench Comparison'!$A:$A,"RESSWAPORUSD",'bench Comparison'!$G:$G))/(36500*J53)))</f>
        <v/>
      </c>
      <c r="T53" s="210" t="str">
        <f>IF(G53&lt;&gt;"","",IF(F53="","",-36500*J53*F53/(SUMIF('bench Comparison'!$A:$A,"RESINV1USD",'bench Comparison'!$G:$G)+SUMIF('bench Comparison'!$A:$A,"RESSWAPORUSD",'bench Comparison'!$G:$G))))</f>
        <v/>
      </c>
      <c r="U53" s="125">
        <f>SUMIF('bench Comparison'!$E:$E,A53,'bench Comparison'!$N:$N)</f>
        <v>0</v>
      </c>
      <c r="V53" s="126">
        <f ca="1">VALUE(_xll.BDP($A53 &amp; " Corp",V$1))</f>
        <v>39507</v>
      </c>
      <c r="W53" s="127">
        <f ca="1">VALUE(_xll.BDP($A53 &amp; " Corp",W$1))</f>
        <v>39507</v>
      </c>
      <c r="X53" s="127">
        <f ca="1">VALUE(_xll.BDP($A53 &amp; " Corp",X$1))</f>
        <v>39691</v>
      </c>
      <c r="Y53" s="127">
        <f ca="1">VALUE(_xll.BDP($A53 &amp; " Corp",Y$1))</f>
        <v>41152</v>
      </c>
      <c r="Z53" s="127">
        <f ca="1">VALUE(_xll.BDP($A53 &amp; " Corp",Z$1))</f>
        <v>41333</v>
      </c>
      <c r="AA53" s="128">
        <f ca="1">_xll.BDP($A53 &amp; " Corp",AA$1)/100</f>
        <v>2.75E-2</v>
      </c>
      <c r="AB53" s="129">
        <f ca="1">_xll.BDP($A53 &amp; " Corp",AB$1)</f>
        <v>17784000000</v>
      </c>
      <c r="AC53" s="130" t="str">
        <f ca="1">IF(LEFT(B53,1)="B",_xll.INSTANCE.TBILL(A53,V53,Z53,TODAY()),_xll.INSTANCE.TNOTE(A53,V53,W53,X53,Y53,Z53,AA53,TODAY()))</f>
        <v>US912828HT06#0029</v>
      </c>
    </row>
    <row r="54" spans="1:29" x14ac:dyDescent="0.2">
      <c r="A54" s="131" t="s">
        <v>427</v>
      </c>
      <c r="B54" s="115" t="str">
        <f ca="1">_xll.BDP($A54 &amp; " Govt",B$1)</f>
        <v>B 03/07/13</v>
      </c>
      <c r="C54" s="372"/>
      <c r="D54" s="116"/>
      <c r="E54" s="117"/>
      <c r="F54" s="118"/>
      <c r="G54" s="377"/>
      <c r="H54" s="120">
        <f ca="1">IF(E54="",_xll.BDP(A54 &amp; " Govt","YLD_YTM_ASK")/100,E54)</f>
        <v>1.5728812270636937E-3</v>
      </c>
      <c r="I54" s="121">
        <f ca="1">_xll.INSTRUMENT.PRIX(AC54,D54,H54,cTreasuries)</f>
        <v>99.893444452449543</v>
      </c>
      <c r="J54" s="122">
        <f ca="1">_xll.INSTRUMENT.DV01(A54,,,I54,cContinuous,I54)</f>
        <v>-6.773594285644763E-3</v>
      </c>
      <c r="K54" s="123">
        <f ca="1">_xll.INSTRUMENT.CONVEXITE(A54,,,I54,cContinuous,I54)</f>
        <v>0.45979545881028344</v>
      </c>
      <c r="L54" s="123">
        <f ca="1">_xll.INSTRUMENT.Z.SPREAD(A54,swapCurve,I54,cContinuous,D54)</f>
        <v>-30.842983257488289</v>
      </c>
      <c r="M54" s="123">
        <f ca="1">_xll.INSTRUMENT.Z.SPREAD(A54,ustCurve,I54,cContinuous,D54)</f>
        <v>-3.8411648187415337</v>
      </c>
      <c r="N54" s="123">
        <f ca="1">_xll.INSTRUMENT.Z.SPREAD(A54,oisCurve,I54,cContinuous,D54)</f>
        <v>-2.4543601341437067</v>
      </c>
      <c r="O54" s="124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1.6751180923934876E-3</v>
      </c>
      <c r="P54" s="124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1.5840707480960089E-3</v>
      </c>
      <c r="Q54" s="379">
        <f ca="1">-(O54-curve!$S$3)/J54</f>
        <v>-6.3554389225699351E-3</v>
      </c>
      <c r="R54" s="381">
        <f t="shared" ca="1" si="0"/>
        <v>-67.880572620761356</v>
      </c>
      <c r="S54" s="199" t="str">
        <f>IF(F54&lt;&gt;"","",IF(G54="","",-G54*(SUMIF('bench Comparison'!$A:$A,"RESINV1USD",'bench Comparison'!$G:$G)+SUMIF('bench Comparison'!$A:$A,"RESSWAPORUSD",'bench Comparison'!$G:$G))/(36500*J54)))</f>
        <v/>
      </c>
      <c r="T54" s="210" t="str">
        <f>IF(G54&lt;&gt;"","",IF(F54="","",-36500*J54*F54/(SUMIF('bench Comparison'!$A:$A,"RESINV1USD",'bench Comparison'!$G:$G)+SUMIF('bench Comparison'!$A:$A,"RESSWAPORUSD",'bench Comparison'!$G:$G))))</f>
        <v/>
      </c>
      <c r="U54" s="125">
        <f>SUMIF('bench Comparison'!$E:$E,A54,'bench Comparison'!$N:$N)</f>
        <v>0</v>
      </c>
      <c r="V54" s="126">
        <f ca="1">VALUE(_xll.BDP($A54 &amp; " Corp",V$1))</f>
        <v>40976</v>
      </c>
      <c r="W54" s="127" t="e">
        <f ca="1">VALUE(_xll.BDP($A54 &amp; " Corp",W$1))</f>
        <v>#VALUE!</v>
      </c>
      <c r="X54" s="127" t="e">
        <f ca="1">VALUE(_xll.BDP($A54 &amp; " Corp",X$1))</f>
        <v>#VALUE!</v>
      </c>
      <c r="Y54" s="127" t="e">
        <f ca="1">VALUE(_xll.BDP($A54 &amp; " Corp",Y$1))</f>
        <v>#VALUE!</v>
      </c>
      <c r="Z54" s="127">
        <f ca="1">VALUE(_xll.BDP($A54 &amp; " Corp",Z$1))</f>
        <v>41340</v>
      </c>
      <c r="AA54" s="128">
        <f ca="1">_xll.BDP($A54 &amp; " Corp",AA$1)/100</f>
        <v>0</v>
      </c>
      <c r="AB54" s="129">
        <f ca="1">_xll.BDP($A54 &amp; " Corp",AB$1)</f>
        <v>26001000000</v>
      </c>
      <c r="AC54" s="130" t="str">
        <f ca="1">IF(LEFT(B54,1)="B",_xll.INSTANCE.TBILL(A54,V54,Z54,TODAY()),_xll.INSTANCE.TNOTE(A54,V54,W54,X54,Y54,Z54,AA54,TODAY()))</f>
        <v>US9127956E65#0027</v>
      </c>
    </row>
    <row r="55" spans="1:29" x14ac:dyDescent="0.2">
      <c r="A55" s="131" t="s">
        <v>428</v>
      </c>
      <c r="B55" s="115" t="str">
        <f ca="1">_xll.BDP($A55 &amp; " Govt",B$1)</f>
        <v>T 1 3/8 03/15/13</v>
      </c>
      <c r="C55" s="372"/>
      <c r="D55" s="116"/>
      <c r="E55" s="117"/>
      <c r="F55" s="118"/>
      <c r="G55" s="377"/>
      <c r="H55" s="120">
        <f ca="1">IF(E55="",_xll.BDP(A55 &amp; " Govt","YLD_YTM_ASK")/100,E55)</f>
        <v>1.913344E-3</v>
      </c>
      <c r="I55" s="121">
        <f ca="1">_xll.INSTRUMENT.PRIX(AC55,D55,H55,cTreasuries)</f>
        <v>100.83274973257888</v>
      </c>
      <c r="J55" s="122">
        <f ca="1">_xll.INSTRUMENT.DV01(A55,,,I55,cContinuous,I55)</f>
        <v>-7.053151177796254E-3</v>
      </c>
      <c r="K55" s="123">
        <f ca="1">_xll.INSTRUMENT.CONVEXITE(A55,,,I55,cContinuous,I55)</f>
        <v>0.48697429507161411</v>
      </c>
      <c r="L55" s="123">
        <f ca="1">_xll.INSTRUMENT.Z.SPREAD(A55,swapCurve,I55,cContinuous,D55)</f>
        <v>-27.688814142309692</v>
      </c>
      <c r="M55" s="123">
        <f ca="1">_xll.INSTRUMENT.Z.SPREAD(A55,ustCurve,I55,cContinuous,D55)</f>
        <v>-1.3464390886762891</v>
      </c>
      <c r="N55" s="123">
        <f ca="1">_xll.INSTRUMENT.Z.SPREAD(A55,oisCurve,I55,cContinuous,D55)</f>
        <v>0.94954664769178454</v>
      </c>
      <c r="O55" s="124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1.1848490616851429E-3</v>
      </c>
      <c r="P55" s="124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2.002160445952235E-3</v>
      </c>
      <c r="Q55" s="379">
        <f ca="1">-(O55-curve!$S$3)/J55</f>
        <v>-7.5614173301140439E-2</v>
      </c>
      <c r="R55" s="381">
        <f t="shared" ca="1" si="0"/>
        <v>-69.043507333947218</v>
      </c>
      <c r="S55" s="199" t="str">
        <f>IF(F55&lt;&gt;"","",IF(G55="","",-G55*(SUMIF('bench Comparison'!$A:$A,"RESINV1USD",'bench Comparison'!$G:$G)+SUMIF('bench Comparison'!$A:$A,"RESSWAPORUSD",'bench Comparison'!$G:$G))/(36500*J55)))</f>
        <v/>
      </c>
      <c r="T55" s="210" t="str">
        <f>IF(G55&lt;&gt;"","",IF(F55="","",-36500*J55*F55/(SUMIF('bench Comparison'!$A:$A,"RESINV1USD",'bench Comparison'!$G:$G)+SUMIF('bench Comparison'!$A:$A,"RESSWAPORUSD",'bench Comparison'!$G:$G))))</f>
        <v/>
      </c>
      <c r="U55" s="125">
        <f>SUMIF('bench Comparison'!$E:$E,A55,'bench Comparison'!$N:$N)</f>
        <v>0</v>
      </c>
      <c r="V55" s="126">
        <f ca="1">VALUE(_xll.BDP($A55 &amp; " Corp",V$1))</f>
        <v>40252</v>
      </c>
      <c r="W55" s="127">
        <f ca="1">VALUE(_xll.BDP($A55 &amp; " Corp",W$1))</f>
        <v>40252</v>
      </c>
      <c r="X55" s="127">
        <f ca="1">VALUE(_xll.BDP($A55 &amp; " Corp",X$1))</f>
        <v>40436</v>
      </c>
      <c r="Y55" s="127">
        <f ca="1">VALUE(_xll.BDP($A55 &amp; " Corp",Y$1))</f>
        <v>41167</v>
      </c>
      <c r="Z55" s="127">
        <f ca="1">VALUE(_xll.BDP($A55 &amp; " Corp",Z$1))</f>
        <v>41348</v>
      </c>
      <c r="AA55" s="128">
        <f ca="1">_xll.BDP($A55 &amp; " Corp",AA$1)/100</f>
        <v>1.375E-2</v>
      </c>
      <c r="AB55" s="129">
        <f ca="1">_xll.BDP($A55 &amp; " Corp",AB$1)</f>
        <v>40473000000</v>
      </c>
      <c r="AC55" s="130" t="str">
        <f ca="1">IF(LEFT(B55,1)="B",_xll.INSTANCE.TBILL(A55,V55,Z55,TODAY()),_xll.INSTANCE.TNOTE(A55,V55,W55,X55,Y55,Z55,AA55,TODAY()))</f>
        <v>US912828MT41#0028</v>
      </c>
    </row>
    <row r="56" spans="1:29" x14ac:dyDescent="0.2">
      <c r="A56" s="131" t="s">
        <v>429</v>
      </c>
      <c r="B56" s="115" t="str">
        <f ca="1">_xll.BDP($A56 &amp; " Govt",B$1)</f>
        <v>T 2 1/2 03/31/13</v>
      </c>
      <c r="C56" s="372"/>
      <c r="D56" s="116"/>
      <c r="E56" s="117"/>
      <c r="F56" s="118"/>
      <c r="G56" s="377"/>
      <c r="H56" s="120">
        <f ca="1">IF(E56="",_xll.BDP(A56 &amp; " Govt","YLD_YTM_ASK")/100,E56)</f>
        <v>2.0310049999999998E-3</v>
      </c>
      <c r="I56" s="121">
        <f ca="1">_xll.INSTRUMENT.PRIX(AC56,D56,H56,cTreasuries)</f>
        <v>101.71134807415228</v>
      </c>
      <c r="J56" s="122">
        <f ca="1">_xll.INSTRUMENT.DV01(A56,,,I56,cContinuous,I56)</f>
        <v>-7.5787301375070566E-3</v>
      </c>
      <c r="K56" s="123">
        <f ca="1">_xll.INSTRUMENT.CONVEXITE(A56,,,I56,cContinuous,I56)</f>
        <v>0.5513253615652407</v>
      </c>
      <c r="L56" s="123">
        <f ca="1">_xll.INSTRUMENT.Z.SPREAD(A56,swapCurve,I56,cContinuous,D56)</f>
        <v>-27.031387207269681</v>
      </c>
      <c r="M56" s="123">
        <f ca="1">_xll.INSTRUMENT.Z.SPREAD(A56,ustCurve,I56,cContinuous,D56)</f>
        <v>-1.4237493245381097</v>
      </c>
      <c r="N56" s="123">
        <f ca="1">_xll.INSTRUMENT.Z.SPREAD(A56,oisCurve,I56,cContinuous,D56)</f>
        <v>2.0407614153298193</v>
      </c>
      <c r="O56" s="124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5.7070464463066157E-4</v>
      </c>
      <c r="P56" s="124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2.138051566362327E-3</v>
      </c>
      <c r="Q56" s="379">
        <f ca="1">-(O56-curve!$S$3)/J56</f>
        <v>-0.15140565658258889</v>
      </c>
      <c r="R56" s="381">
        <f t="shared" ca="1" si="0"/>
        <v>-72.746403627269586</v>
      </c>
      <c r="S56" s="199" t="str">
        <f>IF(F56&lt;&gt;"","",IF(G56="","",-G56*(SUMIF('bench Comparison'!$A:$A,"RESINV1USD",'bench Comparison'!$G:$G)+SUMIF('bench Comparison'!$A:$A,"RESSWAPORUSD",'bench Comparison'!$G:$G))/(36500*J56)))</f>
        <v/>
      </c>
      <c r="T56" s="210" t="str">
        <f>IF(G56&lt;&gt;"","",IF(F56="","",-36500*J56*F56/(SUMIF('bench Comparison'!$A:$A,"RESINV1USD",'bench Comparison'!$G:$G)+SUMIF('bench Comparison'!$A:$A,"RESSWAPORUSD",'bench Comparison'!$G:$G))))</f>
        <v/>
      </c>
      <c r="U56" s="125">
        <f>SUMIF('bench Comparison'!$E:$E,A56,'bench Comparison'!$N:$N)</f>
        <v>0</v>
      </c>
      <c r="V56" s="126">
        <f ca="1">VALUE(_xll.BDP($A56 &amp; " Corp",V$1))</f>
        <v>39538</v>
      </c>
      <c r="W56" s="127">
        <f ca="1">VALUE(_xll.BDP($A56 &amp; " Corp",W$1))</f>
        <v>39538</v>
      </c>
      <c r="X56" s="127">
        <f ca="1">VALUE(_xll.BDP($A56 &amp; " Corp",X$1))</f>
        <v>39721</v>
      </c>
      <c r="Y56" s="127">
        <f ca="1">VALUE(_xll.BDP($A56 &amp; " Corp",Y$1))</f>
        <v>41182</v>
      </c>
      <c r="Z56" s="127">
        <f ca="1">VALUE(_xll.BDP($A56 &amp; " Corp",Z$1))</f>
        <v>41364</v>
      </c>
      <c r="AA56" s="128">
        <f ca="1">_xll.BDP($A56 &amp; " Corp",AA$1)/100</f>
        <v>2.5000000000000001E-2</v>
      </c>
      <c r="AB56" s="129">
        <f ca="1">_xll.BDP($A56 &amp; " Corp",AB$1)</f>
        <v>20571000000</v>
      </c>
      <c r="AC56" s="130" t="str">
        <f ca="1">IF(LEFT(B56,1)="B",_xll.INSTANCE.TBILL(A56,V56,Z56,TODAY()),_xll.INSTANCE.TNOTE(A56,V56,W56,X56,Y56,Z56,AA56,TODAY()))</f>
        <v>US912828HV51#0028</v>
      </c>
    </row>
    <row r="57" spans="1:29" x14ac:dyDescent="0.2">
      <c r="A57" s="131" t="s">
        <v>188</v>
      </c>
      <c r="B57" s="115" t="str">
        <f ca="1">_xll.BDP($A57 &amp; " Govt",B$1)</f>
        <v>T 0 3/4 03/31/13</v>
      </c>
      <c r="C57" s="372"/>
      <c r="D57" s="116"/>
      <c r="E57" s="117"/>
      <c r="F57" s="118"/>
      <c r="G57" s="377"/>
      <c r="H57" s="120">
        <f ca="1">IF(E57="",_xll.BDP(A57 &amp; " Govt","YLD_YTM_ASK")/100,E57)</f>
        <v>1.9937449999999999E-3</v>
      </c>
      <c r="I57" s="121">
        <f ca="1">_xll.INSTRUMENT.PRIX(AC57,D57,H57,cTreasuries)</f>
        <v>100.41055620719537</v>
      </c>
      <c r="J57" s="122">
        <f ca="1">_xll.INSTRUMENT.DV01(A57,,,I57,cContinuous,I57)</f>
        <v>-7.4919659459393578E-3</v>
      </c>
      <c r="K57" s="123">
        <f ca="1">_xll.INSTRUMENT.CONVEXITE(A57,,,I57,cContinuous,I57)</f>
        <v>0.55552842320349893</v>
      </c>
      <c r="L57" s="123">
        <f ca="1">_xll.INSTRUMENT.Z.SPREAD(A57,swapCurve,I57,cContinuous,D57)</f>
        <v>-27.405100232264484</v>
      </c>
      <c r="M57" s="123">
        <f ca="1">_xll.INSTRUMENT.Z.SPREAD(A57,ustCurve,I57,cContinuous,D57)</f>
        <v>-1.2015764000183025</v>
      </c>
      <c r="N57" s="123">
        <f ca="1">_xll.INSTRUMENT.Z.SPREAD(A57,oisCurve,I57,cContinuous,D57)</f>
        <v>1.6698941899443351</v>
      </c>
      <c r="O57" s="124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1.6920696671829819E-3</v>
      </c>
      <c r="P57" s="124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2.0464686407173278E-3</v>
      </c>
      <c r="Q57" s="379">
        <f ca="1">-(O57-curve!$S$3)/J57</f>
        <v>-3.4834101179189976E-3</v>
      </c>
      <c r="R57" s="381">
        <f t="shared" ca="1" si="0"/>
        <v>-74.149886319837734</v>
      </c>
      <c r="S57" s="199" t="str">
        <f>IF(F57&lt;&gt;"","",IF(G57="","",-G57*(SUMIF('bench Comparison'!$A:$A,"RESINV1USD",'bench Comparison'!$G:$G)+SUMIF('bench Comparison'!$A:$A,"RESSWAPORUSD",'bench Comparison'!$G:$G))/(36500*J57)))</f>
        <v/>
      </c>
      <c r="T57" s="210" t="str">
        <f>IF(G57&lt;&gt;"","",IF(F57="","",-36500*J57*F57/(SUMIF('bench Comparison'!$A:$A,"RESINV1USD",'bench Comparison'!$G:$G)+SUMIF('bench Comparison'!$A:$A,"RESSWAPORUSD",'bench Comparison'!$G:$G))))</f>
        <v/>
      </c>
      <c r="U57" s="125">
        <f>SUMIF('bench Comparison'!$E:$E,A57,'bench Comparison'!$N:$N)</f>
        <v>-431048808.33691949</v>
      </c>
      <c r="V57" s="126">
        <f ca="1">VALUE(_xll.BDP($A57 &amp; " Corp",V$1))</f>
        <v>40633</v>
      </c>
      <c r="W57" s="127">
        <f ca="1">VALUE(_xll.BDP($A57 &amp; " Corp",W$1))</f>
        <v>40633</v>
      </c>
      <c r="X57" s="127">
        <f ca="1">VALUE(_xll.BDP($A57 &amp; " Corp",X$1))</f>
        <v>40816</v>
      </c>
      <c r="Y57" s="127">
        <f ca="1">VALUE(_xll.BDP($A57 &amp; " Corp",Y$1))</f>
        <v>41182</v>
      </c>
      <c r="Z57" s="127">
        <f ca="1">VALUE(_xll.BDP($A57 &amp; " Corp",Z$1))</f>
        <v>41364</v>
      </c>
      <c r="AA57" s="128">
        <f ca="1">_xll.BDP($A57 &amp; " Corp",AA$1)/100</f>
        <v>7.4999999999999997E-3</v>
      </c>
      <c r="AB57" s="129">
        <f ca="1">_xll.BDP($A57 &amp; " Corp",AB$1)</f>
        <v>36570000000</v>
      </c>
      <c r="AC57" s="130" t="str">
        <f ca="1">IF(LEFT(B57,1)="B",_xll.INSTANCE.TBILL(A57,V57,Z57,TODAY()),_xll.INSTANCE.TNOTE(A57,V57,W57,X57,Y57,Z57,AA57,TODAY()))</f>
        <v>US912828QL78#0028</v>
      </c>
    </row>
    <row r="58" spans="1:29" x14ac:dyDescent="0.2">
      <c r="A58" s="131" t="s">
        <v>430</v>
      </c>
      <c r="B58" s="115" t="str">
        <f ca="1">_xll.BDP($A58 &amp; " Govt",B$1)</f>
        <v>B 04/04/13</v>
      </c>
      <c r="C58" s="372"/>
      <c r="D58" s="116"/>
      <c r="E58" s="117"/>
      <c r="F58" s="118"/>
      <c r="G58" s="377"/>
      <c r="H58" s="120">
        <f ca="1">IF(E58="",_xll.BDP(A58 &amp; " Govt","YLD_YTM_ASK")/100,E58)</f>
        <v>1.7761550411144445E-3</v>
      </c>
      <c r="I58" s="121">
        <f ca="1">_xll.INSTRUMENT.PRIX(AC58,D58,H58,cTreasuries)</f>
        <v>99.866086029659456</v>
      </c>
      <c r="J58" s="122">
        <f ca="1">_xll.INSTRUMENT.DV01(A58,,,I58,cContinuous,I58)</f>
        <v>-7.5378345861318368E-3</v>
      </c>
      <c r="K58" s="123">
        <f ca="1">_xll.INSTRUMENT.CONVEXITE(A58,,,I58,cContinuous,I58)</f>
        <v>0.56971476824920242</v>
      </c>
      <c r="L58" s="123">
        <f ca="1">_xll.INSTRUMENT.Z.SPREAD(A58,swapCurve,I58,cContinuous,D58)</f>
        <v>-29.568210858495895</v>
      </c>
      <c r="M58" s="123">
        <f ca="1">_xll.INSTRUMENT.Z.SPREAD(A58,ustCurve,I58,cContinuous,D58)</f>
        <v>-3.1908929296443929</v>
      </c>
      <c r="N58" s="123">
        <f ca="1">_xll.INSTRUMENT.Z.SPREAD(A58,oisCurve,I58,cContinuous,D58)</f>
        <v>-0.43551819291749322</v>
      </c>
      <c r="O58" s="124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1.9141751798840674E-3</v>
      </c>
      <c r="P58" s="124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1.7910507982930519E-3</v>
      </c>
      <c r="Q58" s="379">
        <f ca="1">-(O58-curve!$S$3)/J58</f>
        <v>2.6003213586367716E-2</v>
      </c>
      <c r="R58" s="381">
        <f t="shared" ca="1" si="0"/>
        <v>-75.580693863641926</v>
      </c>
      <c r="S58" s="199" t="str">
        <f>IF(F58&lt;&gt;"","",IF(G58="","",-G58*(SUMIF('bench Comparison'!$A:$A,"RESINV1USD",'bench Comparison'!$G:$G)+SUMIF('bench Comparison'!$A:$A,"RESSWAPORUSD",'bench Comparison'!$G:$G))/(36500*J58)))</f>
        <v/>
      </c>
      <c r="T58" s="210" t="str">
        <f>IF(G58&lt;&gt;"","",IF(F58="","",-36500*J58*F58/(SUMIF('bench Comparison'!$A:$A,"RESINV1USD",'bench Comparison'!$G:$G)+SUMIF('bench Comparison'!$A:$A,"RESSWAPORUSD",'bench Comparison'!$G:$G))))</f>
        <v/>
      </c>
      <c r="U58" s="125">
        <f>SUMIF('bench Comparison'!$E:$E,A58,'bench Comparison'!$N:$N)</f>
        <v>1000000000</v>
      </c>
      <c r="V58" s="126">
        <f ca="1">VALUE(_xll.BDP($A58 &amp; " Corp",V$1))</f>
        <v>41004</v>
      </c>
      <c r="W58" s="127" t="e">
        <f ca="1">VALUE(_xll.BDP($A58 &amp; " Corp",W$1))</f>
        <v>#VALUE!</v>
      </c>
      <c r="X58" s="127" t="e">
        <f ca="1">VALUE(_xll.BDP($A58 &amp; " Corp",X$1))</f>
        <v>#VALUE!</v>
      </c>
      <c r="Y58" s="127" t="e">
        <f ca="1">VALUE(_xll.BDP($A58 &amp; " Corp",Y$1))</f>
        <v>#VALUE!</v>
      </c>
      <c r="Z58" s="127">
        <f ca="1">VALUE(_xll.BDP($A58 &amp; " Corp",Z$1))</f>
        <v>41368</v>
      </c>
      <c r="AA58" s="128">
        <f ca="1">_xll.BDP($A58 &amp; " Corp",AA$1)/100</f>
        <v>0</v>
      </c>
      <c r="AB58" s="129">
        <f ca="1">_xll.BDP($A58 &amp; " Corp",AB$1)</f>
        <v>26000000000</v>
      </c>
      <c r="AC58" s="130" t="str">
        <f ca="1">IF(LEFT(B58,1)="B",_xll.INSTANCE.TBILL(A58,V58,Z58,TODAY()),_xll.INSTANCE.TNOTE(A58,V58,W58,X58,Y58,Z58,AA58,TODAY()))</f>
        <v>US9127956F31#0027</v>
      </c>
    </row>
    <row r="59" spans="1:29" x14ac:dyDescent="0.2">
      <c r="A59" s="131" t="s">
        <v>431</v>
      </c>
      <c r="B59" s="115" t="str">
        <f ca="1">_xll.BDP($A59 &amp; " Govt",B$1)</f>
        <v>T 1 3/4 04/15/13</v>
      </c>
      <c r="C59" s="372"/>
      <c r="D59" s="116"/>
      <c r="E59" s="117"/>
      <c r="F59" s="118"/>
      <c r="G59" s="377"/>
      <c r="H59" s="120">
        <f ca="1">IF(E59="",_xll.BDP(A59 &amp; " Govt","YLD_YTM_ASK")/100,E59)</f>
        <v>2.1872770000000001E-3</v>
      </c>
      <c r="I59" s="121">
        <f ca="1">_xll.INSTRUMENT.PRIX(AC59,D59,H59,cTreasuries)</f>
        <v>101.2035400583522</v>
      </c>
      <c r="J59" s="122">
        <f ca="1">_xll.INSTRUMENT.DV01(A59,,,I59,cContinuous,I59)</f>
        <v>-7.9295039551100649E-3</v>
      </c>
      <c r="K59" s="123">
        <f ca="1">_xll.INSTRUMENT.CONVEXITE(A59,,,I59,cContinuous,I59)</f>
        <v>0.61152197140395537</v>
      </c>
      <c r="L59" s="123">
        <f ca="1">_xll.INSTRUMENT.Z.SPREAD(A59,swapCurve,I59,cContinuous,D59)</f>
        <v>-25.6723332891351</v>
      </c>
      <c r="M59" s="123">
        <f ca="1">_xll.INSTRUMENT.Z.SPREAD(A59,ustCurve,I59,cContinuous,D59)</f>
        <v>-0.14831336950040555</v>
      </c>
      <c r="N59" s="123">
        <f ca="1">_xll.INSTRUMENT.Z.SPREAD(A59,oisCurve,I59,cContinuous,D59)</f>
        <v>3.6324600074506148</v>
      </c>
      <c r="O59" s="124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1.2208703983632148E-3</v>
      </c>
      <c r="P59" s="124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2.2569094352485218E-3</v>
      </c>
      <c r="Q59" s="379">
        <f ca="1">-(O59-curve!$S$3)/J59</f>
        <v>-6.2714750079477591E-2</v>
      </c>
      <c r="R59" s="381">
        <f t="shared" ca="1" si="0"/>
        <v>-77.119826771745039</v>
      </c>
      <c r="S59" s="199" t="str">
        <f>IF(F59&lt;&gt;"","",IF(G59="","",-G59*(SUMIF('bench Comparison'!$A:$A,"RESINV1USD",'bench Comparison'!$G:$G)+SUMIF('bench Comparison'!$A:$A,"RESSWAPORUSD",'bench Comparison'!$G:$G))/(36500*J59)))</f>
        <v/>
      </c>
      <c r="T59" s="210" t="str">
        <f>IF(G59&lt;&gt;"","",IF(F59="","",-36500*J59*F59/(SUMIF('bench Comparison'!$A:$A,"RESINV1USD",'bench Comparison'!$G:$G)+SUMIF('bench Comparison'!$A:$A,"RESSWAPORUSD",'bench Comparison'!$G:$G))))</f>
        <v/>
      </c>
      <c r="U59" s="125">
        <f>SUMIF('bench Comparison'!$E:$E,A59,'bench Comparison'!$N:$N)</f>
        <v>0</v>
      </c>
      <c r="V59" s="126">
        <f ca="1">VALUE(_xll.BDP($A59 &amp; " Corp",V$1))</f>
        <v>40283</v>
      </c>
      <c r="W59" s="127">
        <f ca="1">VALUE(_xll.BDP($A59 &amp; " Corp",W$1))</f>
        <v>40283</v>
      </c>
      <c r="X59" s="127">
        <f ca="1">VALUE(_xll.BDP($A59 &amp; " Corp",X$1))</f>
        <v>40466</v>
      </c>
      <c r="Y59" s="127">
        <f ca="1">VALUE(_xll.BDP($A59 &amp; " Corp",Y$1))</f>
        <v>41197</v>
      </c>
      <c r="Z59" s="127">
        <f ca="1">VALUE(_xll.BDP($A59 &amp; " Corp",Z$1))</f>
        <v>41379</v>
      </c>
      <c r="AA59" s="128">
        <f ca="1">_xll.BDP($A59 &amp; " Corp",AA$1)/100</f>
        <v>1.7500000000000002E-2</v>
      </c>
      <c r="AB59" s="129">
        <f ca="1">_xll.BDP($A59 &amp; " Corp",AB$1)</f>
        <v>42928000000</v>
      </c>
      <c r="AC59" s="130" t="str">
        <f ca="1">IF(LEFT(B59,1)="B",_xll.INSTANCE.TBILL(A59,V59,Z59,TODAY()),_xll.INSTANCE.TNOTE(A59,V59,W59,X59,Y59,Z59,AA59,TODAY()))</f>
        <v>US912828MX52#0028</v>
      </c>
    </row>
    <row r="60" spans="1:29" x14ac:dyDescent="0.2">
      <c r="A60" s="131" t="s">
        <v>50</v>
      </c>
      <c r="B60" s="115" t="str">
        <f ca="1">_xll.BDP($A60 &amp; " Govt",B$1)</f>
        <v>T 0 5/8 04/30/13</v>
      </c>
      <c r="C60" s="372"/>
      <c r="D60" s="116"/>
      <c r="E60" s="117"/>
      <c r="F60" s="118"/>
      <c r="G60" s="377"/>
      <c r="H60" s="120">
        <f ca="1">IF(E60="",_xll.BDP(A60 &amp; " Govt","YLD_YTM_ASK")/100,E60)</f>
        <v>2.190357E-3</v>
      </c>
      <c r="I60" s="121">
        <f ca="1">_xll.INSTRUMENT.PRIX(AC60,D60,H60,cTreasuries)</f>
        <v>100.33653093878573</v>
      </c>
      <c r="J60" s="122">
        <f ca="1">_xll.INSTRUMENT.DV01(A60,,,I60,cContinuous,I60)</f>
        <v>-8.2814363766714957E-3</v>
      </c>
      <c r="K60" s="123">
        <f ca="1">_xll.INSTRUMENT.CONVEXITE(A60,,,I60,cContinuous,I60)</f>
        <v>0.68053975757323226</v>
      </c>
      <c r="L60" s="123">
        <f ca="1">_xll.INSTRUMENT.Z.SPREAD(A60,swapCurve,I60,cContinuous,D60)</f>
        <v>-25.865963310263211</v>
      </c>
      <c r="M60" s="123">
        <f ca="1">_xll.INSTRUMENT.Z.SPREAD(A60,ustCurve,I60,cContinuous,D60)</f>
        <v>-0.40346696658861547</v>
      </c>
      <c r="N60" s="123">
        <f ca="1">_xll.INSTRUMENT.Z.SPREAD(A60,oisCurve,I60,cContinuous,D60)</f>
        <v>3.6035529377090514</v>
      </c>
      <c r="O60" s="124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2.0687631995211578E-3</v>
      </c>
      <c r="P60" s="124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2.2618218038545487E-3</v>
      </c>
      <c r="Q60" s="379">
        <f ca="1">-(O60-curve!$S$3)/J60</f>
        <v>4.23351610049921E-2</v>
      </c>
      <c r="R60" s="381">
        <f t="shared" ca="1" si="0"/>
        <v>-82.17653636635886</v>
      </c>
      <c r="S60" s="199" t="str">
        <f>IF(F60&lt;&gt;"","",IF(G60="","",-G60*(SUMIF('bench Comparison'!$A:$A,"RESINV1USD",'bench Comparison'!$G:$G)+SUMIF('bench Comparison'!$A:$A,"RESSWAPORUSD",'bench Comparison'!$G:$G))/(36500*J60)))</f>
        <v/>
      </c>
      <c r="T60" s="210" t="str">
        <f>IF(G60&lt;&gt;"","",IF(F60="","",-36500*J60*F60/(SUMIF('bench Comparison'!$A:$A,"RESINV1USD",'bench Comparison'!$G:$G)+SUMIF('bench Comparison'!$A:$A,"RESSWAPORUSD",'bench Comparison'!$G:$G))))</f>
        <v/>
      </c>
      <c r="U60" s="125">
        <f>SUMIF('bench Comparison'!$E:$E,A60,'bench Comparison'!$N:$N)</f>
        <v>-179048808.33691949</v>
      </c>
      <c r="V60" s="126">
        <f ca="1">VALUE(_xll.BDP($A60 &amp; " Corp",V$1))</f>
        <v>40665</v>
      </c>
      <c r="W60" s="127">
        <f ca="1">VALUE(_xll.BDP($A60 &amp; " Corp",W$1))</f>
        <v>40663</v>
      </c>
      <c r="X60" s="127">
        <f ca="1">VALUE(_xll.BDP($A60 &amp; " Corp",X$1))</f>
        <v>40847</v>
      </c>
      <c r="Y60" s="127">
        <f ca="1">VALUE(_xll.BDP($A60 &amp; " Corp",Y$1))</f>
        <v>41213</v>
      </c>
      <c r="Z60" s="127">
        <f ca="1">VALUE(_xll.BDP($A60 &amp; " Corp",Z$1))</f>
        <v>41394</v>
      </c>
      <c r="AA60" s="128">
        <f ca="1">_xll.BDP($A60 &amp; " Corp",AA$1)/100</f>
        <v>6.2500000000000003E-3</v>
      </c>
      <c r="AB60" s="129">
        <f ca="1">_xll.BDP($A60 &amp; " Corp",AB$1)</f>
        <v>37209000000</v>
      </c>
      <c r="AC60" s="130" t="str">
        <f ca="1">IF(LEFT(B60,1)="B",_xll.INSTANCE.TBILL(A60,V60,Z60,TODAY()),_xll.INSTANCE.TNOTE(A60,V60,W60,X60,Y60,Z60,AA60,TODAY()))</f>
        <v>US912828QE36#0028</v>
      </c>
    </row>
    <row r="61" spans="1:29" x14ac:dyDescent="0.2">
      <c r="A61" s="131" t="s">
        <v>432</v>
      </c>
      <c r="B61" s="115" t="str">
        <f ca="1">_xll.BDP($A61 &amp; " Govt",B$1)</f>
        <v>T 3 1/8 04/30/13</v>
      </c>
      <c r="C61" s="372"/>
      <c r="D61" s="116"/>
      <c r="E61" s="117"/>
      <c r="F61" s="118"/>
      <c r="G61" s="377"/>
      <c r="H61" s="120">
        <f ca="1">IF(E61="",_xll.BDP(A61 &amp; " Govt","YLD_YTM_ASK")/100,E61)</f>
        <v>2.1729850000000001E-3</v>
      </c>
      <c r="I61" s="121">
        <f ca="1">_xll.INSTRUMENT.PRIX(AC61,D61,H61,cTreasuries)</f>
        <v>102.40684115511858</v>
      </c>
      <c r="J61" s="122">
        <f ca="1">_xll.INSTRUMENT.DV01(A61,,,I61,cContinuous,I61)</f>
        <v>-8.4259186991443857E-3</v>
      </c>
      <c r="K61" s="123">
        <f ca="1">_xll.INSTRUMENT.CONVEXITE(A61,,,I61,cContinuous,I61)</f>
        <v>0.67362987074948943</v>
      </c>
      <c r="L61" s="123">
        <f ca="1">_xll.INSTRUMENT.Z.SPREAD(A61,swapCurve,I61,cContinuous,D61)</f>
        <v>-26.041944754237843</v>
      </c>
      <c r="M61" s="123">
        <f ca="1">_xll.INSTRUMENT.Z.SPREAD(A61,ustCurve,I61,cContinuous,D61)</f>
        <v>-1.3273898295833582</v>
      </c>
      <c r="N61" s="123">
        <f ca="1">_xll.INSTRUMENT.Z.SPREAD(A61,oisCurve,I61,cContinuous,D61)</f>
        <v>3.4315233482918597</v>
      </c>
      <c r="O61" s="124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5.3704057776386574E-4</v>
      </c>
      <c r="P61" s="124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2.4513237130915667E-3</v>
      </c>
      <c r="Q61" s="379">
        <f ca="1">-(O61-curve!$S$3)/J61</f>
        <v>-0.14017779206892228</v>
      </c>
      <c r="R61" s="381">
        <f t="shared" ref="R61:R125" ca="1" si="1">K61/J61</f>
        <v>-79.947349933235586</v>
      </c>
      <c r="S61" s="199" t="str">
        <f>IF(F61&lt;&gt;"","",IF(G61="","",-G61*(SUMIF('bench Comparison'!$A:$A,"RESINV1USD",'bench Comparison'!$G:$G)+SUMIF('bench Comparison'!$A:$A,"RESSWAPORUSD",'bench Comparison'!$G:$G))/(36500*J61)))</f>
        <v/>
      </c>
      <c r="T61" s="210" t="str">
        <f>IF(G61&lt;&gt;"","",IF(F61="","",-36500*J61*F61/(SUMIF('bench Comparison'!$A:$A,"RESINV1USD",'bench Comparison'!$G:$G)+SUMIF('bench Comparison'!$A:$A,"RESSWAPORUSD",'bench Comparison'!$G:$G))))</f>
        <v/>
      </c>
      <c r="U61" s="125">
        <f>SUMIF('bench Comparison'!$E:$E,A61,'bench Comparison'!$N:$N)</f>
        <v>0</v>
      </c>
      <c r="V61" s="126">
        <f ca="1">VALUE(_xll.BDP($A61 &amp; " Corp",V$1))</f>
        <v>39568</v>
      </c>
      <c r="W61" s="127">
        <f ca="1">VALUE(_xll.BDP($A61 &amp; " Corp",W$1))</f>
        <v>39568</v>
      </c>
      <c r="X61" s="127">
        <f ca="1">VALUE(_xll.BDP($A61 &amp; " Corp",X$1))</f>
        <v>39752</v>
      </c>
      <c r="Y61" s="127">
        <f ca="1">VALUE(_xll.BDP($A61 &amp; " Corp",Y$1))</f>
        <v>41213</v>
      </c>
      <c r="Z61" s="127">
        <f ca="1">VALUE(_xll.BDP($A61 &amp; " Corp",Z$1))</f>
        <v>41394</v>
      </c>
      <c r="AA61" s="128">
        <f ca="1">_xll.BDP($A61 &amp; " Corp",AA$1)/100</f>
        <v>3.125E-2</v>
      </c>
      <c r="AB61" s="129">
        <f ca="1">_xll.BDP($A61 &amp; " Corp",AB$1)</f>
        <v>20743000000</v>
      </c>
      <c r="AC61" s="130" t="str">
        <f ca="1">IF(LEFT(B61,1)="B",_xll.INSTANCE.TBILL(A61,V61,Z61,TODAY()),_xll.INSTANCE.TNOTE(A61,V61,W61,X61,Y61,Z61,AA61,TODAY()))</f>
        <v>US912828HY90#0028</v>
      </c>
    </row>
    <row r="62" spans="1:29" x14ac:dyDescent="0.2">
      <c r="A62" s="131" t="s">
        <v>754</v>
      </c>
      <c r="B62" s="115" t="str">
        <f ca="1">_xll.BDP($A62 &amp; " Govt",B$1)</f>
        <v>B 05/02/13</v>
      </c>
      <c r="C62" s="372"/>
      <c r="D62" s="116"/>
      <c r="E62" s="117"/>
      <c r="F62" s="118"/>
      <c r="G62" s="377"/>
      <c r="H62" s="120">
        <f ca="1">IF(E62="",_xll.BDP(A62 &amp; " Govt","YLD_YTM_ASK")/100,E62)</f>
        <v>1.8271111776562098E-3</v>
      </c>
      <c r="I62" s="121">
        <f ca="1">_xll.INSTRUMENT.PRIX(AC62,D62,H62,cTreasuries)</f>
        <v>99.848259051284785</v>
      </c>
      <c r="J62" s="122">
        <f ca="1">_xll.INSTRUMENT.DV01(A62,,,I62,cContinuous,I62)</f>
        <v>-8.3024476530063583E-3</v>
      </c>
      <c r="K62" s="123">
        <f ca="1">_xll.INSTRUMENT.CONVEXITE(A62,,,I62,cContinuous,I62)</f>
        <v>0.69140364045787217</v>
      </c>
      <c r="L62" s="123">
        <f ca="1">_xll.INSTRUMENT.Z.SPREAD(A62,swapCurve,I62,cContinuous,D62)</f>
        <v>-29.516576147109891</v>
      </c>
      <c r="M62" s="123">
        <f ca="1">_xll.INSTRUMENT.Z.SPREAD(A62,ustCurve,I62,cContinuous,D62)</f>
        <v>-3.9338722788626193</v>
      </c>
      <c r="N62" s="123">
        <f ca="1">_xll.INSTRUMENT.Z.SPREAD(A62,oisCurve,I62,cContinuous,D62)</f>
        <v>-2.8997378131964315E-2</v>
      </c>
      <c r="O62" s="124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2.0737635521987209E-3</v>
      </c>
      <c r="P62" s="124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1.8473241043006437E-3</v>
      </c>
      <c r="Q62" s="379">
        <f ca="1">-(O62-curve!$S$3)/J62</f>
        <v>4.2830296546077729E-2</v>
      </c>
      <c r="R62" s="381">
        <f t="shared" ca="1" si="1"/>
        <v>-83.277085186741459</v>
      </c>
      <c r="S62" s="199" t="str">
        <f>IF(F62&lt;&gt;"","",IF(G62="","",-G62*(SUMIF('bench Comparison'!$A:$A,"RESINV1USD",'bench Comparison'!$G:$G)+SUMIF('bench Comparison'!$A:$A,"RESSWAPORUSD",'bench Comparison'!$G:$G))/(36500*J62)))</f>
        <v/>
      </c>
      <c r="T62" s="210" t="str">
        <f>IF(G62&lt;&gt;"","",IF(F62="","",-36500*J62*F62/(SUMIF('bench Comparison'!$A:$A,"RESINV1USD",'bench Comparison'!$G:$G)+SUMIF('bench Comparison'!$A:$A,"RESSWAPORUSD",'bench Comparison'!$G:$G))))</f>
        <v/>
      </c>
      <c r="U62" s="125">
        <f>SUMIF('bench Comparison'!$E:$E,A62,'bench Comparison'!$N:$N)</f>
        <v>478000000</v>
      </c>
      <c r="V62" s="126">
        <f ca="1">VALUE(_xll.BDP($A62 &amp; " Corp",V$1))</f>
        <v>41032</v>
      </c>
      <c r="W62" s="127" t="e">
        <f ca="1">VALUE(_xll.BDP($A62 &amp; " Corp",W$1))</f>
        <v>#VALUE!</v>
      </c>
      <c r="X62" s="127" t="e">
        <f ca="1">VALUE(_xll.BDP($A62 &amp; " Corp",X$1))</f>
        <v>#VALUE!</v>
      </c>
      <c r="Y62" s="127" t="e">
        <f ca="1">VALUE(_xll.BDP($A62 &amp; " Corp",Y$1))</f>
        <v>#VALUE!</v>
      </c>
      <c r="Z62" s="127">
        <f ca="1">VALUE(_xll.BDP($A62 &amp; " Corp",Z$1))</f>
        <v>41396</v>
      </c>
      <c r="AA62" s="128">
        <f ca="1">_xll.BDP($A62 &amp; " Corp",AA$1)/100</f>
        <v>0</v>
      </c>
      <c r="AB62" s="129">
        <f ca="1">_xll.BDP($A62 &amp; " Corp",AB$1)</f>
        <v>26000000000</v>
      </c>
      <c r="AC62" s="130" t="str">
        <f ca="1">IF(LEFT(B62,1)="B",_xll.INSTANCE.TBILL(A62,V62,Z62,TODAY()),_xll.INSTANCE.TNOTE(A62,V62,W62,X62,Y62,Z62,AA62,TODAY()))</f>
        <v>US9127956L09#0027</v>
      </c>
    </row>
    <row r="63" spans="1:29" x14ac:dyDescent="0.2">
      <c r="A63" s="131" t="s">
        <v>434</v>
      </c>
      <c r="B63" s="115" t="str">
        <f ca="1">_xll.BDP($A63 &amp; " Govt",B$1)</f>
        <v>T 1 3/8 05/15/13</v>
      </c>
      <c r="C63" s="372"/>
      <c r="D63" s="116"/>
      <c r="E63" s="117"/>
      <c r="F63" s="118"/>
      <c r="G63" s="377"/>
      <c r="H63" s="120">
        <f ca="1">IF(E63="",_xll.BDP(A63 &amp; " Govt","YLD_YTM_ASK")/100,E63)</f>
        <v>2.3208219999999997E-3</v>
      </c>
      <c r="I63" s="121">
        <f ca="1">_xll.INSTRUMENT.PRIX(AC63,D63,H63,cTreasuries)</f>
        <v>100.9927398616956</v>
      </c>
      <c r="J63" s="122">
        <f ca="1">_xll.INSTRUMENT.DV01(A63,,,I63,cContinuous,I63)</f>
        <v>-8.7388246542588303E-3</v>
      </c>
      <c r="K63" s="123">
        <f ca="1">_xll.INSTRUMENT.CONVEXITE(A63,,,I63,cContinuous,I63)</f>
        <v>0.74773521481215177</v>
      </c>
      <c r="L63" s="123">
        <f ca="1">_xll.INSTRUMENT.Z.SPREAD(A63,swapCurve,I63,cContinuous,D63)</f>
        <v>-24.751203941622315</v>
      </c>
      <c r="M63" s="123">
        <f ca="1">_xll.INSTRUMENT.Z.SPREAD(A63,ustCurve,I63,cContinuous,D63)</f>
        <v>6.8024278391793078E-2</v>
      </c>
      <c r="N63" s="123">
        <f ca="1">_xll.INSTRUMENT.Z.SPREAD(A63,oisCurve,I63,cContinuous,D63)</f>
        <v>4.8501750662493501</v>
      </c>
      <c r="O63" s="124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1.7691668894404247E-3</v>
      </c>
      <c r="P63" s="124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2.4670407139487632E-3</v>
      </c>
      <c r="Q63" s="379">
        <f ca="1">-(O63-curve!$S$3)/J63</f>
        <v>5.835983017853397E-3</v>
      </c>
      <c r="R63" s="381">
        <f t="shared" ca="1" si="1"/>
        <v>-85.564734892322861</v>
      </c>
      <c r="S63" s="199" t="str">
        <f>IF(F63&lt;&gt;"","",IF(G63="","",-G63*(SUMIF('bench Comparison'!$A:$A,"RESINV1USD",'bench Comparison'!$G:$G)+SUMIF('bench Comparison'!$A:$A,"RESSWAPORUSD",'bench Comparison'!$G:$G))/(36500*J63)))</f>
        <v/>
      </c>
      <c r="T63" s="210" t="str">
        <f>IF(G63&lt;&gt;"","",IF(F63="","",-36500*J63*F63/(SUMIF('bench Comparison'!$A:$A,"RESINV1USD",'bench Comparison'!$G:$G)+SUMIF('bench Comparison'!$A:$A,"RESSWAPORUSD",'bench Comparison'!$G:$G))))</f>
        <v/>
      </c>
      <c r="U63" s="125">
        <f>SUMIF('bench Comparison'!$E:$E,A63,'bench Comparison'!$N:$N)</f>
        <v>0</v>
      </c>
      <c r="V63" s="126">
        <f ca="1">VALUE(_xll.BDP($A63 &amp; " Corp",V$1))</f>
        <v>40315</v>
      </c>
      <c r="W63" s="127">
        <f ca="1">VALUE(_xll.BDP($A63 &amp; " Corp",W$1))</f>
        <v>40313</v>
      </c>
      <c r="X63" s="127">
        <f ca="1">VALUE(_xll.BDP($A63 &amp; " Corp",X$1))</f>
        <v>40497</v>
      </c>
      <c r="Y63" s="127">
        <f ca="1">VALUE(_xll.BDP($A63 &amp; " Corp",Y$1))</f>
        <v>41228</v>
      </c>
      <c r="Z63" s="127">
        <f ca="1">VALUE(_xll.BDP($A63 &amp; " Corp",Z$1))</f>
        <v>41409</v>
      </c>
      <c r="AA63" s="128">
        <f ca="1">_xll.BDP($A63 &amp; " Corp",AA$1)/100</f>
        <v>1.375E-2</v>
      </c>
      <c r="AB63" s="129">
        <f ca="1">_xll.BDP($A63 &amp; " Corp",AB$1)</f>
        <v>41317000000.000008</v>
      </c>
      <c r="AC63" s="130" t="str">
        <f ca="1">IF(LEFT(B63,1)="B",_xll.INSTANCE.TBILL(A63,V63,Z63,TODAY()),_xll.INSTANCE.TNOTE(A63,V63,W63,X63,Y63,Z63,AA63,TODAY()))</f>
        <v>US912828NC07#0028</v>
      </c>
    </row>
    <row r="64" spans="1:29" x14ac:dyDescent="0.2">
      <c r="A64" s="131" t="s">
        <v>433</v>
      </c>
      <c r="B64" s="115" t="str">
        <f ca="1">_xll.BDP($A64 &amp; " Govt",B$1)</f>
        <v>T 3 5/8 05/15/13</v>
      </c>
      <c r="C64" s="372"/>
      <c r="D64" s="116"/>
      <c r="E64" s="117"/>
      <c r="F64" s="118"/>
      <c r="G64" s="377"/>
      <c r="H64" s="120">
        <f ca="1">IF(E64="",_xll.BDP(A64 &amp; " Govt","YLD_YTM_ASK")/100,E64)</f>
        <v>2.3226900000000001E-3</v>
      </c>
      <c r="I64" s="121">
        <f ca="1">_xll.INSTRUMENT.PRIX(AC64,D64,H64,cTreasuries)</f>
        <v>102.94586602911765</v>
      </c>
      <c r="J64" s="122">
        <f ca="1">_xll.INSTRUMENT.DV01(A64,,,I64,cContinuous,I64)</f>
        <v>-8.8779328451548487E-3</v>
      </c>
      <c r="K64" s="123">
        <f ca="1">_xll.INSTRUMENT.CONVEXITE(A64,,,I64,cContinuous,I64)</f>
        <v>0.74115422439036849</v>
      </c>
      <c r="L64" s="123">
        <f ca="1">_xll.INSTRUMENT.Z.SPREAD(A64,swapCurve,I64,cContinuous,D64)</f>
        <v>-24.729863590926918</v>
      </c>
      <c r="M64" s="123">
        <f ca="1">_xll.INSTRUMENT.Z.SPREAD(A64,ustCurve,I64,cContinuous,D64)</f>
        <v>-0.54762196691286702</v>
      </c>
      <c r="N64" s="123">
        <f ca="1">_xll.INSTRUMENT.Z.SPREAD(A64,oisCurve,I64,cContinuous,D64)</f>
        <v>4.8699380927478364</v>
      </c>
      <c r="O64" s="124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4.236233480273104E-4</v>
      </c>
      <c r="P64" s="124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2.6511775809092896E-3</v>
      </c>
      <c r="Q64" s="379">
        <f ca="1">-(O64-curve!$S$3)/J64</f>
        <v>-0.14581591590224308</v>
      </c>
      <c r="R64" s="381">
        <f t="shared" ca="1" si="1"/>
        <v>-83.482747314861143</v>
      </c>
      <c r="S64" s="199" t="str">
        <f>IF(F64&lt;&gt;"","",IF(G64="","",-G64*(SUMIF('bench Comparison'!$A:$A,"RESINV1USD",'bench Comparison'!$G:$G)+SUMIF('bench Comparison'!$A:$A,"RESSWAPORUSD",'bench Comparison'!$G:$G))/(36500*J64)))</f>
        <v/>
      </c>
      <c r="T64" s="210" t="str">
        <f>IF(G64&lt;&gt;"","",IF(F64="","",-36500*J64*F64/(SUMIF('bench Comparison'!$A:$A,"RESINV1USD",'bench Comparison'!$G:$G)+SUMIF('bench Comparison'!$A:$A,"RESSWAPORUSD",'bench Comparison'!$G:$G))))</f>
        <v/>
      </c>
      <c r="U64" s="125">
        <f>SUMIF('bench Comparison'!$E:$E,A64,'bench Comparison'!$N:$N)</f>
        <v>0</v>
      </c>
      <c r="V64" s="126">
        <f ca="1">VALUE(_xll.BDP($A64 &amp; " Corp",V$1))</f>
        <v>37756</v>
      </c>
      <c r="W64" s="127">
        <f ca="1">VALUE(_xll.BDP($A64 &amp; " Corp",W$1))</f>
        <v>37756</v>
      </c>
      <c r="X64" s="127">
        <f ca="1">VALUE(_xll.BDP($A64 &amp; " Corp",X$1))</f>
        <v>37940</v>
      </c>
      <c r="Y64" s="127">
        <f ca="1">VALUE(_xll.BDP($A64 &amp; " Corp",Y$1))</f>
        <v>41228</v>
      </c>
      <c r="Z64" s="127">
        <f ca="1">VALUE(_xll.BDP($A64 &amp; " Corp",Z$1))</f>
        <v>41409</v>
      </c>
      <c r="AA64" s="128">
        <f ca="1">_xll.BDP($A64 &amp; " Corp",AA$1)/100</f>
        <v>3.6249999999999998E-2</v>
      </c>
      <c r="AB64" s="129">
        <f ca="1">_xll.BDP($A64 &amp; " Corp",AB$1)</f>
        <v>18254000000</v>
      </c>
      <c r="AC64" s="130" t="str">
        <f ca="1">IF(LEFT(B64,1)="B",_xll.INSTANCE.TBILL(A64,V64,Z64,TODAY()),_xll.INSTANCE.TNOTE(A64,V64,W64,X64,Y64,Z64,AA64,TODAY()))</f>
        <v>US912828BA78#0028</v>
      </c>
    </row>
    <row r="65" spans="1:29" x14ac:dyDescent="0.2">
      <c r="A65" s="131" t="s">
        <v>919</v>
      </c>
      <c r="B65" s="115" t="str">
        <f ca="1">_xll.BDP($A65 &amp; " Govt",B$1)</f>
        <v>B 05/30/13</v>
      </c>
      <c r="C65" s="372"/>
      <c r="D65" s="116"/>
      <c r="E65" s="117"/>
      <c r="F65" s="118"/>
      <c r="G65" s="377"/>
      <c r="H65" s="120">
        <f ca="1">IF(E65="",_xll.BDP(A65 &amp; " Govt","YLD_YTM_ASK")/100,E65)</f>
        <v>1.8781059113381678E-3</v>
      </c>
      <c r="I65" s="121">
        <f ca="1">_xll.INSTRUMENT.PRIX(AC65,D65,H65,cTreasuries)</f>
        <v>99.829652114801945</v>
      </c>
      <c r="J65" s="122">
        <f ca="1">_xll.INSTRUMENT.DV01(A65,,,I65,cContinuous,I65)</f>
        <v>-9.0667163754210058E-3</v>
      </c>
      <c r="K65" s="123">
        <f ca="1">_xll.INSTRUMENT.CONVEXITE(A65,,,I65,cContinuous,I65)</f>
        <v>0.82486207543629186</v>
      </c>
      <c r="L65" s="123">
        <f ca="1">_xll.INSTRUMENT.Z.SPREAD(A65,swapCurve,I65,cContinuous,D65)</f>
        <v>-29.343213811410362</v>
      </c>
      <c r="M65" s="123">
        <f ca="1">_xll.INSTRUMENT.Z.SPREAD(A65,ustCurve,I65,cContinuous,D65)</f>
        <v>-4.5618438303126059</v>
      </c>
      <c r="N65" s="123">
        <f ca="1">_xll.INSTRUMENT.Z.SPREAD(A65,oisCurve,I65,cContinuous,D65)</f>
        <v>0.38374083269492709</v>
      </c>
      <c r="O65" s="124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2.1416161380447456E-3</v>
      </c>
      <c r="P65" s="124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1.9296372795901495E-3</v>
      </c>
      <c r="Q65" s="379">
        <f ca="1">-(O65-curve!$S$3)/J65</f>
        <v>4.6703664628850984E-2</v>
      </c>
      <c r="R65" s="381">
        <f t="shared" ca="1" si="1"/>
        <v>-90.976936002146644</v>
      </c>
      <c r="S65" s="199" t="str">
        <f>IF(F65&lt;&gt;"","",IF(G65="","",-G65*(SUMIF('bench Comparison'!$A:$A,"RESINV1USD",'bench Comparison'!$G:$G)+SUMIF('bench Comparison'!$A:$A,"RESSWAPORUSD",'bench Comparison'!$G:$G))/(36500*J65)))</f>
        <v/>
      </c>
      <c r="T65" s="210" t="str">
        <f>IF(G65&lt;&gt;"","",IF(F65="","",-36500*J65*F65/(SUMIF('bench Comparison'!$A:$A,"RESINV1USD",'bench Comparison'!$G:$G)+SUMIF('bench Comparison'!$A:$A,"RESSWAPORUSD",'bench Comparison'!$G:$G))))</f>
        <v/>
      </c>
      <c r="U65" s="125">
        <f>SUMIF('bench Comparison'!$E:$E,A65,'bench Comparison'!$N:$N)</f>
        <v>0</v>
      </c>
      <c r="V65" s="126">
        <f ca="1">VALUE(_xll.BDP($A65 &amp; " Corp",V$1))</f>
        <v>41060</v>
      </c>
      <c r="W65" s="127" t="e">
        <f ca="1">VALUE(_xll.BDP($A65 &amp; " Corp",W$1))</f>
        <v>#VALUE!</v>
      </c>
      <c r="X65" s="127" t="e">
        <f ca="1">VALUE(_xll.BDP($A65 &amp; " Corp",X$1))</f>
        <v>#VALUE!</v>
      </c>
      <c r="Y65" s="127" t="e">
        <f ca="1">VALUE(_xll.BDP($A65 &amp; " Corp",Y$1))</f>
        <v>#VALUE!</v>
      </c>
      <c r="Z65" s="127">
        <f ca="1">VALUE(_xll.BDP($A65 &amp; " Corp",Z$1))</f>
        <v>41424</v>
      </c>
      <c r="AA65" s="128">
        <f ca="1">_xll.BDP($A65 &amp; " Corp",AA$1)/100</f>
        <v>0</v>
      </c>
      <c r="AB65" s="129">
        <f ca="1">_xll.BDP($A65 &amp; " Corp",AB$1)</f>
        <v>25001000000</v>
      </c>
      <c r="AC65" s="130" t="str">
        <f ca="1">IF(LEFT(B65,1)="B",_xll.INSTANCE.TBILL(A65,V65,Z65,TODAY()),_xll.INSTANCE.TNOTE(A65,V65,W65,X65,Y65,Z65,AA65,TODAY()))</f>
        <v>US9127956R78#0027</v>
      </c>
    </row>
    <row r="66" spans="1:29" x14ac:dyDescent="0.2">
      <c r="A66" s="131" t="s">
        <v>190</v>
      </c>
      <c r="B66" s="115" t="str">
        <f ca="1">_xll.BDP($A66 &amp; " Govt",B$1)</f>
        <v>T 0 1/2 05/31/13</v>
      </c>
      <c r="C66" s="372"/>
      <c r="D66" s="116"/>
      <c r="E66" s="117"/>
      <c r="F66" s="118"/>
      <c r="G66" s="377"/>
      <c r="H66" s="120">
        <f ca="1">IF(E66="",_xll.BDP(A66 &amp; " Govt","YLD_YTM_ASK")/100,E66)</f>
        <v>2.3414679999999998E-3</v>
      </c>
      <c r="I66" s="121">
        <f ca="1">_xll.INSTRUMENT.PRIX(AC66,D66,H66,cTreasuries)</f>
        <v>100.24255412024779</v>
      </c>
      <c r="J66" s="122">
        <f ca="1">_xll.INSTRUMENT.DV01(A66,,,I66,cContinuous,I66)</f>
        <v>-9.1232151340439969E-3</v>
      </c>
      <c r="K66" s="123">
        <f ca="1">_xll.INSTRUMENT.CONVEXITE(A66,,,I66,cContinuous,I66)</f>
        <v>0.82820333540783708</v>
      </c>
      <c r="L66" s="123">
        <f ca="1">_xll.INSTRUMENT.Z.SPREAD(A66,swapCurve,I66,cContinuous,D66)</f>
        <v>-24.729551235760965</v>
      </c>
      <c r="M66" s="123">
        <f ca="1">_xll.INSTRUMENT.Z.SPREAD(A66,ustCurve,I66,cContinuous,D66)</f>
        <v>-0.10251522039923762</v>
      </c>
      <c r="N66" s="123">
        <f ca="1">_xll.INSTRUMENT.Z.SPREAD(A66,oisCurve,I66,cContinuous,D66)</f>
        <v>5.0039053300983474</v>
      </c>
      <c r="O66" s="124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2.2956757371900768E-3</v>
      </c>
      <c r="P66" s="124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2.4081166726624254E-3</v>
      </c>
      <c r="Q66" s="379">
        <f ca="1">-(O66-curve!$S$3)/J66</f>
        <v>6.3300982333836103E-2</v>
      </c>
      <c r="R66" s="381">
        <f t="shared" ca="1" si="1"/>
        <v>-90.779766040738309</v>
      </c>
      <c r="S66" s="199" t="str">
        <f>IF(F66&lt;&gt;"","",IF(G66="","",-G66*(SUMIF('bench Comparison'!$A:$A,"RESINV1USD",'bench Comparison'!$G:$G)+SUMIF('bench Comparison'!$A:$A,"RESSWAPORUSD",'bench Comparison'!$G:$G))/(36500*J66)))</f>
        <v/>
      </c>
      <c r="T66" s="210" t="str">
        <f>IF(G66&lt;&gt;"","",IF(F66="","",-36500*J66*F66/(SUMIF('bench Comparison'!$A:$A,"RESINV1USD",'bench Comparison'!$G:$G)+SUMIF('bench Comparison'!$A:$A,"RESSWAPORUSD",'bench Comparison'!$G:$G))))</f>
        <v/>
      </c>
      <c r="U66" s="125">
        <f>SUMIF('bench Comparison'!$E:$E,A66,'bench Comparison'!$N:$N)</f>
        <v>24951191.663080513</v>
      </c>
      <c r="V66" s="126">
        <f ca="1">VALUE(_xll.BDP($A66 &amp; " Corp",V$1))</f>
        <v>40694</v>
      </c>
      <c r="W66" s="127">
        <f ca="1">VALUE(_xll.BDP($A66 &amp; " Corp",W$1))</f>
        <v>40694</v>
      </c>
      <c r="X66" s="127">
        <f ca="1">VALUE(_xll.BDP($A66 &amp; " Corp",X$1))</f>
        <v>40877</v>
      </c>
      <c r="Y66" s="127">
        <f ca="1">VALUE(_xll.BDP($A66 &amp; " Corp",Y$1))</f>
        <v>41243</v>
      </c>
      <c r="Z66" s="127">
        <f ca="1">VALUE(_xll.BDP($A66 &amp; " Corp",Z$1))</f>
        <v>41425</v>
      </c>
      <c r="AA66" s="128">
        <f ca="1">_xll.BDP($A66 &amp; " Corp",AA$1)/100</f>
        <v>5.0000000000000001E-3</v>
      </c>
      <c r="AB66" s="129">
        <f ca="1">_xll.BDP($A66 &amp; " Corp",AB$1)</f>
        <v>37946000000</v>
      </c>
      <c r="AC66" s="130" t="str">
        <f ca="1">IF(LEFT(B66,1)="B",_xll.INSTANCE.TBILL(A66,V66,Z66,TODAY()),_xll.INSTANCE.TNOTE(A66,V66,W66,X66,Y66,Z66,AA66,TODAY()))</f>
        <v>US912828QZ64#0028</v>
      </c>
    </row>
    <row r="67" spans="1:29" x14ac:dyDescent="0.2">
      <c r="A67" s="131" t="s">
        <v>435</v>
      </c>
      <c r="B67" s="115" t="str">
        <f ca="1">_xll.BDP($A67 &amp; " Govt",B$1)</f>
        <v>T 3 1/2 05/31/13</v>
      </c>
      <c r="C67" s="372"/>
      <c r="D67" s="116"/>
      <c r="E67" s="117"/>
      <c r="F67" s="118"/>
      <c r="G67" s="377"/>
      <c r="H67" s="120">
        <f ca="1">IF(E67="",_xll.BDP(A67 &amp; " Govt","YLD_YTM_ASK")/100,E67)</f>
        <v>2.3273429999999999E-3</v>
      </c>
      <c r="I67" s="121">
        <f ca="1">_xll.INSTRUMENT.PRIX(AC67,D67,H67,cTreasuries)</f>
        <v>102.97693231401207</v>
      </c>
      <c r="J67" s="122">
        <f ca="1">_xll.INSTRUMENT.DV01(A67,,,I67,cContinuous,I67)</f>
        <v>-9.3215127456994489E-3</v>
      </c>
      <c r="K67" s="123">
        <f ca="1">_xll.INSTRUMENT.CONVEXITE(A67,,,I67,cContinuous,I67)</f>
        <v>0.81868018273330623</v>
      </c>
      <c r="L67" s="123">
        <f ca="1">_xll.INSTRUMENT.Z.SPREAD(A67,swapCurve,I67,cContinuous,D67)</f>
        <v>-24.857507510179254</v>
      </c>
      <c r="M67" s="123">
        <f ca="1">_xll.INSTRUMENT.Z.SPREAD(A67,ustCurve,I67,cContinuous,D67)</f>
        <v>-1.0557051328234328</v>
      </c>
      <c r="N67" s="123">
        <f ca="1">_xll.INSTRUMENT.Z.SPREAD(A67,oisCurve,I67,cContinuous,D67)</f>
        <v>4.8648198150981639</v>
      </c>
      <c r="O67" s="124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2.9918524232886958E-4</v>
      </c>
      <c r="P67" s="124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2.4785950015487352E-3</v>
      </c>
      <c r="Q67" s="379">
        <f ca="1">-(O67-curve!$S$3)/J67</f>
        <v>-0.15222658097935446</v>
      </c>
      <c r="R67" s="381">
        <f t="shared" ca="1" si="1"/>
        <v>-87.826965972986585</v>
      </c>
      <c r="S67" s="199" t="str">
        <f>IF(F67&lt;&gt;"","",IF(G67="","",-G67*(SUMIF('bench Comparison'!$A:$A,"RESINV1USD",'bench Comparison'!$G:$G)+SUMIF('bench Comparison'!$A:$A,"RESSWAPORUSD",'bench Comparison'!$G:$G))/(36500*J67)))</f>
        <v/>
      </c>
      <c r="T67" s="210" t="str">
        <f>IF(G67&lt;&gt;"","",IF(F67="","",-36500*J67*F67/(SUMIF('bench Comparison'!$A:$A,"RESINV1USD",'bench Comparison'!$G:$G)+SUMIF('bench Comparison'!$A:$A,"RESSWAPORUSD",'bench Comparison'!$G:$G))))</f>
        <v/>
      </c>
      <c r="U67" s="125">
        <f>SUMIF('bench Comparison'!$E:$E,A67,'bench Comparison'!$N:$N)</f>
        <v>0</v>
      </c>
      <c r="V67" s="126">
        <f ca="1">VALUE(_xll.BDP($A67 &amp; " Corp",V$1))</f>
        <v>39601</v>
      </c>
      <c r="W67" s="127">
        <f ca="1">VALUE(_xll.BDP($A67 &amp; " Corp",W$1))</f>
        <v>39599</v>
      </c>
      <c r="X67" s="127">
        <f ca="1">VALUE(_xll.BDP($A67 &amp; " Corp",X$1))</f>
        <v>39782</v>
      </c>
      <c r="Y67" s="127">
        <f ca="1">VALUE(_xll.BDP($A67 &amp; " Corp",Y$1))</f>
        <v>41243</v>
      </c>
      <c r="Z67" s="127">
        <f ca="1">VALUE(_xll.BDP($A67 &amp; " Corp",Z$1))</f>
        <v>41425</v>
      </c>
      <c r="AA67" s="128">
        <f ca="1">_xll.BDP($A67 &amp; " Corp",AA$1)/100</f>
        <v>3.5000000000000003E-2</v>
      </c>
      <c r="AB67" s="129">
        <f ca="1">_xll.BDP($A67 &amp; " Corp",AB$1)</f>
        <v>20518000000</v>
      </c>
      <c r="AC67" s="130" t="str">
        <f ca="1">IF(LEFT(B67,1)="B",_xll.INSTANCE.TBILL(A67,V67,Z67,TODAY()),_xll.INSTANCE.TNOTE(A67,V67,W67,X67,Y67,Z67,AA67,TODAY()))</f>
        <v>US912828JB79#0028</v>
      </c>
    </row>
    <row r="68" spans="1:29" x14ac:dyDescent="0.2">
      <c r="A68" s="131" t="s">
        <v>41</v>
      </c>
      <c r="B68" s="115" t="str">
        <f ca="1">_xll.BDP($A68 &amp; " Govt",B$1)</f>
        <v>T 1 1/8 06/15/13</v>
      </c>
      <c r="C68" s="372"/>
      <c r="D68" s="116"/>
      <c r="E68" s="117"/>
      <c r="F68" s="118"/>
      <c r="G68" s="377"/>
      <c r="H68" s="120">
        <f ca="1">IF(E68="",_xll.BDP(A68 &amp; " Govt","YLD_YTM_ASK")/100,E68)</f>
        <v>2.4674039999999999E-3</v>
      </c>
      <c r="I68" s="121">
        <f ca="1">_xll.INSTRUMENT.PRIX(AC68,D68,H68,cTreasuries)</f>
        <v>100.8363012188675</v>
      </c>
      <c r="J68" s="122">
        <f ca="1">_xll.INSTRUMENT.DV01(A68,,,I68,cContinuous,I68)</f>
        <v>-9.6324099521719886E-3</v>
      </c>
      <c r="K68" s="123">
        <f ca="1">_xll.INSTRUMENT.CONVEXITE(A68,,,I68,cContinuous,I68)</f>
        <v>0.91293900781299131</v>
      </c>
      <c r="L68" s="123">
        <f ca="1">_xll.INSTRUMENT.Z.SPREAD(A68,swapCurve,I68,cContinuous,D68)</f>
        <v>-23.808944403720115</v>
      </c>
      <c r="M68" s="123">
        <f ca="1">_xll.INSTRUMENT.Z.SPREAD(A68,ustCurve,I68,cContinuous,D68)</f>
        <v>0.219100109755688</v>
      </c>
      <c r="N68" s="123">
        <f ca="1">_xll.INSTRUMENT.Z.SPREAD(A68,oisCurve,I68,cContinuous,D68)</f>
        <v>6.0710493164293151</v>
      </c>
      <c r="O68" s="124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2.1654736650274565E-3</v>
      </c>
      <c r="P68" s="124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2.6118493825946186E-3</v>
      </c>
      <c r="Q68" s="379">
        <f ca="1">-(O68-curve!$S$3)/J68</f>
        <v>4.6437642302010092E-2</v>
      </c>
      <c r="R68" s="381">
        <f t="shared" ca="1" si="1"/>
        <v>-94.777839849635441</v>
      </c>
      <c r="S68" s="199" t="str">
        <f>IF(F68&lt;&gt;"","",IF(G68="","",-G68*(SUMIF('bench Comparison'!$A:$A,"RESINV1USD",'bench Comparison'!$G:$G)+SUMIF('bench Comparison'!$A:$A,"RESSWAPORUSD",'bench Comparison'!$G:$G))/(36500*J68)))</f>
        <v/>
      </c>
      <c r="T68" s="210" t="str">
        <f>IF(G68&lt;&gt;"","",IF(F68="","",-36500*J68*F68/(SUMIF('bench Comparison'!$A:$A,"RESINV1USD",'bench Comparison'!$G:$G)+SUMIF('bench Comparison'!$A:$A,"RESSWAPORUSD",'bench Comparison'!$G:$G))))</f>
        <v/>
      </c>
      <c r="U68" s="125">
        <f>SUMIF('bench Comparison'!$E:$E,A68,'bench Comparison'!$N:$N)</f>
        <v>0</v>
      </c>
      <c r="V68" s="126">
        <f ca="1">VALUE(_xll.BDP($A68 &amp; " Corp",V$1))</f>
        <v>40344</v>
      </c>
      <c r="W68" s="127">
        <f ca="1">VALUE(_xll.BDP($A68 &amp; " Corp",W$1))</f>
        <v>40344</v>
      </c>
      <c r="X68" s="127">
        <f ca="1">VALUE(_xll.BDP($A68 &amp; " Corp",X$1))</f>
        <v>40527</v>
      </c>
      <c r="Y68" s="127">
        <f ca="1">VALUE(_xll.BDP($A68 &amp; " Corp",Y$1))</f>
        <v>41258</v>
      </c>
      <c r="Z68" s="127">
        <f ca="1">VALUE(_xll.BDP($A68 &amp; " Corp",Z$1))</f>
        <v>41440</v>
      </c>
      <c r="AA68" s="128">
        <f ca="1">_xll.BDP($A68 &amp; " Corp",AA$1)/100</f>
        <v>1.125E-2</v>
      </c>
      <c r="AB68" s="129">
        <f ca="1">_xll.BDP($A68 &amp; " Corp",AB$1)</f>
        <v>36208000000</v>
      </c>
      <c r="AC68" s="130" t="str">
        <f ca="1">IF(LEFT(B68,1)="B",_xll.INSTANCE.TBILL(A68,V68,Z68,TODAY()),_xll.INSTANCE.TNOTE(A68,V68,W68,X68,Y68,Z68,AA68,TODAY()))</f>
        <v>US912828NH93#0028</v>
      </c>
    </row>
    <row r="69" spans="1:29" x14ac:dyDescent="0.2">
      <c r="A69" s="131" t="s">
        <v>192</v>
      </c>
      <c r="B69" s="115" t="str">
        <f ca="1">_xll.BDP($A69 &amp; " Govt",B$1)</f>
        <v>T 0 3/8 06/30/13</v>
      </c>
      <c r="C69" s="372"/>
      <c r="D69" s="116"/>
      <c r="E69" s="117"/>
      <c r="F69" s="118"/>
      <c r="G69" s="377"/>
      <c r="H69" s="120">
        <f ca="1">IF(E69="",_xll.BDP(A69 &amp; " Govt","YLD_YTM_ASK")/100,E69)</f>
        <v>2.4908169999999998E-3</v>
      </c>
      <c r="I69" s="121">
        <f ca="1">_xll.INSTRUMENT.PRIX(AC69,D69,H69,cTreasuries)</f>
        <v>100.12534957950986</v>
      </c>
      <c r="J69" s="122">
        <f ca="1">_xll.INSTRUMENT.DV01(A69,,,I69,cContinuous,I69)</f>
        <v>-9.9622479151735312E-3</v>
      </c>
      <c r="K69" s="123">
        <f ca="1">_xll.INSTRUMENT.CONVEXITE(A69,,,I69,cContinuous,I69)</f>
        <v>0.99040522701372924</v>
      </c>
      <c r="L69" s="123">
        <f ca="1">_xll.INSTRUMENT.Z.SPREAD(A69,swapCurve,I69,cContinuous,D69)</f>
        <v>-23.689177824201078</v>
      </c>
      <c r="M69" s="123">
        <f ca="1">_xll.INSTRUMENT.Z.SPREAD(A69,ustCurve,I69,cContinuous,D69)</f>
        <v>0.22423090082803029</v>
      </c>
      <c r="N69" s="123">
        <f ca="1">_xll.INSTRUMENT.Z.SPREAD(A69,oisCurve,I69,cContinuous,D69)</f>
        <v>6.3417102278351791</v>
      </c>
      <c r="O69" s="124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2.6293957962999059E-3</v>
      </c>
      <c r="P69" s="124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2.6273790328608924E-3</v>
      </c>
      <c r="Q69" s="379">
        <f ca="1">-(O69-curve!$S$3)/J69</f>
        <v>9.1468165307333815E-2</v>
      </c>
      <c r="R69" s="381">
        <f t="shared" ca="1" si="1"/>
        <v>-99.415838217119642</v>
      </c>
      <c r="S69" s="199" t="str">
        <f>IF(F69&lt;&gt;"","",IF(G69="","",-G69*(SUMIF('bench Comparison'!$A:$A,"RESINV1USD",'bench Comparison'!$G:$G)+SUMIF('bench Comparison'!$A:$A,"RESSWAPORUSD",'bench Comparison'!$G:$G))/(36500*J69)))</f>
        <v/>
      </c>
      <c r="T69" s="210" t="str">
        <f>IF(G69&lt;&gt;"","",IF(F69="","",-36500*J69*F69/(SUMIF('bench Comparison'!$A:$A,"RESINV1USD",'bench Comparison'!$G:$G)+SUMIF('bench Comparison'!$A:$A,"RESSWAPORUSD",'bench Comparison'!$G:$G))))</f>
        <v/>
      </c>
      <c r="U69" s="125">
        <f>SUMIF('bench Comparison'!$E:$E,A69,'bench Comparison'!$N:$N)</f>
        <v>-430613698.50347036</v>
      </c>
      <c r="V69" s="126">
        <f ca="1">VALUE(_xll.BDP($A69 &amp; " Corp",V$1))</f>
        <v>40724</v>
      </c>
      <c r="W69" s="127">
        <f ca="1">VALUE(_xll.BDP($A69 &amp; " Corp",W$1))</f>
        <v>40724</v>
      </c>
      <c r="X69" s="127">
        <f ca="1">VALUE(_xll.BDP($A69 &amp; " Corp",X$1))</f>
        <v>40908</v>
      </c>
      <c r="Y69" s="127">
        <f ca="1">VALUE(_xll.BDP($A69 &amp; " Corp",Y$1))</f>
        <v>41274</v>
      </c>
      <c r="Z69" s="127">
        <f ca="1">VALUE(_xll.BDP($A69 &amp; " Corp",Z$1))</f>
        <v>41455</v>
      </c>
      <c r="AA69" s="128">
        <f ca="1">_xll.BDP($A69 &amp; " Corp",AA$1)/100</f>
        <v>3.7499999999999999E-3</v>
      </c>
      <c r="AB69" s="129">
        <f ca="1">_xll.BDP($A69 &amp; " Corp",AB$1)</f>
        <v>36127000000</v>
      </c>
      <c r="AC69" s="130" t="str">
        <f ca="1">IF(LEFT(B69,1)="B",_xll.INSTANCE.TBILL(A69,V69,Z69,TODAY()),_xll.INSTANCE.TNOTE(A69,V69,W69,X69,Y69,Z69,AA69,TODAY()))</f>
        <v>US912828RA05#0028</v>
      </c>
    </row>
    <row r="70" spans="1:29" x14ac:dyDescent="0.2">
      <c r="A70" s="131" t="s">
        <v>436</v>
      </c>
      <c r="B70" s="115" t="str">
        <f ca="1">_xll.BDP($A70 &amp; " Govt",B$1)</f>
        <v>T 3 3/8 06/30/13</v>
      </c>
      <c r="C70" s="372"/>
      <c r="D70" s="116"/>
      <c r="E70" s="117"/>
      <c r="F70" s="118"/>
      <c r="G70" s="377"/>
      <c r="H70" s="120">
        <f ca="1">IF(E70="",_xll.BDP(A70 &amp; " Govt","YLD_YTM_ASK")/100,E70)</f>
        <v>2.4679060000000002E-3</v>
      </c>
      <c r="I70" s="121">
        <f ca="1">_xll.INSTRUMENT.PRIX(AC70,D70,H70,cTreasuries)</f>
        <v>103.10581032175423</v>
      </c>
      <c r="J70" s="122">
        <f ca="1">_xll.INSTRUMENT.DV01(A70,,,I70,cContinuous,I70)</f>
        <v>-1.0185990751817862E-2</v>
      </c>
      <c r="K70" s="123">
        <f ca="1">_xll.INSTRUMENT.CONVEXITE(A70,,,I70,cContinuous,I70)</f>
        <v>0.97962940764907913</v>
      </c>
      <c r="L70" s="123">
        <f ca="1">_xll.INSTRUMENT.Z.SPREAD(A70,swapCurve,I70,cContinuous,D70)</f>
        <v>-23.889779411689929</v>
      </c>
      <c r="M70" s="123">
        <f ca="1">_xll.INSTRUMENT.Z.SPREAD(A70,ustCurve,I70,cContinuous,D70)</f>
        <v>-0.7383633118606957</v>
      </c>
      <c r="N70" s="123">
        <f ca="1">_xll.INSTRUMENT.Z.SPREAD(A70,oisCurve,I70,cContinuous,D70)</f>
        <v>6.1169274429207423</v>
      </c>
      <c r="O70" s="124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7.8404053229490516E-4</v>
      </c>
      <c r="P70" s="124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2.8395222662801678E-3</v>
      </c>
      <c r="Q70" s="379">
        <f ca="1">-(O70-curve!$S$3)/J70</f>
        <v>-9.1707006969406063E-2</v>
      </c>
      <c r="R70" s="381">
        <f t="shared" ca="1" si="1"/>
        <v>-96.174189778667113</v>
      </c>
      <c r="S70" s="199" t="str">
        <f>IF(F70&lt;&gt;"","",IF(G70="","",-G70*(SUMIF('bench Comparison'!$A:$A,"RESINV1USD",'bench Comparison'!$G:$G)+SUMIF('bench Comparison'!$A:$A,"RESSWAPORUSD",'bench Comparison'!$G:$G))/(36500*J70)))</f>
        <v/>
      </c>
      <c r="T70" s="210" t="str">
        <f>IF(G70&lt;&gt;"","",IF(F70="","",-36500*J70*F70/(SUMIF('bench Comparison'!$A:$A,"RESINV1USD",'bench Comparison'!$G:$G)+SUMIF('bench Comparison'!$A:$A,"RESSWAPORUSD",'bench Comparison'!$G:$G))))</f>
        <v/>
      </c>
      <c r="U70" s="125">
        <f>SUMIF('bench Comparison'!$E:$E,A70,'bench Comparison'!$N:$N)</f>
        <v>0</v>
      </c>
      <c r="V70" s="126">
        <f ca="1">VALUE(_xll.BDP($A70 &amp; " Corp",V$1))</f>
        <v>39629</v>
      </c>
      <c r="W70" s="127">
        <f ca="1">VALUE(_xll.BDP($A70 &amp; " Corp",W$1))</f>
        <v>39629</v>
      </c>
      <c r="X70" s="127">
        <f ca="1">VALUE(_xll.BDP($A70 &amp; " Corp",X$1))</f>
        <v>39813</v>
      </c>
      <c r="Y70" s="127">
        <f ca="1">VALUE(_xll.BDP($A70 &amp; " Corp",Y$1))</f>
        <v>41274</v>
      </c>
      <c r="Z70" s="127">
        <f ca="1">VALUE(_xll.BDP($A70 &amp; " Corp",Z$1))</f>
        <v>41455</v>
      </c>
      <c r="AA70" s="128">
        <f ca="1">_xll.BDP($A70 &amp; " Corp",AA$1)/100</f>
        <v>3.3750000000000002E-2</v>
      </c>
      <c r="AB70" s="129">
        <f ca="1">_xll.BDP($A70 &amp; " Corp",AB$1)</f>
        <v>22145000000</v>
      </c>
      <c r="AC70" s="130" t="str">
        <f ca="1">IF(LEFT(B70,1)="B",_xll.INSTANCE.TBILL(A70,V70,Z70,TODAY()),_xll.INSTANCE.TNOTE(A70,V70,W70,X70,Y70,Z70,AA70,TODAY()))</f>
        <v>US912828JD36#0028</v>
      </c>
    </row>
    <row r="71" spans="1:29" x14ac:dyDescent="0.2">
      <c r="A71" s="131" t="s">
        <v>437</v>
      </c>
      <c r="B71" s="115" t="str">
        <f ca="1">_xll.BDP($A71 &amp; " Govt",B$1)</f>
        <v>T 1 07/15/13</v>
      </c>
      <c r="C71" s="372"/>
      <c r="D71" s="116"/>
      <c r="E71" s="117"/>
      <c r="F71" s="118"/>
      <c r="G71" s="377"/>
      <c r="H71" s="120">
        <f ca="1">IF(E71="",_xll.BDP(A71 &amp; " Govt","YLD_YTM_ASK")/100,E71)</f>
        <v>2.5176859999999999E-3</v>
      </c>
      <c r="I71" s="121">
        <f ca="1">_xll.INSTRUMENT.PRIX(AC71,D71,H71,cTreasuries)</f>
        <v>100.77379864563012</v>
      </c>
      <c r="J71" s="122">
        <f ca="1">_xll.INSTRUMENT.DV01(A71,,,I71,cContinuous,I71)</f>
        <v>-1.0395952896827827E-2</v>
      </c>
      <c r="K71" s="123">
        <f ca="1">_xll.INSTRUMENT.CONVEXITE(A71,,,I71,cContinuous,I71)</f>
        <v>1.0605444952901488</v>
      </c>
      <c r="L71" s="123">
        <f ca="1">_xll.INSTRUMENT.Z.SPREAD(A71,swapCurve,I71,cContinuous,D71)</f>
        <v>-23.536418429365739</v>
      </c>
      <c r="M71" s="123">
        <f ca="1">_xll.INSTRUMENT.Z.SPREAD(A71,ustCurve,I71,cContinuous,D71)</f>
        <v>-6.3938058045240068E-2</v>
      </c>
      <c r="N71" s="123">
        <f ca="1">_xll.INSTRUMENT.Z.SPREAD(A71,oisCurve,I71,cContinuous,D71)</f>
        <v>6.6476758671631631</v>
      </c>
      <c r="O71" s="124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2.1345074540373571E-3</v>
      </c>
      <c r="P71" s="124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2.6705228289933573E-3</v>
      </c>
      <c r="Q71" s="379">
        <f ca="1">-(O71-curve!$S$3)/J71</f>
        <v>4.004829581348196E-2</v>
      </c>
      <c r="R71" s="381">
        <f t="shared" ca="1" si="1"/>
        <v>-102.015130870183</v>
      </c>
      <c r="S71" s="199" t="str">
        <f>IF(F71&lt;&gt;"","",IF(G71="","",-G71*(SUMIF('bench Comparison'!$A:$A,"RESINV1USD",'bench Comparison'!$G:$G)+SUMIF('bench Comparison'!$A:$A,"RESSWAPORUSD",'bench Comparison'!$G:$G))/(36500*J71)))</f>
        <v/>
      </c>
      <c r="T71" s="210" t="str">
        <f>IF(G71&lt;&gt;"","",IF(F71="","",-36500*J71*F71/(SUMIF('bench Comparison'!$A:$A,"RESINV1USD",'bench Comparison'!$G:$G)+SUMIF('bench Comparison'!$A:$A,"RESSWAPORUSD",'bench Comparison'!$G:$G))))</f>
        <v/>
      </c>
      <c r="U71" s="125">
        <f>SUMIF('bench Comparison'!$E:$E,A71,'bench Comparison'!$N:$N)</f>
        <v>0</v>
      </c>
      <c r="V71" s="126">
        <f ca="1">VALUE(_xll.BDP($A71 &amp; " Corp",V$1))</f>
        <v>40374</v>
      </c>
      <c r="W71" s="127">
        <f ca="1">VALUE(_xll.BDP($A71 &amp; " Corp",W$1))</f>
        <v>40374</v>
      </c>
      <c r="X71" s="127">
        <f ca="1">VALUE(_xll.BDP($A71 &amp; " Corp",X$1))</f>
        <v>40558</v>
      </c>
      <c r="Y71" s="127">
        <f ca="1">VALUE(_xll.BDP($A71 &amp; " Corp",Y$1))</f>
        <v>41289</v>
      </c>
      <c r="Z71" s="127">
        <f ca="1">VALUE(_xll.BDP($A71 &amp; " Corp",Z$1))</f>
        <v>41470</v>
      </c>
      <c r="AA71" s="128">
        <f ca="1">_xll.BDP($A71 &amp; " Corp",AA$1)/100</f>
        <v>0.01</v>
      </c>
      <c r="AB71" s="129">
        <f ca="1">_xll.BDP($A71 &amp; " Corp",AB$1)</f>
        <v>35010000000</v>
      </c>
      <c r="AC71" s="130" t="str">
        <f ca="1">IF(LEFT(B71,1)="B",_xll.INSTANCE.TBILL(A71,V71,Z71,TODAY()),_xll.INSTANCE.TNOTE(A71,V71,W71,X71,Y71,Z71,AA71,TODAY()))</f>
        <v>US912828NN61#0028</v>
      </c>
    </row>
    <row r="72" spans="1:29" x14ac:dyDescent="0.2">
      <c r="A72" s="131" t="s">
        <v>438</v>
      </c>
      <c r="B72" s="115" t="str">
        <f ca="1">_xll.BDP($A72 &amp; " Govt",B$1)</f>
        <v>T 3 3/8 07/31/13</v>
      </c>
      <c r="C72" s="372"/>
      <c r="D72" s="116"/>
      <c r="E72" s="117"/>
      <c r="F72" s="118"/>
      <c r="G72" s="377"/>
      <c r="H72" s="120">
        <f ca="1">IF(E72="",_xll.BDP(A72 &amp; " Govt","YLD_YTM_ASK")/100,E72)</f>
        <v>2.5706400000000003E-3</v>
      </c>
      <c r="I72" s="121">
        <f ca="1">_xll.INSTRUMENT.PRIX(AC72,D72,H72,cTreasuries)</f>
        <v>103.35976747834258</v>
      </c>
      <c r="J72" s="122">
        <f ca="1">_xll.INSTRUMENT.DV01(A72,,,I72,cContinuous,I72)</f>
        <v>-1.1043887105206089E-2</v>
      </c>
      <c r="K72" s="123">
        <f ca="1">_xll.INSTRUMENT.CONVEXITE(A72,,,I72,cContinuous,I72)</f>
        <v>1.1304074073182007</v>
      </c>
      <c r="L72" s="123">
        <f ca="1">_xll.INSTRUMENT.Z.SPREAD(A72,swapCurve,I72,cContinuous,D72)</f>
        <v>-23.192539778878874</v>
      </c>
      <c r="M72" s="123">
        <f ca="1">_xll.INSTRUMENT.Z.SPREAD(A72,ustCurve,I72,cContinuous,D72)</f>
        <v>-0.5633209892602099</v>
      </c>
      <c r="N72" s="123">
        <f ca="1">_xll.INSTRUMENT.Z.SPREAD(A72,oisCurve,I72,cContinuous,D72)</f>
        <v>7.1456243481183677</v>
      </c>
      <c r="O72" s="124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4.7310544523687491E-4</v>
      </c>
      <c r="P72" s="124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2.8104995413736969E-3</v>
      </c>
      <c r="Q72" s="379">
        <f ca="1">-(O72-curve!$S$3)/J72</f>
        <v>-0.1127376439169117</v>
      </c>
      <c r="R72" s="381">
        <f t="shared" ca="1" si="1"/>
        <v>-102.35593650584553</v>
      </c>
      <c r="S72" s="199" t="str">
        <f>IF(F72&lt;&gt;"","",IF(G72="","",-G72*(SUMIF('bench Comparison'!$A:$A,"RESINV1USD",'bench Comparison'!$G:$G)+SUMIF('bench Comparison'!$A:$A,"RESSWAPORUSD",'bench Comparison'!$G:$G))/(36500*J72)))</f>
        <v/>
      </c>
      <c r="T72" s="210" t="str">
        <f>IF(G72&lt;&gt;"","",IF(F72="","",-36500*J72*F72/(SUMIF('bench Comparison'!$A:$A,"RESINV1USD",'bench Comparison'!$G:$G)+SUMIF('bench Comparison'!$A:$A,"RESSWAPORUSD",'bench Comparison'!$G:$G))))</f>
        <v/>
      </c>
      <c r="U72" s="125">
        <f>SUMIF('bench Comparison'!$E:$E,A72,'bench Comparison'!$N:$N)</f>
        <v>0</v>
      </c>
      <c r="V72" s="126">
        <f ca="1">VALUE(_xll.BDP($A72 &amp; " Corp",V$1))</f>
        <v>39660</v>
      </c>
      <c r="W72" s="127">
        <f ca="1">VALUE(_xll.BDP($A72 &amp; " Corp",W$1))</f>
        <v>39660</v>
      </c>
      <c r="X72" s="127">
        <f ca="1">VALUE(_xll.BDP($A72 &amp; " Corp",X$1))</f>
        <v>39844</v>
      </c>
      <c r="Y72" s="127">
        <f ca="1">VALUE(_xll.BDP($A72 &amp; " Corp",Y$1))</f>
        <v>41305</v>
      </c>
      <c r="Z72" s="127">
        <f ca="1">VALUE(_xll.BDP($A72 &amp; " Corp",Z$1))</f>
        <v>41486</v>
      </c>
      <c r="AA72" s="128">
        <f ca="1">_xll.BDP($A72 &amp; " Corp",AA$1)/100</f>
        <v>3.3750000000000002E-2</v>
      </c>
      <c r="AB72" s="129">
        <f ca="1">_xll.BDP($A72 &amp; " Corp",AB$1)</f>
        <v>23314000000</v>
      </c>
      <c r="AC72" s="130" t="str">
        <f ca="1">IF(LEFT(B72,1)="B",_xll.INSTANCE.TBILL(A72,V72,Z72,TODAY()),_xll.INSTANCE.TNOTE(A72,V72,W72,X72,Y72,Z72,AA72,TODAY()))</f>
        <v>US912828JG66#0028</v>
      </c>
    </row>
    <row r="73" spans="1:29" x14ac:dyDescent="0.2">
      <c r="A73" s="131" t="s">
        <v>73</v>
      </c>
      <c r="B73" s="115" t="str">
        <f ca="1">_xll.BDP($A73 &amp; " Govt",B$1)</f>
        <v>T 0 3/8 07/31/13</v>
      </c>
      <c r="C73" s="372"/>
      <c r="D73" s="116"/>
      <c r="E73" s="117"/>
      <c r="F73" s="118"/>
      <c r="G73" s="377"/>
      <c r="H73" s="120">
        <f ca="1">IF(E73="",_xll.BDP(A73 &amp; " Govt","YLD_YTM_ASK")/100,E73)</f>
        <v>2.5535020000000005E-3</v>
      </c>
      <c r="I73" s="121">
        <f ca="1">_xll.INSTRUMENT.PRIX(AC73,D73,H73,cTreasuries)</f>
        <v>100.12929860061347</v>
      </c>
      <c r="J73" s="122">
        <f ca="1">_xll.INSTRUMENT.DV01(A73,,,I73,cContinuous,I73)</f>
        <v>-1.0783739979730837E-2</v>
      </c>
      <c r="K73" s="123">
        <f ca="1">_xll.INSTRUMENT.CONVEXITE(A73,,,I73,cContinuous,I73)</f>
        <v>1.1585633704363854</v>
      </c>
      <c r="L73" s="123">
        <f ca="1">_xll.INSTRUMENT.Z.SPREAD(A73,swapCurve,I73,cContinuous,D73)</f>
        <v>-23.418340694783357</v>
      </c>
      <c r="M73" s="123">
        <f ca="1">_xll.INSTRUMENT.Z.SPREAD(A73,ustCurve,I73,cContinuous,D73)</f>
        <v>-7.7620876691019858E-2</v>
      </c>
      <c r="N73" s="123">
        <f ca="1">_xll.INSTRUMENT.Z.SPREAD(A73,oisCurve,I73,cContinuous,D73)</f>
        <v>6.9707681225641416</v>
      </c>
      <c r="O73" s="124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2.564002160772572E-3</v>
      </c>
      <c r="P73" s="124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2.6540196036670969E-3</v>
      </c>
      <c r="Q73" s="379">
        <f ca="1">-(O73-curve!$S$3)/J73</f>
        <v>7.8436136739223616E-2</v>
      </c>
      <c r="R73" s="381">
        <f t="shared" ca="1" si="1"/>
        <v>-107.43613742672078</v>
      </c>
      <c r="S73" s="199" t="str">
        <f>IF(F73&lt;&gt;"","",IF(G73="","",-G73*(SUMIF('bench Comparison'!$A:$A,"RESINV1USD",'bench Comparison'!$G:$G)+SUMIF('bench Comparison'!$A:$A,"RESSWAPORUSD",'bench Comparison'!$G:$G))/(36500*J73)))</f>
        <v/>
      </c>
      <c r="T73" s="210" t="str">
        <f>IF(G73&lt;&gt;"","",IF(F73="","",-36500*J73*F73/(SUMIF('bench Comparison'!$A:$A,"RESINV1USD",'bench Comparison'!$G:$G)+SUMIF('bench Comparison'!$A:$A,"RESSWAPORUSD",'bench Comparison'!$G:$G))))</f>
        <v/>
      </c>
      <c r="U73" s="125">
        <f>SUMIF('bench Comparison'!$E:$E,A73,'bench Comparison'!$N:$N)</f>
        <v>38951191.663080513</v>
      </c>
      <c r="V73" s="126">
        <f ca="1">VALUE(_xll.BDP($A73 &amp; " Corp",V$1))</f>
        <v>40756</v>
      </c>
      <c r="W73" s="127">
        <f ca="1">VALUE(_xll.BDP($A73 &amp; " Corp",W$1))</f>
        <v>40755</v>
      </c>
      <c r="X73" s="127">
        <f ca="1">VALUE(_xll.BDP($A73 &amp; " Corp",X$1))</f>
        <v>40939</v>
      </c>
      <c r="Y73" s="127">
        <f ca="1">VALUE(_xll.BDP($A73 &amp; " Corp",Y$1))</f>
        <v>41305</v>
      </c>
      <c r="Z73" s="127">
        <f ca="1">VALUE(_xll.BDP($A73 &amp; " Corp",Z$1))</f>
        <v>41486</v>
      </c>
      <c r="AA73" s="128">
        <f ca="1">_xll.BDP($A73 &amp; " Corp",AA$1)/100</f>
        <v>3.7499999999999999E-3</v>
      </c>
      <c r="AB73" s="129">
        <f ca="1">_xll.BDP($A73 &amp; " Corp",AB$1)</f>
        <v>36042000000</v>
      </c>
      <c r="AC73" s="130" t="str">
        <f ca="1">IF(LEFT(B73,1)="B",_xll.INSTANCE.TBILL(A73,V73,Z73,TODAY()),_xll.INSTANCE.TNOTE(A73,V73,W73,X73,Y73,Z73,AA73,TODAY()))</f>
        <v>US912828QW34#0028</v>
      </c>
    </row>
    <row r="74" spans="1:29" x14ac:dyDescent="0.2">
      <c r="A74" s="131" t="s">
        <v>439</v>
      </c>
      <c r="B74" s="115" t="str">
        <f ca="1">_xll.BDP($A74 &amp; " Govt",B$1)</f>
        <v>T 0 3/4 08/15/13</v>
      </c>
      <c r="C74" s="372"/>
      <c r="D74" s="116"/>
      <c r="E74" s="117"/>
      <c r="F74" s="118"/>
      <c r="G74" s="377"/>
      <c r="H74" s="120">
        <f ca="1">IF(E74="",_xll.BDP(A74 &amp; " Govt","YLD_YTM_ASK")/100,E74)</f>
        <v>2.6102920000000002E-3</v>
      </c>
      <c r="I74" s="121">
        <f ca="1">_xll.INSTRUMENT.PRIX(AC74,D74,H74,cTreasuries)</f>
        <v>100.54730104225109</v>
      </c>
      <c r="J74" s="122">
        <f ca="1">_xll.INSTRUMENT.DV01(A74,,,I74,cContinuous,I74)</f>
        <v>-1.1228835136798117E-2</v>
      </c>
      <c r="K74" s="123">
        <f ca="1">_xll.INSTRUMENT.CONVEXITE(A74,,,I74,cContinuous,I74)</f>
        <v>1.2447480917468359</v>
      </c>
      <c r="L74" s="123">
        <f ca="1">_xll.INSTRUMENT.Z.SPREAD(A74,swapCurve,I74,cContinuous,D74)</f>
        <v>-23.063457924181236</v>
      </c>
      <c r="M74" s="123">
        <f ca="1">_xll.INSTRUMENT.Z.SPREAD(A74,ustCurve,I74,cContinuous,D74)</f>
        <v>-5.7048543979458959E-2</v>
      </c>
      <c r="N74" s="123">
        <f ca="1">_xll.INSTRUMENT.Z.SPREAD(A74,oisCurve,I74,cContinuous,D74)</f>
        <v>7.505276584734478</v>
      </c>
      <c r="O74" s="124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2.3532921969223485E-3</v>
      </c>
      <c r="P74" s="124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2.7127788610544347E-3</v>
      </c>
      <c r="Q74" s="379">
        <f ca="1">-(O74-curve!$S$3)/J74</f>
        <v>5.6561961416532268E-2</v>
      </c>
      <c r="R74" s="381">
        <f t="shared" ca="1" si="1"/>
        <v>-110.85282458798069</v>
      </c>
      <c r="S74" s="199" t="str">
        <f>IF(F74&lt;&gt;"","",IF(G74="","",-G74*(SUMIF('bench Comparison'!$A:$A,"RESINV1USD",'bench Comparison'!$G:$G)+SUMIF('bench Comparison'!$A:$A,"RESSWAPORUSD",'bench Comparison'!$G:$G))/(36500*J74)))</f>
        <v/>
      </c>
      <c r="T74" s="210" t="str">
        <f>IF(G74&lt;&gt;"","",IF(F74="","",-36500*J74*F74/(SUMIF('bench Comparison'!$A:$A,"RESINV1USD",'bench Comparison'!$G:$G)+SUMIF('bench Comparison'!$A:$A,"RESSWAPORUSD",'bench Comparison'!$G:$G))))</f>
        <v/>
      </c>
      <c r="U74" s="125">
        <f>SUMIF('bench Comparison'!$E:$E,A74,'bench Comparison'!$N:$N)</f>
        <v>0</v>
      </c>
      <c r="V74" s="126">
        <f ca="1">VALUE(_xll.BDP($A74 &amp; " Corp",V$1))</f>
        <v>40406</v>
      </c>
      <c r="W74" s="127">
        <f ca="1">VALUE(_xll.BDP($A74 &amp; " Corp",W$1))</f>
        <v>40405</v>
      </c>
      <c r="X74" s="127">
        <f ca="1">VALUE(_xll.BDP($A74 &amp; " Corp",X$1))</f>
        <v>40589</v>
      </c>
      <c r="Y74" s="127">
        <f ca="1">VALUE(_xll.BDP($A74 &amp; " Corp",Y$1))</f>
        <v>41320</v>
      </c>
      <c r="Z74" s="127">
        <f ca="1">VALUE(_xll.BDP($A74 &amp; " Corp",Z$1))</f>
        <v>41501</v>
      </c>
      <c r="AA74" s="128">
        <f ca="1">_xll.BDP($A74 &amp; " Corp",AA$1)/100</f>
        <v>7.4999999999999997E-3</v>
      </c>
      <c r="AB74" s="129">
        <f ca="1">_xll.BDP($A74 &amp; " Corp",AB$1)</f>
        <v>36036000000</v>
      </c>
      <c r="AC74" s="130" t="str">
        <f ca="1">IF(LEFT(B74,1)="B",_xll.INSTANCE.TBILL(A74,V74,Z74,TODAY()),_xll.INSTANCE.TNOTE(A74,V74,W74,X74,Y74,Z74,AA74,TODAY()))</f>
        <v>US912828NU05#0028</v>
      </c>
    </row>
    <row r="75" spans="1:29" x14ac:dyDescent="0.2">
      <c r="A75" s="131" t="s">
        <v>440</v>
      </c>
      <c r="B75" s="115" t="str">
        <f ca="1">_xll.BDP($A75 &amp; " Govt",B$1)</f>
        <v>T 4 1/4 08/15/13</v>
      </c>
      <c r="C75" s="372"/>
      <c r="D75" s="116"/>
      <c r="E75" s="117"/>
      <c r="F75" s="118"/>
      <c r="G75" s="377"/>
      <c r="H75" s="120">
        <f ca="1">IF(E75="",_xll.BDP(A75 &amp; " Govt","YLD_YTM_ASK")/100,E75)</f>
        <v>2.5810009999999999E-3</v>
      </c>
      <c r="I75" s="121">
        <f ca="1">_xll.INSTRUMENT.PRIX(AC75,D75,H75,cTreasuries)</f>
        <v>104.46526412307277</v>
      </c>
      <c r="J75" s="122">
        <f ca="1">_xll.INSTRUMENT.DV01(A75,,,I75,cContinuous,I75)</f>
        <v>-1.1554425512534251E-2</v>
      </c>
      <c r="K75" s="123">
        <f ca="1">_xll.INSTRUMENT.CONVEXITE(A75,,,I75,cContinuous,I75)</f>
        <v>1.2104827385685417</v>
      </c>
      <c r="L75" s="123">
        <f ca="1">_xll.INSTRUMENT.Z.SPREAD(A75,swapCurve,I75,cContinuous,D75)</f>
        <v>-23.285254294575878</v>
      </c>
      <c r="M75" s="123">
        <f ca="1">_xll.INSTRUMENT.Z.SPREAD(A75,ustCurve,I75,cContinuous,D75)</f>
        <v>-1.066736840929428</v>
      </c>
      <c r="N75" s="123">
        <f ca="1">_xll.INSTRUMENT.Z.SPREAD(A75,oisCurve,I75,cContinuous,D75)</f>
        <v>7.2177460600214953</v>
      </c>
      <c r="O75" s="124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-1.1646762830547194E-4</v>
      </c>
      <c r="P75" s="124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2.7874510319867273E-3</v>
      </c>
      <c r="Q75" s="379">
        <f ca="1">-(O75-curve!$S$3)/J75</f>
        <v>-0.15878200811259979</v>
      </c>
      <c r="R75" s="381">
        <f t="shared" ca="1" si="1"/>
        <v>-104.76355897187696</v>
      </c>
      <c r="S75" s="199" t="str">
        <f>IF(F75&lt;&gt;"","",IF(G75="","",-G75*(SUMIF('bench Comparison'!$A:$A,"RESINV1USD",'bench Comparison'!$G:$G)+SUMIF('bench Comparison'!$A:$A,"RESSWAPORUSD",'bench Comparison'!$G:$G))/(36500*J75)))</f>
        <v/>
      </c>
      <c r="T75" s="210" t="str">
        <f>IF(G75&lt;&gt;"","",IF(F75="","",-36500*J75*F75/(SUMIF('bench Comparison'!$A:$A,"RESINV1USD",'bench Comparison'!$G:$G)+SUMIF('bench Comparison'!$A:$A,"RESSWAPORUSD",'bench Comparison'!$G:$G))))</f>
        <v/>
      </c>
      <c r="U75" s="125">
        <f>SUMIF('bench Comparison'!$E:$E,A75,'bench Comparison'!$N:$N)</f>
        <v>0</v>
      </c>
      <c r="V75" s="126">
        <f ca="1">VALUE(_xll.BDP($A75 &amp; " Corp",V$1))</f>
        <v>37848</v>
      </c>
      <c r="W75" s="127">
        <f ca="1">VALUE(_xll.BDP($A75 &amp; " Corp",W$1))</f>
        <v>37848</v>
      </c>
      <c r="X75" s="127">
        <f ca="1">VALUE(_xll.BDP($A75 &amp; " Corp",X$1))</f>
        <v>38032</v>
      </c>
      <c r="Y75" s="127">
        <f ca="1">VALUE(_xll.BDP($A75 &amp; " Corp",Y$1))</f>
        <v>41320</v>
      </c>
      <c r="Z75" s="127">
        <f ca="1">VALUE(_xll.BDP($A75 &amp; " Corp",Z$1))</f>
        <v>41501</v>
      </c>
      <c r="AA75" s="128">
        <f ca="1">_xll.BDP($A75 &amp; " Corp",AA$1)/100</f>
        <v>4.2500000000000003E-2</v>
      </c>
      <c r="AB75" s="129">
        <f ca="1">_xll.BDP($A75 &amp; " Corp",AB$1)</f>
        <v>33521000000</v>
      </c>
      <c r="AC75" s="130" t="str">
        <f ca="1">IF(LEFT(B75,1)="B",_xll.INSTANCE.TBILL(A75,V75,Z75,TODAY()),_xll.INSTANCE.TNOTE(A75,V75,W75,X75,Y75,Z75,AA75,TODAY()))</f>
        <v>US912828BH22#0028</v>
      </c>
    </row>
    <row r="76" spans="1:29" x14ac:dyDescent="0.2">
      <c r="A76" s="131" t="s">
        <v>441</v>
      </c>
      <c r="B76" s="115" t="str">
        <f ca="1">_xll.BDP($A76 &amp; " Govt",B$1)</f>
        <v>T 3 1/8 08/31/13</v>
      </c>
      <c r="C76" s="372"/>
      <c r="D76" s="116"/>
      <c r="E76" s="117"/>
      <c r="F76" s="118"/>
      <c r="G76" s="377"/>
      <c r="H76" s="120">
        <f ca="1">IF(E76="",_xll.BDP(A76 &amp; " Govt","YLD_YTM_ASK")/100,E76)</f>
        <v>2.6040990000000003E-3</v>
      </c>
      <c r="I76" s="121">
        <f ca="1">_xll.INSTRUMENT.PRIX(AC76,D76,H76,cTreasuries)</f>
        <v>103.32421940874373</v>
      </c>
      <c r="J76" s="122">
        <f ca="1">_xll.INSTRUMENT.DV01(A76,,,I76,cContinuous,I76)</f>
        <v>-1.1987755998432943E-2</v>
      </c>
      <c r="K76" s="123">
        <f ca="1">_xll.INSTRUMENT.CONVEXITE(A76,,,I76,cContinuous,I76)</f>
        <v>1.3376497681592801</v>
      </c>
      <c r="L76" s="123">
        <f ca="1">_xll.INSTRUMENT.Z.SPREAD(A76,swapCurve,I76,cContinuous,D76)</f>
        <v>-23.53363551481749</v>
      </c>
      <c r="M76" s="123">
        <f ca="1">_xll.INSTRUMENT.Z.SPREAD(A76,ustCurve,I76,cContinuous,D76)</f>
        <v>-1.3140746021448153</v>
      </c>
      <c r="N76" s="123">
        <f ca="1">_xll.INSTRUMENT.Z.SPREAD(A76,oisCurve,I76,cContinuous,D76)</f>
        <v>7.2219185774413326</v>
      </c>
      <c r="O76" s="124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1.295631454486404E-3</v>
      </c>
      <c r="P76" s="124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2.838684481329669E-3</v>
      </c>
      <c r="Q76" s="379">
        <f ca="1">-(O76-curve!$S$3)/J76</f>
        <v>-3.5247280869831026E-2</v>
      </c>
      <c r="R76" s="381">
        <f t="shared" ca="1" si="1"/>
        <v>-111.5846675836695</v>
      </c>
      <c r="S76" s="199" t="str">
        <f>IF(F76&lt;&gt;"","",IF(G76="","",-G76*(SUMIF('bench Comparison'!$A:$A,"RESINV1USD",'bench Comparison'!$G:$G)+SUMIF('bench Comparison'!$A:$A,"RESSWAPORUSD",'bench Comparison'!$G:$G))/(36500*J76)))</f>
        <v/>
      </c>
      <c r="T76" s="210" t="str">
        <f>IF(G76&lt;&gt;"","",IF(F76="","",-36500*J76*F76/(SUMIF('bench Comparison'!$A:$A,"RESINV1USD",'bench Comparison'!$G:$G)+SUMIF('bench Comparison'!$A:$A,"RESSWAPORUSD",'bench Comparison'!$G:$G))))</f>
        <v/>
      </c>
      <c r="U76" s="125">
        <f>SUMIF('bench Comparison'!$E:$E,A76,'bench Comparison'!$N:$N)</f>
        <v>0</v>
      </c>
      <c r="V76" s="126">
        <f ca="1">VALUE(_xll.BDP($A76 &amp; " Corp",V$1))</f>
        <v>39693</v>
      </c>
      <c r="W76" s="127">
        <f ca="1">VALUE(_xll.BDP($A76 &amp; " Corp",W$1))</f>
        <v>39691</v>
      </c>
      <c r="X76" s="127">
        <f ca="1">VALUE(_xll.BDP($A76 &amp; " Corp",X$1))</f>
        <v>39872</v>
      </c>
      <c r="Y76" s="127">
        <f ca="1">VALUE(_xll.BDP($A76 &amp; " Corp",Y$1))</f>
        <v>41333</v>
      </c>
      <c r="Z76" s="127">
        <f ca="1">VALUE(_xll.BDP($A76 &amp; " Corp",Z$1))</f>
        <v>41517</v>
      </c>
      <c r="AA76" s="128">
        <f ca="1">_xll.BDP($A76 &amp; " Corp",AA$1)/100</f>
        <v>3.125E-2</v>
      </c>
      <c r="AB76" s="129">
        <f ca="1">_xll.BDP($A76 &amp; " Corp",AB$1)</f>
        <v>23837000000</v>
      </c>
      <c r="AC76" s="130" t="str">
        <f ca="1">IF(LEFT(B76,1)="B",_xll.INSTANCE.TBILL(A76,V76,Z76,TODAY()),_xll.INSTANCE.TNOTE(A76,V76,W76,X76,Y76,Z76,AA76,TODAY()))</f>
        <v>US912828JK78#0028</v>
      </c>
    </row>
    <row r="77" spans="1:29" x14ac:dyDescent="0.2">
      <c r="A77" s="131" t="s">
        <v>194</v>
      </c>
      <c r="B77" s="115" t="str">
        <f ca="1">_xll.BDP($A77 &amp; " Govt",B$1)</f>
        <v>T 0 1/8 08/31/13</v>
      </c>
      <c r="C77" s="372"/>
      <c r="D77" s="116"/>
      <c r="E77" s="117"/>
      <c r="F77" s="118"/>
      <c r="G77" s="377"/>
      <c r="H77" s="120">
        <f ca="1">IF(E77="",_xll.BDP(A77 &amp; " Govt","YLD_YTM_ASK")/100,E77)</f>
        <v>2.6299790000000002E-3</v>
      </c>
      <c r="I77" s="121">
        <f ca="1">_xll.INSTRUMENT.PRIX(AC77,D77,H77,cTreasuries)</f>
        <v>99.839832216091764</v>
      </c>
      <c r="J77" s="122">
        <f ca="1">_xll.INSTRUMENT.DV01(A77,,,I77,cContinuous,I77)</f>
        <v>-1.1689006280670213E-2</v>
      </c>
      <c r="K77" s="123">
        <f ca="1">_xll.INSTRUMENT.CONVEXITE(A77,,,I77,cContinuous,I77)</f>
        <v>1.3703595436964504</v>
      </c>
      <c r="L77" s="123">
        <f ca="1">_xll.INSTRUMENT.Z.SPREAD(A77,swapCurve,I77,cContinuous,D77)</f>
        <v>-23.338771912644351</v>
      </c>
      <c r="M77" s="123">
        <f ca="1">_xll.INSTRUMENT.Z.SPREAD(A77,ustCurve,I77,cContinuous,D77)</f>
        <v>-0.48330326783071825</v>
      </c>
      <c r="N77" s="123">
        <f ca="1">_xll.INSTRUMENT.Z.SPREAD(A77,oisCurve,I77,cContinuous,D77)</f>
        <v>7.4710975210529496</v>
      </c>
      <c r="O77" s="124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3.124631967393193E-3</v>
      </c>
      <c r="P77" s="124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2.782571421574512E-3</v>
      </c>
      <c r="Q77" s="379">
        <f ca="1">-(O77-curve!$S$3)/J77</f>
        <v>0.12032371926746702</v>
      </c>
      <c r="R77" s="381">
        <f t="shared" ca="1" si="1"/>
        <v>-117.23490524276441</v>
      </c>
      <c r="S77" s="199" t="str">
        <f>IF(F77&lt;&gt;"","",IF(G77="","",-G77*(SUMIF('bench Comparison'!$A:$A,"RESINV1USD",'bench Comparison'!$G:$G)+SUMIF('bench Comparison'!$A:$A,"RESSWAPORUSD",'bench Comparison'!$G:$G))/(36500*J77)))</f>
        <v/>
      </c>
      <c r="T77" s="210" t="str">
        <f>IF(G77&lt;&gt;"","",IF(F77="","",-36500*J77*F77/(SUMIF('bench Comparison'!$A:$A,"RESINV1USD",'bench Comparison'!$G:$G)+SUMIF('bench Comparison'!$A:$A,"RESSWAPORUSD",'bench Comparison'!$G:$G))))</f>
        <v/>
      </c>
      <c r="U77" s="125">
        <f>SUMIF('bench Comparison'!$E:$E,A77,'bench Comparison'!$N:$N)</f>
        <v>-431048808.33691949</v>
      </c>
      <c r="V77" s="126">
        <f ca="1">VALUE(_xll.BDP($A77 &amp; " Corp",V$1))</f>
        <v>40786</v>
      </c>
      <c r="W77" s="127">
        <f ca="1">VALUE(_xll.BDP($A77 &amp; " Corp",W$1))</f>
        <v>40786</v>
      </c>
      <c r="X77" s="127">
        <f ca="1">VALUE(_xll.BDP($A77 &amp; " Corp",X$1))</f>
        <v>40968</v>
      </c>
      <c r="Y77" s="127">
        <f ca="1">VALUE(_xll.BDP($A77 &amp; " Corp",Y$1))</f>
        <v>41333</v>
      </c>
      <c r="Z77" s="127">
        <f ca="1">VALUE(_xll.BDP($A77 &amp; " Corp",Z$1))</f>
        <v>41517</v>
      </c>
      <c r="AA77" s="128">
        <f ca="1">_xll.BDP($A77 &amp; " Corp",AA$1)/100</f>
        <v>1.25E-3</v>
      </c>
      <c r="AB77" s="129">
        <f ca="1">_xll.BDP($A77 &amp; " Corp",AB$1)</f>
        <v>36071000000</v>
      </c>
      <c r="AC77" s="130" t="str">
        <f ca="1">IF(LEFT(B77,1)="B",_xll.INSTANCE.TBILL(A77,V77,Z77,TODAY()),_xll.INSTANCE.TNOTE(A77,V77,W77,X77,Y77,Z77,AA77,TODAY()))</f>
        <v>US912828RD44#0028</v>
      </c>
    </row>
    <row r="78" spans="1:29" x14ac:dyDescent="0.2">
      <c r="A78" s="131" t="s">
        <v>442</v>
      </c>
      <c r="B78" s="115" t="str">
        <f ca="1">_xll.BDP($A78 &amp; " Govt",B$1)</f>
        <v>T 0 3/4 09/15/13</v>
      </c>
      <c r="C78" s="372"/>
      <c r="D78" s="116"/>
      <c r="E78" s="117"/>
      <c r="F78" s="118"/>
      <c r="G78" s="377"/>
      <c r="H78" s="120">
        <f ca="1">IF(E78="",_xll.BDP(A78 &amp; " Govt","YLD_YTM_ASK")/100,E78)</f>
        <v>2.783181E-3</v>
      </c>
      <c r="I78" s="121">
        <f ca="1">_xll.INSTRUMENT.PRIX(AC78,D78,H78,cTreasuries)</f>
        <v>100.56629957634608</v>
      </c>
      <c r="J78" s="122">
        <f ca="1">_xll.INSTRUMENT.DV01(A78,,,I78,cContinuous,I78)</f>
        <v>-1.2107323753534302E-2</v>
      </c>
      <c r="K78" s="123">
        <f ca="1">_xll.INSTRUMENT.CONVEXITE(A78,,,I78,cContinuous,I78)</f>
        <v>1.447644933717027</v>
      </c>
      <c r="L78" s="123">
        <f ca="1">_xll.INSTRUMENT.Z.SPREAD(A78,swapCurve,I78,cContinuous,D78)</f>
        <v>-21.860772371044039</v>
      </c>
      <c r="M78" s="123">
        <f ca="1">_xll.INSTRUMENT.Z.SPREAD(A78,ustCurve,I78,cContinuous,D78)</f>
        <v>0.67694717127526505</v>
      </c>
      <c r="N78" s="123">
        <f ca="1">_xll.INSTRUMENT.Z.SPREAD(A78,oisCurve,I78,cContinuous,D78)</f>
        <v>9.0860913186903822</v>
      </c>
      <c r="O78" s="124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2.7453998114343016E-3</v>
      </c>
      <c r="P78" s="124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2.9326633192975878E-3</v>
      </c>
      <c r="Q78" s="379">
        <f ca="1">-(O78-curve!$S$3)/J78</f>
        <v>8.484389904682825E-2</v>
      </c>
      <c r="R78" s="381">
        <f t="shared" ca="1" si="1"/>
        <v>-119.56770655401351</v>
      </c>
      <c r="S78" s="199" t="str">
        <f>IF(F78&lt;&gt;"","",IF(G78="","",-G78*(SUMIF('bench Comparison'!$A:$A,"RESINV1USD",'bench Comparison'!$G:$G)+SUMIF('bench Comparison'!$A:$A,"RESSWAPORUSD",'bench Comparison'!$G:$G))/(36500*J78)))</f>
        <v/>
      </c>
      <c r="T78" s="210" t="str">
        <f>IF(G78&lt;&gt;"","",IF(F78="","",-36500*J78*F78/(SUMIF('bench Comparison'!$A:$A,"RESINV1USD",'bench Comparison'!$G:$G)+SUMIF('bench Comparison'!$A:$A,"RESSWAPORUSD",'bench Comparison'!$G:$G))))</f>
        <v/>
      </c>
      <c r="U78" s="125">
        <f>SUMIF('bench Comparison'!$E:$E,A78,'bench Comparison'!$N:$N)</f>
        <v>0</v>
      </c>
      <c r="V78" s="126">
        <f ca="1">VALUE(_xll.BDP($A78 &amp; " Corp",V$1))</f>
        <v>40436</v>
      </c>
      <c r="W78" s="127">
        <f ca="1">VALUE(_xll.BDP($A78 &amp; " Corp",W$1))</f>
        <v>40436</v>
      </c>
      <c r="X78" s="127">
        <f ca="1">VALUE(_xll.BDP($A78 &amp; " Corp",X$1))</f>
        <v>40617</v>
      </c>
      <c r="Y78" s="127">
        <f ca="1">VALUE(_xll.BDP($A78 &amp; " Corp",Y$1))</f>
        <v>41348</v>
      </c>
      <c r="Z78" s="127">
        <f ca="1">VALUE(_xll.BDP($A78 &amp; " Corp",Z$1))</f>
        <v>41532</v>
      </c>
      <c r="AA78" s="128">
        <f ca="1">_xll.BDP($A78 &amp; " Corp",AA$1)/100</f>
        <v>7.4999999999999997E-3</v>
      </c>
      <c r="AB78" s="129">
        <f ca="1">_xll.BDP($A78 &amp; " Corp",AB$1)</f>
        <v>33357000000</v>
      </c>
      <c r="AC78" s="130" t="str">
        <f ca="1">IF(LEFT(B78,1)="B",_xll.INSTANCE.TBILL(A78,V78,Z78,TODAY()),_xll.INSTANCE.TNOTE(A78,V78,W78,X78,Y78,Z78,AA78,TODAY()))</f>
        <v>US912828NY27#0028</v>
      </c>
    </row>
    <row r="79" spans="1:29" x14ac:dyDescent="0.2">
      <c r="A79" s="131" t="s">
        <v>52</v>
      </c>
      <c r="B79" s="115" t="str">
        <f ca="1">_xll.BDP($A79 &amp; " Govt",B$1)</f>
        <v>T 0 1/8 09/30/13</v>
      </c>
      <c r="C79" s="372"/>
      <c r="D79" s="116"/>
      <c r="E79" s="117"/>
      <c r="F79" s="118"/>
      <c r="G79" s="377"/>
      <c r="H79" s="120">
        <f ca="1">IF(E79="",_xll.BDP(A79 &amp; " Govt","YLD_YTM_ASK")/100,E79)</f>
        <v>2.758473E-3</v>
      </c>
      <c r="I79" s="121">
        <f ca="1">_xll.INSTRUMENT.PRIX(AC79,D79,H79,cTreasuries)</f>
        <v>99.812667593518469</v>
      </c>
      <c r="J79" s="122">
        <f ca="1">_xll.INSTRUMENT.DV01(A79,,,I79,cContinuous,I79)</f>
        <v>-1.2423341096811194E-2</v>
      </c>
      <c r="K79" s="123">
        <f ca="1">_xll.INSTRUMENT.CONVEXITE(A79,,,I79,cContinuous,I79)</f>
        <v>1.5489850109818344</v>
      </c>
      <c r="L79" s="123">
        <f ca="1">_xll.INSTRUMENT.Z.SPREAD(A79,swapCurve,I79,cContinuous,D79)</f>
        <v>-22.23943090426306</v>
      </c>
      <c r="M79" s="123">
        <f ca="1">_xll.INSTRUMENT.Z.SPREAD(A79,ustCurve,I79,cContinuous,D79)</f>
        <v>0.21727862067299841</v>
      </c>
      <c r="N79" s="123">
        <f ca="1">_xll.INSTRUMENT.Z.SPREAD(A79,oisCurve,I79,cContinuous,D79)</f>
        <v>8.857878665194221</v>
      </c>
      <c r="O79" s="124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3.021056522229529E-3</v>
      </c>
      <c r="P79" s="124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2.8511776468821077E-3</v>
      </c>
      <c r="Q79" s="379">
        <f ca="1">-(O79-curve!$S$3)/J79</f>
        <v>0.10487430514177713</v>
      </c>
      <c r="R79" s="381">
        <f t="shared" ca="1" si="1"/>
        <v>-124.68344859173396</v>
      </c>
      <c r="S79" s="199" t="str">
        <f>IF(F79&lt;&gt;"","",IF(G79="","",-G79*(SUMIF('bench Comparison'!$A:$A,"RESINV1USD",'bench Comparison'!$G:$G)+SUMIF('bench Comparison'!$A:$A,"RESSWAPORUSD",'bench Comparison'!$G:$G))/(36500*J79)))</f>
        <v/>
      </c>
      <c r="T79" s="210" t="str">
        <f>IF(G79&lt;&gt;"","",IF(F79="","",-36500*J79*F79/(SUMIF('bench Comparison'!$A:$A,"RESINV1USD",'bench Comparison'!$G:$G)+SUMIF('bench Comparison'!$A:$A,"RESSWAPORUSD",'bench Comparison'!$G:$G))))</f>
        <v/>
      </c>
      <c r="U79" s="125">
        <f>SUMIF('bench Comparison'!$E:$E,A79,'bench Comparison'!$N:$N)</f>
        <v>1073371045.2184818</v>
      </c>
      <c r="V79" s="126">
        <f ca="1">VALUE(_xll.BDP($A79 &amp; " Corp",V$1))</f>
        <v>40816</v>
      </c>
      <c r="W79" s="127">
        <f ca="1">VALUE(_xll.BDP($A79 &amp; " Corp",W$1))</f>
        <v>40816</v>
      </c>
      <c r="X79" s="127">
        <f ca="1">VALUE(_xll.BDP($A79 &amp; " Corp",X$1))</f>
        <v>40999</v>
      </c>
      <c r="Y79" s="127">
        <f ca="1">VALUE(_xll.BDP($A79 &amp; " Corp",Y$1))</f>
        <v>41364</v>
      </c>
      <c r="Z79" s="127">
        <f ca="1">VALUE(_xll.BDP($A79 &amp; " Corp",Z$1))</f>
        <v>41547</v>
      </c>
      <c r="AA79" s="128">
        <f ca="1">_xll.BDP($A79 &amp; " Corp",AA$1)/100</f>
        <v>1.25E-3</v>
      </c>
      <c r="AB79" s="129">
        <f ca="1">_xll.BDP($A79 &amp; " Corp",AB$1)</f>
        <v>36090000000</v>
      </c>
      <c r="AC79" s="130" t="str">
        <f ca="1">IF(LEFT(B79,1)="B",_xll.INSTANCE.TBILL(A79,V79,Z79,TODAY()),_xll.INSTANCE.TNOTE(A79,V79,W79,X79,Y79,Z79,AA79,TODAY()))</f>
        <v>US912828RK86#0028</v>
      </c>
    </row>
    <row r="80" spans="1:29" x14ac:dyDescent="0.2">
      <c r="A80" s="131" t="s">
        <v>443</v>
      </c>
      <c r="B80" s="115" t="str">
        <f ca="1">_xll.BDP($A80 &amp; " Govt",B$1)</f>
        <v>T 3 1/8 09/30/13</v>
      </c>
      <c r="C80" s="372"/>
      <c r="D80" s="116"/>
      <c r="E80" s="117"/>
      <c r="F80" s="118"/>
      <c r="G80" s="377"/>
      <c r="H80" s="120">
        <f ca="1">IF(E80="",_xll.BDP(A80 &amp; " Govt","YLD_YTM_ASK")/100,E80)</f>
        <v>2.7733950000000001E-3</v>
      </c>
      <c r="I80" s="121">
        <f ca="1">_xll.INSTRUMENT.PRIX(AC80,D80,H80,cTreasuries)</f>
        <v>103.53924125883778</v>
      </c>
      <c r="J80" s="122">
        <f ca="1">_xll.INSTRUMENT.DV01(A80,,,I80,cContinuous,I80)</f>
        <v>-1.2758274725183314E-2</v>
      </c>
      <c r="K80" s="123">
        <f ca="1">_xll.INSTRUMENT.CONVEXITE(A80,,,I80,cContinuous,I80)</f>
        <v>1.5134140479658826</v>
      </c>
      <c r="L80" s="123">
        <f ca="1">_xll.INSTRUMENT.Z.SPREAD(A80,swapCurve,I80,cContinuous,D80)</f>
        <v>-22.058780579559933</v>
      </c>
      <c r="M80" s="123">
        <f ca="1">_xll.INSTRUMENT.Z.SPREAD(A80,ustCurve,I80,cContinuous,D80)</f>
        <v>-0.16507492623675868</v>
      </c>
      <c r="N80" s="123">
        <f ca="1">_xll.INSTRUMENT.Z.SPREAD(A80,oisCurve,I80,cContinuous,D80)</f>
        <v>9.0119993338272106</v>
      </c>
      <c r="O80" s="124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1.0753285497357103E-3</v>
      </c>
      <c r="P80" s="124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2.960895484151467E-3</v>
      </c>
      <c r="Q80" s="379">
        <f ca="1">-(O80-curve!$S$3)/J80</f>
        <v>-5.0386021721069721E-2</v>
      </c>
      <c r="R80" s="381">
        <f t="shared" ca="1" si="1"/>
        <v>-118.6221554689196</v>
      </c>
      <c r="S80" s="199" t="str">
        <f>IF(F80&lt;&gt;"","",IF(G80="","",-G80*(SUMIF('bench Comparison'!$A:$A,"RESINV1USD",'bench Comparison'!$G:$G)+SUMIF('bench Comparison'!$A:$A,"RESSWAPORUSD",'bench Comparison'!$G:$G))/(36500*J80)))</f>
        <v/>
      </c>
      <c r="T80" s="210" t="str">
        <f>IF(G80&lt;&gt;"","",IF(F80="","",-36500*J80*F80/(SUMIF('bench Comparison'!$A:$A,"RESINV1USD",'bench Comparison'!$G:$G)+SUMIF('bench Comparison'!$A:$A,"RESSWAPORUSD",'bench Comparison'!$G:$G))))</f>
        <v/>
      </c>
      <c r="U80" s="125">
        <f>SUMIF('bench Comparison'!$E:$E,A80,'bench Comparison'!$N:$N)</f>
        <v>0</v>
      </c>
      <c r="V80" s="126">
        <f ca="1">VALUE(_xll.BDP($A80 &amp; " Corp",V$1))</f>
        <v>39721</v>
      </c>
      <c r="W80" s="127">
        <f ca="1">VALUE(_xll.BDP($A80 &amp; " Corp",W$1))</f>
        <v>39721</v>
      </c>
      <c r="X80" s="127">
        <f ca="1">VALUE(_xll.BDP($A80 &amp; " Corp",X$1))</f>
        <v>39903</v>
      </c>
      <c r="Y80" s="127">
        <f ca="1">VALUE(_xll.BDP($A80 &amp; " Corp",Y$1))</f>
        <v>41364</v>
      </c>
      <c r="Z80" s="127">
        <f ca="1">VALUE(_xll.BDP($A80 &amp; " Corp",Z$1))</f>
        <v>41547</v>
      </c>
      <c r="AA80" s="128">
        <f ca="1">_xll.BDP($A80 &amp; " Corp",AA$1)/100</f>
        <v>3.125E-2</v>
      </c>
      <c r="AB80" s="129">
        <f ca="1">_xll.BDP($A80 &amp; " Corp",AB$1)</f>
        <v>26220000000</v>
      </c>
      <c r="AC80" s="130" t="str">
        <f ca="1">IF(LEFT(B80,1)="B",_xll.INSTANCE.TBILL(A80,V80,Z80,TODAY()),_xll.INSTANCE.TNOTE(A80,V80,W80,X80,Y80,Z80,AA80,TODAY()))</f>
        <v>US912828JM35#0028</v>
      </c>
    </row>
    <row r="81" spans="1:29" x14ac:dyDescent="0.2">
      <c r="A81" s="131" t="s">
        <v>444</v>
      </c>
      <c r="B81" s="115" t="str">
        <f ca="1">_xll.BDP($A81 &amp; " Govt",B$1)</f>
        <v>T 0 1/2 10/15/13</v>
      </c>
      <c r="C81" s="372"/>
      <c r="D81" s="116"/>
      <c r="E81" s="117"/>
      <c r="F81" s="118"/>
      <c r="G81" s="377"/>
      <c r="H81" s="120">
        <f ca="1">IF(E81="",_xll.BDP(A81 &amp; " Govt","YLD_YTM_ASK")/100,E81)</f>
        <v>2.8390379999999999E-3</v>
      </c>
      <c r="I81" s="121">
        <f ca="1">_xll.INSTRUMENT.PRIX(AC81,D81,H81,cTreasuries)</f>
        <v>100.27748553964815</v>
      </c>
      <c r="J81" s="122">
        <f ca="1">_xll.INSTRUMENT.DV01(A81,,,I81,cContinuous,I81)</f>
        <v>-1.2874933520543226E-2</v>
      </c>
      <c r="K81" s="123">
        <f ca="1">_xll.INSTRUMENT.CONVEXITE(A81,,,I81,cContinuous,I81)</f>
        <v>1.6480783184070151</v>
      </c>
      <c r="L81" s="123">
        <f ca="1">_xll.INSTRUMENT.Z.SPREAD(A81,swapCurve,I81,cContinuous,D81)</f>
        <v>-21.621956998892507</v>
      </c>
      <c r="M81" s="123">
        <f ca="1">_xll.INSTRUMENT.Z.SPREAD(A81,ustCurve,I81,cContinuous,D81)</f>
        <v>0.54996717775592008</v>
      </c>
      <c r="N81" s="123">
        <f ca="1">_xll.INSTRUMENT.Z.SPREAD(A81,oisCurve,I81,cContinuous,D81)</f>
        <v>9.6086983589295976</v>
      </c>
      <c r="O81" s="124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2.8805541913252048E-3</v>
      </c>
      <c r="P81" s="124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2.9558172985779405E-3</v>
      </c>
      <c r="Q81" s="379">
        <f ca="1">-(O81-curve!$S$3)/J81</f>
        <v>9.0282946495089098E-2</v>
      </c>
      <c r="R81" s="381">
        <f t="shared" ca="1" si="1"/>
        <v>-128.00674393986918</v>
      </c>
      <c r="S81" s="199" t="str">
        <f>IF(F81&lt;&gt;"","",IF(G81="","",-G81*(SUMIF('bench Comparison'!$A:$A,"RESINV1USD",'bench Comparison'!$G:$G)+SUMIF('bench Comparison'!$A:$A,"RESSWAPORUSD",'bench Comparison'!$G:$G))/(36500*J81)))</f>
        <v/>
      </c>
      <c r="T81" s="210" t="str">
        <f>IF(G81&lt;&gt;"","",IF(F81="","",-36500*J81*F81/(SUMIF('bench Comparison'!$A:$A,"RESINV1USD",'bench Comparison'!$G:$G)+SUMIF('bench Comparison'!$A:$A,"RESSWAPORUSD",'bench Comparison'!$G:$G))))</f>
        <v/>
      </c>
      <c r="U81" s="125">
        <f>SUMIF('bench Comparison'!$E:$E,A81,'bench Comparison'!$N:$N)</f>
        <v>0</v>
      </c>
      <c r="V81" s="126">
        <f ca="1">VALUE(_xll.BDP($A81 &amp; " Corp",V$1))</f>
        <v>40466</v>
      </c>
      <c r="W81" s="127">
        <f ca="1">VALUE(_xll.BDP($A81 &amp; " Corp",W$1))</f>
        <v>40466</v>
      </c>
      <c r="X81" s="127">
        <f ca="1">VALUE(_xll.BDP($A81 &amp; " Corp",X$1))</f>
        <v>40648</v>
      </c>
      <c r="Y81" s="127">
        <f ca="1">VALUE(_xll.BDP($A81 &amp; " Corp",Y$1))</f>
        <v>41379</v>
      </c>
      <c r="Z81" s="127">
        <f ca="1">VALUE(_xll.BDP($A81 &amp; " Corp",Z$1))</f>
        <v>41562</v>
      </c>
      <c r="AA81" s="128">
        <f ca="1">_xll.BDP($A81 &amp; " Corp",AA$1)/100</f>
        <v>5.0000000000000001E-3</v>
      </c>
      <c r="AB81" s="129">
        <f ca="1">_xll.BDP($A81 &amp; " Corp",AB$1)</f>
        <v>32280000000.000004</v>
      </c>
      <c r="AC81" s="130" t="str">
        <f ca="1">IF(LEFT(B81,1)="B",_xll.INSTANCE.TBILL(A81,V81,Z81,TODAY()),_xll.INSTANCE.TNOTE(A81,V81,W81,X81,Y81,Z81,AA81,TODAY()))</f>
        <v>US912828PB06#0028</v>
      </c>
    </row>
    <row r="82" spans="1:29" x14ac:dyDescent="0.2">
      <c r="A82" s="131" t="s">
        <v>196</v>
      </c>
      <c r="B82" s="115" t="str">
        <f ca="1">_xll.BDP($A82 &amp; " Govt",B$1)</f>
        <v>T 0 1/4 10/31/13</v>
      </c>
      <c r="C82" s="372"/>
      <c r="D82" s="116"/>
      <c r="E82" s="117"/>
      <c r="F82" s="118"/>
      <c r="G82" s="377"/>
      <c r="H82" s="120">
        <f ca="1">IF(E82="",_xll.BDP(A82 &amp; " Govt","YLD_YTM_ASK")/100,E82)</f>
        <v>2.8535300000000004E-3</v>
      </c>
      <c r="I82" s="121">
        <f ca="1">_xll.INSTRUMENT.PRIX(AC82,D82,H82,cTreasuries)</f>
        <v>99.952722650614362</v>
      </c>
      <c r="J82" s="122">
        <f ca="1">_xll.INSTRUMENT.DV01(A82,,,I82,cContinuous,I82)</f>
        <v>-1.3281996313746981E-2</v>
      </c>
      <c r="K82" s="123">
        <f ca="1">_xll.INSTRUMENT.CONVEXITE(A82,,,I82,cContinuous,I82)</f>
        <v>1.7658357626578807</v>
      </c>
      <c r="L82" s="123">
        <f ca="1">_xll.INSTRUMENT.Z.SPREAD(A82,swapCurve,I82,cContinuous,D82)</f>
        <v>-21.67705517738975</v>
      </c>
      <c r="M82" s="123">
        <f ca="1">_xll.INSTRUMENT.Z.SPREAD(A82,ustCurve,I82,cContinuous,D82)</f>
        <v>0.31701978723622865</v>
      </c>
      <c r="N82" s="123">
        <f ca="1">_xll.INSTRUMENT.Z.SPREAD(A82,oisCurve,I82,cContinuous,D82)</f>
        <v>9.6856930854473848</v>
      </c>
      <c r="O82" s="124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3.1147864399353039E-3</v>
      </c>
      <c r="P82" s="124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2.9939822605186822E-3</v>
      </c>
      <c r="Q82" s="379">
        <f ca="1">-(O82-curve!$S$3)/J82</f>
        <v>0.10515130028515514</v>
      </c>
      <c r="R82" s="381">
        <f t="shared" ca="1" si="1"/>
        <v>-132.94957481882639</v>
      </c>
      <c r="S82" s="199" t="str">
        <f>IF(F82&lt;&gt;"","",IF(G82="","",-G82*(SUMIF('bench Comparison'!$A:$A,"RESINV1USD",'bench Comparison'!$G:$G)+SUMIF('bench Comparison'!$A:$A,"RESSWAPORUSD",'bench Comparison'!$G:$G))/(36500*J82)))</f>
        <v/>
      </c>
      <c r="T82" s="210" t="str">
        <f>IF(G82&lt;&gt;"","",IF(F82="","",-36500*J82*F82/(SUMIF('bench Comparison'!$A:$A,"RESINV1USD",'bench Comparison'!$G:$G)+SUMIF('bench Comparison'!$A:$A,"RESSWAPORUSD",'bench Comparison'!$G:$G))))</f>
        <v/>
      </c>
      <c r="U82" s="125">
        <f>SUMIF('bench Comparison'!$E:$E,A82,'bench Comparison'!$N:$N)</f>
        <v>2531338.1076793075</v>
      </c>
      <c r="V82" s="126">
        <f ca="1">VALUE(_xll.BDP($A82 &amp; " Corp",V$1))</f>
        <v>40847</v>
      </c>
      <c r="W82" s="127">
        <f ca="1">VALUE(_xll.BDP($A82 &amp; " Corp",W$1))</f>
        <v>40847</v>
      </c>
      <c r="X82" s="127">
        <f ca="1">VALUE(_xll.BDP($A82 &amp; " Corp",X$1))</f>
        <v>41029</v>
      </c>
      <c r="Y82" s="127">
        <f ca="1">VALUE(_xll.BDP($A82 &amp; " Corp",Y$1))</f>
        <v>41394</v>
      </c>
      <c r="Z82" s="127">
        <f ca="1">VALUE(_xll.BDP($A82 &amp; " Corp",Z$1))</f>
        <v>41578</v>
      </c>
      <c r="AA82" s="128">
        <f ca="1">_xll.BDP($A82 &amp; " Corp",AA$1)/100</f>
        <v>2.5000000000000001E-3</v>
      </c>
      <c r="AB82" s="129">
        <f ca="1">_xll.BDP($A82 &amp; " Corp",AB$1)</f>
        <v>36332000000</v>
      </c>
      <c r="AC82" s="130" t="str">
        <f ca="1">IF(LEFT(B82,1)="B",_xll.INSTANCE.TBILL(A82,V82,Z82,TODAY()),_xll.INSTANCE.TNOTE(A82,V82,W82,X82,Y82,Z82,AA82,TODAY()))</f>
        <v>US912828RN26#0028</v>
      </c>
    </row>
    <row r="83" spans="1:29" x14ac:dyDescent="0.2">
      <c r="A83" s="131" t="s">
        <v>445</v>
      </c>
      <c r="B83" s="115" t="str">
        <f ca="1">_xll.BDP($A83 &amp; " Govt",B$1)</f>
        <v>T 2 3/4 10/31/13</v>
      </c>
      <c r="C83" s="372"/>
      <c r="D83" s="116"/>
      <c r="E83" s="117"/>
      <c r="F83" s="118"/>
      <c r="G83" s="377"/>
      <c r="H83" s="120">
        <f ca="1">IF(E83="",_xll.BDP(A83 &amp; " Govt","YLD_YTM_ASK")/100,E83)</f>
        <v>2.8872179999999996E-3</v>
      </c>
      <c r="I83" s="121">
        <f ca="1">_xll.INSTRUMENT.PRIX(AC83,D83,H83,cTreasuries)</f>
        <v>103.26130912077414</v>
      </c>
      <c r="J83" s="122">
        <f ca="1">_xll.INSTRUMENT.DV01(A83,,,I83,cContinuous,I83)</f>
        <v>-1.3591325788201181E-2</v>
      </c>
      <c r="K83" s="123">
        <f ca="1">_xll.INSTRUMENT.CONVEXITE(A83,,,I83,cContinuous,I83)</f>
        <v>1.7329085586900732</v>
      </c>
      <c r="L83" s="123">
        <f ca="1">_xll.INSTRUMENT.Z.SPREAD(A83,swapCurve,I83,cContinuous,D83)</f>
        <v>-21.316926357333891</v>
      </c>
      <c r="M83" s="123">
        <f ca="1">_xll.INSTRUMENT.Z.SPREAD(A83,ustCurve,I83,cContinuous,D83)</f>
        <v>0.25237621589485343</v>
      </c>
      <c r="N83" s="123">
        <f ca="1">_xll.INSTRUMENT.Z.SPREAD(A83,oisCurve,I83,cContinuous,D83)</f>
        <v>10.028174661560453</v>
      </c>
      <c r="O83" s="124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1.6476590976515538E-3</v>
      </c>
      <c r="P83" s="124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3.233299279532973E-3</v>
      </c>
      <c r="Q83" s="379">
        <f ca="1">-(O83-curve!$S$3)/J83</f>
        <v>-5.1877322793503246E-3</v>
      </c>
      <c r="R83" s="381">
        <f t="shared" ca="1" si="1"/>
        <v>-127.50106837954213</v>
      </c>
      <c r="S83" s="199" t="str">
        <f>IF(F83&lt;&gt;"","",IF(G83="","",-G83*(SUMIF('bench Comparison'!$A:$A,"RESINV1USD",'bench Comparison'!$G:$G)+SUMIF('bench Comparison'!$A:$A,"RESSWAPORUSD",'bench Comparison'!$G:$G))/(36500*J83)))</f>
        <v/>
      </c>
      <c r="T83" s="210" t="str">
        <f>IF(G83&lt;&gt;"","",IF(F83="","",-36500*J83*F83/(SUMIF('bench Comparison'!$A:$A,"RESINV1USD",'bench Comparison'!$G:$G)+SUMIF('bench Comparison'!$A:$A,"RESSWAPORUSD",'bench Comparison'!$G:$G))))</f>
        <v/>
      </c>
      <c r="U83" s="125">
        <f>SUMIF('bench Comparison'!$E:$E,A83,'bench Comparison'!$N:$N)</f>
        <v>0</v>
      </c>
      <c r="V83" s="126">
        <f ca="1">VALUE(_xll.BDP($A83 &amp; " Corp",V$1))</f>
        <v>39752</v>
      </c>
      <c r="W83" s="127">
        <f ca="1">VALUE(_xll.BDP($A83 &amp; " Corp",W$1))</f>
        <v>39752</v>
      </c>
      <c r="X83" s="127">
        <f ca="1">VALUE(_xll.BDP($A83 &amp; " Corp",X$1))</f>
        <v>39933</v>
      </c>
      <c r="Y83" s="127">
        <f ca="1">VALUE(_xll.BDP($A83 &amp; " Corp",Y$1))</f>
        <v>41394</v>
      </c>
      <c r="Z83" s="127">
        <f ca="1">VALUE(_xll.BDP($A83 &amp; " Corp",Z$1))</f>
        <v>41578</v>
      </c>
      <c r="AA83" s="128">
        <f ca="1">_xll.BDP($A83 &amp; " Corp",AA$1)/100</f>
        <v>2.75E-2</v>
      </c>
      <c r="AB83" s="129">
        <f ca="1">_xll.BDP($A83 &amp; " Corp",AB$1)</f>
        <v>25063000000</v>
      </c>
      <c r="AC83" s="130" t="str">
        <f ca="1">IF(LEFT(B83,1)="B",_xll.INSTANCE.TBILL(A83,V83,Z83,TODAY()),_xll.INSTANCE.TNOTE(A83,V83,W83,X83,Y83,Z83,AA83,TODAY()))</f>
        <v>US912828JQ49#0028</v>
      </c>
    </row>
    <row r="84" spans="1:29" x14ac:dyDescent="0.2">
      <c r="A84" s="131" t="s">
        <v>447</v>
      </c>
      <c r="B84" s="115" t="str">
        <f ca="1">_xll.BDP($A84 &amp; " Govt",B$1)</f>
        <v>T 0 1/2 11/15/13</v>
      </c>
      <c r="C84" s="372"/>
      <c r="D84" s="116"/>
      <c r="E84" s="117"/>
      <c r="F84" s="118"/>
      <c r="G84" s="377"/>
      <c r="H84" s="120">
        <f ca="1">IF(E84="",_xll.BDP(A84 &amp; " Govt","YLD_YTM_ASK")/100,E84)</f>
        <v>2.9119800000000002E-3</v>
      </c>
      <c r="I84" s="121">
        <f ca="1">_xll.INSTRUMENT.PRIX(AC84,D84,H84,cTreasuries)</f>
        <v>100.28465081340066</v>
      </c>
      <c r="J84" s="122">
        <f ca="1">_xll.INSTRUMENT.DV01(A84,,,I84,cContinuous,I84)</f>
        <v>-1.3722759222535439E-2</v>
      </c>
      <c r="K84" s="123">
        <f ca="1">_xll.INSTRUMENT.CONVEXITE(A84,,,I84,cContinuous,I84)</f>
        <v>1.8731399448808097</v>
      </c>
      <c r="L84" s="123">
        <f ca="1">_xll.INSTRUMENT.Z.SPREAD(A84,swapCurve,I84,cContinuous,D84)</f>
        <v>-21.275190334534919</v>
      </c>
      <c r="M84" s="123">
        <f ca="1">_xll.INSTRUMENT.Z.SPREAD(A84,ustCurve,I84,cContinuous,D84)</f>
        <v>0.4776039665367745</v>
      </c>
      <c r="N84" s="123">
        <f ca="1">_xll.INSTRUMENT.Z.SPREAD(A84,oisCurve,I84,cContinuous,D84)</f>
        <v>10.19682775235111</v>
      </c>
      <c r="O84" s="124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3.0609061488500143E-3</v>
      </c>
      <c r="P84" s="124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3.09522412477702E-3</v>
      </c>
      <c r="Q84" s="379">
        <f ca="1">-(O84-curve!$S$3)/J84</f>
        <v>9.7847588077097813E-2</v>
      </c>
      <c r="R84" s="381">
        <f t="shared" ca="1" si="1"/>
        <v>-136.49878384550752</v>
      </c>
      <c r="S84" s="199" t="str">
        <f>IF(F84&lt;&gt;"","",IF(G84="","",-G84*(SUMIF('bench Comparison'!$A:$A,"RESINV1USD",'bench Comparison'!$G:$G)+SUMIF('bench Comparison'!$A:$A,"RESSWAPORUSD",'bench Comparison'!$G:$G))/(36500*J84)))</f>
        <v/>
      </c>
      <c r="T84" s="210" t="str">
        <f>IF(G84&lt;&gt;"","",IF(F84="","",-36500*J84*F84/(SUMIF('bench Comparison'!$A:$A,"RESINV1USD",'bench Comparison'!$G:$G)+SUMIF('bench Comparison'!$A:$A,"RESSWAPORUSD",'bench Comparison'!$G:$G))))</f>
        <v/>
      </c>
      <c r="U84" s="125">
        <f>SUMIF('bench Comparison'!$E:$E,A84,'bench Comparison'!$N:$N)</f>
        <v>0</v>
      </c>
      <c r="V84" s="126">
        <f ca="1">VALUE(_xll.BDP($A84 &amp; " Corp",V$1))</f>
        <v>40497</v>
      </c>
      <c r="W84" s="127">
        <f ca="1">VALUE(_xll.BDP($A84 &amp; " Corp",W$1))</f>
        <v>40497</v>
      </c>
      <c r="X84" s="127">
        <f ca="1">VALUE(_xll.BDP($A84 &amp; " Corp",X$1))</f>
        <v>40678</v>
      </c>
      <c r="Y84" s="127">
        <f ca="1">VALUE(_xll.BDP($A84 &amp; " Corp",Y$1))</f>
        <v>41409</v>
      </c>
      <c r="Z84" s="127">
        <f ca="1">VALUE(_xll.BDP($A84 &amp; " Corp",Z$1))</f>
        <v>41593</v>
      </c>
      <c r="AA84" s="128">
        <f ca="1">_xll.BDP($A84 &amp; " Corp",AA$1)/100</f>
        <v>5.0000000000000001E-3</v>
      </c>
      <c r="AB84" s="129">
        <f ca="1">_xll.BDP($A84 &amp; " Corp",AB$1)</f>
        <v>32853000000</v>
      </c>
      <c r="AC84" s="130" t="str">
        <f ca="1">IF(LEFT(B84,1)="B",_xll.INSTANCE.TBILL(A84,V84,Z84,TODAY()),_xll.INSTANCE.TNOTE(A84,V84,W84,X84,Y84,Z84,AA84,TODAY()))</f>
        <v>US912828PU86#0028</v>
      </c>
    </row>
    <row r="85" spans="1:29" x14ac:dyDescent="0.2">
      <c r="A85" s="131" t="s">
        <v>446</v>
      </c>
      <c r="B85" s="115" t="str">
        <f ca="1">_xll.BDP($A85 &amp; " Govt",B$1)</f>
        <v>T 4 1/4 11/15/13</v>
      </c>
      <c r="C85" s="372"/>
      <c r="D85" s="116"/>
      <c r="E85" s="117"/>
      <c r="F85" s="118"/>
      <c r="G85" s="377"/>
      <c r="H85" s="120">
        <f ca="1">IF(E85="",_xll.BDP(A85 &amp; " Govt","YLD_YTM_ASK")/100,E85)</f>
        <v>2.915965E-3</v>
      </c>
      <c r="I85" s="121">
        <f ca="1">_xll.INSTRUMENT.PRIX(AC85,D85,H85,cTreasuries)</f>
        <v>105.40573583134804</v>
      </c>
      <c r="J85" s="122">
        <f ca="1">_xll.INSTRUMENT.DV01(A85,,,I85,cContinuous,I85)</f>
        <v>-1.4210537056371292E-2</v>
      </c>
      <c r="K85" s="123">
        <f ca="1">_xll.INSTRUMENT.CONVEXITE(A85,,,I85,cContinuous,I85)</f>
        <v>1.822805813622812</v>
      </c>
      <c r="L85" s="123">
        <f ca="1">_xll.INSTRUMENT.Z.SPREAD(A85,swapCurve,I85,cContinuous,D85)</f>
        <v>-21.193246684444674</v>
      </c>
      <c r="M85" s="123">
        <f ca="1">_xll.INSTRUMENT.Z.SPREAD(A85,ustCurve,I85,cContinuous,D85)</f>
        <v>-5.1504282429098595E-2</v>
      </c>
      <c r="N85" s="123">
        <f ca="1">_xll.INSTRUMENT.Z.SPREAD(A85,oisCurve,I85,cContinuous,D85)</f>
        <v>10.246667458104469</v>
      </c>
      <c r="O85" s="124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8.585542142943122E-4</v>
      </c>
      <c r="P85" s="124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3.3956067622869651E-3</v>
      </c>
      <c r="Q85" s="379">
        <f ca="1">-(O85-curve!$S$3)/J85</f>
        <v>-6.0491242481398831E-2</v>
      </c>
      <c r="R85" s="381">
        <f t="shared" ca="1" si="1"/>
        <v>-128.27142326795857</v>
      </c>
      <c r="S85" s="199" t="str">
        <f>IF(F85&lt;&gt;"","",IF(G85="","",-G85*(SUMIF('bench Comparison'!$A:$A,"RESINV1USD",'bench Comparison'!$G:$G)+SUMIF('bench Comparison'!$A:$A,"RESSWAPORUSD",'bench Comparison'!$G:$G))/(36500*J85)))</f>
        <v/>
      </c>
      <c r="T85" s="210" t="str">
        <f>IF(G85&lt;&gt;"","",IF(F85="","",-36500*J85*F85/(SUMIF('bench Comparison'!$A:$A,"RESINV1USD",'bench Comparison'!$G:$G)+SUMIF('bench Comparison'!$A:$A,"RESSWAPORUSD",'bench Comparison'!$G:$G))))</f>
        <v/>
      </c>
      <c r="U85" s="125">
        <f>SUMIF('bench Comparison'!$E:$E,A85,'bench Comparison'!$N:$N)</f>
        <v>0</v>
      </c>
      <c r="V85" s="126">
        <f ca="1">VALUE(_xll.BDP($A85 &amp; " Corp",V$1))</f>
        <v>37942</v>
      </c>
      <c r="W85" s="127">
        <f ca="1">VALUE(_xll.BDP($A85 &amp; " Corp",W$1))</f>
        <v>37940</v>
      </c>
      <c r="X85" s="127">
        <f ca="1">VALUE(_xll.BDP($A85 &amp; " Corp",X$1))</f>
        <v>38122</v>
      </c>
      <c r="Y85" s="127">
        <f ca="1">VALUE(_xll.BDP($A85 &amp; " Corp",Y$1))</f>
        <v>41409</v>
      </c>
      <c r="Z85" s="127">
        <f ca="1">VALUE(_xll.BDP($A85 &amp; " Corp",Z$1))</f>
        <v>41593</v>
      </c>
      <c r="AA85" s="128">
        <f ca="1">_xll.BDP($A85 &amp; " Corp",AA$1)/100</f>
        <v>4.2500000000000003E-2</v>
      </c>
      <c r="AB85" s="129">
        <f ca="1">_xll.BDP($A85 &amp; " Corp",AB$1)</f>
        <v>30637000000</v>
      </c>
      <c r="AC85" s="130" t="str">
        <f ca="1">IF(LEFT(B85,1)="B",_xll.INSTANCE.TBILL(A85,V85,Z85,TODAY()),_xll.INSTANCE.TNOTE(A85,V85,W85,X85,Y85,Z85,AA85,TODAY()))</f>
        <v>US912828BR04#0028</v>
      </c>
    </row>
    <row r="86" spans="1:29" x14ac:dyDescent="0.2">
      <c r="A86" s="131" t="s">
        <v>54</v>
      </c>
      <c r="B86" s="115" t="str">
        <f ca="1">_xll.BDP($A86 &amp; " Govt",B$1)</f>
        <v>T 0 1/4 11/30/13</v>
      </c>
      <c r="C86" s="372"/>
      <c r="D86" s="116"/>
      <c r="E86" s="117"/>
      <c r="F86" s="118"/>
      <c r="G86" s="377"/>
      <c r="H86" s="120">
        <f ca="1">IF(E86="",_xll.BDP(A86 &amp; " Govt","YLD_YTM_ASK")/100,E86)</f>
        <v>2.9990960000000001E-3</v>
      </c>
      <c r="I86" s="121">
        <f ca="1">_xll.INSTRUMENT.PRIX(AC86,D86,H86,cTreasuries)</f>
        <v>99.92974310822558</v>
      </c>
      <c r="J86" s="122">
        <f ca="1">_xll.INSTRUMENT.DV01(A86,,,I86,cContinuous,I86)</f>
        <v>-1.415234173818977E-2</v>
      </c>
      <c r="K86" s="123">
        <f ca="1">_xll.INSTRUMENT.CONVEXITE(A86,,,I86,cContinuous,I86)</f>
        <v>2.0064097827389866</v>
      </c>
      <c r="L86" s="123">
        <f ca="1">_xll.INSTRUMENT.Z.SPREAD(A86,swapCurve,I86,cContinuous,D86)</f>
        <v>-20.737091048273161</v>
      </c>
      <c r="M86" s="123">
        <f ca="1">_xll.INSTRUMENT.Z.SPREAD(A86,ustCurve,I86,cContinuous,D86)</f>
        <v>0.84699279842706421</v>
      </c>
      <c r="N86" s="123">
        <f ca="1">_xll.INSTRUMENT.Z.SPREAD(A86,oisCurve,I86,cContinuous,D86)</f>
        <v>10.854624934992852</v>
      </c>
      <c r="O86" s="124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3.5598483608542458E-3</v>
      </c>
      <c r="P86" s="124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3.2341044164067669E-3</v>
      </c>
      <c r="Q86" s="379">
        <f ca="1">-(O86-curve!$S$3)/J86</f>
        <v>0.13013260545584057</v>
      </c>
      <c r="R86" s="381">
        <f t="shared" ca="1" si="1"/>
        <v>-141.7722819202942</v>
      </c>
      <c r="S86" s="199" t="str">
        <f>IF(F86&lt;&gt;"","",IF(G86="","",-G86*(SUMIF('bench Comparison'!$A:$A,"RESINV1USD",'bench Comparison'!$G:$G)+SUMIF('bench Comparison'!$A:$A,"RESSWAPORUSD",'bench Comparison'!$G:$G))/(36500*J86)))</f>
        <v/>
      </c>
      <c r="T86" s="210" t="str">
        <f>IF(G86&lt;&gt;"","",IF(F86="","",-36500*J86*F86/(SUMIF('bench Comparison'!$A:$A,"RESINV1USD",'bench Comparison'!$G:$G)+SUMIF('bench Comparison'!$A:$A,"RESSWAPORUSD",'bench Comparison'!$G:$G))))</f>
        <v/>
      </c>
      <c r="U86" s="125">
        <f>SUMIF('bench Comparison'!$E:$E,A86,'bench Comparison'!$N:$N)</f>
        <v>254531338.10767931</v>
      </c>
      <c r="V86" s="126">
        <f ca="1">VALUE(_xll.BDP($A86 &amp; " Corp",V$1))</f>
        <v>40877</v>
      </c>
      <c r="W86" s="127">
        <f ca="1">VALUE(_xll.BDP($A86 &amp; " Corp",W$1))</f>
        <v>40877</v>
      </c>
      <c r="X86" s="127">
        <f ca="1">VALUE(_xll.BDP($A86 &amp; " Corp",X$1))</f>
        <v>41060</v>
      </c>
      <c r="Y86" s="127">
        <f ca="1">VALUE(_xll.BDP($A86 &amp; " Corp",Y$1))</f>
        <v>41425</v>
      </c>
      <c r="Z86" s="127">
        <f ca="1">VALUE(_xll.BDP($A86 &amp; " Corp",Z$1))</f>
        <v>41608</v>
      </c>
      <c r="AA86" s="128">
        <f ca="1">_xll.BDP($A86 &amp; " Corp",AA$1)/100</f>
        <v>2.5000000000000001E-3</v>
      </c>
      <c r="AB86" s="129">
        <f ca="1">_xll.BDP($A86 &amp; " Corp",AB$1)</f>
        <v>36586000000</v>
      </c>
      <c r="AC86" s="130" t="str">
        <f ca="1">IF(LEFT(B86,1)="B",_xll.INSTANCE.TBILL(A86,V86,Z86,TODAY()),_xll.INSTANCE.TNOTE(A86,V86,W86,X86,Y86,Z86,AA86,TODAY()))</f>
        <v>US912828RS13#0028</v>
      </c>
    </row>
    <row r="87" spans="1:29" x14ac:dyDescent="0.2">
      <c r="A87" s="131" t="s">
        <v>448</v>
      </c>
      <c r="B87" s="115" t="str">
        <f ca="1">_xll.BDP($A87 &amp; " Govt",B$1)</f>
        <v>T 2 11/30/13</v>
      </c>
      <c r="C87" s="372"/>
      <c r="D87" s="116"/>
      <c r="E87" s="117"/>
      <c r="F87" s="118"/>
      <c r="G87" s="377"/>
      <c r="H87" s="120">
        <f ca="1">IF(E87="",_xll.BDP(A87 &amp; " Govt","YLD_YTM_ASK")/100,E87)</f>
        <v>2.8898600000000002E-3</v>
      </c>
      <c r="I87" s="121">
        <f ca="1">_xll.INSTRUMENT.PRIX(AC87,D87,H87,cTreasuries)</f>
        <v>102.41021470345882</v>
      </c>
      <c r="J87" s="122">
        <f ca="1">_xll.INSTRUMENT.DV01(A87,,,I87,cContinuous,I87)</f>
        <v>-1.4393629603345465E-2</v>
      </c>
      <c r="K87" s="123">
        <f ca="1">_xll.INSTRUMENT.CONVEXITE(A87,,,I87,cContinuous,I87)</f>
        <v>1.9807896165754546</v>
      </c>
      <c r="L87" s="123">
        <f ca="1">_xll.INSTRUMENT.Z.SPREAD(A87,swapCurve,I87,cContinuous,D87)</f>
        <v>-21.797238467604892</v>
      </c>
      <c r="M87" s="123">
        <f ca="1">_xll.INSTRUMENT.Z.SPREAD(A87,ustCurve,I87,cContinuous,D87)</f>
        <v>-0.50176698567040301</v>
      </c>
      <c r="N87" s="123">
        <f ca="1">_xll.INSTRUMENT.Z.SPREAD(A87,oisCurve,I87,cContinuous,D87)</f>
        <v>9.7753613005870221</v>
      </c>
      <c r="O87" s="124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2.2666192693593769E-3</v>
      </c>
      <c r="P87" s="124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3.1701767490964015E-3</v>
      </c>
      <c r="Q87" s="379">
        <f ca="1">-(O87-curve!$S$3)/J87</f>
        <v>3.8103801981241088E-2</v>
      </c>
      <c r="R87" s="381">
        <f t="shared" ca="1" si="1"/>
        <v>-137.61571411529624</v>
      </c>
      <c r="S87" s="199" t="str">
        <f>IF(F87&lt;&gt;"","",IF(G87="","",-G87*(SUMIF('bench Comparison'!$A:$A,"RESINV1USD",'bench Comparison'!$G:$G)+SUMIF('bench Comparison'!$A:$A,"RESSWAPORUSD",'bench Comparison'!$G:$G))/(36500*J87)))</f>
        <v/>
      </c>
      <c r="T87" s="210" t="str">
        <f>IF(G87&lt;&gt;"","",IF(F87="","",-36500*J87*F87/(SUMIF('bench Comparison'!$A:$A,"RESINV1USD",'bench Comparison'!$G:$G)+SUMIF('bench Comparison'!$A:$A,"RESSWAPORUSD",'bench Comparison'!$G:$G))))</f>
        <v/>
      </c>
      <c r="U87" s="125">
        <f>SUMIF('bench Comparison'!$E:$E,A87,'bench Comparison'!$N:$N)</f>
        <v>0</v>
      </c>
      <c r="V87" s="126">
        <f ca="1">VALUE(_xll.BDP($A87 &amp; " Corp",V$1))</f>
        <v>39783</v>
      </c>
      <c r="W87" s="127">
        <f ca="1">VALUE(_xll.BDP($A87 &amp; " Corp",W$1))</f>
        <v>39782</v>
      </c>
      <c r="X87" s="127">
        <f ca="1">VALUE(_xll.BDP($A87 &amp; " Corp",X$1))</f>
        <v>39964</v>
      </c>
      <c r="Y87" s="127">
        <f ca="1">VALUE(_xll.BDP($A87 &amp; " Corp",Y$1))</f>
        <v>41425</v>
      </c>
      <c r="Z87" s="127">
        <f ca="1">VALUE(_xll.BDP($A87 &amp; " Corp",Z$1))</f>
        <v>41608</v>
      </c>
      <c r="AA87" s="128">
        <f ca="1">_xll.BDP($A87 &amp; " Corp",AA$1)/100</f>
        <v>0.02</v>
      </c>
      <c r="AB87" s="129">
        <f ca="1">_xll.BDP($A87 &amp; " Corp",AB$1)</f>
        <v>27819000000</v>
      </c>
      <c r="AC87" s="130" t="str">
        <f ca="1">IF(LEFT(B87,1)="B",_xll.INSTANCE.TBILL(A87,V87,Z87,TODAY()),_xll.INSTANCE.TNOTE(A87,V87,W87,X87,Y87,Z87,AA87,TODAY()))</f>
        <v>US912828JT87#0028</v>
      </c>
    </row>
    <row r="88" spans="1:29" x14ac:dyDescent="0.2">
      <c r="A88" s="131" t="s">
        <v>449</v>
      </c>
      <c r="B88" s="115" t="str">
        <f ca="1">_xll.BDP($A88 &amp; " Govt",B$1)</f>
        <v>T 0 3/4 12/15/13</v>
      </c>
      <c r="C88" s="372"/>
      <c r="D88" s="116"/>
      <c r="E88" s="117"/>
      <c r="F88" s="118"/>
      <c r="G88" s="377"/>
      <c r="H88" s="120">
        <f ca="1">IF(E88="",_xll.BDP(A88 &amp; " Govt","YLD_YTM_ASK")/100,E88)</f>
        <v>3.0255900000000003E-3</v>
      </c>
      <c r="I88" s="121">
        <f ca="1">_xll.INSTRUMENT.PRIX(AC88,D88,H88,cTreasuries)</f>
        <v>100.64846761701462</v>
      </c>
      <c r="J88" s="122">
        <f ca="1">_xll.INSTRUMENT.DV01(A88,,,I88,cContinuous,I88)</f>
        <v>-1.4605147510206902E-2</v>
      </c>
      <c r="K88" s="123">
        <f ca="1">_xll.INSTRUMENT.CONVEXITE(A88,,,I88,cContinuous,I88)</f>
        <v>2.1088419929129576</v>
      </c>
      <c r="L88" s="123">
        <f ca="1">_xll.INSTRUMENT.Z.SPREAD(A88,swapCurve,I88,cContinuous,D88)</f>
        <v>-20.587327200442775</v>
      </c>
      <c r="M88" s="123">
        <f ca="1">_xll.INSTRUMENT.Z.SPREAD(A88,ustCurve,I88,cContinuous,D88)</f>
        <v>0.75443872902741416</v>
      </c>
      <c r="N88" s="123">
        <f ca="1">_xll.INSTRUMENT.Z.SPREAD(A88,oisCurve,I88,cContinuous,D88)</f>
        <v>11.089685490062882</v>
      </c>
      <c r="O88" s="124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3.1912451826112838E-3</v>
      </c>
      <c r="P88" s="124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3.2767453999693703E-3</v>
      </c>
      <c r="Q88" s="379">
        <f ca="1">-(O88-curve!$S$3)/J88</f>
        <v>0.10086018812337515</v>
      </c>
      <c r="R88" s="381">
        <f t="shared" ca="1" si="1"/>
        <v>-144.39032481111059</v>
      </c>
      <c r="S88" s="199" t="str">
        <f>IF(F88&lt;&gt;"","",IF(G88="","",-G88*(SUMIF('bench Comparison'!$A:$A,"RESINV1USD",'bench Comparison'!$G:$G)+SUMIF('bench Comparison'!$A:$A,"RESSWAPORUSD",'bench Comparison'!$G:$G))/(36500*J88)))</f>
        <v/>
      </c>
      <c r="T88" s="210" t="str">
        <f>IF(G88&lt;&gt;"","",IF(F88="","",-36500*J88*F88/(SUMIF('bench Comparison'!$A:$A,"RESINV1USD",'bench Comparison'!$G:$G)+SUMIF('bench Comparison'!$A:$A,"RESSWAPORUSD",'bench Comparison'!$G:$G))))</f>
        <v/>
      </c>
      <c r="U88" s="125">
        <f>SUMIF('bench Comparison'!$E:$E,A88,'bench Comparison'!$N:$N)</f>
        <v>0</v>
      </c>
      <c r="V88" s="126">
        <f ca="1">VALUE(_xll.BDP($A88 &amp; " Corp",V$1))</f>
        <v>40527</v>
      </c>
      <c r="W88" s="127">
        <f ca="1">VALUE(_xll.BDP($A88 &amp; " Corp",W$1))</f>
        <v>40527</v>
      </c>
      <c r="X88" s="127">
        <f ca="1">VALUE(_xll.BDP($A88 &amp; " Corp",X$1))</f>
        <v>40709</v>
      </c>
      <c r="Y88" s="127">
        <f ca="1">VALUE(_xll.BDP($A88 &amp; " Corp",Y$1))</f>
        <v>41440</v>
      </c>
      <c r="Z88" s="127">
        <f ca="1">VALUE(_xll.BDP($A88 &amp; " Corp",Z$1))</f>
        <v>41623</v>
      </c>
      <c r="AA88" s="128">
        <f ca="1">_xll.BDP($A88 &amp; " Corp",AA$1)/100</f>
        <v>7.4999999999999997E-3</v>
      </c>
      <c r="AB88" s="129">
        <f ca="1">_xll.BDP($A88 &amp; " Corp",AB$1)</f>
        <v>32468000000.000004</v>
      </c>
      <c r="AC88" s="130" t="str">
        <f ca="1">IF(LEFT(B88,1)="B",_xll.INSTANCE.TBILL(A88,V88,Z88,TODAY()),_xll.INSTANCE.TNOTE(A88,V88,W88,X88,Y88,Z88,AA88,TODAY()))</f>
        <v>US912828PL87#0028</v>
      </c>
    </row>
    <row r="89" spans="1:29" x14ac:dyDescent="0.2">
      <c r="A89" s="131" t="s">
        <v>198</v>
      </c>
      <c r="B89" s="115" t="str">
        <f ca="1">_xll.BDP($A89 &amp; " Govt",B$1)</f>
        <v>T 0 1/8 12/31/13</v>
      </c>
      <c r="C89" s="372"/>
      <c r="D89" s="116"/>
      <c r="E89" s="117"/>
      <c r="F89" s="118"/>
      <c r="G89" s="377"/>
      <c r="H89" s="120">
        <f ca="1">IF(E89="",_xll.BDP(A89 &amp; " Govt","YLD_YTM_ASK")/100,E89)</f>
        <v>3.0063859999999998E-3</v>
      </c>
      <c r="I89" s="121">
        <f ca="1">_xll.INSTRUMENT.PRIX(AC89,D89,H89,cTreasuries)</f>
        <v>99.737472957795759</v>
      </c>
      <c r="J89" s="122">
        <f ca="1">_xll.INSTRUMENT.DV01(A89,,,I89,cContinuous,I89)</f>
        <v>-1.4924021302928374E-2</v>
      </c>
      <c r="K89" s="123">
        <f ca="1">_xll.INSTRUMENT.CONVEXITE(A89,,,I89,cContinuous,I89)</f>
        <v>2.2397593951117818</v>
      </c>
      <c r="L89" s="123">
        <f ca="1">_xll.INSTRUMENT.Z.SPREAD(A89,swapCurve,I89,cContinuous,D89)</f>
        <v>-20.934518265640907</v>
      </c>
      <c r="M89" s="123">
        <f ca="1">_xll.INSTRUMENT.Z.SPREAD(A89,ustCurve,I89,cContinuous,D89)</f>
        <v>0.35105139696981885</v>
      </c>
      <c r="N89" s="123">
        <f ca="1">_xll.INSTRUMENT.Z.SPREAD(A89,oisCurve,I89,cContinuous,D89)</f>
        <v>10.84622095964008</v>
      </c>
      <c r="O89" s="124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3.5485010282473475E-3</v>
      </c>
      <c r="P89" s="124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3.2557283757173E-3</v>
      </c>
      <c r="Q89" s="379">
        <f ca="1">-(O89-curve!$S$3)/J89</f>
        <v>0.12264347081346165</v>
      </c>
      <c r="R89" s="381">
        <f t="shared" ca="1" si="1"/>
        <v>-150.0774723949435</v>
      </c>
      <c r="S89" s="199" t="str">
        <f>IF(F89&lt;&gt;"","",IF(G89="","",-G89*(SUMIF('bench Comparison'!$A:$A,"RESINV1USD",'bench Comparison'!$G:$G)+SUMIF('bench Comparison'!$A:$A,"RESSWAPORUSD",'bench Comparison'!$G:$G))/(36500*J89)))</f>
        <v/>
      </c>
      <c r="T89" s="210" t="str">
        <f>IF(G89&lt;&gt;"","",IF(F89="","",-36500*J89*F89/(SUMIF('bench Comparison'!$A:$A,"RESINV1USD",'bench Comparison'!$G:$G)+SUMIF('bench Comparison'!$A:$A,"RESSWAPORUSD",'bench Comparison'!$G:$G))))</f>
        <v/>
      </c>
      <c r="U89" s="125">
        <f>SUMIF('bench Comparison'!$E:$E,A89,'bench Comparison'!$N:$N)</f>
        <v>-431628954.78151828</v>
      </c>
      <c r="V89" s="126">
        <f ca="1">VALUE(_xll.BDP($A89 &amp; " Corp",V$1))</f>
        <v>40911</v>
      </c>
      <c r="W89" s="127">
        <f ca="1">VALUE(_xll.BDP($A89 &amp; " Corp",W$1))</f>
        <v>40908</v>
      </c>
      <c r="X89" s="127">
        <f ca="1">VALUE(_xll.BDP($A89 &amp; " Corp",X$1))</f>
        <v>41090</v>
      </c>
      <c r="Y89" s="127">
        <f ca="1">VALUE(_xll.BDP($A89 &amp; " Corp",Y$1))</f>
        <v>41455</v>
      </c>
      <c r="Z89" s="127">
        <f ca="1">VALUE(_xll.BDP($A89 &amp; " Corp",Z$1))</f>
        <v>41639</v>
      </c>
      <c r="AA89" s="128">
        <f ca="1">_xll.BDP($A89 &amp; " Corp",AA$1)/100</f>
        <v>1.25E-3</v>
      </c>
      <c r="AB89" s="129">
        <f ca="1">_xll.BDP($A89 &amp; " Corp",AB$1)</f>
        <v>36133000000</v>
      </c>
      <c r="AC89" s="130" t="str">
        <f ca="1">IF(LEFT(B89,1)="B",_xll.INSTANCE.TBILL(A89,V89,Z89,TODAY()),_xll.INSTANCE.TNOTE(A89,V89,W89,X89,Y89,Z89,AA89,TODAY()))</f>
        <v>US912828RW25#0028</v>
      </c>
    </row>
    <row r="90" spans="1:29" x14ac:dyDescent="0.2">
      <c r="A90" s="131" t="s">
        <v>450</v>
      </c>
      <c r="B90" s="115" t="str">
        <f ca="1">_xll.BDP($A90 &amp; " Govt",B$1)</f>
        <v>T 1 1/2 12/31/13</v>
      </c>
      <c r="C90" s="372"/>
      <c r="D90" s="116"/>
      <c r="E90" s="117"/>
      <c r="F90" s="118"/>
      <c r="G90" s="377"/>
      <c r="H90" s="120">
        <f ca="1">IF(E90="",_xll.BDP(A90 &amp; " Govt","YLD_YTM_ASK")/100,E90)</f>
        <v>3.0714679999999999E-3</v>
      </c>
      <c r="I90" s="121">
        <f ca="1">_xll.INSTRUMENT.PRIX(AC90,D90,H90,cTreasuries)</f>
        <v>101.77650959155106</v>
      </c>
      <c r="J90" s="122">
        <f ca="1">_xll.INSTRUMENT.DV01(A90,,,I90,cContinuous,I90)</f>
        <v>-1.5127428786242856E-2</v>
      </c>
      <c r="K90" s="123">
        <f ca="1">_xll.INSTRUMENT.CONVEXITE(A90,,,I90,cContinuous,I90)</f>
        <v>2.21793173225258</v>
      </c>
      <c r="L90" s="123">
        <f ca="1">_xll.INSTRUMENT.Z.SPREAD(A90,swapCurve,I90,cContinuous,D90)</f>
        <v>-20.260787730177803</v>
      </c>
      <c r="M90" s="123">
        <f ca="1">_xll.INSTRUMENT.Z.SPREAD(A90,ustCurve,I90,cContinuous,D90)</f>
        <v>0.80911370201382016</v>
      </c>
      <c r="N90" s="123">
        <f ca="1">_xll.INSTRUMENT.Z.SPREAD(A90,oisCurve,I90,cContinuous,D90)</f>
        <v>11.500641845700116</v>
      </c>
      <c r="O90" s="124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2.7681952737408613E-3</v>
      </c>
      <c r="P90" s="124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3.4279164353752359E-3</v>
      </c>
      <c r="Q90" s="379">
        <f ca="1">-(O90-curve!$S$3)/J90</f>
        <v>6.9412193665958841E-2</v>
      </c>
      <c r="R90" s="381">
        <f t="shared" ca="1" si="1"/>
        <v>-146.61657070695355</v>
      </c>
      <c r="S90" s="199" t="str">
        <f>IF(F90&lt;&gt;"","",IF(G90="","",-G90*(SUMIF('bench Comparison'!$A:$A,"RESINV1USD",'bench Comparison'!$G:$G)+SUMIF('bench Comparison'!$A:$A,"RESSWAPORUSD",'bench Comparison'!$G:$G))/(36500*J90)))</f>
        <v/>
      </c>
      <c r="T90" s="210" t="str">
        <f>IF(G90&lt;&gt;"","",IF(F90="","",-36500*J90*F90/(SUMIF('bench Comparison'!$A:$A,"RESINV1USD",'bench Comparison'!$G:$G)+SUMIF('bench Comparison'!$A:$A,"RESSWAPORUSD",'bench Comparison'!$G:$G))))</f>
        <v/>
      </c>
      <c r="U90" s="125">
        <f>SUMIF('bench Comparison'!$E:$E,A90,'bench Comparison'!$N:$N)</f>
        <v>0</v>
      </c>
      <c r="V90" s="126">
        <f ca="1">VALUE(_xll.BDP($A90 &amp; " Corp",V$1))</f>
        <v>39813</v>
      </c>
      <c r="W90" s="127">
        <f ca="1">VALUE(_xll.BDP($A90 &amp; " Corp",W$1))</f>
        <v>39813</v>
      </c>
      <c r="X90" s="127">
        <f ca="1">VALUE(_xll.BDP($A90 &amp; " Corp",X$1))</f>
        <v>39994</v>
      </c>
      <c r="Y90" s="127">
        <f ca="1">VALUE(_xll.BDP($A90 &amp; " Corp",Y$1))</f>
        <v>41455</v>
      </c>
      <c r="Z90" s="127">
        <f ca="1">VALUE(_xll.BDP($A90 &amp; " Corp",Z$1))</f>
        <v>41639</v>
      </c>
      <c r="AA90" s="128">
        <f ca="1">_xll.BDP($A90 &amp; " Corp",AA$1)/100</f>
        <v>1.4999999999999999E-2</v>
      </c>
      <c r="AB90" s="129">
        <f ca="1">_xll.BDP($A90 &amp; " Corp",AB$1)</f>
        <v>30044000000</v>
      </c>
      <c r="AC90" s="130" t="str">
        <f ca="1">IF(LEFT(B90,1)="B",_xll.INSTANCE.TBILL(A90,V90,Z90,TODAY()),_xll.INSTANCE.TNOTE(A90,V90,W90,X90,Y90,Z90,AA90,TODAY()))</f>
        <v>US912828JW17#0028</v>
      </c>
    </row>
    <row r="91" spans="1:29" x14ac:dyDescent="0.2">
      <c r="A91" s="131" t="s">
        <v>451</v>
      </c>
      <c r="B91" s="115" t="str">
        <f ca="1">_xll.BDP($A91 &amp; " Govt",B$1)</f>
        <v>T 1 01/15/14</v>
      </c>
      <c r="C91" s="372"/>
      <c r="D91" s="116"/>
      <c r="E91" s="117"/>
      <c r="F91" s="118"/>
      <c r="G91" s="377"/>
      <c r="H91" s="120">
        <f ca="1">IF(E91="",_xll.BDP(A91 &amp; " Govt","YLD_YTM_ASK")/100,E91)</f>
        <v>3.110345E-3</v>
      </c>
      <c r="I91" s="121">
        <f ca="1">_xll.INSTRUMENT.PRIX(AC91,D91,H91,cTreasuries)</f>
        <v>101.0538556403223</v>
      </c>
      <c r="J91" s="122">
        <f ca="1">_xll.INSTRUMENT.DV01(A91,,,I91,cContinuous,I91)</f>
        <v>-1.5467056744024332E-2</v>
      </c>
      <c r="K91" s="123">
        <f ca="1">_xll.INSTRUMENT.CONVEXITE(A91,,,I91,cContinuous,I91)</f>
        <v>2.338314449600853</v>
      </c>
      <c r="L91" s="123">
        <f ca="1">_xll.INSTRUMENT.Z.SPREAD(A91,swapCurve,I91,cContinuous,D91)</f>
        <v>-20.085950069051748</v>
      </c>
      <c r="M91" s="123">
        <f ca="1">_xll.INSTRUMENT.Z.SPREAD(A91,ustCurve,I91,cContinuous,D91)</f>
        <v>0.91893139774879351</v>
      </c>
      <c r="N91" s="123">
        <f ca="1">_xll.INSTRUMENT.Z.SPREAD(A91,oisCurve,I91,cContinuous,D91)</f>
        <v>11.76956289825598</v>
      </c>
      <c r="O91" s="124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3.1294537750965277E-3</v>
      </c>
      <c r="P91" s="124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3.4541930598004891E-3</v>
      </c>
      <c r="Q91" s="379">
        <f ca="1">-(O91-curve!$S$3)/J91</f>
        <v>9.1244671904343017E-2</v>
      </c>
      <c r="R91" s="381">
        <f t="shared" ca="1" si="1"/>
        <v>-151.18031105072762</v>
      </c>
      <c r="S91" s="199" t="str">
        <f>IF(F91&lt;&gt;"","",IF(G91="","",-G91*(SUMIF('bench Comparison'!$A:$A,"RESINV1USD",'bench Comparison'!$G:$G)+SUMIF('bench Comparison'!$A:$A,"RESSWAPORUSD",'bench Comparison'!$G:$G))/(36500*J91)))</f>
        <v/>
      </c>
      <c r="T91" s="210" t="str">
        <f>IF(G91&lt;&gt;"","",IF(F91="","",-36500*J91*F91/(SUMIF('bench Comparison'!$A:$A,"RESINV1USD",'bench Comparison'!$G:$G)+SUMIF('bench Comparison'!$A:$A,"RESSWAPORUSD",'bench Comparison'!$G:$G))))</f>
        <v/>
      </c>
      <c r="U91" s="125">
        <f>SUMIF('bench Comparison'!$E:$E,A91,'bench Comparison'!$N:$N)</f>
        <v>0</v>
      </c>
      <c r="V91" s="126">
        <f ca="1">VALUE(_xll.BDP($A91 &amp; " Corp",V$1))</f>
        <v>40561</v>
      </c>
      <c r="W91" s="127">
        <f ca="1">VALUE(_xll.BDP($A91 &amp; " Corp",W$1))</f>
        <v>40558</v>
      </c>
      <c r="X91" s="127">
        <f ca="1">VALUE(_xll.BDP($A91 &amp; " Corp",X$1))</f>
        <v>40739</v>
      </c>
      <c r="Y91" s="127">
        <f ca="1">VALUE(_xll.BDP($A91 &amp; " Corp",Y$1))</f>
        <v>41470</v>
      </c>
      <c r="Z91" s="127">
        <f ca="1">VALUE(_xll.BDP($A91 &amp; " Corp",Z$1))</f>
        <v>41654</v>
      </c>
      <c r="AA91" s="128">
        <f ca="1">_xll.BDP($A91 &amp; " Corp",AA$1)/100</f>
        <v>0.01</v>
      </c>
      <c r="AB91" s="129">
        <f ca="1">_xll.BDP($A91 &amp; " Corp",AB$1)</f>
        <v>32701000000.000004</v>
      </c>
      <c r="AC91" s="130" t="str">
        <f ca="1">IF(LEFT(B91,1)="B",_xll.INSTANCE.TBILL(A91,V91,Z91,TODAY()),_xll.INSTANCE.TNOTE(A91,V91,W91,X91,Y91,Z91,AA91,TODAY()))</f>
        <v>US912828PQ74#0028</v>
      </c>
    </row>
    <row r="92" spans="1:29" x14ac:dyDescent="0.2">
      <c r="A92" s="131" t="s">
        <v>452</v>
      </c>
      <c r="B92" s="115" t="str">
        <f ca="1">_xll.BDP($A92 &amp; " Govt",B$1)</f>
        <v>T 1 3/4 01/31/14</v>
      </c>
      <c r="C92" s="372"/>
      <c r="D92" s="116"/>
      <c r="E92" s="117"/>
      <c r="F92" s="118"/>
      <c r="G92" s="377"/>
      <c r="H92" s="120">
        <f ca="1">IF(E92="",_xll.BDP(A92 &amp; " Govt","YLD_YTM_ASK")/100,E92)</f>
        <v>3.1106129999999999E-3</v>
      </c>
      <c r="I92" s="121">
        <f ca="1">_xll.INSTRUMENT.PRIX(AC92,D92,H92,cTreasuries)</f>
        <v>102.26481941960185</v>
      </c>
      <c r="J92" s="122">
        <f ca="1">_xll.INSTRUMENT.DV01(A92,,,I92,cContinuous,I92)</f>
        <v>-1.6033845134959198E-2</v>
      </c>
      <c r="K92" s="123">
        <f ca="1">_xll.INSTRUMENT.CONVEXITE(A92,,,I92,cContinuous,I92)</f>
        <v>2.4524154454508591</v>
      </c>
      <c r="L92" s="123">
        <f ca="1">_xll.INSTRUMENT.Z.SPREAD(A92,swapCurve,I92,cContinuous,D92)</f>
        <v>-20.2876903954493</v>
      </c>
      <c r="M92" s="123">
        <f ca="1">_xll.INSTRUMENT.Z.SPREAD(A92,ustCurve,I92,cContinuous,D92)</f>
        <v>0.4645541989097538</v>
      </c>
      <c r="N92" s="123">
        <f ca="1">_xll.INSTRUMENT.Z.SPREAD(A92,oisCurve,I92,cContinuous,D92)</f>
        <v>11.641472971206522</v>
      </c>
      <c r="O92" s="124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2.6068763140236115E-3</v>
      </c>
      <c r="P92" s="124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3.5154048973515253E-3</v>
      </c>
      <c r="Q92" s="379">
        <f ca="1">-(O92-curve!$S$3)/J92</f>
        <v>5.5427070012280089E-2</v>
      </c>
      <c r="R92" s="381">
        <f t="shared" ca="1" si="1"/>
        <v>-152.95242188062332</v>
      </c>
      <c r="S92" s="199" t="str">
        <f>IF(F92&lt;&gt;"","",IF(G92="","",-G92*(SUMIF('bench Comparison'!$A:$A,"RESINV1USD",'bench Comparison'!$G:$G)+SUMIF('bench Comparison'!$A:$A,"RESSWAPORUSD",'bench Comparison'!$G:$G))/(36500*J92)))</f>
        <v/>
      </c>
      <c r="T92" s="210" t="str">
        <f>IF(G92&lt;&gt;"","",IF(F92="","",-36500*J92*F92/(SUMIF('bench Comparison'!$A:$A,"RESINV1USD",'bench Comparison'!$G:$G)+SUMIF('bench Comparison'!$A:$A,"RESSWAPORUSD",'bench Comparison'!$G:$G))))</f>
        <v/>
      </c>
      <c r="U92" s="125">
        <f>SUMIF('bench Comparison'!$E:$E,A92,'bench Comparison'!$N:$N)</f>
        <v>0</v>
      </c>
      <c r="V92" s="126">
        <f ca="1">VALUE(_xll.BDP($A92 &amp; " Corp",V$1))</f>
        <v>39846</v>
      </c>
      <c r="W92" s="127">
        <f ca="1">VALUE(_xll.BDP($A92 &amp; " Corp",W$1))</f>
        <v>39844</v>
      </c>
      <c r="X92" s="127">
        <f ca="1">VALUE(_xll.BDP($A92 &amp; " Corp",X$1))</f>
        <v>40025</v>
      </c>
      <c r="Y92" s="127">
        <f ca="1">VALUE(_xll.BDP($A92 &amp; " Corp",Y$1))</f>
        <v>41486</v>
      </c>
      <c r="Z92" s="127">
        <f ca="1">VALUE(_xll.BDP($A92 &amp; " Corp",Z$1))</f>
        <v>41670</v>
      </c>
      <c r="AA92" s="128">
        <f ca="1">_xll.BDP($A92 &amp; " Corp",AA$1)/100</f>
        <v>1.7500000000000002E-2</v>
      </c>
      <c r="AB92" s="129">
        <f ca="1">_xll.BDP($A92 &amp; " Corp",AB$1)</f>
        <v>31273000000</v>
      </c>
      <c r="AC92" s="130" t="str">
        <f ca="1">IF(LEFT(B92,1)="B",_xll.INSTANCE.TBILL(A92,V92,Z92,TODAY()),_xll.INSTANCE.TNOTE(A92,V92,W92,X92,Y92,Z92,AA92,TODAY()))</f>
        <v>US912828JZ48#0028</v>
      </c>
    </row>
    <row r="93" spans="1:29" x14ac:dyDescent="0.2">
      <c r="A93" s="131" t="s">
        <v>56</v>
      </c>
      <c r="B93" s="115" t="str">
        <f ca="1">_xll.BDP($A93 &amp; " Govt",B$1)</f>
        <v>T 0 1/4 01/31/14</v>
      </c>
      <c r="C93" s="372"/>
      <c r="D93" s="116"/>
      <c r="E93" s="117"/>
      <c r="F93" s="118"/>
      <c r="G93" s="377"/>
      <c r="H93" s="120">
        <f ca="1">IF(E93="",_xll.BDP(A93 &amp; " Govt","YLD_YTM_ASK")/100,E93)</f>
        <v>3.070485E-3</v>
      </c>
      <c r="I93" s="121">
        <f ca="1">_xll.INSTRUMENT.PRIX(AC93,D93,H93,cTreasuries)</f>
        <v>99.909368621516577</v>
      </c>
      <c r="J93" s="122">
        <f ca="1">_xll.INSTRUMENT.DV01(A93,,,I93,cContinuous,I93)</f>
        <v>-1.5786651010950149E-2</v>
      </c>
      <c r="K93" s="123">
        <f ca="1">_xll.INSTRUMENT.CONVEXITE(A93,,,I93,cContinuous,I93)</f>
        <v>2.4958399045636246</v>
      </c>
      <c r="L93" s="123">
        <f ca="1">_xll.INSTRUMENT.Z.SPREAD(A93,swapCurve,I93,cContinuous,D93)</f>
        <v>-20.726879805207663</v>
      </c>
      <c r="M93" s="123">
        <f ca="1">_xll.INSTRUMENT.Z.SPREAD(A93,ustCurve,I93,cContinuous,D93)</f>
        <v>0.25020009735386994</v>
      </c>
      <c r="N93" s="123">
        <f ca="1">_xll.INSTRUMENT.Z.SPREAD(A93,oisCurve,I93,cContinuous,D93)</f>
        <v>11.23255135049375</v>
      </c>
      <c r="O93" s="124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3.634644961946655E-3</v>
      </c>
      <c r="P93" s="124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3.408979886689617E-3</v>
      </c>
      <c r="Q93" s="379">
        <f ca="1">-(O93-curve!$S$3)/J93</f>
        <v>0.12139862365077624</v>
      </c>
      <c r="R93" s="381">
        <f t="shared" ca="1" si="1"/>
        <v>-158.09812371429675</v>
      </c>
      <c r="S93" s="199" t="str">
        <f>IF(F93&lt;&gt;"","",IF(G93="","",-G93*(SUMIF('bench Comparison'!$A:$A,"RESINV1USD",'bench Comparison'!$G:$G)+SUMIF('bench Comparison'!$A:$A,"RESSWAPORUSD",'bench Comparison'!$G:$G))/(36500*J93)))</f>
        <v/>
      </c>
      <c r="T93" s="210" t="str">
        <f>IF(G93&lt;&gt;"","",IF(F93="","",-36500*J93*F93/(SUMIF('bench Comparison'!$A:$A,"RESINV1USD",'bench Comparison'!$G:$G)+SUMIF('bench Comparison'!$A:$A,"RESSWAPORUSD",'bench Comparison'!$G:$G))))</f>
        <v/>
      </c>
      <c r="U93" s="125">
        <f>SUMIF('bench Comparison'!$E:$E,A93,'bench Comparison'!$N:$N)</f>
        <v>706531338.10767937</v>
      </c>
      <c r="V93" s="126">
        <f ca="1">VALUE(_xll.BDP($A93 &amp; " Corp",V$1))</f>
        <v>40939</v>
      </c>
      <c r="W93" s="127">
        <f ca="1">VALUE(_xll.BDP($A93 &amp; " Corp",W$1))</f>
        <v>40939</v>
      </c>
      <c r="X93" s="127">
        <f ca="1">VALUE(_xll.BDP($A93 &amp; " Corp",X$1))</f>
        <v>41121</v>
      </c>
      <c r="Y93" s="127">
        <f ca="1">VALUE(_xll.BDP($A93 &amp; " Corp",Y$1))</f>
        <v>41486</v>
      </c>
      <c r="Z93" s="127">
        <f ca="1">VALUE(_xll.BDP($A93 &amp; " Corp",Z$1))</f>
        <v>41670</v>
      </c>
      <c r="AA93" s="128">
        <f ca="1">_xll.BDP($A93 &amp; " Corp",AA$1)/100</f>
        <v>2.5000000000000001E-3</v>
      </c>
      <c r="AB93" s="129">
        <f ca="1">_xll.BDP($A93 &amp; " Corp",AB$1)</f>
        <v>35660000000</v>
      </c>
      <c r="AC93" s="130" t="str">
        <f ca="1">IF(LEFT(B93,1)="B",_xll.INSTANCE.TBILL(A93,V93,Z93,TODAY()),_xll.INSTANCE.TNOTE(A93,V93,W93,X93,Y93,Z93,AA93,TODAY()))</f>
        <v>US912828SB78#0028</v>
      </c>
    </row>
    <row r="94" spans="1:29" x14ac:dyDescent="0.2">
      <c r="A94" s="131" t="s">
        <v>453</v>
      </c>
      <c r="B94" s="115" t="str">
        <f ca="1">_xll.BDP($A94 &amp; " Govt",B$1)</f>
        <v>T 1 1/4 02/15/14</v>
      </c>
      <c r="C94" s="372"/>
      <c r="D94" s="116"/>
      <c r="E94" s="117"/>
      <c r="F94" s="118"/>
      <c r="G94" s="377"/>
      <c r="H94" s="120">
        <f ca="1">IF(E94="",_xll.BDP(A94 &amp; " Govt","YLD_YTM_ASK")/100,E94)</f>
        <v>3.1896960000000001E-3</v>
      </c>
      <c r="I94" s="121">
        <f ca="1">_xll.INSTRUMENT.PRIX(AC94,D94,H94,cTreasuries)</f>
        <v>101.50311291632029</v>
      </c>
      <c r="J94" s="122">
        <f ca="1">_xll.INSTRUMENT.DV01(A94,,,I94,cContinuous,I94)</f>
        <v>-1.6448390314645445E-2</v>
      </c>
      <c r="K94" s="123">
        <f ca="1">_xll.INSTRUMENT.CONVEXITE(A94,,,I94,cContinuous,I94)</f>
        <v>2.6230837335218773</v>
      </c>
      <c r="L94" s="123">
        <f ca="1">_xll.INSTRUMENT.Z.SPREAD(A94,swapCurve,I94,cContinuous,D94)</f>
        <v>-19.926816349477349</v>
      </c>
      <c r="M94" s="123">
        <f ca="1">_xll.INSTRUMENT.Z.SPREAD(A94,ustCurve,I94,cContinuous,D94)</f>
        <v>0.75242473843027469</v>
      </c>
      <c r="N94" s="123">
        <f ca="1">_xll.INSTRUMENT.Z.SPREAD(A94,oisCurve,I94,cContinuous,D94)</f>
        <v>12.106997514133855</v>
      </c>
      <c r="O94" s="124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3.4602820517308434E-3</v>
      </c>
      <c r="P94" s="124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3.697959366834602E-3</v>
      </c>
      <c r="Q94" s="379">
        <f ca="1">-(O94-curve!$S$3)/J94</f>
        <v>0.10591399895329054</v>
      </c>
      <c r="R94" s="381">
        <f t="shared" ca="1" si="1"/>
        <v>-159.47358272415968</v>
      </c>
      <c r="S94" s="199" t="str">
        <f>IF(F94&lt;&gt;"","",IF(G94="","",-G94*(SUMIF('bench Comparison'!$A:$A,"RESINV1USD",'bench Comparison'!$G:$G)+SUMIF('bench Comparison'!$A:$A,"RESSWAPORUSD",'bench Comparison'!$G:$G))/(36500*J94)))</f>
        <v/>
      </c>
      <c r="T94" s="210" t="str">
        <f>IF(G94&lt;&gt;"","",IF(F94="","",-36500*J94*F94/(SUMIF('bench Comparison'!$A:$A,"RESINV1USD",'bench Comparison'!$G:$G)+SUMIF('bench Comparison'!$A:$A,"RESSWAPORUSD",'bench Comparison'!$G:$G))))</f>
        <v/>
      </c>
      <c r="U94" s="125">
        <f>SUMIF('bench Comparison'!$E:$E,A94,'bench Comparison'!$N:$N)</f>
        <v>0</v>
      </c>
      <c r="V94" s="126">
        <f ca="1">VALUE(_xll.BDP($A94 &amp; " Corp",V$1))</f>
        <v>40589</v>
      </c>
      <c r="W94" s="127">
        <f ca="1">VALUE(_xll.BDP($A94 &amp; " Corp",W$1))</f>
        <v>40589</v>
      </c>
      <c r="X94" s="127">
        <f ca="1">VALUE(_xll.BDP($A94 &amp; " Corp",X$1))</f>
        <v>40770</v>
      </c>
      <c r="Y94" s="127">
        <f ca="1">VALUE(_xll.BDP($A94 &amp; " Corp",Y$1))</f>
        <v>41501</v>
      </c>
      <c r="Z94" s="127">
        <f ca="1">VALUE(_xll.BDP($A94 &amp; " Corp",Z$1))</f>
        <v>41685</v>
      </c>
      <c r="AA94" s="128">
        <f ca="1">_xll.BDP($A94 &amp; " Corp",AA$1)/100</f>
        <v>1.2500000000000001E-2</v>
      </c>
      <c r="AB94" s="129">
        <f ca="1">_xll.BDP($A94 &amp; " Corp",AB$1)</f>
        <v>32735000000.000004</v>
      </c>
      <c r="AC94" s="130" t="str">
        <f ca="1">IF(LEFT(B94,1)="B",_xll.INSTANCE.TBILL(A94,V94,Z94,TODAY()),_xll.INSTANCE.TNOTE(A94,V94,W94,X94,Y94,Z94,AA94,TODAY()))</f>
        <v>US912828QH66#0028</v>
      </c>
    </row>
    <row r="95" spans="1:29" x14ac:dyDescent="0.2">
      <c r="A95" s="131" t="s">
        <v>454</v>
      </c>
      <c r="B95" s="115" t="str">
        <f ca="1">_xll.BDP($A95 &amp; " Govt",B$1)</f>
        <v>T 4 02/15/14</v>
      </c>
      <c r="C95" s="372"/>
      <c r="D95" s="116"/>
      <c r="E95" s="117"/>
      <c r="F95" s="118"/>
      <c r="G95" s="377"/>
      <c r="H95" s="120">
        <f ca="1">IF(E95="",_xll.BDP(A95 &amp; " Govt","YLD_YTM_ASK")/100,E95)</f>
        <v>3.2175749999999999E-3</v>
      </c>
      <c r="I95" s="121">
        <f ca="1">_xll.INSTRUMENT.PRIX(AC95,D95,H95,cTreasuries)</f>
        <v>105.94059374838085</v>
      </c>
      <c r="J95" s="122">
        <f ca="1">_xll.INSTRUMENT.DV01(A95,,,I95,cContinuous,I95)</f>
        <v>-1.6926198951711029E-2</v>
      </c>
      <c r="K95" s="123">
        <f ca="1">_xll.INSTRUMENT.CONVEXITE(A95,,,I95,cContinuous,I95)</f>
        <v>2.5441981388783632</v>
      </c>
      <c r="L95" s="123">
        <f ca="1">_xll.INSTRUMENT.Z.SPREAD(A95,swapCurve,I95,cContinuous,D95)</f>
        <v>-19.572882359047242</v>
      </c>
      <c r="M95" s="123">
        <f ca="1">_xll.INSTRUMENT.Z.SPREAD(A95,ustCurve,I95,cContinuous,D95)</f>
        <v>0.7225049811039822</v>
      </c>
      <c r="N95" s="123">
        <f ca="1">_xll.INSTRUMENT.Z.SPREAD(A95,oisCurve,I95,cContinuous,D95)</f>
        <v>12.403893665568189</v>
      </c>
      <c r="O95" s="124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1.6051384859846688E-3</v>
      </c>
      <c r="P95" s="124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3.7948148544546729E-3</v>
      </c>
      <c r="Q95" s="379">
        <f ca="1">-(O95-curve!$S$3)/J95</f>
        <v>-6.67774090922386E-3</v>
      </c>
      <c r="R95" s="381">
        <f t="shared" ca="1" si="1"/>
        <v>-150.31125098651734</v>
      </c>
      <c r="S95" s="199" t="str">
        <f>IF(F95&lt;&gt;"","",IF(G95="","",-G95*(SUMIF('bench Comparison'!$A:$A,"RESINV1USD",'bench Comparison'!$G:$G)+SUMIF('bench Comparison'!$A:$A,"RESSWAPORUSD",'bench Comparison'!$G:$G))/(36500*J95)))</f>
        <v/>
      </c>
      <c r="T95" s="210" t="str">
        <f>IF(G95&lt;&gt;"","",IF(F95="","",-36500*J95*F95/(SUMIF('bench Comparison'!$A:$A,"RESINV1USD",'bench Comparison'!$G:$G)+SUMIF('bench Comparison'!$A:$A,"RESSWAPORUSD",'bench Comparison'!$G:$G))))</f>
        <v/>
      </c>
      <c r="U95" s="125">
        <f>SUMIF('bench Comparison'!$E:$E,A95,'bench Comparison'!$N:$N)</f>
        <v>0</v>
      </c>
      <c r="V95" s="126">
        <f ca="1">VALUE(_xll.BDP($A95 &amp; " Corp",V$1))</f>
        <v>38034</v>
      </c>
      <c r="W95" s="127">
        <f ca="1">VALUE(_xll.BDP($A95 &amp; " Corp",W$1))</f>
        <v>38032</v>
      </c>
      <c r="X95" s="127">
        <f ca="1">VALUE(_xll.BDP($A95 &amp; " Corp",X$1))</f>
        <v>38214</v>
      </c>
      <c r="Y95" s="127">
        <f ca="1">VALUE(_xll.BDP($A95 &amp; " Corp",Y$1))</f>
        <v>41501</v>
      </c>
      <c r="Z95" s="127">
        <f ca="1">VALUE(_xll.BDP($A95 &amp; " Corp",Z$1))</f>
        <v>41685</v>
      </c>
      <c r="AA95" s="128">
        <f ca="1">_xll.BDP($A95 &amp; " Corp",AA$1)/100</f>
        <v>0.04</v>
      </c>
      <c r="AB95" s="129">
        <f ca="1">_xll.BDP($A95 &amp; " Corp",AB$1)</f>
        <v>28081000000</v>
      </c>
      <c r="AC95" s="130" t="str">
        <f ca="1">IF(LEFT(B95,1)="B",_xll.INSTANCE.TBILL(A95,V95,Z95,TODAY()),_xll.INSTANCE.TNOTE(A95,V95,W95,X95,Y95,Z95,AA95,TODAY()))</f>
        <v>US912828CA69#0028</v>
      </c>
    </row>
    <row r="96" spans="1:29" x14ac:dyDescent="0.2">
      <c r="A96" s="131" t="s">
        <v>200</v>
      </c>
      <c r="B96" s="115" t="str">
        <f ca="1">_xll.BDP($A96 &amp; " Govt",B$1)</f>
        <v>T 0 1/4 02/28/14</v>
      </c>
      <c r="C96" s="372" t="s">
        <v>943</v>
      </c>
      <c r="D96" s="116"/>
      <c r="E96" s="117"/>
      <c r="F96" s="118"/>
      <c r="G96" s="377"/>
      <c r="H96" s="120">
        <f ca="1">IF(E96="",_xll.BDP(A96 &amp; " Govt","YLD_YTM_ASK")/100,E96)</f>
        <v>3.1126310000000003E-3</v>
      </c>
      <c r="I96" s="121">
        <f ca="1">_xll.INSTRUMENT.PRIX(AC96,D96,H96,cTreasuries)</f>
        <v>99.89969231166549</v>
      </c>
      <c r="J96" s="122">
        <f ca="1">_xll.INSTRUMENT.DV01(A96,,,I96,cContinuous,I96)</f>
        <v>-1.6549136082542215E-2</v>
      </c>
      <c r="K96" s="123">
        <f ca="1">_xll.INSTRUMENT.CONVEXITE(A96,,,I96,cContinuous,I96)</f>
        <v>2.7439466571297175</v>
      </c>
      <c r="L96" s="123">
        <f ca="1">_xll.INSTRUMENT.Z.SPREAD(A96,swapCurve,I96,cContinuous,D96)</f>
        <v>-20.708573570802294</v>
      </c>
      <c r="M96" s="123">
        <f ca="1">_xll.INSTRUMENT.Z.SPREAD(A96,ustCurve,I96,cContinuous,D96)</f>
        <v>3.2044043831151649E-2</v>
      </c>
      <c r="N96" s="123">
        <f ca="1">_xll.INSTRUMENT.Z.SPREAD(A96,oisCurve,I96,cContinuous,D96)</f>
        <v>11.397761734086961</v>
      </c>
      <c r="O96" s="124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3.7945427297385848E-3</v>
      </c>
      <c r="P96" s="124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3.528189289922338E-3</v>
      </c>
      <c r="Q96" s="379">
        <f ca="1">-(O96-curve!$S$3)/J96</f>
        <v>0.12546730307975376</v>
      </c>
      <c r="R96" s="381">
        <f t="shared" ca="1" si="1"/>
        <v>-165.80603624525898</v>
      </c>
      <c r="S96" s="199" t="str">
        <f>IF(F96&lt;&gt;"","",IF(G96="","",-G96*(SUMIF('bench Comparison'!$A:$A,"RESINV1USD",'bench Comparison'!$G:$G)+SUMIF('bench Comparison'!$A:$A,"RESSWAPORUSD",'bench Comparison'!$G:$G))/(36500*J96)))</f>
        <v/>
      </c>
      <c r="T96" s="210" t="str">
        <f>IF(G96&lt;&gt;"","",IF(F96="","",-36500*J96*F96/(SUMIF('bench Comparison'!$A:$A,"RESINV1USD",'bench Comparison'!$G:$G)+SUMIF('bench Comparison'!$A:$A,"RESSWAPORUSD",'bench Comparison'!$G:$G))))</f>
        <v/>
      </c>
      <c r="U96" s="125">
        <f>SUMIF('bench Comparison'!$E:$E,A96,'bench Comparison'!$N:$N)</f>
        <v>-412484122.10975742</v>
      </c>
      <c r="V96" s="126">
        <f ca="1">VALUE(_xll.BDP($A96 &amp; " Corp",V$1))</f>
        <v>40968</v>
      </c>
      <c r="W96" s="127">
        <f ca="1">VALUE(_xll.BDP($A96 &amp; " Corp",W$1))</f>
        <v>40968</v>
      </c>
      <c r="X96" s="127">
        <f ca="1">VALUE(_xll.BDP($A96 &amp; " Corp",X$1))</f>
        <v>41152</v>
      </c>
      <c r="Y96" s="127">
        <f ca="1">VALUE(_xll.BDP($A96 &amp; " Corp",Y$1))</f>
        <v>41517</v>
      </c>
      <c r="Z96" s="127">
        <f ca="1">VALUE(_xll.BDP($A96 &amp; " Corp",Z$1))</f>
        <v>41698</v>
      </c>
      <c r="AA96" s="128">
        <f ca="1">_xll.BDP($A96 &amp; " Corp",AA$1)/100</f>
        <v>2.5000000000000001E-3</v>
      </c>
      <c r="AB96" s="129">
        <f ca="1">_xll.BDP($A96 &amp; " Corp",AB$1)</f>
        <v>35496000000</v>
      </c>
      <c r="AC96" s="130" t="str">
        <f ca="1">IF(LEFT(B96,1)="B",_xll.INSTANCE.TBILL(A96,V96,Z96,TODAY()),_xll.INSTANCE.TNOTE(A96,V96,W96,X96,Y96,Z96,AA96,TODAY()))</f>
        <v>US912828SG65#0028</v>
      </c>
    </row>
    <row r="97" spans="1:29" x14ac:dyDescent="0.2">
      <c r="A97" s="131" t="s">
        <v>455</v>
      </c>
      <c r="B97" s="115" t="str">
        <f ca="1">_xll.BDP($A97 &amp; " Govt",B$1)</f>
        <v>T 1 7/8 02/28/14</v>
      </c>
      <c r="C97" s="372"/>
      <c r="D97" s="116"/>
      <c r="E97" s="117"/>
      <c r="F97" s="118"/>
      <c r="G97" s="377"/>
      <c r="H97" s="120">
        <f ca="1">IF(E97="",_xll.BDP(A97 &amp; " Govt","YLD_YTM_ASK")/100,E97)</f>
        <v>3.2393389999999999E-3</v>
      </c>
      <c r="I97" s="121">
        <f ca="1">_xll.INSTRUMENT.PRIX(AC97,D97,H97,cTreasuries)</f>
        <v>102.57163536811706</v>
      </c>
      <c r="J97" s="122">
        <f ca="1">_xll.INSTRUMENT.DV01(A97,,,I97,cContinuous,I97)</f>
        <v>-1.6841269900327756E-2</v>
      </c>
      <c r="K97" s="123">
        <f ca="1">_xll.INSTRUMENT.CONVEXITE(A97,,,I97,cContinuous,I97)</f>
        <v>2.6937210749756937</v>
      </c>
      <c r="L97" s="123">
        <f ca="1">_xll.INSTRUMENT.Z.SPREAD(A97,swapCurve,I97,cContinuous,D97)</f>
        <v>-19.400027060114812</v>
      </c>
      <c r="M97" s="123">
        <f ca="1">_xll.INSTRUMENT.Z.SPREAD(A97,ustCurve,I97,cContinuous,D97)</f>
        <v>1.1185037881192146</v>
      </c>
      <c r="N97" s="123">
        <f ca="1">_xll.INSTRUMENT.Z.SPREAD(A97,oisCurve,I97,cContinuous,D97)</f>
        <v>12.672956156889374</v>
      </c>
      <c r="O97" s="124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2.9495454493868784E-3</v>
      </c>
      <c r="P97" s="124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3.6955931081431577E-3</v>
      </c>
      <c r="Q97" s="379">
        <f ca="1">-(O97-curve!$S$3)/J97</f>
        <v>7.3116706727723801E-2</v>
      </c>
      <c r="R97" s="381">
        <f t="shared" ca="1" si="1"/>
        <v>-159.94762217564542</v>
      </c>
      <c r="S97" s="199" t="str">
        <f>IF(F97&lt;&gt;"","",IF(G97="","",-G97*(SUMIF('bench Comparison'!$A:$A,"RESINV1USD",'bench Comparison'!$G:$G)+SUMIF('bench Comparison'!$A:$A,"RESSWAPORUSD",'bench Comparison'!$G:$G))/(36500*J97)))</f>
        <v/>
      </c>
      <c r="T97" s="210" t="str">
        <f>IF(G97&lt;&gt;"","",IF(F97="","",-36500*J97*F97/(SUMIF('bench Comparison'!$A:$A,"RESINV1USD",'bench Comparison'!$G:$G)+SUMIF('bench Comparison'!$A:$A,"RESSWAPORUSD",'bench Comparison'!$G:$G))))</f>
        <v/>
      </c>
      <c r="U97" s="125">
        <f>SUMIF('bench Comparison'!$E:$E,A97,'bench Comparison'!$N:$N)</f>
        <v>0</v>
      </c>
      <c r="V97" s="126">
        <f ca="1">VALUE(_xll.BDP($A97 &amp; " Corp",V$1))</f>
        <v>39874</v>
      </c>
      <c r="W97" s="127">
        <f ca="1">VALUE(_xll.BDP($A97 &amp; " Corp",W$1))</f>
        <v>39872</v>
      </c>
      <c r="X97" s="127">
        <f ca="1">VALUE(_xll.BDP($A97 &amp; " Corp",X$1))</f>
        <v>40056</v>
      </c>
      <c r="Y97" s="127">
        <f ca="1">VALUE(_xll.BDP($A97 &amp; " Corp",Y$1))</f>
        <v>41517</v>
      </c>
      <c r="Z97" s="127">
        <f ca="1">VALUE(_xll.BDP($A97 &amp; " Corp",Z$1))</f>
        <v>41698</v>
      </c>
      <c r="AA97" s="128">
        <f ca="1">_xll.BDP($A97 &amp; " Corp",AA$1)/100</f>
        <v>1.8749999999999999E-2</v>
      </c>
      <c r="AB97" s="129">
        <f ca="1">_xll.BDP($A97 &amp; " Corp",AB$1)</f>
        <v>33714000000</v>
      </c>
      <c r="AC97" s="130" t="str">
        <f ca="1">IF(LEFT(B97,1)="B",_xll.INSTANCE.TBILL(A97,V97,Z97,TODAY()),_xll.INSTANCE.TNOTE(A97,V97,W97,X97,Y97,Z97,AA97,TODAY()))</f>
        <v>US912828KF64#0028</v>
      </c>
    </row>
    <row r="98" spans="1:29" x14ac:dyDescent="0.2">
      <c r="A98" s="131" t="s">
        <v>456</v>
      </c>
      <c r="B98" s="115" t="str">
        <f ca="1">_xll.BDP($A98 &amp; " Govt",B$1)</f>
        <v>T 1 1/4 03/15/14</v>
      </c>
      <c r="C98" s="372"/>
      <c r="D98" s="116"/>
      <c r="E98" s="117"/>
      <c r="F98" s="118"/>
      <c r="G98" s="377"/>
      <c r="H98" s="120">
        <f ca="1">IF(E98="",_xll.BDP(A98 &amp; " Govt","YLD_YTM_ASK")/100,E98)</f>
        <v>3.204204E-3</v>
      </c>
      <c r="I98" s="121">
        <f ca="1">_xll.INSTRUMENT.PRIX(AC98,D98,H98,cTreasuries)</f>
        <v>101.57931486256534</v>
      </c>
      <c r="J98" s="122">
        <f ca="1">_xll.INSTRUMENT.DV01(A98,,,I98,cContinuous,I98)</f>
        <v>-1.7200145641596026E-2</v>
      </c>
      <c r="K98" s="123">
        <f ca="1">_xll.INSTRUMENT.CONVEXITE(A98,,,I98,cContinuous,I98)</f>
        <v>2.8674490235626129</v>
      </c>
      <c r="L98" s="123">
        <f ca="1">_xll.INSTRUMENT.Z.SPREAD(A98,swapCurve,I98,cContinuous,D98)</f>
        <v>-20.115267503545901</v>
      </c>
      <c r="M98" s="123">
        <f ca="1">_xll.INSTRUMENT.Z.SPREAD(A98,ustCurve,I98,cContinuous,D98)</f>
        <v>0.35578927020417223</v>
      </c>
      <c r="N98" s="123">
        <f ca="1">_xll.INSTRUMENT.Z.SPREAD(A98,oisCurve,I98,cContinuous,D98)</f>
        <v>12.056722482843938</v>
      </c>
      <c r="O98" s="124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3.5678887119268317E-3</v>
      </c>
      <c r="P98" s="124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3.7892855343552474E-3</v>
      </c>
      <c r="Q98" s="379">
        <f ca="1">-(O98-curve!$S$3)/J98</f>
        <v>0.1075410344370213</v>
      </c>
      <c r="R98" s="381">
        <f t="shared" ca="1" si="1"/>
        <v>-166.71074090373446</v>
      </c>
      <c r="S98" s="199" t="str">
        <f>IF(F98&lt;&gt;"","",IF(G98="","",-G98*(SUMIF('bench Comparison'!$A:$A,"RESINV1USD",'bench Comparison'!$G:$G)+SUMIF('bench Comparison'!$A:$A,"RESSWAPORUSD",'bench Comparison'!$G:$G))/(36500*J98)))</f>
        <v/>
      </c>
      <c r="T98" s="210" t="str">
        <f>IF(G98&lt;&gt;"","",IF(F98="","",-36500*J98*F98/(SUMIF('bench Comparison'!$A:$A,"RESINV1USD",'bench Comparison'!$G:$G)+SUMIF('bench Comparison'!$A:$A,"RESSWAPORUSD",'bench Comparison'!$G:$G))))</f>
        <v/>
      </c>
      <c r="U98" s="125">
        <f>SUMIF('bench Comparison'!$E:$E,A98,'bench Comparison'!$N:$N)</f>
        <v>0</v>
      </c>
      <c r="V98" s="126">
        <f ca="1">VALUE(_xll.BDP($A98 &amp; " Corp",V$1))</f>
        <v>40617</v>
      </c>
      <c r="W98" s="127">
        <f ca="1">VALUE(_xll.BDP($A98 &amp; " Corp",W$1))</f>
        <v>40617</v>
      </c>
      <c r="X98" s="127">
        <f ca="1">VALUE(_xll.BDP($A98 &amp; " Corp",X$1))</f>
        <v>40801</v>
      </c>
      <c r="Y98" s="127">
        <f ca="1">VALUE(_xll.BDP($A98 &amp; " Corp",Y$1))</f>
        <v>41532</v>
      </c>
      <c r="Z98" s="127">
        <f ca="1">VALUE(_xll.BDP($A98 &amp; " Corp",Z$1))</f>
        <v>41713</v>
      </c>
      <c r="AA98" s="128">
        <f ca="1">_xll.BDP($A98 &amp; " Corp",AA$1)/100</f>
        <v>1.2500000000000001E-2</v>
      </c>
      <c r="AB98" s="129">
        <f ca="1">_xll.BDP($A98 &amp; " Corp",AB$1)</f>
        <v>32000000000</v>
      </c>
      <c r="AC98" s="130" t="str">
        <f ca="1">IF(LEFT(B98,1)="B",_xll.INSTANCE.TBILL(A98,V98,Z98,TODAY()),_xll.INSTANCE.TNOTE(A98,V98,W98,X98,Y98,Z98,AA98,TODAY()))</f>
        <v>US912828PZ73#0028</v>
      </c>
    </row>
    <row r="99" spans="1:29" x14ac:dyDescent="0.2">
      <c r="A99" s="131" t="s">
        <v>58</v>
      </c>
      <c r="B99" s="115" t="str">
        <f ca="1">_xll.BDP($A99 &amp; " Govt",B$1)</f>
        <v>T 0 1/4 03/31/14</v>
      </c>
      <c r="C99" s="372" t="s">
        <v>938</v>
      </c>
      <c r="D99" s="116"/>
      <c r="E99" s="117"/>
      <c r="F99" s="118"/>
      <c r="G99" s="377"/>
      <c r="H99" s="120">
        <f ca="1">IF(E99="",_xll.BDP(A99 &amp; " Govt","YLD_YTM_ASK")/100,E99)</f>
        <v>3.1734659999999998E-3</v>
      </c>
      <c r="I99" s="121">
        <f ca="1">_xll.INSTRUMENT.PRIX(AC99,D99,H99,cTreasuries)</f>
        <v>99.883100082480581</v>
      </c>
      <c r="J99" s="122">
        <f ca="1">_xll.INSTRUMENT.DV01(A99,,,I99,cContinuous,I99)</f>
        <v>-1.7391754582010664E-2</v>
      </c>
      <c r="K99" s="123">
        <f ca="1">_xll.INSTRUMENT.CONVEXITE(A99,,,I99,cContinuous,I99)</f>
        <v>3.0323043996467387</v>
      </c>
      <c r="L99" s="123">
        <f ca="1">_xll.INSTRUMENT.Z.SPREAD(A99,swapCurve,I99,cContinuous,D99)</f>
        <v>-20.543352854722688</v>
      </c>
      <c r="M99" s="123">
        <f ca="1">_xll.INSTRUMENT.Z.SPREAD(A99,ustCurve,I99,cContinuous,D99)</f>
        <v>-6.0312249517791162E-2</v>
      </c>
      <c r="N99" s="123">
        <f ca="1">_xll.INSTRUMENT.Z.SPREAD(A99,oisCurve,I99,cContinuous,D99)</f>
        <v>11.710596821902143</v>
      </c>
      <c r="O99" s="124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3.9209176645942732E-3</v>
      </c>
      <c r="P99" s="124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3.6811964700811245E-3</v>
      </c>
      <c r="Q99" s="379">
        <f ca="1">-(O99-curve!$S$3)/J99</f>
        <v>0.12665486952711136</v>
      </c>
      <c r="R99" s="381">
        <f t="shared" ca="1" si="1"/>
        <v>-174.35298924832077</v>
      </c>
      <c r="S99" s="199" t="str">
        <f>IF(F99&lt;&gt;"","",IF(G99="","",-G99*(SUMIF('bench Comparison'!$A:$A,"RESINV1USD",'bench Comparison'!$G:$G)+SUMIF('bench Comparison'!$A:$A,"RESSWAPORUSD",'bench Comparison'!$G:$G))/(36500*J99)))</f>
        <v/>
      </c>
      <c r="T99" s="210" t="str">
        <f>IF(G99&lt;&gt;"","",IF(F99="","",-36500*J99*F99/(SUMIF('bench Comparison'!$A:$A,"RESINV1USD",'bench Comparison'!$G:$G)+SUMIF('bench Comparison'!$A:$A,"RESSWAPORUSD",'bench Comparison'!$G:$G))))</f>
        <v/>
      </c>
      <c r="U99" s="125">
        <f>SUMIF('bench Comparison'!$E:$E,A99,'bench Comparison'!$N:$N)</f>
        <v>633515877.89024258</v>
      </c>
      <c r="V99" s="126">
        <f ca="1">VALUE(_xll.BDP($A99 &amp; " Corp",V$1))</f>
        <v>41001</v>
      </c>
      <c r="W99" s="127">
        <f ca="1">VALUE(_xll.BDP($A99 &amp; " Corp",W$1))</f>
        <v>40999</v>
      </c>
      <c r="X99" s="127">
        <f ca="1">VALUE(_xll.BDP($A99 &amp; " Corp",X$1))</f>
        <v>41182</v>
      </c>
      <c r="Y99" s="127">
        <f ca="1">VALUE(_xll.BDP($A99 &amp; " Corp",Y$1))</f>
        <v>41547</v>
      </c>
      <c r="Z99" s="127">
        <f ca="1">VALUE(_xll.BDP($A99 &amp; " Corp",Z$1))</f>
        <v>41729</v>
      </c>
      <c r="AA99" s="128">
        <f ca="1">_xll.BDP($A99 &amp; " Corp",AA$1)/100</f>
        <v>2.5000000000000001E-3</v>
      </c>
      <c r="AB99" s="129">
        <f ca="1">_xll.BDP($A99 &amp; " Corp",AB$1)</f>
        <v>35830000000</v>
      </c>
      <c r="AC99" s="130" t="str">
        <f ca="1">IF(LEFT(B99,1)="B",_xll.INSTANCE.TBILL(A99,V99,Z99,TODAY()),_xll.INSTANCE.TNOTE(A99,V99,W99,X99,Y99,Z99,AA99,TODAY()))</f>
        <v>US912828SL50#0028</v>
      </c>
    </row>
    <row r="100" spans="1:29" x14ac:dyDescent="0.2">
      <c r="A100" s="131" t="s">
        <v>457</v>
      </c>
      <c r="B100" s="115" t="str">
        <f ca="1">_xll.BDP($A100 &amp; " Govt",B$1)</f>
        <v>T 1 3/4 03/31/14</v>
      </c>
      <c r="C100" s="372"/>
      <c r="D100" s="116"/>
      <c r="E100" s="117"/>
      <c r="F100" s="118"/>
      <c r="G100" s="377"/>
      <c r="H100" s="120">
        <f ca="1">IF(E100="",_xll.BDP(A100 &amp; " Govt","YLD_YTM_ASK")/100,E100)</f>
        <v>3.2619749999999999E-3</v>
      </c>
      <c r="I100" s="121">
        <f ca="1">_xll.INSTRUMENT.PRIX(AC100,D100,H100,cTreasuries)</f>
        <v>102.47721058635882</v>
      </c>
      <c r="J100" s="122">
        <f ca="1">_xll.INSTRUMENT.DV01(A100,,,I100,cContinuous,I100)</f>
        <v>-1.7686643322300646E-2</v>
      </c>
      <c r="K100" s="123">
        <f ca="1">_xll.INSTRUMENT.CONVEXITE(A100,,,I100,cContinuous,I100)</f>
        <v>2.981972894898385</v>
      </c>
      <c r="L100" s="123">
        <f ca="1">_xll.INSTRUMENT.Z.SPREAD(A100,swapCurve,I100,cContinuous,D100)</f>
        <v>-19.625817171221218</v>
      </c>
      <c r="M100" s="123">
        <f ca="1">_xll.INSTRUMENT.Z.SPREAD(A100,ustCurve,I100,cContinuous,D100)</f>
        <v>0.67430462951754078</v>
      </c>
      <c r="N100" s="123">
        <f ca="1">_xll.INSTRUMENT.Z.SPREAD(A100,oisCurve,I100,cContinuous,D100)</f>
        <v>12.60761939601003</v>
      </c>
      <c r="O100" s="124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3.0036100168146377E-3</v>
      </c>
      <c r="P100" s="124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3.7969237340408739E-3</v>
      </c>
      <c r="Q100" s="379">
        <f ca="1">-(O100-curve!$S$3)/J100</f>
        <v>7.2678729153297469E-2</v>
      </c>
      <c r="R100" s="381">
        <f t="shared" ca="1" si="1"/>
        <v>-168.60027313031694</v>
      </c>
      <c r="S100" s="199" t="str">
        <f>IF(F100&lt;&gt;"","",IF(G100="","",-G100*(SUMIF('bench Comparison'!$A:$A,"RESINV1USD",'bench Comparison'!$G:$G)+SUMIF('bench Comparison'!$A:$A,"RESSWAPORUSD",'bench Comparison'!$G:$G))/(36500*J100)))</f>
        <v/>
      </c>
      <c r="T100" s="210" t="str">
        <f>IF(G100&lt;&gt;"","",IF(F100="","",-36500*J100*F100/(SUMIF('bench Comparison'!$A:$A,"RESINV1USD",'bench Comparison'!$G:$G)+SUMIF('bench Comparison'!$A:$A,"RESSWAPORUSD",'bench Comparison'!$G:$G))))</f>
        <v/>
      </c>
      <c r="U100" s="125">
        <f>SUMIF('bench Comparison'!$E:$E,A100,'bench Comparison'!$N:$N)</f>
        <v>0</v>
      </c>
      <c r="V100" s="126">
        <f ca="1">VALUE(_xll.BDP($A100 &amp; " Corp",V$1))</f>
        <v>39903</v>
      </c>
      <c r="W100" s="127">
        <f ca="1">VALUE(_xll.BDP($A100 &amp; " Corp",W$1))</f>
        <v>39903</v>
      </c>
      <c r="X100" s="127">
        <f ca="1">VALUE(_xll.BDP($A100 &amp; " Corp",X$1))</f>
        <v>40086</v>
      </c>
      <c r="Y100" s="127">
        <f ca="1">VALUE(_xll.BDP($A100 &amp; " Corp",Y$1))</f>
        <v>41547</v>
      </c>
      <c r="Z100" s="127">
        <f ca="1">VALUE(_xll.BDP($A100 &amp; " Corp",Z$1))</f>
        <v>41729</v>
      </c>
      <c r="AA100" s="128">
        <f ca="1">_xll.BDP($A100 &amp; " Corp",AA$1)/100</f>
        <v>1.7500000000000002E-2</v>
      </c>
      <c r="AB100" s="129">
        <f ca="1">_xll.BDP($A100 &amp; " Corp",AB$1)</f>
        <v>35612000000</v>
      </c>
      <c r="AC100" s="130" t="str">
        <f ca="1">IF(LEFT(B100,1)="B",_xll.INSTANCE.TBILL(A100,V100,Z100,TODAY()),_xll.INSTANCE.TNOTE(A100,V100,W100,X100,Y100,Z100,AA100,TODAY()))</f>
        <v>US912828KJ86#0027</v>
      </c>
    </row>
    <row r="101" spans="1:29" x14ac:dyDescent="0.2">
      <c r="A101" s="131" t="s">
        <v>458</v>
      </c>
      <c r="B101" s="115" t="str">
        <f ca="1">_xll.BDP($A101 &amp; " Govt",B$1)</f>
        <v>T 1 1/4 04/15/14</v>
      </c>
      <c r="C101" s="372"/>
      <c r="D101" s="116"/>
      <c r="E101" s="117"/>
      <c r="F101" s="118"/>
      <c r="G101" s="377"/>
      <c r="H101" s="120">
        <f ca="1">IF(E101="",_xll.BDP(A101 &amp; " Govt","YLD_YTM_ASK")/100,E101)</f>
        <v>3.283322E-3</v>
      </c>
      <c r="I101" s="121">
        <f ca="1">_xll.INSTRUMENT.PRIX(AC101,D101,H101,cTreasuries)</f>
        <v>101.64123700307776</v>
      </c>
      <c r="J101" s="122">
        <f ca="1">_xll.INSTRUMENT.DV01(A101,,,I101,cContinuous,I101)</f>
        <v>-1.8002885813248153E-2</v>
      </c>
      <c r="K101" s="123">
        <f ca="1">_xll.INSTRUMENT.CONVEXITE(A101,,,I101,cContinuous,I101)</f>
        <v>3.1418904883856906</v>
      </c>
      <c r="L101" s="123">
        <f ca="1">_xll.INSTRUMENT.Z.SPREAD(A101,swapCurve,I101,cContinuous,D101)</f>
        <v>-19.634628475986819</v>
      </c>
      <c r="M101" s="123">
        <f ca="1">_xll.INSTRUMENT.Z.SPREAD(A101,ustCurve,I101,cContinuous,D101)</f>
        <v>0.60461246500420973</v>
      </c>
      <c r="N101" s="123">
        <f ca="1">_xll.INSTRUMENT.Z.SPREAD(A101,oisCurve,I101,cContinuous,D101)</f>
        <v>12.67538374266373</v>
      </c>
      <c r="O101" s="124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3.3685686587980068E-3</v>
      </c>
      <c r="P101" s="124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3.8320511324738626E-3</v>
      </c>
      <c r="Q101" s="379">
        <f ca="1">-(O101-curve!$S$3)/J101</f>
        <v>9.16742692675038E-2</v>
      </c>
      <c r="R101" s="381">
        <f t="shared" ca="1" si="1"/>
        <v>-174.52149177514659</v>
      </c>
      <c r="S101" s="199" t="str">
        <f>IF(F101&lt;&gt;"","",IF(G101="","",-G101*(SUMIF('bench Comparison'!$A:$A,"RESINV1USD",'bench Comparison'!$G:$G)+SUMIF('bench Comparison'!$A:$A,"RESSWAPORUSD",'bench Comparison'!$G:$G))/(36500*J101)))</f>
        <v/>
      </c>
      <c r="T101" s="210" t="str">
        <f>IF(G101&lt;&gt;"","",IF(F101="","",-36500*J101*F101/(SUMIF('bench Comparison'!$A:$A,"RESINV1USD",'bench Comparison'!$G:$G)+SUMIF('bench Comparison'!$A:$A,"RESSWAPORUSD",'bench Comparison'!$G:$G))))</f>
        <v/>
      </c>
      <c r="U101" s="125">
        <f>SUMIF('bench Comparison'!$E:$E,A101,'bench Comparison'!$N:$N)</f>
        <v>0</v>
      </c>
      <c r="V101" s="126">
        <f ca="1">VALUE(_xll.BDP($A101 &amp; " Corp",V$1))</f>
        <v>40648</v>
      </c>
      <c r="W101" s="127">
        <f ca="1">VALUE(_xll.BDP($A101 &amp; " Corp",W$1))</f>
        <v>40648</v>
      </c>
      <c r="X101" s="127">
        <f ca="1">VALUE(_xll.BDP($A101 &amp; " Corp",X$1))</f>
        <v>40831</v>
      </c>
      <c r="Y101" s="127">
        <f ca="1">VALUE(_xll.BDP($A101 &amp; " Corp",Y$1))</f>
        <v>41562</v>
      </c>
      <c r="Z101" s="127">
        <f ca="1">VALUE(_xll.BDP($A101 &amp; " Corp",Z$1))</f>
        <v>41744</v>
      </c>
      <c r="AA101" s="128">
        <f ca="1">_xll.BDP($A101 &amp; " Corp",AA$1)/100</f>
        <v>1.2500000000000001E-2</v>
      </c>
      <c r="AB101" s="129">
        <f ca="1">_xll.BDP($A101 &amp; " Corp",AB$1)</f>
        <v>33576000000</v>
      </c>
      <c r="AC101" s="130" t="str">
        <f ca="1">IF(LEFT(B101,1)="B",_xll.INSTANCE.TBILL(A101,V101,Z101,TODAY()),_xll.INSTANCE.TNOTE(A101,V101,W101,X101,Y101,Z101,AA101,TODAY()))</f>
        <v>US912828QC79#0028</v>
      </c>
    </row>
    <row r="102" spans="1:29" x14ac:dyDescent="0.2">
      <c r="A102" s="131" t="s">
        <v>459</v>
      </c>
      <c r="B102" s="115" t="str">
        <f ca="1">_xll.BDP($A102 &amp; " Govt",B$1)</f>
        <v>T 1 7/8 04/30/14</v>
      </c>
      <c r="C102" s="372"/>
      <c r="D102" s="116"/>
      <c r="E102" s="117"/>
      <c r="F102" s="118"/>
      <c r="G102" s="377"/>
      <c r="H102" s="120">
        <f ca="1">IF(E102="",_xll.BDP(A102 &amp; " Govt","YLD_YTM_ASK")/100,E102)</f>
        <v>3.3108110000000003E-3</v>
      </c>
      <c r="I102" s="121">
        <f ca="1">_xll.INSTRUMENT.PRIX(AC102,D102,H102,cTreasuries)</f>
        <v>102.81338649464158</v>
      </c>
      <c r="J102" s="122">
        <f ca="1">_xll.INSTRUMENT.DV01(A102,,,I102,cContinuous,I102)</f>
        <v>-1.8552780425955664E-2</v>
      </c>
      <c r="K102" s="123">
        <f ca="1">_xll.INSTRUMENT.CONVEXITE(A102,,,I102,cContinuous,I102)</f>
        <v>3.2668857331914185</v>
      </c>
      <c r="L102" s="123">
        <f ca="1">_xll.INSTRUMENT.Z.SPREAD(A102,swapCurve,I102,cContinuous,D102)</f>
        <v>-19.554891481468012</v>
      </c>
      <c r="M102" s="123">
        <f ca="1">_xll.INSTRUMENT.Z.SPREAD(A102,ustCurve,I102,cContinuous,D102)</f>
        <v>0.4920242170228355</v>
      </c>
      <c r="N102" s="123">
        <f ca="1">_xll.INSTRUMENT.Z.SPREAD(A102,oisCurve,I102,cContinuous,D102)</f>
        <v>12.817780840783463</v>
      </c>
      <c r="O102" s="124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3.1037952812869936E-3</v>
      </c>
      <c r="P102" s="124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3.9928971228063576E-3</v>
      </c>
      <c r="Q102" s="379">
        <f ca="1">-(O102-curve!$S$3)/J102</f>
        <v>7.4685734014633423E-2</v>
      </c>
      <c r="R102" s="381">
        <f t="shared" ca="1" si="1"/>
        <v>-176.08604522807741</v>
      </c>
      <c r="S102" s="199" t="str">
        <f>IF(F102&lt;&gt;"","",IF(G102="","",-G102*(SUMIF('bench Comparison'!$A:$A,"RESINV1USD",'bench Comparison'!$G:$G)+SUMIF('bench Comparison'!$A:$A,"RESSWAPORUSD",'bench Comparison'!$G:$G))/(36500*J102)))</f>
        <v/>
      </c>
      <c r="T102" s="210" t="str">
        <f>IF(G102&lt;&gt;"","",IF(F102="","",-36500*J102*F102/(SUMIF('bench Comparison'!$A:$A,"RESINV1USD",'bench Comparison'!$G:$G)+SUMIF('bench Comparison'!$A:$A,"RESSWAPORUSD",'bench Comparison'!$G:$G))))</f>
        <v/>
      </c>
      <c r="U102" s="125">
        <f>SUMIF('bench Comparison'!$E:$E,A102,'bench Comparison'!$N:$N)</f>
        <v>0</v>
      </c>
      <c r="V102" s="126">
        <f ca="1">VALUE(_xll.BDP($A102 &amp; " Corp",V$1))</f>
        <v>39933</v>
      </c>
      <c r="W102" s="127">
        <f ca="1">VALUE(_xll.BDP($A102 &amp; " Corp",W$1))</f>
        <v>39933</v>
      </c>
      <c r="X102" s="127">
        <f ca="1">VALUE(_xll.BDP($A102 &amp; " Corp",X$1))</f>
        <v>40117</v>
      </c>
      <c r="Y102" s="127">
        <f ca="1">VALUE(_xll.BDP($A102 &amp; " Corp",Y$1))</f>
        <v>41578</v>
      </c>
      <c r="Z102" s="127">
        <f ca="1">VALUE(_xll.BDP($A102 &amp; " Corp",Z$1))</f>
        <v>41759</v>
      </c>
      <c r="AA102" s="128">
        <f ca="1">_xll.BDP($A102 &amp; " Corp",AA$1)/100</f>
        <v>1.8749999999999999E-2</v>
      </c>
      <c r="AB102" s="129">
        <f ca="1">_xll.BDP($A102 &amp; " Corp",AB$1)</f>
        <v>36213000000</v>
      </c>
      <c r="AC102" s="130" t="str">
        <f ca="1">IF(LEFT(B102,1)="B",_xll.INSTANCE.TBILL(A102,V102,Z102,TODAY()),_xll.INSTANCE.TNOTE(A102,V102,W102,X102,Y102,Z102,AA102,TODAY()))</f>
        <v>US912828KN98#0028</v>
      </c>
    </row>
    <row r="103" spans="1:29" x14ac:dyDescent="0.2">
      <c r="A103" s="131" t="s">
        <v>649</v>
      </c>
      <c r="B103" s="115" t="str">
        <f ca="1">_xll.BDP($A103 &amp; " Govt",B$1)</f>
        <v>T 0 1/4 04/30/14</v>
      </c>
      <c r="C103" s="372" t="s">
        <v>937</v>
      </c>
      <c r="D103" s="116"/>
      <c r="E103" s="117"/>
      <c r="F103" s="118"/>
      <c r="G103" s="377"/>
      <c r="H103" s="120">
        <f ca="1">IF(E103="",_xll.BDP(A103 &amp; " Govt","YLD_YTM_ASK")/100,E103)</f>
        <v>3.1430130000000001E-3</v>
      </c>
      <c r="I103" s="121">
        <f ca="1">_xll.INSTRUMENT.PRIX(AC103,D103,H103,cTreasuries)</f>
        <v>99.883650860373905</v>
      </c>
      <c r="J103" s="122">
        <f ca="1">_xll.INSTRUMENT.DV01(A103,,,I103,cContinuous,I103)</f>
        <v>-1.8209512898182217E-2</v>
      </c>
      <c r="K103" s="123">
        <f ca="1">_xll.INSTRUMENT.CONVEXITE(A103,,,I103,cContinuous,I103)</f>
        <v>3.3250873456067924</v>
      </c>
      <c r="L103" s="123">
        <f ca="1">_xll.INSTRUMENT.Z.SPREAD(A103,swapCurve,I103,cContinuous,D103)</f>
        <v>-21.267388431822411</v>
      </c>
      <c r="M103" s="123">
        <f ca="1">_xll.INSTRUMENT.Z.SPREAD(A103,ustCurve,I103,cContinuous,D103)</f>
        <v>-1.039908826841889</v>
      </c>
      <c r="N103" s="123">
        <f ca="1">_xll.INSTRUMENT.Z.SPREAD(A103,oisCurve,I103,cContinuous,D103)</f>
        <v>11.124848245389739</v>
      </c>
      <c r="O103" s="124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3.9155667391771384E-3</v>
      </c>
      <c r="P103" s="124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3.7007000804765689E-3</v>
      </c>
      <c r="Q103" s="379">
        <f ca="1">-(O103-curve!$S$3)/J103</f>
        <v>0.12067316101763077</v>
      </c>
      <c r="R103" s="381">
        <f t="shared" ca="1" si="1"/>
        <v>-182.60166343816493</v>
      </c>
      <c r="S103" s="199" t="str">
        <f>IF(F103&lt;&gt;"","",IF(G103="","",-G103*(SUMIF('bench Comparison'!$A:$A,"RESINV1USD",'bench Comparison'!$G:$G)+SUMIF('bench Comparison'!$A:$A,"RESSWAPORUSD",'bench Comparison'!$G:$G))/(36500*J103)))</f>
        <v/>
      </c>
      <c r="T103" s="210" t="str">
        <f>IF(G103&lt;&gt;"","",IF(F103="","",-36500*J103*F103/(SUMIF('bench Comparison'!$A:$A,"RESINV1USD",'bench Comparison'!$G:$G)+SUMIF('bench Comparison'!$A:$A,"RESSWAPORUSD",'bench Comparison'!$G:$G))))</f>
        <v/>
      </c>
      <c r="U103" s="125">
        <f>SUMIF('bench Comparison'!$E:$E,A103,'bench Comparison'!$N:$N)</f>
        <v>-99903975.66515857</v>
      </c>
      <c r="V103" s="126">
        <f ca="1">VALUE(_xll.BDP($A103 &amp; " Corp",V$1))</f>
        <v>41029</v>
      </c>
      <c r="W103" s="127">
        <f ca="1">VALUE(_xll.BDP($A103 &amp; " Corp",W$1))</f>
        <v>41029</v>
      </c>
      <c r="X103" s="127">
        <f ca="1">VALUE(_xll.BDP($A103 &amp; " Corp",X$1))</f>
        <v>41213</v>
      </c>
      <c r="Y103" s="127">
        <f ca="1">VALUE(_xll.BDP($A103 &amp; " Corp",Y$1))</f>
        <v>41578</v>
      </c>
      <c r="Z103" s="127">
        <f ca="1">VALUE(_xll.BDP($A103 &amp; " Corp",Z$1))</f>
        <v>41759</v>
      </c>
      <c r="AA103" s="128">
        <f ca="1">_xll.BDP($A103 &amp; " Corp",AA$1)/100</f>
        <v>2.5000000000000001E-3</v>
      </c>
      <c r="AB103" s="129">
        <f ca="1">_xll.BDP($A103 &amp; " Corp",AB$1)</f>
        <v>35940000000</v>
      </c>
      <c r="AC103" s="130" t="str">
        <f ca="1">IF(LEFT(B103,1)="B",_xll.INSTANCE.TBILL(A103,V103,Z103,TODAY()),_xll.INSTANCE.TNOTE(A103,V103,W103,X103,Y103,Z103,AA103,TODAY()))</f>
        <v>US912828SR21#0028</v>
      </c>
    </row>
    <row r="104" spans="1:29" x14ac:dyDescent="0.2">
      <c r="A104" s="131" t="s">
        <v>461</v>
      </c>
      <c r="B104" s="115" t="str">
        <f ca="1">_xll.BDP($A104 &amp; " Govt",B$1)</f>
        <v>T 1 05/15/14</v>
      </c>
      <c r="C104" s="372"/>
      <c r="D104" s="116"/>
      <c r="E104" s="117"/>
      <c r="F104" s="118"/>
      <c r="G104" s="377"/>
      <c r="H104" s="120">
        <f ca="1">IF(E104="",_xll.BDP(A104 &amp; " Govt","YLD_YTM_ASK")/100,E104)</f>
        <v>3.3290839999999999E-3</v>
      </c>
      <c r="I104" s="121">
        <f ca="1">_xll.INSTRUMENT.PRIX(AC104,D104,H104,cTreasuries)</f>
        <v>101.24296765740529</v>
      </c>
      <c r="J104" s="122">
        <f ca="1">_xll.INSTRUMENT.DV01(A104,,,I104,cContinuous,I104)</f>
        <v>-1.8778424173965132E-2</v>
      </c>
      <c r="K104" s="123">
        <f ca="1">_xll.INSTRUMENT.CONVEXITE(A104,,,I104,cContinuous,I104)</f>
        <v>3.4483245043117097</v>
      </c>
      <c r="L104" s="123">
        <f ca="1">_xll.INSTRUMENT.Z.SPREAD(A104,swapCurve,I104,cContinuous,D104)</f>
        <v>-19.603080987818799</v>
      </c>
      <c r="M104" s="123">
        <f ca="1">_xll.INSTRUMENT.Z.SPREAD(A104,ustCurve,I104,cContinuous,D104)</f>
        <v>0.41639577260203747</v>
      </c>
      <c r="N104" s="123">
        <f ca="1">_xll.INSTRUMENT.Z.SPREAD(A104,oisCurve,I104,cContinuous,D104)</f>
        <v>12.854440341546882</v>
      </c>
      <c r="O104" s="124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3.6510711314263564E-3</v>
      </c>
      <c r="P104" s="124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3.9585364828483424E-3</v>
      </c>
      <c r="Q104" s="379">
        <f ca="1">-(O104-curve!$S$3)/J104</f>
        <v>0.10293216599846595</v>
      </c>
      <c r="R104" s="381">
        <f t="shared" ca="1" si="1"/>
        <v>-183.63226181100708</v>
      </c>
      <c r="S104" s="199" t="str">
        <f>IF(F104&lt;&gt;"","",IF(G104="","",-G104*(SUMIF('bench Comparison'!$A:$A,"RESINV1USD",'bench Comparison'!$G:$G)+SUMIF('bench Comparison'!$A:$A,"RESSWAPORUSD",'bench Comparison'!$G:$G))/(36500*J104)))</f>
        <v/>
      </c>
      <c r="T104" s="210" t="str">
        <f>IF(G104&lt;&gt;"","",IF(F104="","",-36500*J104*F104/(SUMIF('bench Comparison'!$A:$A,"RESINV1USD",'bench Comparison'!$G:$G)+SUMIF('bench Comparison'!$A:$A,"RESSWAPORUSD",'bench Comparison'!$G:$G))))</f>
        <v/>
      </c>
      <c r="U104" s="125">
        <f>SUMIF('bench Comparison'!$E:$E,A104,'bench Comparison'!$N:$N)</f>
        <v>0</v>
      </c>
      <c r="V104" s="126">
        <f ca="1">VALUE(_xll.BDP($A104 &amp; " Corp",V$1))</f>
        <v>40679</v>
      </c>
      <c r="W104" s="127">
        <f ca="1">VALUE(_xll.BDP($A104 &amp; " Corp",W$1))</f>
        <v>40678</v>
      </c>
      <c r="X104" s="127">
        <f ca="1">VALUE(_xll.BDP($A104 &amp; " Corp",X$1))</f>
        <v>40862</v>
      </c>
      <c r="Y104" s="127">
        <f ca="1">VALUE(_xll.BDP($A104 &amp; " Corp",Y$1))</f>
        <v>41593</v>
      </c>
      <c r="Z104" s="127">
        <f ca="1">VALUE(_xll.BDP($A104 &amp; " Corp",Z$1))</f>
        <v>41774</v>
      </c>
      <c r="AA104" s="128">
        <f ca="1">_xll.BDP($A104 &amp; " Corp",AA$1)/100</f>
        <v>0.01</v>
      </c>
      <c r="AB104" s="129">
        <f ca="1">_xll.BDP($A104 &amp; " Corp",AB$1)</f>
        <v>32000000000</v>
      </c>
      <c r="AC104" s="130" t="str">
        <f ca="1">IF(LEFT(B104,1)="B",_xll.INSTANCE.TBILL(A104,V104,Z104,TODAY()),_xll.INSTANCE.TNOTE(A104,V104,W104,X104,Y104,Z104,AA104,TODAY()))</f>
        <v>US912828QM51#0028</v>
      </c>
    </row>
    <row r="105" spans="1:29" x14ac:dyDescent="0.2">
      <c r="A105" s="131" t="s">
        <v>460</v>
      </c>
      <c r="B105" s="115" t="str">
        <f ca="1">_xll.BDP($A105 &amp; " Govt",B$1)</f>
        <v>T 4 3/4 05/15/14</v>
      </c>
      <c r="C105" s="372"/>
      <c r="D105" s="116"/>
      <c r="E105" s="117"/>
      <c r="F105" s="118"/>
      <c r="G105" s="377"/>
      <c r="H105" s="120">
        <f ca="1">IF(E105="",_xll.BDP(A105 &amp; " Govt","YLD_YTM_ASK")/100,E105)</f>
        <v>3.2025669999999999E-3</v>
      </c>
      <c r="I105" s="121">
        <f ca="1">_xll.INSTRUMENT.PRIX(AC105,D105,H105,cTreasuries)</f>
        <v>108.25075699184382</v>
      </c>
      <c r="J105" s="122">
        <f ca="1">_xll.INSTRUMENT.DV01(A105,,,I105,cContinuous,I105)</f>
        <v>-1.9618544773171331E-2</v>
      </c>
      <c r="K105" s="123">
        <f ca="1">_xll.INSTRUMENT.CONVEXITE(A105,,,I105,cContinuous,I105)</f>
        <v>3.3188374005168999</v>
      </c>
      <c r="L105" s="123">
        <f ca="1">_xll.INSTRUMENT.Z.SPREAD(A105,swapCurve,I105,cContinuous,D105)</f>
        <v>-20.773369470463145</v>
      </c>
      <c r="M105" s="123">
        <f ca="1">_xll.INSTRUMENT.Z.SPREAD(A105,ustCurve,I105,cContinuous,D105)</f>
        <v>-1.1530726660925668</v>
      </c>
      <c r="N105" s="123">
        <f ca="1">_xll.INSTRUMENT.Z.SPREAD(A105,oisCurve,I105,cContinuous,D105)</f>
        <v>11.636609997940806</v>
      </c>
      <c r="O105" s="124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1.3678375424247486E-3</v>
      </c>
      <c r="P105" s="124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4.0951763379762588E-3</v>
      </c>
      <c r="Q105" s="379">
        <f ca="1">-(O105-curve!$S$3)/J105</f>
        <v>-1.7857069359013031E-2</v>
      </c>
      <c r="R105" s="381">
        <f t="shared" ca="1" si="1"/>
        <v>-169.16837812840544</v>
      </c>
      <c r="S105" s="199" t="str">
        <f>IF(F105&lt;&gt;"","",IF(G105="","",-G105*(SUMIF('bench Comparison'!$A:$A,"RESINV1USD",'bench Comparison'!$G:$G)+SUMIF('bench Comparison'!$A:$A,"RESSWAPORUSD",'bench Comparison'!$G:$G))/(36500*J105)))</f>
        <v/>
      </c>
      <c r="T105" s="210" t="str">
        <f>IF(G105&lt;&gt;"","",IF(F105="","",-36500*J105*F105/(SUMIF('bench Comparison'!$A:$A,"RESINV1USD",'bench Comparison'!$G:$G)+SUMIF('bench Comparison'!$A:$A,"RESSWAPORUSD",'bench Comparison'!$G:$G))))</f>
        <v/>
      </c>
      <c r="U105" s="125">
        <f>SUMIF('bench Comparison'!$E:$E,A105,'bench Comparison'!$N:$N)</f>
        <v>0</v>
      </c>
      <c r="V105" s="126">
        <f ca="1">VALUE(_xll.BDP($A105 &amp; " Corp",V$1))</f>
        <v>38124</v>
      </c>
      <c r="W105" s="127">
        <f ca="1">VALUE(_xll.BDP($A105 &amp; " Corp",W$1))</f>
        <v>38122</v>
      </c>
      <c r="X105" s="127">
        <f ca="1">VALUE(_xll.BDP($A105 &amp; " Corp",X$1))</f>
        <v>38306</v>
      </c>
      <c r="Y105" s="127">
        <f ca="1">VALUE(_xll.BDP($A105 &amp; " Corp",Y$1))</f>
        <v>41593</v>
      </c>
      <c r="Z105" s="127">
        <f ca="1">VALUE(_xll.BDP($A105 &amp; " Corp",Z$1))</f>
        <v>41774</v>
      </c>
      <c r="AA105" s="128">
        <f ca="1">_xll.BDP($A105 &amp; " Corp",AA$1)/100</f>
        <v>4.7500000000000001E-2</v>
      </c>
      <c r="AB105" s="129">
        <f ca="1">_xll.BDP($A105 &amp; " Corp",AB$1)</f>
        <v>27303000000</v>
      </c>
      <c r="AC105" s="130" t="str">
        <f ca="1">IF(LEFT(B105,1)="B",_xll.INSTANCE.TBILL(A105,V105,Z105,TODAY()),_xll.INSTANCE.TNOTE(A105,V105,W105,X105,Y105,Z105,AA105,TODAY()))</f>
        <v>US912828CJ78#0028</v>
      </c>
    </row>
    <row r="106" spans="1:29" x14ac:dyDescent="0.2">
      <c r="A106" s="131" t="s">
        <v>462</v>
      </c>
      <c r="B106" s="115" t="str">
        <f ca="1">_xll.BDP($A106 &amp; " Govt",B$1)</f>
        <v>T 2 1/4 05/31/14</v>
      </c>
      <c r="C106" s="372"/>
      <c r="D106" s="116"/>
      <c r="E106" s="117"/>
      <c r="F106" s="118"/>
      <c r="G106" s="377"/>
      <c r="H106" s="120">
        <f ca="1">IF(E106="",_xll.BDP(A106 &amp; " Govt","YLD_YTM_ASK")/100,E106)</f>
        <v>3.3461139999999999E-3</v>
      </c>
      <c r="I106" s="121">
        <f ca="1">_xll.INSTRUMENT.PRIX(AC106,D106,H106,cTreasuries)</f>
        <v>103.64896314088341</v>
      </c>
      <c r="J106" s="122">
        <f ca="1">_xll.INSTRUMENT.DV01(A106,,,I106,cContinuous,I106)</f>
        <v>-1.9563809093486303E-2</v>
      </c>
      <c r="K106" s="123">
        <f ca="1">_xll.INSTRUMENT.CONVEXITE(A106,,,I106,cContinuous,I106)</f>
        <v>3.586213066882121</v>
      </c>
      <c r="L106" s="123">
        <f ca="1">_xll.INSTRUMENT.Z.SPREAD(A106,swapCurve,I106,cContinuous,D106)</f>
        <v>-19.74980395077041</v>
      </c>
      <c r="M106" s="123">
        <f ca="1">_xll.INSTRUMENT.Z.SPREAD(A106,ustCurve,I106,cContinuous,D106)</f>
        <v>-1.4193313727528913E-2</v>
      </c>
      <c r="N106" s="123">
        <f ca="1">_xll.INSTRUMENT.Z.SPREAD(A106,oisCurve,I106,cContinuous,D106)</f>
        <v>12.789433087821891</v>
      </c>
      <c r="O106" s="124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3.0497368137975115E-3</v>
      </c>
      <c r="P106" s="124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4.0287504937796988E-3</v>
      </c>
      <c r="Q106" s="379">
        <f ca="1">-(O106-curve!$S$3)/J106</f>
        <v>6.8062898706095068E-2</v>
      </c>
      <c r="R106" s="381">
        <f t="shared" ca="1" si="1"/>
        <v>-183.30852901627102</v>
      </c>
      <c r="S106" s="199" t="str">
        <f>IF(F106&lt;&gt;"","",IF(G106="","",-G106*(SUMIF('bench Comparison'!$A:$A,"RESINV1USD",'bench Comparison'!$G:$G)+SUMIF('bench Comparison'!$A:$A,"RESSWAPORUSD",'bench Comparison'!$G:$G))/(36500*J106)))</f>
        <v/>
      </c>
      <c r="T106" s="210" t="str">
        <f>IF(G106&lt;&gt;"","",IF(F106="","",-36500*J106*F106/(SUMIF('bench Comparison'!$A:$A,"RESINV1USD",'bench Comparison'!$G:$G)+SUMIF('bench Comparison'!$A:$A,"RESSWAPORUSD",'bench Comparison'!$G:$G))))</f>
        <v/>
      </c>
      <c r="U106" s="125">
        <f>SUMIF('bench Comparison'!$E:$E,A106,'bench Comparison'!$N:$N)</f>
        <v>0</v>
      </c>
      <c r="V106" s="126">
        <f ca="1">VALUE(_xll.BDP($A106 &amp; " Corp",V$1))</f>
        <v>39965</v>
      </c>
      <c r="W106" s="127">
        <f ca="1">VALUE(_xll.BDP($A106 &amp; " Corp",W$1))</f>
        <v>39964</v>
      </c>
      <c r="X106" s="127">
        <f ca="1">VALUE(_xll.BDP($A106 &amp; " Corp",X$1))</f>
        <v>40147</v>
      </c>
      <c r="Y106" s="127">
        <f ca="1">VALUE(_xll.BDP($A106 &amp; " Corp",Y$1))</f>
        <v>41608</v>
      </c>
      <c r="Z106" s="127">
        <f ca="1">VALUE(_xll.BDP($A106 &amp; " Corp",Z$1))</f>
        <v>41790</v>
      </c>
      <c r="AA106" s="128">
        <f ca="1">_xll.BDP($A106 &amp; " Corp",AA$1)/100</f>
        <v>2.2499999999999999E-2</v>
      </c>
      <c r="AB106" s="129">
        <f ca="1">_xll.BDP($A106 &amp; " Corp",AB$1)</f>
        <v>36170000000</v>
      </c>
      <c r="AC106" s="130" t="str">
        <f ca="1">IF(LEFT(B106,1)="B",_xll.INSTANCE.TBILL(A106,V106,Z106,TODAY()),_xll.INSTANCE.TNOTE(A106,V106,W106,X106,Y106,Z106,AA106,TODAY()))</f>
        <v>US912828KV15#0028</v>
      </c>
    </row>
    <row r="107" spans="1:29" x14ac:dyDescent="0.2">
      <c r="A107" s="131" t="s">
        <v>912</v>
      </c>
      <c r="B107" s="115" t="str">
        <f ca="1">_xll.BDP($A107 &amp; " Govt",B$1)</f>
        <v>T 0 1/4 05/31/14</v>
      </c>
      <c r="C107" s="372" t="s">
        <v>936</v>
      </c>
      <c r="D107" s="116"/>
      <c r="E107" s="117"/>
      <c r="F107" s="118"/>
      <c r="G107" s="377"/>
      <c r="H107" s="120">
        <f ca="1">IF(E107="",_xll.BDP(A107 &amp; " Govt","YLD_YTM_ASK")/100,E107)</f>
        <v>3.1559870000000003E-3</v>
      </c>
      <c r="I107" s="121">
        <f ca="1">_xll.INSTRUMENT.PRIX(AC107,D107,H107,cTreasuries)</f>
        <v>99.874927478652523</v>
      </c>
      <c r="J107" s="122">
        <f ca="1">_xll.INSTRUMENT.DV01(A107,,,I107,cContinuous,I107)</f>
        <v>-1.9107152240730518E-2</v>
      </c>
      <c r="K107" s="123">
        <f ca="1">_xll.INSTRUMENT.CONVEXITE(A107,,,I107,cContinuous,I107)</f>
        <v>3.6627645575471619</v>
      </c>
      <c r="L107" s="123">
        <f ca="1">_xll.INSTRUMENT.Z.SPREAD(A107,swapCurve,I107,cContinuous,D107)</f>
        <v>-21.697926421697264</v>
      </c>
      <c r="M107" s="123">
        <f ca="1">_xll.INSTRUMENT.Z.SPREAD(A107,ustCurve,I107,cContinuous,D107)</f>
        <v>-1.7471121275119617</v>
      </c>
      <c r="N107" s="123">
        <f ca="1">_xll.INSTRUMENT.Z.SPREAD(A107,oisCurve,I107,cContinuous,D107)</f>
        <v>10.871012083997023</v>
      </c>
      <c r="O107" s="124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4.1806001326718896E-3</v>
      </c>
      <c r="P107" s="124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3.8084017200782842E-3</v>
      </c>
      <c r="Q107" s="379">
        <f ca="1">-(O107-curve!$S$3)/J107</f>
        <v>0.12887492832451378</v>
      </c>
      <c r="R107" s="381">
        <f t="shared" ca="1" si="1"/>
        <v>-191.6959948505191</v>
      </c>
      <c r="S107" s="199" t="str">
        <f>IF(F107&lt;&gt;"","",IF(G107="","",-G107*(SUMIF('bench Comparison'!$A:$A,"RESINV1USD",'bench Comparison'!$G:$G)+SUMIF('bench Comparison'!$A:$A,"RESSWAPORUSD",'bench Comparison'!$G:$G))/(36500*J107)))</f>
        <v/>
      </c>
      <c r="T107" s="210" t="str">
        <f>IF(G107&lt;&gt;"","",IF(F107="","",-36500*J107*F107/(SUMIF('bench Comparison'!$A:$A,"RESINV1USD",'bench Comparison'!$G:$G)+SUMIF('bench Comparison'!$A:$A,"RESSWAPORUSD",'bench Comparison'!$G:$G))))</f>
        <v/>
      </c>
      <c r="U107" s="125">
        <f>SUMIF('bench Comparison'!$E:$E,A107,'bench Comparison'!$N:$N)</f>
        <v>-412484122.10975742</v>
      </c>
      <c r="V107" s="126">
        <f ca="1">VALUE(_xll.BDP($A107 &amp; " Corp",V$1))</f>
        <v>41060</v>
      </c>
      <c r="W107" s="127">
        <f ca="1">VALUE(_xll.BDP($A107 &amp; " Corp",W$1))</f>
        <v>41060</v>
      </c>
      <c r="X107" s="127">
        <f ca="1">VALUE(_xll.BDP($A107 &amp; " Corp",X$1))</f>
        <v>41243</v>
      </c>
      <c r="Y107" s="127">
        <f ca="1">VALUE(_xll.BDP($A107 &amp; " Corp",Y$1))</f>
        <v>41608</v>
      </c>
      <c r="Z107" s="127">
        <f ca="1">VALUE(_xll.BDP($A107 &amp; " Corp",Z$1))</f>
        <v>41790</v>
      </c>
      <c r="AA107" s="128">
        <f ca="1">_xll.BDP($A107 &amp; " Corp",AA$1)/100</f>
        <v>2.5000000000000001E-3</v>
      </c>
      <c r="AB107" s="129">
        <f ca="1">_xll.BDP($A107 &amp; " Corp",AB$1)</f>
        <v>35000000000</v>
      </c>
      <c r="AC107" s="130" t="str">
        <f ca="1">IF(LEFT(B107,1)="B",_xll.INSTANCE.TBILL(A107,V107,Z107,TODAY()),_xll.INSTANCE.TNOTE(A107,V107,W107,X107,Y107,Z107,AA107,TODAY()))</f>
        <v>US912828SW16#0028</v>
      </c>
    </row>
    <row r="108" spans="1:29" x14ac:dyDescent="0.2">
      <c r="A108" s="131" t="s">
        <v>463</v>
      </c>
      <c r="B108" s="115" t="str">
        <f ca="1">_xll.BDP($A108 &amp; " Govt",B$1)</f>
        <v>T 0 3/4 06/15/14</v>
      </c>
      <c r="C108" s="372"/>
      <c r="D108" s="116"/>
      <c r="E108" s="117"/>
      <c r="F108" s="118"/>
      <c r="G108" s="377"/>
      <c r="H108" s="120">
        <f ca="1">IF(E108="",_xll.BDP(A108 &amp; " Govt","YLD_YTM_ASK")/100,E108)</f>
        <v>3.2039730000000002E-3</v>
      </c>
      <c r="I108" s="121">
        <f ca="1">_xll.INSTRUMENT.PRIX(AC108,D108,H108,cTreasuries)</f>
        <v>100.83640595644221</v>
      </c>
      <c r="J108" s="122">
        <f ca="1">_xll.INSTRUMENT.DV01(A108,,,I108,cContinuous,I108)</f>
        <v>-1.960633200382797E-2</v>
      </c>
      <c r="K108" s="123">
        <f ca="1">_xll.INSTRUMENT.CONVEXITE(A108,,,I108,cContinuous,I108)</f>
        <v>3.7907609604597283</v>
      </c>
      <c r="L108" s="123">
        <f ca="1">_xll.INSTRUMENT.Z.SPREAD(A108,swapCurve,I108,cContinuous,D108)</f>
        <v>-21.364482975533825</v>
      </c>
      <c r="M108" s="123">
        <f ca="1">_xll.INSTRUMENT.Z.SPREAD(A108,ustCurve,I108,cContinuous,D108)</f>
        <v>-1.5817458414736993</v>
      </c>
      <c r="N108" s="123">
        <f ca="1">_xll.INSTRUMENT.Z.SPREAD(A108,oisCurve,I108,cContinuous,D108)</f>
        <v>11.285714913393219</v>
      </c>
      <c r="O108" s="124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3.7368788778935572E-3</v>
      </c>
      <c r="P108" s="124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3.8192899800272751E-3</v>
      </c>
      <c r="Q108" s="379">
        <f ca="1">-(O108-curve!$S$3)/J108</f>
        <v>0.10296222773016643</v>
      </c>
      <c r="R108" s="381">
        <f t="shared" ca="1" si="1"/>
        <v>-193.34370955870861</v>
      </c>
      <c r="S108" s="199" t="str">
        <f>IF(F108&lt;&gt;"","",IF(G108="","",-G108*(SUMIF('bench Comparison'!$A:$A,"RESINV1USD",'bench Comparison'!$G:$G)+SUMIF('bench Comparison'!$A:$A,"RESSWAPORUSD",'bench Comparison'!$G:$G))/(36500*J108)))</f>
        <v/>
      </c>
      <c r="T108" s="210" t="str">
        <f>IF(G108&lt;&gt;"","",IF(F108="","",-36500*J108*F108/(SUMIF('bench Comparison'!$A:$A,"RESINV1USD",'bench Comparison'!$G:$G)+SUMIF('bench Comparison'!$A:$A,"RESSWAPORUSD",'bench Comparison'!$G:$G))))</f>
        <v/>
      </c>
      <c r="U108" s="125">
        <f>SUMIF('bench Comparison'!$E:$E,A108,'bench Comparison'!$N:$N)</f>
        <v>0</v>
      </c>
      <c r="V108" s="126">
        <f ca="1">VALUE(_xll.BDP($A108 &amp; " Corp",V$1))</f>
        <v>40709</v>
      </c>
      <c r="W108" s="127">
        <f ca="1">VALUE(_xll.BDP($A108 &amp; " Corp",W$1))</f>
        <v>40709</v>
      </c>
      <c r="X108" s="127">
        <f ca="1">VALUE(_xll.BDP($A108 &amp; " Corp",X$1))</f>
        <v>40892</v>
      </c>
      <c r="Y108" s="127">
        <f ca="1">VALUE(_xll.BDP($A108 &amp; " Corp",Y$1))</f>
        <v>41623</v>
      </c>
      <c r="Z108" s="127">
        <f ca="1">VALUE(_xll.BDP($A108 &amp; " Corp",Z$1))</f>
        <v>41805</v>
      </c>
      <c r="AA108" s="128">
        <f ca="1">_xll.BDP($A108 &amp; " Corp",AA$1)/100</f>
        <v>7.4999999999999997E-3</v>
      </c>
      <c r="AB108" s="129">
        <f ca="1">_xll.BDP($A108 &amp; " Corp",AB$1)</f>
        <v>32000000000</v>
      </c>
      <c r="AC108" s="130" t="str">
        <f ca="1">IF(LEFT(B108,1)="B",_xll.INSTANCE.TBILL(A108,V108,Z108,TODAY()),_xll.INSTANCE.TNOTE(A108,V108,W108,X108,Y108,Z108,AA108,TODAY()))</f>
        <v>US912828QS22#0028</v>
      </c>
    </row>
    <row r="109" spans="1:29" x14ac:dyDescent="0.2">
      <c r="A109" s="131" t="s">
        <v>464</v>
      </c>
      <c r="B109" s="115" t="str">
        <f ca="1">_xll.BDP($A109 &amp; " Govt",B$1)</f>
        <v>T 2 5/8 06/30/14</v>
      </c>
      <c r="C109" s="372"/>
      <c r="D109" s="116"/>
      <c r="E109" s="117"/>
      <c r="F109" s="118"/>
      <c r="G109" s="377"/>
      <c r="H109" s="120">
        <f ca="1">IF(E109="",_xll.BDP(A109 &amp; " Govt","YLD_YTM_ASK")/100,E109)</f>
        <v>3.1286639999999998E-3</v>
      </c>
      <c r="I109" s="121">
        <f ca="1">_xll.INSTRUMENT.PRIX(AC109,D109,H109,cTreasuries)</f>
        <v>104.5941761234466</v>
      </c>
      <c r="J109" s="122">
        <f ca="1">_xll.INSTRUMENT.DV01(A109,,,I109,cContinuous,I109)</f>
        <v>-2.0458723962219264E-2</v>
      </c>
      <c r="K109" s="123">
        <f ca="1">_xll.INSTRUMENT.CONVEXITE(A109,,,I109,cContinuous,I109)</f>
        <v>3.8670815741366078</v>
      </c>
      <c r="L109" s="123">
        <f ca="1">_xll.INSTRUMENT.Z.SPREAD(A109,swapCurve,I109,cContinuous,D109)</f>
        <v>-22.221271942539019</v>
      </c>
      <c r="M109" s="123">
        <f ca="1">_xll.INSTRUMENT.Z.SPREAD(A109,ustCurve,I109,cContinuous,D109)</f>
        <v>-2.7444270173801186</v>
      </c>
      <c r="N109" s="123">
        <f ca="1">_xll.INSTRUMENT.Z.SPREAD(A109,oisCurve,I109,cContinuous,D109)</f>
        <v>10.497301930352178</v>
      </c>
      <c r="O109" s="124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2.4269577699912392E-3</v>
      </c>
      <c r="P109" s="124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3.8724749826757085E-3</v>
      </c>
      <c r="Q109" s="379">
        <f ca="1">-(O109-curve!$S$3)/J109</f>
        <v>3.4644903276371368E-2</v>
      </c>
      <c r="R109" s="381">
        <f t="shared" ca="1" si="1"/>
        <v>-189.01870816957469</v>
      </c>
      <c r="S109" s="199" t="str">
        <f>IF(F109&lt;&gt;"","",IF(G109="","",-G109*(SUMIF('bench Comparison'!$A:$A,"RESINV1USD",'bench Comparison'!$G:$G)+SUMIF('bench Comparison'!$A:$A,"RESSWAPORUSD",'bench Comparison'!$G:$G))/(36500*J109)))</f>
        <v/>
      </c>
      <c r="T109" s="210" t="str">
        <f>IF(G109&lt;&gt;"","",IF(F109="","",-36500*J109*F109/(SUMIF('bench Comparison'!$A:$A,"RESINV1USD",'bench Comparison'!$G:$G)+SUMIF('bench Comparison'!$A:$A,"RESSWAPORUSD",'bench Comparison'!$G:$G))))</f>
        <v/>
      </c>
      <c r="U109" s="125">
        <f>SUMIF('bench Comparison'!$E:$E,A109,'bench Comparison'!$N:$N)</f>
        <v>0</v>
      </c>
      <c r="V109" s="126">
        <f ca="1">VALUE(_xll.BDP($A109 &amp; " Corp",V$1))</f>
        <v>39994</v>
      </c>
      <c r="W109" s="127">
        <f ca="1">VALUE(_xll.BDP($A109 &amp; " Corp",W$1))</f>
        <v>39994</v>
      </c>
      <c r="X109" s="127">
        <f ca="1">VALUE(_xll.BDP($A109 &amp; " Corp",X$1))</f>
        <v>40178</v>
      </c>
      <c r="Y109" s="127">
        <f ca="1">VALUE(_xll.BDP($A109 &amp; " Corp",Y$1))</f>
        <v>41639</v>
      </c>
      <c r="Z109" s="127">
        <f ca="1">VALUE(_xll.BDP($A109 &amp; " Corp",Z$1))</f>
        <v>41820</v>
      </c>
      <c r="AA109" s="128">
        <f ca="1">_xll.BDP($A109 &amp; " Corp",AA$1)/100</f>
        <v>2.6249999999999999E-2</v>
      </c>
      <c r="AB109" s="129">
        <f ca="1">_xll.BDP($A109 &amp; " Corp",AB$1)</f>
        <v>38075000000</v>
      </c>
      <c r="AC109" s="130" t="str">
        <f ca="1">IF(LEFT(B109,1)="B",_xll.INSTANCE.TBILL(A109,V109,Z109,TODAY()),_xll.INSTANCE.TNOTE(A109,V109,W109,X109,Y109,Z109,AA109,TODAY()))</f>
        <v>US912828KY53#0027</v>
      </c>
    </row>
    <row r="110" spans="1:29" x14ac:dyDescent="0.2">
      <c r="A110" s="131" t="s">
        <v>942</v>
      </c>
      <c r="B110" s="115" t="str">
        <f ca="1">_xll.BDP($A110 &amp; " Govt",B$1)</f>
        <v>T 0 1/4 06/30/14</v>
      </c>
      <c r="C110" s="372" t="s">
        <v>920</v>
      </c>
      <c r="D110" s="116"/>
      <c r="E110" s="117"/>
      <c r="F110" s="118"/>
      <c r="G110" s="377"/>
      <c r="H110" s="120">
        <f ca="1">IF(E110="",_xll.BDP(A110 &amp; " Govt","YLD_YTM_ASK")/100,E110)</f>
        <v>3.1291459999999998E-3</v>
      </c>
      <c r="I110" s="121">
        <f ca="1">_xll.INSTRUMENT.PRIX(AC110,D110,H110,cTreasuries)</f>
        <v>99.875435801434691</v>
      </c>
      <c r="J110" s="122">
        <f ca="1">_xll.INSTRUMENT.DV01(A110,,,I110,cContinuous,I110)</f>
        <v>-1.9869664241460694E-2</v>
      </c>
      <c r="K110" s="123">
        <f ca="1">_xll.INSTRUMENT.CONVEXITE(A110,,,I110,cContinuous,I110)</f>
        <v>3.9621192433892416</v>
      </c>
      <c r="L110" s="123">
        <f ca="1">_xll.INSTRUMENT.Z.SPREAD(A110,swapCurve,I110,cContinuous,D110)</f>
        <v>-22.292340983449659</v>
      </c>
      <c r="M110" s="123">
        <f ca="1">_xll.INSTRUMENT.Z.SPREAD(A110,ustCurve,I110,cContinuous,D110)</f>
        <v>-2.565845248578642</v>
      </c>
      <c r="N110" s="123">
        <f ca="1">_xll.INSTRUMENT.Z.SPREAD(A110,oisCurve,I110,cContinuous,D110)</f>
        <v>10.467805657591668</v>
      </c>
      <c r="O110" s="124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3.8634471319792191E-3</v>
      </c>
      <c r="P110" s="124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3.7069829846107338E-3</v>
      </c>
      <c r="Q110" s="379">
        <f ca="1">-(O110-curve!$S$3)/J110</f>
        <v>0.10796759566478413</v>
      </c>
      <c r="R110" s="381">
        <f t="shared" ref="R110" ca="1" si="2">K110/J110</f>
        <v>-199.40544516709818</v>
      </c>
      <c r="S110" s="199" t="str">
        <f>IF(F110&lt;&gt;"","",IF(G110="","",-G110*(SUMIF('bench Comparison'!$A:$A,"RESINV1USD",'bench Comparison'!$G:$G)+SUMIF('bench Comparison'!$A:$A,"RESSWAPORUSD",'bench Comparison'!$G:$G))/(36500*J110)))</f>
        <v/>
      </c>
      <c r="T110" s="210" t="str">
        <f>IF(G110&lt;&gt;"","",IF(F110="","",-36500*J110*F110/(SUMIF('bench Comparison'!$A:$A,"RESINV1USD",'bench Comparison'!$G:$G)+SUMIF('bench Comparison'!$A:$A,"RESSWAPORUSD",'bench Comparison'!$G:$G))))</f>
        <v/>
      </c>
      <c r="U110" s="125">
        <f>SUMIF('bench Comparison'!$E:$E,A110,'bench Comparison'!$N:$N)</f>
        <v>-201484122.10975742</v>
      </c>
      <c r="V110" s="126">
        <f ca="1">VALUE(_xll.BDP($A110 &amp; " Corp",V$1))</f>
        <v>41092</v>
      </c>
      <c r="W110" s="127">
        <f ca="1">VALUE(_xll.BDP($A110 &amp; " Corp",W$1))</f>
        <v>41090</v>
      </c>
      <c r="X110" s="127">
        <f ca="1">VALUE(_xll.BDP($A110 &amp; " Corp",X$1))</f>
        <v>41274</v>
      </c>
      <c r="Y110" s="127">
        <f ca="1">VALUE(_xll.BDP($A110 &amp; " Corp",Y$1))</f>
        <v>41639</v>
      </c>
      <c r="Z110" s="127">
        <f ca="1">VALUE(_xll.BDP($A110 &amp; " Corp",Z$1))</f>
        <v>41820</v>
      </c>
      <c r="AA110" s="128">
        <f ca="1">_xll.BDP($A110 &amp; " Corp",AA$1)/100</f>
        <v>2.5000000000000001E-3</v>
      </c>
      <c r="AB110" s="129">
        <f ca="1">_xll.BDP($A110 &amp; " Corp",AB$1)</f>
        <v>35000000000</v>
      </c>
      <c r="AC110" s="130" t="str">
        <f ca="1">IF(LEFT(B110,1)="B",_xll.INSTANCE.TBILL(A110,V110,Z110,TODAY()),_xll.INSTANCE.TNOTE(A110,V110,W110,X110,Y110,Z110,AA110,TODAY()))</f>
        <v>US912828TA86#0029</v>
      </c>
    </row>
    <row r="111" spans="1:29" x14ac:dyDescent="0.2">
      <c r="A111" s="131" t="s">
        <v>465</v>
      </c>
      <c r="B111" s="115" t="str">
        <f ca="1">_xll.BDP($A111 &amp; " Govt",B$1)</f>
        <v>T 0 5/8 07/15/14</v>
      </c>
      <c r="C111" s="372"/>
      <c r="D111" s="116"/>
      <c r="E111" s="117"/>
      <c r="F111" s="118"/>
      <c r="G111" s="377"/>
      <c r="H111" s="120">
        <f ca="1">IF(E111="",_xll.BDP(A111 &amp; " Govt","YLD_YTM_ASK")/100,E111)</f>
        <v>3.3593550000000001E-3</v>
      </c>
      <c r="I111" s="121">
        <f ca="1">_xll.INSTRUMENT.PRIX(AC111,D111,H111,cTreasuries)</f>
        <v>100.58641286329944</v>
      </c>
      <c r="J111" s="122">
        <f ca="1">_xll.INSTRUMENT.DV01(A111,,,I111,cContinuous,I111)</f>
        <v>-2.0365177720723111E-2</v>
      </c>
      <c r="K111" s="123">
        <f ca="1">_xll.INSTRUMENT.CONVEXITE(A111,,,I111,cContinuous,I111)</f>
        <v>4.09851321438697</v>
      </c>
      <c r="L111" s="123">
        <f ca="1">_xll.INSTRUMENT.Z.SPREAD(A111,swapCurve,I111,cContinuous,D111)</f>
        <v>-20.212185935661637</v>
      </c>
      <c r="M111" s="123">
        <f ca="1">_xll.INSTRUMENT.Z.SPREAD(A111,ustCurve,I111,cContinuous,D111)</f>
        <v>-0.63787853992281385</v>
      </c>
      <c r="N111" s="123">
        <f ca="1">_xll.INSTRUMENT.Z.SPREAD(A111,oisCurve,I111,cContinuous,D111)</f>
        <v>12.661513848293049</v>
      </c>
      <c r="O111" s="124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3.8205540383187369E-3</v>
      </c>
      <c r="P111" s="124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3.944863333237637E-3</v>
      </c>
      <c r="Q111" s="379">
        <f ca="1">-(O111-curve!$S$3)/J111</f>
        <v>0.10323439402236237</v>
      </c>
      <c r="R111" s="381">
        <f t="shared" ca="1" si="1"/>
        <v>-201.25104089891749</v>
      </c>
      <c r="S111" s="199" t="str">
        <f>IF(F111&lt;&gt;"","",IF(G111="","",-G111*(SUMIF('bench Comparison'!$A:$A,"RESINV1USD",'bench Comparison'!$G:$G)+SUMIF('bench Comparison'!$A:$A,"RESSWAPORUSD",'bench Comparison'!$G:$G))/(36500*J111)))</f>
        <v/>
      </c>
      <c r="T111" s="210" t="str">
        <f>IF(G111&lt;&gt;"","",IF(F111="","",-36500*J111*F111/(SUMIF('bench Comparison'!$A:$A,"RESINV1USD",'bench Comparison'!$G:$G)+SUMIF('bench Comparison'!$A:$A,"RESSWAPORUSD",'bench Comparison'!$G:$G))))</f>
        <v/>
      </c>
      <c r="U111" s="125">
        <f>SUMIF('bench Comparison'!$E:$E,A111,'bench Comparison'!$N:$N)</f>
        <v>0</v>
      </c>
      <c r="V111" s="126">
        <f ca="1">VALUE(_xll.BDP($A111 &amp; " Corp",V$1))</f>
        <v>40739</v>
      </c>
      <c r="W111" s="127">
        <f ca="1">VALUE(_xll.BDP($A111 &amp; " Corp",W$1))</f>
        <v>40739</v>
      </c>
      <c r="X111" s="127">
        <f ca="1">VALUE(_xll.BDP($A111 &amp; " Corp",X$1))</f>
        <v>40923</v>
      </c>
      <c r="Y111" s="127">
        <f ca="1">VALUE(_xll.BDP($A111 &amp; " Corp",Y$1))</f>
        <v>41654</v>
      </c>
      <c r="Z111" s="127">
        <f ca="1">VALUE(_xll.BDP($A111 &amp; " Corp",Z$1))</f>
        <v>41835</v>
      </c>
      <c r="AA111" s="128">
        <f ca="1">_xll.BDP($A111 &amp; " Corp",AA$1)/100</f>
        <v>6.2500000000000003E-3</v>
      </c>
      <c r="AB111" s="129">
        <f ca="1">_xll.BDP($A111 &amp; " Corp",AB$1)</f>
        <v>32000000000</v>
      </c>
      <c r="AC111" s="130" t="str">
        <f ca="1">IF(LEFT(B111,1)="B",_xll.INSTANCE.TBILL(A111,V111,Z111,TODAY()),_xll.INSTANCE.TNOTE(A111,V111,W111,X111,Y111,Z111,AA111,TODAY()))</f>
        <v>US912828QU77#0028</v>
      </c>
    </row>
    <row r="112" spans="1:29" x14ac:dyDescent="0.2">
      <c r="A112" s="131" t="s">
        <v>466</v>
      </c>
      <c r="B112" s="115" t="str">
        <f ca="1">_xll.BDP($A112 &amp; " Govt",B$1)</f>
        <v>T 2 5/8 07/31/14</v>
      </c>
      <c r="C112" s="372"/>
      <c r="D112" s="116"/>
      <c r="E112" s="117"/>
      <c r="F112" s="118"/>
      <c r="G112" s="377"/>
      <c r="H112" s="120">
        <f ca="1">IF(E112="",_xll.BDP(A112 &amp; " Govt","YLD_YTM_ASK")/100,E112)</f>
        <v>3.4580749999999997E-3</v>
      </c>
      <c r="I112" s="121">
        <f ca="1">_xll.INSTRUMENT.PRIX(AC112,D112,H112,cTreasuries)</f>
        <v>104.71926480272184</v>
      </c>
      <c r="J112" s="122">
        <f ca="1">_xll.INSTRUMENT.DV01(A112,,,I112,cContinuous,I112)</f>
        <v>-2.1337079745316248E-2</v>
      </c>
      <c r="K112" s="123">
        <f ca="1">_xll.INSTRUMENT.CONVEXITE(A112,,,I112,cContinuous,I112)</f>
        <v>4.1543104063779825</v>
      </c>
      <c r="L112" s="123">
        <f ca="1">_xll.INSTRUMENT.Z.SPREAD(A112,swapCurve,I112,cContinuous,D112)</f>
        <v>-19.399342111330505</v>
      </c>
      <c r="M112" s="123">
        <f ca="1">_xll.INSTRUMENT.Z.SPREAD(A112,ustCurve,I112,cContinuous,D112)</f>
        <v>-0.14355604776730885</v>
      </c>
      <c r="N112" s="123">
        <f ca="1">_xll.INSTRUMENT.Z.SPREAD(A112,oisCurve,I112,cContinuous,D112)</f>
        <v>13.569069581141097</v>
      </c>
      <c r="O112" s="124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2.4831255414733953E-3</v>
      </c>
      <c r="P112" s="124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4.0952994461140018E-3</v>
      </c>
      <c r="Q112" s="379">
        <f ca="1">-(O112-curve!$S$3)/J112</f>
        <v>3.5851123651498819E-2</v>
      </c>
      <c r="R112" s="381">
        <f t="shared" ca="1" si="1"/>
        <v>-194.69910859239792</v>
      </c>
      <c r="S112" s="199" t="str">
        <f>IF(F112&lt;&gt;"","",IF(G112="","",-G112*(SUMIF('bench Comparison'!$A:$A,"RESINV1USD",'bench Comparison'!$G:$G)+SUMIF('bench Comparison'!$A:$A,"RESSWAPORUSD",'bench Comparison'!$G:$G))/(36500*J112)))</f>
        <v/>
      </c>
      <c r="T112" s="210" t="str">
        <f>IF(G112&lt;&gt;"","",IF(F112="","",-36500*J112*F112/(SUMIF('bench Comparison'!$A:$A,"RESINV1USD",'bench Comparison'!$G:$G)+SUMIF('bench Comparison'!$A:$A,"RESSWAPORUSD",'bench Comparison'!$G:$G))))</f>
        <v/>
      </c>
      <c r="U112" s="125">
        <f>SUMIF('bench Comparison'!$E:$E,A112,'bench Comparison'!$N:$N)</f>
        <v>0</v>
      </c>
      <c r="V112" s="126">
        <f ca="1">VALUE(_xll.BDP($A112 &amp; " Corp",V$1))</f>
        <v>40025</v>
      </c>
      <c r="W112" s="127">
        <f ca="1">VALUE(_xll.BDP($A112 &amp; " Corp",W$1))</f>
        <v>40025</v>
      </c>
      <c r="X112" s="127">
        <f ca="1">VALUE(_xll.BDP($A112 &amp; " Corp",X$1))</f>
        <v>40209</v>
      </c>
      <c r="Y112" s="127">
        <f ca="1">VALUE(_xll.BDP($A112 &amp; " Corp",Y$1))</f>
        <v>41670</v>
      </c>
      <c r="Z112" s="127">
        <f ca="1">VALUE(_xll.BDP($A112 &amp; " Corp",Z$1))</f>
        <v>41851</v>
      </c>
      <c r="AA112" s="128">
        <f ca="1">_xll.BDP($A112 &amp; " Corp",AA$1)/100</f>
        <v>2.6249999999999999E-2</v>
      </c>
      <c r="AB112" s="129">
        <f ca="1">_xll.BDP($A112 &amp; " Corp",AB$1)</f>
        <v>39976000000</v>
      </c>
      <c r="AC112" s="130" t="str">
        <f ca="1">IF(LEFT(B112,1)="B",_xll.INSTANCE.TBILL(A112,V112,Z112,TODAY()),_xll.INSTANCE.TNOTE(A112,V112,W112,X112,Y112,Z112,AA112,TODAY()))</f>
        <v>US912828LC25#0028</v>
      </c>
    </row>
    <row r="113" spans="1:29" x14ac:dyDescent="0.2">
      <c r="A113" s="131" t="s">
        <v>468</v>
      </c>
      <c r="B113" s="115" t="str">
        <f ca="1">_xll.BDP($A113 &amp; " Govt",B$1)</f>
        <v>T 4 1/4 08/15/14</v>
      </c>
      <c r="C113" s="372"/>
      <c r="D113" s="116"/>
      <c r="E113" s="117"/>
      <c r="F113" s="118"/>
      <c r="G113" s="377"/>
      <c r="H113" s="120">
        <f ca="1">IF(E113="",_xll.BDP(A113 &amp; " Govt","YLD_YTM_ASK")/100,E113)</f>
        <v>3.4599119999999999E-3</v>
      </c>
      <c r="I113" s="121">
        <f ca="1">_xll.INSTRUMENT.PRIX(AC113,D113,H113,cTreasuries)</f>
        <v>108.24273319957389</v>
      </c>
      <c r="J113" s="122">
        <f ca="1">_xll.INSTRUMENT.DV01(A113,,,I113,cContinuous,I113)</f>
        <v>-2.2223473252296174E-2</v>
      </c>
      <c r="K113" s="123">
        <f ca="1">_xll.INSTRUMENT.CONVEXITE(A113,,,I113,cContinuous,I113)</f>
        <v>4.2275903652859688</v>
      </c>
      <c r="L113" s="123">
        <f ca="1">_xll.INSTRUMENT.Z.SPREAD(A113,swapCurve,I113,cContinuous,D113)</f>
        <v>-19.55631841218651</v>
      </c>
      <c r="M113" s="123">
        <f ca="1">_xll.INSTRUMENT.Z.SPREAD(A113,ustCurve,I113,cContinuous,D113)</f>
        <v>-0.55386287697347969</v>
      </c>
      <c r="N113" s="123">
        <f ca="1">_xll.INSTRUMENT.Z.SPREAD(A113,oisCurve,I113,cContinuous,D113)</f>
        <v>13.511402170618206</v>
      </c>
      <c r="O113" s="124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1.4232959867969549E-3</v>
      </c>
      <c r="P113" s="124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4.0789955005545511E-3</v>
      </c>
      <c r="Q113" s="379">
        <f ca="1">-(O113-curve!$S$3)/J113</f>
        <v>-1.3268460200511187E-2</v>
      </c>
      <c r="R113" s="381">
        <f t="shared" ca="1" si="1"/>
        <v>-190.2308571343215</v>
      </c>
      <c r="S113" s="199" t="str">
        <f>IF(F113&lt;&gt;"","",IF(G113="","",-G113*(SUMIF('bench Comparison'!$A:$A,"RESINV1USD",'bench Comparison'!$G:$G)+SUMIF('bench Comparison'!$A:$A,"RESSWAPORUSD",'bench Comparison'!$G:$G))/(36500*J113)))</f>
        <v/>
      </c>
      <c r="T113" s="210" t="str">
        <f>IF(G113&lt;&gt;"","",IF(F113="","",-36500*J113*F113/(SUMIF('bench Comparison'!$A:$A,"RESINV1USD",'bench Comparison'!$G:$G)+SUMIF('bench Comparison'!$A:$A,"RESSWAPORUSD",'bench Comparison'!$G:$G))))</f>
        <v/>
      </c>
      <c r="U113" s="125">
        <f>SUMIF('bench Comparison'!$E:$E,A113,'bench Comparison'!$N:$N)</f>
        <v>0</v>
      </c>
      <c r="V113" s="126">
        <f ca="1">VALUE(_xll.BDP($A113 &amp; " Corp",V$1))</f>
        <v>38215</v>
      </c>
      <c r="W113" s="127">
        <f ca="1">VALUE(_xll.BDP($A113 &amp; " Corp",W$1))</f>
        <v>38214</v>
      </c>
      <c r="X113" s="127">
        <f ca="1">VALUE(_xll.BDP($A113 &amp; " Corp",X$1))</f>
        <v>38398</v>
      </c>
      <c r="Y113" s="127">
        <f ca="1">VALUE(_xll.BDP($A113 &amp; " Corp",Y$1))</f>
        <v>41685</v>
      </c>
      <c r="Z113" s="127">
        <f ca="1">VALUE(_xll.BDP($A113 &amp; " Corp",Z$1))</f>
        <v>41866</v>
      </c>
      <c r="AA113" s="128">
        <f ca="1">_xll.BDP($A113 &amp; " Corp",AA$1)/100</f>
        <v>4.2500000000000003E-2</v>
      </c>
      <c r="AB113" s="129">
        <f ca="1">_xll.BDP($A113 &amp; " Corp",AB$1)</f>
        <v>24722000000</v>
      </c>
      <c r="AC113" s="130" t="str">
        <f ca="1">IF(LEFT(B113,1)="B",_xll.INSTANCE.TBILL(A113,V113,Z113,TODAY()),_xll.INSTANCE.TNOTE(A113,V113,W113,X113,Y113,Z113,AA113,TODAY()))</f>
        <v>US912828CT50#0027</v>
      </c>
    </row>
    <row r="114" spans="1:29" x14ac:dyDescent="0.2">
      <c r="A114" s="131" t="s">
        <v>467</v>
      </c>
      <c r="B114" s="115" t="str">
        <f ca="1">_xll.BDP($A114 &amp; " Govt",B$1)</f>
        <v>T 0 1/2 08/15/14</v>
      </c>
      <c r="C114" s="372"/>
      <c r="D114" s="116"/>
      <c r="E114" s="117"/>
      <c r="F114" s="118"/>
      <c r="G114" s="377"/>
      <c r="H114" s="120">
        <f ca="1">IF(E114="",_xll.BDP(A114 &amp; " Govt","YLD_YTM_ASK")/100,E114)</f>
        <v>3.4087790000000002E-3</v>
      </c>
      <c r="I114" s="121">
        <f ca="1">_xll.INSTRUMENT.PRIX(AC114,D114,H114,cTreasuries)</f>
        <v>100.33648308143232</v>
      </c>
      <c r="J114" s="122">
        <f ca="1">_xll.INSTRUMENT.DV01(A114,,,I114,cContinuous,I114)</f>
        <v>-2.1178935907344786E-2</v>
      </c>
      <c r="K114" s="123">
        <f ca="1">_xll.INSTRUMENT.CONVEXITE(A114,,,I114,cContinuous,I114)</f>
        <v>4.4570604386050636</v>
      </c>
      <c r="L114" s="123">
        <f ca="1">_xll.INSTRUMENT.Z.SPREAD(A114,swapCurve,I114,cContinuous,D114)</f>
        <v>-20.218832496575697</v>
      </c>
      <c r="M114" s="123">
        <f ca="1">_xll.INSTRUMENT.Z.SPREAD(A114,ustCurve,I114,cContinuous,D114)</f>
        <v>-0.85758374171209573</v>
      </c>
      <c r="N114" s="123">
        <f ca="1">_xll.INSTRUMENT.Z.SPREAD(A114,oisCurve,I114,cContinuous,D114)</f>
        <v>12.940992916779944</v>
      </c>
      <c r="O114" s="124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3.895913060060967E-3</v>
      </c>
      <c r="P114" s="124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3.9422156590188618E-3</v>
      </c>
      <c r="Q114" s="379">
        <f ca="1">-(O114-curve!$S$3)/J114</f>
        <v>0.10282602546351538</v>
      </c>
      <c r="R114" s="381">
        <f t="shared" ca="1" si="1"/>
        <v>-210.44779861009778</v>
      </c>
      <c r="S114" s="199" t="str">
        <f>IF(F114&lt;&gt;"","",IF(G114="","",-G114*(SUMIF('bench Comparison'!$A:$A,"RESINV1USD",'bench Comparison'!$G:$G)+SUMIF('bench Comparison'!$A:$A,"RESSWAPORUSD",'bench Comparison'!$G:$G))/(36500*J114)))</f>
        <v/>
      </c>
      <c r="T114" s="210" t="str">
        <f>IF(G114&lt;&gt;"","",IF(F114="","",-36500*J114*F114/(SUMIF('bench Comparison'!$A:$A,"RESINV1USD",'bench Comparison'!$G:$G)+SUMIF('bench Comparison'!$A:$A,"RESSWAPORUSD",'bench Comparison'!$G:$G))))</f>
        <v/>
      </c>
      <c r="U114" s="125">
        <f>SUMIF('bench Comparison'!$E:$E,A114,'bench Comparison'!$N:$N)</f>
        <v>0</v>
      </c>
      <c r="V114" s="126">
        <f ca="1">VALUE(_xll.BDP($A114 &amp; " Corp",V$1))</f>
        <v>40770</v>
      </c>
      <c r="W114" s="127">
        <f ca="1">VALUE(_xll.BDP($A114 &amp; " Corp",W$1))</f>
        <v>40770</v>
      </c>
      <c r="X114" s="127">
        <f ca="1">VALUE(_xll.BDP($A114 &amp; " Corp",X$1))</f>
        <v>40954</v>
      </c>
      <c r="Y114" s="127">
        <f ca="1">VALUE(_xll.BDP($A114 &amp; " Corp",Y$1))</f>
        <v>41685</v>
      </c>
      <c r="Z114" s="127">
        <f ca="1">VALUE(_xll.BDP($A114 &amp; " Corp",Z$1))</f>
        <v>41866</v>
      </c>
      <c r="AA114" s="128">
        <f ca="1">_xll.BDP($A114 &amp; " Corp",AA$1)/100</f>
        <v>5.0000000000000001E-3</v>
      </c>
      <c r="AB114" s="129">
        <f ca="1">_xll.BDP($A114 &amp; " Corp",AB$1)</f>
        <v>32980000000.000008</v>
      </c>
      <c r="AC114" s="130" t="str">
        <f ca="1">IF(LEFT(B114,1)="B",_xll.INSTANCE.TBILL(A114,V114,Z114,TODAY()),_xll.INSTANCE.TNOTE(A114,V114,W114,X114,Y114,Z114,AA114,TODAY()))</f>
        <v>US912828RB87#0028</v>
      </c>
    </row>
    <row r="115" spans="1:29" x14ac:dyDescent="0.2">
      <c r="A115" s="131" t="s">
        <v>469</v>
      </c>
      <c r="B115" s="115" t="str">
        <f ca="1">_xll.BDP($A115 &amp; " Govt",B$1)</f>
        <v>T 2 3/8 08/31/14</v>
      </c>
      <c r="C115" s="372"/>
      <c r="D115" s="116"/>
      <c r="E115" s="117"/>
      <c r="F115" s="118"/>
      <c r="G115" s="377"/>
      <c r="H115" s="120">
        <f ca="1">IF(E115="",_xll.BDP(A115 &amp; " Govt","YLD_YTM_ASK")/100,E115)</f>
        <v>3.4656789999999997E-3</v>
      </c>
      <c r="I115" s="121">
        <f ca="1">_xll.INSTRUMENT.PRIX(AC115,D115,H115,cTreasuries)</f>
        <v>104.36719075950577</v>
      </c>
      <c r="J115" s="122">
        <f ca="1">_xll.INSTRUMENT.DV01(A115,,,I115,cContinuous,I115)</f>
        <v>-2.2210590879754459E-2</v>
      </c>
      <c r="K115" s="123">
        <f ca="1">_xll.INSTRUMENT.CONVEXITE(A115,,,I115,cContinuous,I115)</f>
        <v>4.5421615623987375</v>
      </c>
      <c r="L115" s="123">
        <f ca="1">_xll.INSTRUMENT.Z.SPREAD(A115,swapCurve,I115,cContinuous,D115)</f>
        <v>-19.956029579888114</v>
      </c>
      <c r="M115" s="123">
        <f ca="1">_xll.INSTRUMENT.Z.SPREAD(A115,ustCurve,I115,cContinuous,D115)</f>
        <v>-0.89317673505657791</v>
      </c>
      <c r="N115" s="123">
        <f ca="1">_xll.INSTRUMENT.Z.SPREAD(A115,oisCurve,I115,cContinuous,D115)</f>
        <v>13.33424756221161</v>
      </c>
      <c r="O115" s="124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3.1777971364870929E-3</v>
      </c>
      <c r="P115" s="124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4.1024175585679364E-3</v>
      </c>
      <c r="Q115" s="379">
        <f ca="1">-(O115-curve!$S$3)/J115</f>
        <v>6.5717741919933001E-2</v>
      </c>
      <c r="R115" s="381">
        <f t="shared" ca="1" si="1"/>
        <v>-204.50430999289793</v>
      </c>
      <c r="S115" s="199" t="str">
        <f>IF(F115&lt;&gt;"","",IF(G115="","",-G115*(SUMIF('bench Comparison'!$A:$A,"RESINV1USD",'bench Comparison'!$G:$G)+SUMIF('bench Comparison'!$A:$A,"RESSWAPORUSD",'bench Comparison'!$G:$G))/(36500*J115)))</f>
        <v/>
      </c>
      <c r="T115" s="210" t="str">
        <f>IF(G115&lt;&gt;"","",IF(F115="","",-36500*J115*F115/(SUMIF('bench Comparison'!$A:$A,"RESINV1USD",'bench Comparison'!$G:$G)+SUMIF('bench Comparison'!$A:$A,"RESSWAPORUSD",'bench Comparison'!$G:$G))))</f>
        <v/>
      </c>
      <c r="U115" s="125">
        <f>SUMIF('bench Comparison'!$E:$E,A115,'bench Comparison'!$N:$N)</f>
        <v>0</v>
      </c>
      <c r="V115" s="126">
        <f ca="1">VALUE(_xll.BDP($A115 &amp; " Corp",V$1))</f>
        <v>40056</v>
      </c>
      <c r="W115" s="127">
        <f ca="1">VALUE(_xll.BDP($A115 &amp; " Corp",W$1))</f>
        <v>40056</v>
      </c>
      <c r="X115" s="127">
        <f ca="1">VALUE(_xll.BDP($A115 &amp; " Corp",X$1))</f>
        <v>40237</v>
      </c>
      <c r="Y115" s="127">
        <f ca="1">VALUE(_xll.BDP($A115 &amp; " Corp",Y$1))</f>
        <v>41698</v>
      </c>
      <c r="Z115" s="127">
        <f ca="1">VALUE(_xll.BDP($A115 &amp; " Corp",Z$1))</f>
        <v>41882</v>
      </c>
      <c r="AA115" s="128">
        <f ca="1">_xll.BDP($A115 &amp; " Corp",AA$1)/100</f>
        <v>2.375E-2</v>
      </c>
      <c r="AB115" s="129">
        <f ca="1">_xll.BDP($A115 &amp; " Corp",AB$1)</f>
        <v>40175000000</v>
      </c>
      <c r="AC115" s="130" t="str">
        <f ca="1">IF(LEFT(B115,1)="B",_xll.INSTANCE.TBILL(A115,V115,Z115,TODAY()),_xll.INSTANCE.TNOTE(A115,V115,W115,X115,Y115,Z115,AA115,TODAY()))</f>
        <v>US912828LK41#0028</v>
      </c>
    </row>
    <row r="116" spans="1:29" x14ac:dyDescent="0.2">
      <c r="A116" s="131" t="s">
        <v>470</v>
      </c>
      <c r="B116" s="115" t="str">
        <f ca="1">_xll.BDP($A116 &amp; " Govt",B$1)</f>
        <v>T 0 1/4 09/15/14</v>
      </c>
      <c r="C116" s="372"/>
      <c r="D116" s="116"/>
      <c r="E116" s="117"/>
      <c r="F116" s="118"/>
      <c r="G116" s="377"/>
      <c r="H116" s="120">
        <f ca="1">IF(E116="",_xll.BDP(A116 &amp; " Govt","YLD_YTM_ASK")/100,E116)</f>
        <v>3.425857E-3</v>
      </c>
      <c r="I116" s="121">
        <f ca="1">_xll.INSTRUMENT.PRIX(AC116,D116,H116,cTreasuries)</f>
        <v>99.796735774184953</v>
      </c>
      <c r="J116" s="122">
        <f ca="1">_xll.INSTRUMENT.DV01(A116,,,I116,cContinuous,I116)</f>
        <v>-2.1950320091945797E-2</v>
      </c>
      <c r="K116" s="123">
        <f ca="1">_xll.INSTRUMENT.CONVEXITE(A116,,,I116,cContinuous,I116)</f>
        <v>4.8399585158046374</v>
      </c>
      <c r="L116" s="123">
        <f ca="1">_xll.INSTRUMENT.Z.SPREAD(A116,swapCurve,I116,cContinuous,D116)</f>
        <v>-20.582822281654828</v>
      </c>
      <c r="M116" s="123">
        <f ca="1">_xll.INSTRUMENT.Z.SPREAD(A116,ustCurve,I116,cContinuous,D116)</f>
        <v>-1.4150962133153966</v>
      </c>
      <c r="N116" s="123">
        <f ca="1">_xll.INSTRUMENT.Z.SPREAD(A116,oisCurve,I116,cContinuous,D116)</f>
        <v>12.894323351643973</v>
      </c>
      <c r="O116" s="124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4.152055200773018E-3</v>
      </c>
      <c r="P116" s="124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3.9443555182328534E-3</v>
      </c>
      <c r="Q116" s="379">
        <f ca="1">-(O116-curve!$S$3)/J116</f>
        <v>0.110881660650767</v>
      </c>
      <c r="R116" s="381">
        <f t="shared" ca="1" si="1"/>
        <v>-220.49603356720786</v>
      </c>
      <c r="S116" s="199" t="str">
        <f>IF(F116&lt;&gt;"","",IF(G116="","",-G116*(SUMIF('bench Comparison'!$A:$A,"RESINV1USD",'bench Comparison'!$G:$G)+SUMIF('bench Comparison'!$A:$A,"RESSWAPORUSD",'bench Comparison'!$G:$G))/(36500*J116)))</f>
        <v/>
      </c>
      <c r="T116" s="210" t="str">
        <f>IF(G116&lt;&gt;"","",IF(F116="","",-36500*J116*F116/(SUMIF('bench Comparison'!$A:$A,"RESINV1USD",'bench Comparison'!$G:$G)+SUMIF('bench Comparison'!$A:$A,"RESSWAPORUSD",'bench Comparison'!$G:$G))))</f>
        <v/>
      </c>
      <c r="U116" s="125">
        <f>SUMIF('bench Comparison'!$E:$E,A116,'bench Comparison'!$N:$N)</f>
        <v>0</v>
      </c>
      <c r="V116" s="126">
        <f ca="1">VALUE(_xll.BDP($A116 &amp; " Corp",V$1))</f>
        <v>40801</v>
      </c>
      <c r="W116" s="127">
        <f ca="1">VALUE(_xll.BDP($A116 &amp; " Corp",W$1))</f>
        <v>40801</v>
      </c>
      <c r="X116" s="127">
        <f ca="1">VALUE(_xll.BDP($A116 &amp; " Corp",X$1))</f>
        <v>40983</v>
      </c>
      <c r="Y116" s="127">
        <f ca="1">VALUE(_xll.BDP($A116 &amp; " Corp",Y$1))</f>
        <v>41713</v>
      </c>
      <c r="Z116" s="127">
        <f ca="1">VALUE(_xll.BDP($A116 &amp; " Corp",Z$1))</f>
        <v>41897</v>
      </c>
      <c r="AA116" s="128">
        <f ca="1">_xll.BDP($A116 &amp; " Corp",AA$1)/100</f>
        <v>2.5000000000000001E-3</v>
      </c>
      <c r="AB116" s="129">
        <f ca="1">_xll.BDP($A116 &amp; " Corp",AB$1)</f>
        <v>32000000000</v>
      </c>
      <c r="AC116" s="130" t="str">
        <f ca="1">IF(LEFT(B116,1)="B",_xll.INSTANCE.TBILL(A116,V116,Z116,TODAY()),_xll.INSTANCE.TNOTE(A116,V116,W116,X116,Y116,Z116,AA116,TODAY()))</f>
        <v>US912828RG74#0028</v>
      </c>
    </row>
    <row r="117" spans="1:29" x14ac:dyDescent="0.2">
      <c r="A117" s="131" t="s">
        <v>471</v>
      </c>
      <c r="B117" s="115" t="str">
        <f ca="1">_xll.BDP($A117 &amp; " Govt",B$1)</f>
        <v>T 2 3/8 09/30/14</v>
      </c>
      <c r="C117" s="372"/>
      <c r="D117" s="116"/>
      <c r="E117" s="117"/>
      <c r="F117" s="118"/>
      <c r="G117" s="377"/>
      <c r="H117" s="120">
        <f ca="1">IF(E117="",_xll.BDP(A117 &amp; " Govt","YLD_YTM_ASK")/100,E117)</f>
        <v>3.3408409999999998E-3</v>
      </c>
      <c r="I117" s="121">
        <f ca="1">_xll.INSTRUMENT.PRIX(AC117,D117,H117,cTreasuries)</f>
        <v>104.56271475137748</v>
      </c>
      <c r="J117" s="122">
        <f ca="1">_xll.INSTRUMENT.DV01(A117,,,I117,cContinuous,I117)</f>
        <v>-2.3020081651268461E-2</v>
      </c>
      <c r="K117" s="123">
        <f ca="1">_xll.INSTRUMENT.CONVEXITE(A117,,,I117,cContinuous,I117)</f>
        <v>4.8725697038188072</v>
      </c>
      <c r="L117" s="123">
        <f ca="1">_xll.INSTRUMENT.Z.SPREAD(A117,swapCurve,I117,cContinuous,D117)</f>
        <v>-21.604783702994052</v>
      </c>
      <c r="M117" s="123">
        <f ca="1">_xll.INSTRUMENT.Z.SPREAD(A117,ustCurve,I117,cContinuous,D117)</f>
        <v>-2.7164800717646185</v>
      </c>
      <c r="N117" s="123">
        <f ca="1">_xll.INSTRUMENT.Z.SPREAD(A117,oisCurve,I117,cContinuous,D117)</f>
        <v>11.97829672218082</v>
      </c>
      <c r="O117" s="124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2.6935989339248031E-3</v>
      </c>
      <c r="P117" s="124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3.910357748371761E-3</v>
      </c>
      <c r="Q117" s="379">
        <f ca="1">-(O117-curve!$S$3)/J117</f>
        <v>4.2373076322641236E-2</v>
      </c>
      <c r="R117" s="381">
        <f t="shared" ca="1" si="1"/>
        <v>-211.6660478287364</v>
      </c>
      <c r="S117" s="199" t="str">
        <f>IF(F117&lt;&gt;"","",IF(G117="","",-G117*(SUMIF('bench Comparison'!$A:$A,"RESINV1USD",'bench Comparison'!$G:$G)+SUMIF('bench Comparison'!$A:$A,"RESSWAPORUSD",'bench Comparison'!$G:$G))/(36500*J117)))</f>
        <v/>
      </c>
      <c r="T117" s="210" t="str">
        <f>IF(G117&lt;&gt;"","",IF(F117="","",-36500*J117*F117/(SUMIF('bench Comparison'!$A:$A,"RESINV1USD",'bench Comparison'!$G:$G)+SUMIF('bench Comparison'!$A:$A,"RESSWAPORUSD",'bench Comparison'!$G:$G))))</f>
        <v/>
      </c>
      <c r="U117" s="125">
        <f>SUMIF('bench Comparison'!$E:$E,A117,'bench Comparison'!$N:$N)</f>
        <v>0</v>
      </c>
      <c r="V117" s="126">
        <f ca="1">VALUE(_xll.BDP($A117 &amp; " Corp",V$1))</f>
        <v>40086</v>
      </c>
      <c r="W117" s="127">
        <f ca="1">VALUE(_xll.BDP($A117 &amp; " Corp",W$1))</f>
        <v>40086</v>
      </c>
      <c r="X117" s="127">
        <f ca="1">VALUE(_xll.BDP($A117 &amp; " Corp",X$1))</f>
        <v>40268</v>
      </c>
      <c r="Y117" s="127">
        <f ca="1">VALUE(_xll.BDP($A117 &amp; " Corp",Y$1))</f>
        <v>41729</v>
      </c>
      <c r="Z117" s="127">
        <f ca="1">VALUE(_xll.BDP($A117 &amp; " Corp",Z$1))</f>
        <v>41912</v>
      </c>
      <c r="AA117" s="128">
        <f ca="1">_xll.BDP($A117 &amp; " Corp",AA$1)/100</f>
        <v>2.375E-2</v>
      </c>
      <c r="AB117" s="129">
        <f ca="1">_xll.BDP($A117 &amp; " Corp",AB$1)</f>
        <v>40709000000</v>
      </c>
      <c r="AC117" s="130" t="str">
        <f ca="1">IF(LEFT(B117,1)="B",_xll.INSTANCE.TBILL(A117,V117,Z117,TODAY()),_xll.INSTANCE.TNOTE(A117,V117,W117,X117,Y117,Z117,AA117,TODAY()))</f>
        <v>US912828LQ11#0028</v>
      </c>
    </row>
    <row r="118" spans="1:29" x14ac:dyDescent="0.2">
      <c r="A118" s="131" t="s">
        <v>472</v>
      </c>
      <c r="B118" s="115" t="str">
        <f ca="1">_xll.BDP($A118 &amp; " Govt",B$1)</f>
        <v>T 0 1/2 10/15/14</v>
      </c>
      <c r="C118" s="372"/>
      <c r="D118" s="116"/>
      <c r="E118" s="117"/>
      <c r="F118" s="118"/>
      <c r="G118" s="377"/>
      <c r="H118" s="120">
        <f ca="1">IF(E118="",_xll.BDP(A118 &amp; " Govt","YLD_YTM_ASK")/100,E118)</f>
        <v>3.4208119999999996E-3</v>
      </c>
      <c r="I118" s="121">
        <f ca="1">_xll.INSTRUMENT.PRIX(AC118,D118,H118,cTreasuries)</f>
        <v>100.35954038972044</v>
      </c>
      <c r="J118" s="122">
        <f ca="1">_xll.INSTRUMENT.DV01(A118,,,I118,cContinuous,I118)</f>
        <v>-2.2844833369747481E-2</v>
      </c>
      <c r="K118" s="123">
        <f ca="1">_xll.INSTRUMENT.CONVEXITE(A118,,,I118,cContinuous,I118)</f>
        <v>5.1890410953615902</v>
      </c>
      <c r="L118" s="123">
        <f ca="1">_xll.INSTRUMENT.Z.SPREAD(A118,swapCurve,I118,cContinuous,D118)</f>
        <v>-21.154613651911852</v>
      </c>
      <c r="M118" s="123">
        <f ca="1">_xll.INSTRUMENT.Z.SPREAD(A118,ustCurve,I118,cContinuous,D118)</f>
        <v>-2.21351619263196</v>
      </c>
      <c r="N118" s="123">
        <f ca="1">_xll.INSTRUMENT.Z.SPREAD(A118,oisCurve,I118,cContinuous,D118)</f>
        <v>12.623710631242419</v>
      </c>
      <c r="O118" s="124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4.0424401982263351E-3</v>
      </c>
      <c r="P118" s="124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3.9602970294169149E-3</v>
      </c>
      <c r="Q118" s="379">
        <f ca="1">-(O118-curve!$S$3)/J118</f>
        <v>0.10174173317202249</v>
      </c>
      <c r="R118" s="381">
        <f t="shared" ca="1" si="1"/>
        <v>-227.14287346184955</v>
      </c>
      <c r="S118" s="199" t="str">
        <f>IF(F118&lt;&gt;"","",IF(G118="","",-G118*(SUMIF('bench Comparison'!$A:$A,"RESINV1USD",'bench Comparison'!$G:$G)+SUMIF('bench Comparison'!$A:$A,"RESSWAPORUSD",'bench Comparison'!$G:$G))/(36500*J118)))</f>
        <v/>
      </c>
      <c r="T118" s="210" t="str">
        <f>IF(G118&lt;&gt;"","",IF(F118="","",-36500*J118*F118/(SUMIF('bench Comparison'!$A:$A,"RESINV1USD",'bench Comparison'!$G:$G)+SUMIF('bench Comparison'!$A:$A,"RESSWAPORUSD",'bench Comparison'!$G:$G))))</f>
        <v/>
      </c>
      <c r="U118" s="125">
        <f>SUMIF('bench Comparison'!$E:$E,A118,'bench Comparison'!$N:$N)</f>
        <v>0</v>
      </c>
      <c r="V118" s="126">
        <f ca="1">VALUE(_xll.BDP($A118 &amp; " Corp",V$1))</f>
        <v>40833</v>
      </c>
      <c r="W118" s="127">
        <f ca="1">VALUE(_xll.BDP($A118 &amp; " Corp",W$1))</f>
        <v>40831</v>
      </c>
      <c r="X118" s="127">
        <f ca="1">VALUE(_xll.BDP($A118 &amp; " Corp",X$1))</f>
        <v>41014</v>
      </c>
      <c r="Y118" s="127">
        <f ca="1">VALUE(_xll.BDP($A118 &amp; " Corp",Y$1))</f>
        <v>41744</v>
      </c>
      <c r="Z118" s="127">
        <f ca="1">VALUE(_xll.BDP($A118 &amp; " Corp",Z$1))</f>
        <v>41927</v>
      </c>
      <c r="AA118" s="128">
        <f ca="1">_xll.BDP($A118 &amp; " Corp",AA$1)/100</f>
        <v>5.0000000000000001E-3</v>
      </c>
      <c r="AB118" s="129">
        <f ca="1">_xll.BDP($A118 &amp; " Corp",AB$1)</f>
        <v>32000000000</v>
      </c>
      <c r="AC118" s="130" t="str">
        <f ca="1">IF(LEFT(B118,1)="B",_xll.INSTANCE.TBILL(A118,V118,Z118,TODAY()),_xll.INSTANCE.TNOTE(A118,V118,W118,X118,Y118,Z118,AA118,TODAY()))</f>
        <v>US912828RL69#0028</v>
      </c>
    </row>
    <row r="119" spans="1:29" x14ac:dyDescent="0.2">
      <c r="A119" s="131" t="s">
        <v>473</v>
      </c>
      <c r="B119" s="115" t="str">
        <f ca="1">_xll.BDP($A119 &amp; " Govt",B$1)</f>
        <v>T 2 3/8 10/31/14</v>
      </c>
      <c r="C119" s="372"/>
      <c r="D119" s="116"/>
      <c r="E119" s="117"/>
      <c r="F119" s="118"/>
      <c r="G119" s="377"/>
      <c r="H119" s="120">
        <f ca="1">IF(E119="",_xll.BDP(A119 &amp; " Govt","YLD_YTM_ASK")/100,E119)</f>
        <v>3.6186249999999999E-3</v>
      </c>
      <c r="I119" s="121">
        <f ca="1">_xll.INSTRUMENT.PRIX(AC119,D119,H119,cTreasuries)</f>
        <v>104.66354817795676</v>
      </c>
      <c r="J119" s="122">
        <f ca="1">_xll.INSTRUMENT.DV01(A119,,,I119,cContinuous,I119)</f>
        <v>-2.3889862588021289E-2</v>
      </c>
      <c r="K119" s="123">
        <f ca="1">_xll.INSTRUMENT.CONVEXITE(A119,,,I119,cContinuous,I119)</f>
        <v>5.2512945373617619</v>
      </c>
      <c r="L119" s="123">
        <f ca="1">_xll.INSTRUMENT.Z.SPREAD(A119,swapCurve,I119,cContinuous,D119)</f>
        <v>-19.393781032228659</v>
      </c>
      <c r="M119" s="123">
        <f ca="1">_xll.INSTRUMENT.Z.SPREAD(A119,ustCurve,I119,cContinuous,D119)</f>
        <v>-0.695105263384872</v>
      </c>
      <c r="N119" s="123">
        <f ca="1">_xll.INSTRUMENT.Z.SPREAD(A119,oisCurve,I119,cContinuous,D119)</f>
        <v>14.504126809675466</v>
      </c>
      <c r="O119" s="124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3.2275815242591901E-3</v>
      </c>
      <c r="P119" s="124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4.3520863527612254E-3</v>
      </c>
      <c r="Q119" s="379">
        <f ca="1">-(O119-curve!$S$3)/J119</f>
        <v>6.3182207998712381E-2</v>
      </c>
      <c r="R119" s="381">
        <f t="shared" ca="1" si="1"/>
        <v>-219.81267234223583</v>
      </c>
      <c r="S119" s="199" t="str">
        <f>IF(F119&lt;&gt;"","",IF(G119="","",-G119*(SUMIF('bench Comparison'!$A:$A,"RESINV1USD",'bench Comparison'!$G:$G)+SUMIF('bench Comparison'!$A:$A,"RESSWAPORUSD",'bench Comparison'!$G:$G))/(36500*J119)))</f>
        <v/>
      </c>
      <c r="T119" s="210" t="str">
        <f>IF(G119&lt;&gt;"","",IF(F119="","",-36500*J119*F119/(SUMIF('bench Comparison'!$A:$A,"RESINV1USD",'bench Comparison'!$G:$G)+SUMIF('bench Comparison'!$A:$A,"RESSWAPORUSD",'bench Comparison'!$G:$G))))</f>
        <v/>
      </c>
      <c r="U119" s="125">
        <f>SUMIF('bench Comparison'!$E:$E,A119,'bench Comparison'!$N:$N)</f>
        <v>0</v>
      </c>
      <c r="V119" s="126">
        <f ca="1">VALUE(_xll.BDP($A119 &amp; " Corp",V$1))</f>
        <v>40119</v>
      </c>
      <c r="W119" s="127">
        <f ca="1">VALUE(_xll.BDP($A119 &amp; " Corp",W$1))</f>
        <v>40117</v>
      </c>
      <c r="X119" s="127">
        <f ca="1">VALUE(_xll.BDP($A119 &amp; " Corp",X$1))</f>
        <v>40298</v>
      </c>
      <c r="Y119" s="127">
        <f ca="1">VALUE(_xll.BDP($A119 &amp; " Corp",Y$1))</f>
        <v>41759</v>
      </c>
      <c r="Z119" s="127">
        <f ca="1">VALUE(_xll.BDP($A119 &amp; " Corp",Z$1))</f>
        <v>41943</v>
      </c>
      <c r="AA119" s="128">
        <f ca="1">_xll.BDP($A119 &amp; " Corp",AA$1)/100</f>
        <v>2.375E-2</v>
      </c>
      <c r="AB119" s="129">
        <f ca="1">_xll.BDP($A119 &amp; " Corp",AB$1)</f>
        <v>42011000000.000008</v>
      </c>
      <c r="AC119" s="130" t="str">
        <f ca="1">IF(LEFT(B119,1)="B",_xll.INSTANCE.TBILL(A119,V119,Z119,TODAY()),_xll.INSTANCE.TNOTE(A119,V119,W119,X119,Y119,Z119,AA119,TODAY()))</f>
        <v>US912828LS76#0028</v>
      </c>
    </row>
    <row r="120" spans="1:29" x14ac:dyDescent="0.2">
      <c r="A120" s="131" t="s">
        <v>475</v>
      </c>
      <c r="B120" s="115" t="str">
        <f ca="1">_xll.BDP($A120 &amp; " Govt",B$1)</f>
        <v>T 4 1/4 11/15/14</v>
      </c>
      <c r="C120" s="372"/>
      <c r="D120" s="116"/>
      <c r="E120" s="117"/>
      <c r="F120" s="118"/>
      <c r="G120" s="377"/>
      <c r="H120" s="120">
        <f ca="1">IF(E120="",_xll.BDP(A120 &amp; " Govt","YLD_YTM_ASK")/100,E120)</f>
        <v>3.6859029999999999E-3</v>
      </c>
      <c r="I120" s="121">
        <f ca="1">_xll.INSTRUMENT.PRIX(AC120,D120,H120,cTreasuries)</f>
        <v>109.14778653812932</v>
      </c>
      <c r="J120" s="122">
        <f ca="1">_xll.INSTRUMENT.DV01(A120,,,I120,cContinuous,I120)</f>
        <v>-2.5007599234070862E-2</v>
      </c>
      <c r="K120" s="123">
        <f ca="1">_xll.INSTRUMENT.CONVEXITE(A120,,,I120,cContinuous,I120)</f>
        <v>5.3333723850778885</v>
      </c>
      <c r="L120" s="123">
        <f ca="1">_xll.INSTRUMENT.Z.SPREAD(A120,swapCurve,I120,cContinuous,D120)</f>
        <v>-19.041281995305948</v>
      </c>
      <c r="M120" s="123">
        <f ca="1">_xll.INSTRUMENT.Z.SPREAD(A120,ustCurve,I120,cContinuous,D120)</f>
        <v>-0.57545201905241705</v>
      </c>
      <c r="N120" s="123">
        <f ca="1">_xll.INSTRUMENT.Z.SPREAD(A120,oisCurve,I120,cContinuous,D120)</f>
        <v>14.980548874413021</v>
      </c>
      <c r="O120" s="124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2.624345186558249E-3</v>
      </c>
      <c r="P120" s="124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4.6597346386338485E-3</v>
      </c>
      <c r="Q120" s="379">
        <f ca="1">-(O120-curve!$S$3)/J120</f>
        <v>3.623610251085127E-2</v>
      </c>
      <c r="R120" s="381">
        <f t="shared" ca="1" si="1"/>
        <v>-213.27006783648361</v>
      </c>
      <c r="S120" s="199" t="str">
        <f>IF(F120&lt;&gt;"","",IF(G120="","",-G120*(SUMIF('bench Comparison'!$A:$A,"RESINV1USD",'bench Comparison'!$G:$G)+SUMIF('bench Comparison'!$A:$A,"RESSWAPORUSD",'bench Comparison'!$G:$G))/(36500*J120)))</f>
        <v/>
      </c>
      <c r="T120" s="210" t="str">
        <f>IF(G120&lt;&gt;"","",IF(F120="","",-36500*J120*F120/(SUMIF('bench Comparison'!$A:$A,"RESINV1USD",'bench Comparison'!$G:$G)+SUMIF('bench Comparison'!$A:$A,"RESSWAPORUSD",'bench Comparison'!$G:$G))))</f>
        <v/>
      </c>
      <c r="U120" s="125">
        <f>SUMIF('bench Comparison'!$E:$E,A120,'bench Comparison'!$N:$N)</f>
        <v>0</v>
      </c>
      <c r="V120" s="126">
        <f ca="1">VALUE(_xll.BDP($A120 &amp; " Corp",V$1))</f>
        <v>38306</v>
      </c>
      <c r="W120" s="127">
        <f ca="1">VALUE(_xll.BDP($A120 &amp; " Corp",W$1))</f>
        <v>38306</v>
      </c>
      <c r="X120" s="127">
        <f ca="1">VALUE(_xll.BDP($A120 &amp; " Corp",X$1))</f>
        <v>38487</v>
      </c>
      <c r="Y120" s="127">
        <f ca="1">VALUE(_xll.BDP($A120 &amp; " Corp",Y$1))</f>
        <v>41774</v>
      </c>
      <c r="Z120" s="127">
        <f ca="1">VALUE(_xll.BDP($A120 &amp; " Corp",Z$1))</f>
        <v>41958</v>
      </c>
      <c r="AA120" s="128">
        <f ca="1">_xll.BDP($A120 &amp; " Corp",AA$1)/100</f>
        <v>4.2500000000000003E-2</v>
      </c>
      <c r="AB120" s="129">
        <f ca="1">_xll.BDP($A120 &amp; " Corp",AB$1)</f>
        <v>25473000000</v>
      </c>
      <c r="AC120" s="130" t="str">
        <f ca="1">IF(LEFT(B120,1)="B",_xll.INSTANCE.TBILL(A120,V120,Z120,TODAY()),_xll.INSTANCE.TNOTE(A120,V120,W120,X120,Y120,Z120,AA120,TODAY()))</f>
        <v>US912828DC17#0028</v>
      </c>
    </row>
    <row r="121" spans="1:29" x14ac:dyDescent="0.2">
      <c r="A121" s="131" t="s">
        <v>474</v>
      </c>
      <c r="B121" s="115" t="str">
        <f ca="1">_xll.BDP($A121 &amp; " Govt",B$1)</f>
        <v>T 0 3/8 11/15/14</v>
      </c>
      <c r="C121" s="372"/>
      <c r="D121" s="116"/>
      <c r="E121" s="117"/>
      <c r="F121" s="118"/>
      <c r="G121" s="377"/>
      <c r="H121" s="120">
        <f ca="1">IF(E121="",_xll.BDP(A121 &amp; " Govt","YLD_YTM_ASK")/100,E121)</f>
        <v>3.5179080000000001E-3</v>
      </c>
      <c r="I121" s="121">
        <f ca="1">_xll.INSTRUMENT.PRIX(AC121,D121,H121,cTreasuries)</f>
        <v>100.05407374452791</v>
      </c>
      <c r="J121" s="122">
        <f ca="1">_xll.INSTRUMENT.DV01(A121,,,I121,cContinuous,I121)</f>
        <v>-2.3697551176550303E-2</v>
      </c>
      <c r="K121" s="123">
        <f ca="1">_xll.INSTRUMENT.CONVEXITE(A121,,,I121,cContinuous,I121)</f>
        <v>5.6182596521545172</v>
      </c>
      <c r="L121" s="123">
        <f ca="1">_xll.INSTRUMENT.Z.SPREAD(A121,swapCurve,I121,cContinuous,D121)</f>
        <v>-20.89759834610199</v>
      </c>
      <c r="M121" s="123">
        <f ca="1">_xll.INSTRUMENT.Z.SPREAD(A121,ustCurve,I121,cContinuous,D121)</f>
        <v>-2.1563725232888924</v>
      </c>
      <c r="N121" s="123">
        <f ca="1">_xll.INSTRUMENT.Z.SPREAD(A121,oisCurve,I121,cContinuous,D121)</f>
        <v>13.219937843133856</v>
      </c>
      <c r="O121" s="124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4.6903375839961875E-3</v>
      </c>
      <c r="P121" s="124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4.2290468089522474E-3</v>
      </c>
      <c r="Q121" s="379">
        <f ca="1">-(O121-curve!$S$3)/J121</f>
        <v>0.12542098990274997</v>
      </c>
      <c r="R121" s="381">
        <f t="shared" ca="1" si="1"/>
        <v>-237.08186598259212</v>
      </c>
      <c r="S121" s="199" t="str">
        <f>IF(F121&lt;&gt;"","",IF(G121="","",-G121*(SUMIF('bench Comparison'!$A:$A,"RESINV1USD",'bench Comparison'!$G:$G)+SUMIF('bench Comparison'!$A:$A,"RESSWAPORUSD",'bench Comparison'!$G:$G))/(36500*J121)))</f>
        <v/>
      </c>
      <c r="T121" s="210" t="str">
        <f>IF(G121&lt;&gt;"","",IF(F121="","",-36500*J121*F121/(SUMIF('bench Comparison'!$A:$A,"RESINV1USD",'bench Comparison'!$G:$G)+SUMIF('bench Comparison'!$A:$A,"RESSWAPORUSD",'bench Comparison'!$G:$G))))</f>
        <v/>
      </c>
      <c r="U121" s="125">
        <f>SUMIF('bench Comparison'!$E:$E,A121,'bench Comparison'!$N:$N)</f>
        <v>0</v>
      </c>
      <c r="V121" s="126">
        <f ca="1">VALUE(_xll.BDP($A121 &amp; " Corp",V$1))</f>
        <v>40862</v>
      </c>
      <c r="W121" s="127">
        <f ca="1">VALUE(_xll.BDP($A121 &amp; " Corp",W$1))</f>
        <v>40862</v>
      </c>
      <c r="X121" s="127">
        <f ca="1">VALUE(_xll.BDP($A121 &amp; " Corp",X$1))</f>
        <v>41044</v>
      </c>
      <c r="Y121" s="127">
        <f ca="1">VALUE(_xll.BDP($A121 &amp; " Corp",Y$1))</f>
        <v>41774</v>
      </c>
      <c r="Z121" s="127">
        <f ca="1">VALUE(_xll.BDP($A121 &amp; " Corp",Z$1))</f>
        <v>41958</v>
      </c>
      <c r="AA121" s="128">
        <f ca="1">_xll.BDP($A121 &amp; " Corp",AA$1)/100</f>
        <v>3.7499999999999999E-3</v>
      </c>
      <c r="AB121" s="129">
        <f ca="1">_xll.BDP($A121 &amp; " Corp",AB$1)</f>
        <v>34448000000</v>
      </c>
      <c r="AC121" s="130" t="str">
        <f ca="1">IF(LEFT(B121,1)="B",_xll.INSTANCE.TBILL(A121,V121,Z121,TODAY()),_xll.INSTANCE.TNOTE(A121,V121,W121,X121,Y121,Z121,AA121,TODAY()))</f>
        <v>US912828RQ56#0028</v>
      </c>
    </row>
    <row r="122" spans="1:29" x14ac:dyDescent="0.2">
      <c r="A122" s="131" t="s">
        <v>476</v>
      </c>
      <c r="B122" s="115" t="str">
        <f ca="1">_xll.BDP($A122 &amp; " Govt",B$1)</f>
        <v>T 2 1/8 11/30/14</v>
      </c>
      <c r="C122" s="372"/>
      <c r="D122" s="116"/>
      <c r="E122" s="117"/>
      <c r="F122" s="118"/>
      <c r="G122" s="377"/>
      <c r="H122" s="120">
        <f ca="1">IF(E122="",_xll.BDP(A122 &amp; " Govt","YLD_YTM_ASK")/100,E122)</f>
        <v>3.669313E-3</v>
      </c>
      <c r="I122" s="121">
        <f ca="1">_xll.INSTRUMENT.PRIX(AC122,D122,H122,cTreasuries)</f>
        <v>104.21882515228964</v>
      </c>
      <c r="J122" s="122">
        <f ca="1">_xll.INSTRUMENT.DV01(A122,,,I122,cContinuous,I122)</f>
        <v>-2.4684657821497719E-2</v>
      </c>
      <c r="K122" s="123">
        <f ca="1">_xll.INSTRUMENT.CONVEXITE(A122,,,I122,cContinuous,I122)</f>
        <v>5.6637525670643445</v>
      </c>
      <c r="L122" s="123">
        <f ca="1">_xll.INSTRUMENT.Z.SPREAD(A122,swapCurve,I122,cContinuous,D122)</f>
        <v>-19.541287380441812</v>
      </c>
      <c r="M122" s="123">
        <f ca="1">_xll.INSTRUMENT.Z.SPREAD(A122,ustCurve,I122,cContinuous,D122)</f>
        <v>-1.0095115636721483</v>
      </c>
      <c r="N122" s="123">
        <f ca="1">_xll.INSTRUMENT.Z.SPREAD(A122,oisCurve,I122,cContinuous,D122)</f>
        <v>14.670122199144556</v>
      </c>
      <c r="O122" s="124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3.6179018253390599E-3</v>
      </c>
      <c r="P122" s="124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4.4025576840693243E-3</v>
      </c>
      <c r="Q122" s="379">
        <f ca="1">-(O122-curve!$S$3)/J122</f>
        <v>7.69601337767956E-2</v>
      </c>
      <c r="R122" s="381">
        <f t="shared" ca="1" si="1"/>
        <v>-229.44424054895413</v>
      </c>
      <c r="S122" s="199" t="str">
        <f>IF(F122&lt;&gt;"","",IF(G122="","",-G122*(SUMIF('bench Comparison'!$A:$A,"RESINV1USD",'bench Comparison'!$G:$G)+SUMIF('bench Comparison'!$A:$A,"RESSWAPORUSD",'bench Comparison'!$G:$G))/(36500*J122)))</f>
        <v/>
      </c>
      <c r="T122" s="210" t="str">
        <f>IF(G122&lt;&gt;"","",IF(F122="","",-36500*J122*F122/(SUMIF('bench Comparison'!$A:$A,"RESINV1USD",'bench Comparison'!$G:$G)+SUMIF('bench Comparison'!$A:$A,"RESSWAPORUSD",'bench Comparison'!$G:$G))))</f>
        <v/>
      </c>
      <c r="U122" s="125">
        <f>SUMIF('bench Comparison'!$E:$E,A122,'bench Comparison'!$N:$N)</f>
        <v>0</v>
      </c>
      <c r="V122" s="126">
        <f ca="1">VALUE(_xll.BDP($A122 &amp; " Corp",V$1))</f>
        <v>40147</v>
      </c>
      <c r="W122" s="127">
        <f ca="1">VALUE(_xll.BDP($A122 &amp; " Corp",W$1))</f>
        <v>40147</v>
      </c>
      <c r="X122" s="127">
        <f ca="1">VALUE(_xll.BDP($A122 &amp; " Corp",X$1))</f>
        <v>40329</v>
      </c>
      <c r="Y122" s="127">
        <f ca="1">VALUE(_xll.BDP($A122 &amp; " Corp",Y$1))</f>
        <v>41790</v>
      </c>
      <c r="Z122" s="127">
        <f ca="1">VALUE(_xll.BDP($A122 &amp; " Corp",Z$1))</f>
        <v>41973</v>
      </c>
      <c r="AA122" s="128">
        <f ca="1">_xll.BDP($A122 &amp; " Corp",AA$1)/100</f>
        <v>2.1250000000000002E-2</v>
      </c>
      <c r="AB122" s="129">
        <f ca="1">_xll.BDP($A122 &amp; " Corp",AB$1)</f>
        <v>43261000000</v>
      </c>
      <c r="AC122" s="130" t="str">
        <f ca="1">IF(LEFT(B122,1)="B",_xll.INSTANCE.TBILL(A122,V122,Z122,TODAY()),_xll.INSTANCE.TNOTE(A122,V122,W122,X122,Y122,Z122,AA122,TODAY()))</f>
        <v>US912828LZ10#0028</v>
      </c>
    </row>
    <row r="123" spans="1:29" x14ac:dyDescent="0.2">
      <c r="A123" s="131" t="s">
        <v>477</v>
      </c>
      <c r="B123" s="115" t="str">
        <f ca="1">_xll.BDP($A123 &amp; " Govt",B$1)</f>
        <v>T 0 1/4 12/15/14</v>
      </c>
      <c r="C123" s="372"/>
      <c r="D123" s="116"/>
      <c r="E123" s="117"/>
      <c r="F123" s="118"/>
      <c r="G123" s="377"/>
      <c r="H123" s="120">
        <f ca="1">IF(E123="",_xll.BDP(A123 &amp; " Govt","YLD_YTM_ASK")/100,E123)</f>
        <v>3.588319E-3</v>
      </c>
      <c r="I123" s="121">
        <f ca="1">_xll.INSTRUMENT.PRIX(AC123,D123,H123,cTreasuries)</f>
        <v>99.734407282810395</v>
      </c>
      <c r="J123" s="122">
        <f ca="1">_xll.INSTRUMENT.DV01(A123,,,I123,cContinuous,I123)</f>
        <v>-2.4409790639910351E-2</v>
      </c>
      <c r="K123" s="123">
        <f ca="1">_xll.INSTRUMENT.CONVEXITE(A123,,,I123,cContinuous,I123)</f>
        <v>5.9980570196756391</v>
      </c>
      <c r="L123" s="123">
        <f ca="1">_xll.INSTRUMENT.Z.SPREAD(A123,swapCurve,I123,cContinuous,D123)</f>
        <v>-20.697877011157619</v>
      </c>
      <c r="M123" s="123">
        <f ca="1">_xll.INSTRUMENT.Z.SPREAD(A123,ustCurve,I123,cContinuous,D123)</f>
        <v>-2.1031064152886128</v>
      </c>
      <c r="N123" s="123">
        <f ca="1">_xll.INSTRUMENT.Z.SPREAD(A123,oisCurve,I123,cContinuous,D123)</f>
        <v>13.707501028903152</v>
      </c>
      <c r="O123" s="124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4.7235454967258159E-3</v>
      </c>
      <c r="P123" s="124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4.3064134663221123E-3</v>
      </c>
      <c r="Q123" s="379">
        <f ca="1">-(O123-curve!$S$3)/J123</f>
        <v>0.12312183598370602</v>
      </c>
      <c r="R123" s="381">
        <f t="shared" ca="1" si="1"/>
        <v>-245.72341107542036</v>
      </c>
      <c r="S123" s="199" t="str">
        <f>IF(F123&lt;&gt;"","",IF(G123="","",-G123*(SUMIF('bench Comparison'!$A:$A,"RESINV1USD",'bench Comparison'!$G:$G)+SUMIF('bench Comparison'!$A:$A,"RESSWAPORUSD",'bench Comparison'!$G:$G))/(36500*J123)))</f>
        <v/>
      </c>
      <c r="T123" s="210" t="str">
        <f>IF(G123&lt;&gt;"","",IF(F123="","",-36500*J123*F123/(SUMIF('bench Comparison'!$A:$A,"RESINV1USD",'bench Comparison'!$G:$G)+SUMIF('bench Comparison'!$A:$A,"RESSWAPORUSD",'bench Comparison'!$G:$G))))</f>
        <v/>
      </c>
      <c r="U123" s="125">
        <f>SUMIF('bench Comparison'!$E:$E,A123,'bench Comparison'!$N:$N)</f>
        <v>0</v>
      </c>
      <c r="V123" s="126">
        <f ca="1">VALUE(_xll.BDP($A123 &amp; " Corp",V$1))</f>
        <v>40892</v>
      </c>
      <c r="W123" s="127">
        <f ca="1">VALUE(_xll.BDP($A123 &amp; " Corp",W$1))</f>
        <v>40892</v>
      </c>
      <c r="X123" s="127">
        <f ca="1">VALUE(_xll.BDP($A123 &amp; " Corp",X$1))</f>
        <v>41075</v>
      </c>
      <c r="Y123" s="127">
        <f ca="1">VALUE(_xll.BDP($A123 &amp; " Corp",Y$1))</f>
        <v>41805</v>
      </c>
      <c r="Z123" s="127">
        <f ca="1">VALUE(_xll.BDP($A123 &amp; " Corp",Z$1))</f>
        <v>41988</v>
      </c>
      <c r="AA123" s="128">
        <f ca="1">_xll.BDP($A123 &amp; " Corp",AA$1)/100</f>
        <v>2.5000000000000001E-3</v>
      </c>
      <c r="AB123" s="129">
        <f ca="1">_xll.BDP($A123 &amp; " Corp",AB$1)</f>
        <v>33170000000</v>
      </c>
      <c r="AC123" s="130" t="str">
        <f ca="1">IF(LEFT(B123,1)="B",_xll.INSTANCE.TBILL(A123,V123,Z123,TODAY()),_xll.INSTANCE.TNOTE(A123,V123,W123,X123,Y123,Z123,AA123,TODAY()))</f>
        <v>US912828RV42#0028</v>
      </c>
    </row>
    <row r="124" spans="1:29" x14ac:dyDescent="0.2">
      <c r="A124" s="131" t="s">
        <v>478</v>
      </c>
      <c r="B124" s="115" t="str">
        <f ca="1">_xll.BDP($A124 &amp; " Govt",B$1)</f>
        <v>T 2 5/8 12/31/14</v>
      </c>
      <c r="C124" s="372"/>
      <c r="D124" s="116"/>
      <c r="E124" s="117"/>
      <c r="F124" s="118"/>
      <c r="G124" s="377"/>
      <c r="H124" s="120">
        <f ca="1">IF(E124="",_xll.BDP(A124 &amp; " Govt","YLD_YTM_ASK")/100,E124)</f>
        <v>3.671297E-3</v>
      </c>
      <c r="I124" s="121">
        <f ca="1">_xll.INSTRUMENT.PRIX(AC124,D124,H124,cTreasuries)</f>
        <v>105.60055403675779</v>
      </c>
      <c r="J124" s="122">
        <f ca="1">_xll.INSTRUMENT.DV01(A124,,,I124,cContinuous,I124)</f>
        <v>-2.5720167286909325E-2</v>
      </c>
      <c r="K124" s="123">
        <f ca="1">_xll.INSTRUMENT.CONVEXITE(A124,,,I124,cContinuous,I124)</f>
        <v>6.0197851764405232</v>
      </c>
      <c r="L124" s="123">
        <f ca="1">_xll.INSTRUMENT.Z.SPREAD(A124,swapCurve,I124,cContinuous,D124)</f>
        <v>-20.085180283363258</v>
      </c>
      <c r="M124" s="123">
        <f ca="1">_xll.INSTRUMENT.Z.SPREAD(A124,ustCurve,I124,cContinuous,D124)</f>
        <v>-1.7368447180688145</v>
      </c>
      <c r="N124" s="123">
        <f ca="1">_xll.INSTRUMENT.Z.SPREAD(A124,oisCurve,I124,cContinuous,D124)</f>
        <v>14.407557169416329</v>
      </c>
      <c r="O124" s="124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3.5010424526639218E-3</v>
      </c>
      <c r="P124" s="124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4.6317890605459423E-3</v>
      </c>
      <c r="Q124" s="379">
        <f ca="1">-(O124-curve!$S$3)/J124</f>
        <v>6.9318180384043304E-2</v>
      </c>
      <c r="R124" s="381">
        <f t="shared" ca="1" si="1"/>
        <v>-234.04922329196458</v>
      </c>
      <c r="S124" s="199" t="str">
        <f>IF(F124&lt;&gt;"","",IF(G124="","",-G124*(SUMIF('bench Comparison'!$A:$A,"RESINV1USD",'bench Comparison'!$G:$G)+SUMIF('bench Comparison'!$A:$A,"RESSWAPORUSD",'bench Comparison'!$G:$G))/(36500*J124)))</f>
        <v/>
      </c>
      <c r="T124" s="210" t="str">
        <f>IF(G124&lt;&gt;"","",IF(F124="","",-36500*J124*F124/(SUMIF('bench Comparison'!$A:$A,"RESINV1USD",'bench Comparison'!$G:$G)+SUMIF('bench Comparison'!$A:$A,"RESSWAPORUSD",'bench Comparison'!$G:$G))))</f>
        <v/>
      </c>
      <c r="U124" s="125">
        <f>SUMIF('bench Comparison'!$E:$E,A124,'bench Comparison'!$N:$N)</f>
        <v>0</v>
      </c>
      <c r="V124" s="126">
        <f ca="1">VALUE(_xll.BDP($A124 &amp; " Corp",V$1))</f>
        <v>40178</v>
      </c>
      <c r="W124" s="127">
        <f ca="1">VALUE(_xll.BDP($A124 &amp; " Corp",W$1))</f>
        <v>40178</v>
      </c>
      <c r="X124" s="127">
        <f ca="1">VALUE(_xll.BDP($A124 &amp; " Corp",X$1))</f>
        <v>40359</v>
      </c>
      <c r="Y124" s="127">
        <f ca="1">VALUE(_xll.BDP($A124 &amp; " Corp",Y$1))</f>
        <v>41820</v>
      </c>
      <c r="Z124" s="127">
        <f ca="1">VALUE(_xll.BDP($A124 &amp; " Corp",Z$1))</f>
        <v>42004</v>
      </c>
      <c r="AA124" s="128">
        <f ca="1">_xll.BDP($A124 &amp; " Corp",AA$1)/100</f>
        <v>2.6249999999999999E-2</v>
      </c>
      <c r="AB124" s="129">
        <f ca="1">_xll.BDP($A124 &amp; " Corp",AB$1)</f>
        <v>43245000000</v>
      </c>
      <c r="AC124" s="130" t="str">
        <f ca="1">IF(LEFT(B124,1)="B",_xll.INSTANCE.TBILL(A124,V124,Z124,TODAY()),_xll.INSTANCE.TNOTE(A124,V124,W124,X124,Y124,Z124,AA124,TODAY()))</f>
        <v>US912828ME71#0028</v>
      </c>
    </row>
    <row r="125" spans="1:29" x14ac:dyDescent="0.2">
      <c r="A125" s="131" t="s">
        <v>479</v>
      </c>
      <c r="B125" s="115" t="str">
        <f ca="1">_xll.BDP($A125 &amp; " Govt",B$1)</f>
        <v>T 0 1/4 01/15/15</v>
      </c>
      <c r="C125" s="372"/>
      <c r="D125" s="116"/>
      <c r="E125" s="117"/>
      <c r="F125" s="118"/>
      <c r="G125" s="377"/>
      <c r="H125" s="120">
        <f ca="1">IF(E125="",_xll.BDP(A125 &amp; " Govt","YLD_YTM_ASK")/100,E125)</f>
        <v>3.646252E-3</v>
      </c>
      <c r="I125" s="121">
        <f ca="1">_xll.INSTRUMENT.PRIX(AC125,D125,H125,cTreasuries)</f>
        <v>99.709968082125286</v>
      </c>
      <c r="J125" s="122">
        <f ca="1">_xll.INSTRUMENT.DV01(A125,,,I125,cContinuous,I125)</f>
        <v>-2.5245758688834347E-2</v>
      </c>
      <c r="K125" s="123">
        <f ca="1">_xll.INSTRUMENT.CONVEXITE(A125,,,I125,cContinuous,I125)</f>
        <v>6.4128520828084188</v>
      </c>
      <c r="L125" s="123">
        <f ca="1">_xll.INSTRUMENT.Z.SPREAD(A125,swapCurve,I125,cContinuous,D125)</f>
        <v>-20.813566923255621</v>
      </c>
      <c r="M125" s="123">
        <f ca="1">_xll.INSTRUMENT.Z.SPREAD(A125,ustCurve,I125,cContinuous,D125)</f>
        <v>-2.3603477553840997</v>
      </c>
      <c r="N125" s="123">
        <f ca="1">_xll.INSTRUMENT.Z.SPREAD(A125,oisCurve,I125,cContinuous,D125)</f>
        <v>13.901173823750105</v>
      </c>
      <c r="O125" s="124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5.0381418585804319E-3</v>
      </c>
      <c r="P125" s="124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4.5392558190662903E-3</v>
      </c>
      <c r="Q125" s="379">
        <f ca="1">-(O125-curve!$S$3)/J125</f>
        <v>0.13150623208985251</v>
      </c>
      <c r="R125" s="381">
        <f t="shared" ca="1" si="1"/>
        <v>-254.01700784079364</v>
      </c>
      <c r="S125" s="199" t="str">
        <f>IF(F125&lt;&gt;"","",IF(G125="","",-G125*(SUMIF('bench Comparison'!$A:$A,"RESINV1USD",'bench Comparison'!$G:$G)+SUMIF('bench Comparison'!$A:$A,"RESSWAPORUSD",'bench Comparison'!$G:$G))/(36500*J125)))</f>
        <v/>
      </c>
      <c r="T125" s="210" t="str">
        <f>IF(G125&lt;&gt;"","",IF(F125="","",-36500*J125*F125/(SUMIF('bench Comparison'!$A:$A,"RESINV1USD",'bench Comparison'!$G:$G)+SUMIF('bench Comparison'!$A:$A,"RESSWAPORUSD",'bench Comparison'!$G:$G))))</f>
        <v/>
      </c>
      <c r="U125" s="125">
        <f>SUMIF('bench Comparison'!$E:$E,A125,'bench Comparison'!$N:$N)</f>
        <v>0</v>
      </c>
      <c r="V125" s="126">
        <f ca="1">VALUE(_xll.BDP($A125 &amp; " Corp",V$1))</f>
        <v>40925</v>
      </c>
      <c r="W125" s="127">
        <f ca="1">VALUE(_xll.BDP($A125 &amp; " Corp",W$1))</f>
        <v>40923</v>
      </c>
      <c r="X125" s="127">
        <f ca="1">VALUE(_xll.BDP($A125 &amp; " Corp",X$1))</f>
        <v>41105</v>
      </c>
      <c r="Y125" s="127">
        <f ca="1">VALUE(_xll.BDP($A125 &amp; " Corp",Y$1))</f>
        <v>41835</v>
      </c>
      <c r="Z125" s="127">
        <f ca="1">VALUE(_xll.BDP($A125 &amp; " Corp",Z$1))</f>
        <v>42019</v>
      </c>
      <c r="AA125" s="128">
        <f ca="1">_xll.BDP($A125 &amp; " Corp",AA$1)/100</f>
        <v>2.5000000000000001E-3</v>
      </c>
      <c r="AB125" s="129">
        <f ca="1">_xll.BDP($A125 &amp; " Corp",AB$1)</f>
        <v>34271000000</v>
      </c>
      <c r="AC125" s="130" t="str">
        <f ca="1">IF(LEFT(B125,1)="B",_xll.INSTANCE.TBILL(A125,V125,Z125,TODAY()),_xll.INSTANCE.TNOTE(A125,V125,W125,X125,Y125,Z125,AA125,TODAY()))</f>
        <v>US912828RZ55#0028</v>
      </c>
    </row>
    <row r="126" spans="1:29" x14ac:dyDescent="0.2">
      <c r="A126" s="131" t="s">
        <v>202</v>
      </c>
      <c r="B126" s="115" t="str">
        <f ca="1">_xll.BDP($A126 &amp; " Govt",B$1)</f>
        <v>T 2 1/4 01/31/15</v>
      </c>
      <c r="C126" s="372"/>
      <c r="D126" s="116"/>
      <c r="E126" s="117"/>
      <c r="F126" s="118"/>
      <c r="G126" s="377"/>
      <c r="H126" s="120">
        <f ca="1">IF(E126="",_xll.BDP(A126 &amp; " Govt","YLD_YTM_ASK")/100,E126)</f>
        <v>3.8549230000000001E-3</v>
      </c>
      <c r="I126" s="121">
        <f ca="1">_xll.INSTRUMENT.PRIX(AC126,D126,H126,cTreasuries)</f>
        <v>104.78024236720418</v>
      </c>
      <c r="J126" s="122">
        <f ca="1">_xll.INSTRUMENT.DV01(A126,,,I126,cContinuous,I126)</f>
        <v>-2.6512719284897224E-2</v>
      </c>
      <c r="K126" s="123">
        <f ca="1">_xll.INSTRUMENT.CONVEXITE(A126,,,I126,cContinuous,I126)</f>
        <v>6.429306195080696</v>
      </c>
      <c r="L126" s="123">
        <f ca="1">_xll.INSTRUMENT.Z.SPREAD(A126,swapCurve,I126,cContinuous,D126)</f>
        <v>-19.09954657869223</v>
      </c>
      <c r="M126" s="123">
        <f ca="1">_xll.INSTRUMENT.Z.SPREAD(A126,ustCurve,I126,cContinuous,D126)</f>
        <v>-0.85629111150213821</v>
      </c>
      <c r="N126" s="123">
        <f ca="1">_xll.INSTRUMENT.Z.SPREAD(A126,oisCurve,I126,cContinuous,D126)</f>
        <v>15.708580002543922</v>
      </c>
      <c r="O126" s="124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4.3165514170937407E-3</v>
      </c>
      <c r="P126" s="124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5.0030708746423716E-3</v>
      </c>
      <c r="Q126" s="379">
        <f ca="1">-(O126-curve!$S$3)/J126</f>
        <v>9.8005192602469857E-2</v>
      </c>
      <c r="R126" s="381">
        <f t="shared" ref="R126:R189" ca="1" si="3">K126/J126</f>
        <v>-242.4989351712068</v>
      </c>
      <c r="S126" s="199" t="str">
        <f>IF(F126&lt;&gt;"","",IF(G126="","",-G126*(SUMIF('bench Comparison'!$A:$A,"RESINV1USD",'bench Comparison'!$G:$G)+SUMIF('bench Comparison'!$A:$A,"RESSWAPORUSD",'bench Comparison'!$G:$G))/(36500*J126)))</f>
        <v/>
      </c>
      <c r="T126" s="210" t="str">
        <f>IF(G126&lt;&gt;"","",IF(F126="","",-36500*J126*F126/(SUMIF('bench Comparison'!$A:$A,"RESINV1USD",'bench Comparison'!$G:$G)+SUMIF('bench Comparison'!$A:$A,"RESSWAPORUSD",'bench Comparison'!$G:$G))))</f>
        <v/>
      </c>
      <c r="U126" s="125">
        <f>SUMIF('bench Comparison'!$E:$E,A126,'bench Comparison'!$N:$N)</f>
        <v>0</v>
      </c>
      <c r="V126" s="126">
        <f ca="1">VALUE(_xll.BDP($A126 &amp; " Corp",V$1))</f>
        <v>40210</v>
      </c>
      <c r="W126" s="127">
        <f ca="1">VALUE(_xll.BDP($A126 &amp; " Corp",W$1))</f>
        <v>40209</v>
      </c>
      <c r="X126" s="127">
        <f ca="1">VALUE(_xll.BDP($A126 &amp; " Corp",X$1))</f>
        <v>40390</v>
      </c>
      <c r="Y126" s="127">
        <f ca="1">VALUE(_xll.BDP($A126 &amp; " Corp",Y$1))</f>
        <v>41851</v>
      </c>
      <c r="Z126" s="127">
        <f ca="1">VALUE(_xll.BDP($A126 &amp; " Corp",Z$1))</f>
        <v>42035</v>
      </c>
      <c r="AA126" s="128">
        <f ca="1">_xll.BDP($A126 &amp; " Corp",AA$1)/100</f>
        <v>2.2499999999999999E-2</v>
      </c>
      <c r="AB126" s="129">
        <f ca="1">_xll.BDP($A126 &amp; " Corp",AB$1)</f>
        <v>42685000000</v>
      </c>
      <c r="AC126" s="130" t="str">
        <f ca="1">IF(LEFT(B126,1)="B",_xll.INSTANCE.TBILL(A126,V126,Z126,TODAY()),_xll.INSTANCE.TNOTE(A126,V126,W126,X126,Y126,Z126,AA126,TODAY()))</f>
        <v>US912828MH03#0028</v>
      </c>
    </row>
    <row r="127" spans="1:29" x14ac:dyDescent="0.2">
      <c r="A127" s="131" t="s">
        <v>480</v>
      </c>
      <c r="B127" s="115" t="str">
        <f ca="1">_xll.BDP($A127 &amp; " Govt",B$1)</f>
        <v>T 11 1/4 02/15/15</v>
      </c>
      <c r="C127" s="372"/>
      <c r="D127" s="116"/>
      <c r="E127" s="117"/>
      <c r="F127" s="118"/>
      <c r="G127" s="377"/>
      <c r="H127" s="120">
        <f ca="1">IF(E127="",_xll.BDP(A127 &amp; " Govt","YLD_YTM_ASK")/100,E127)</f>
        <v>4.0291070000000005E-3</v>
      </c>
      <c r="I127" s="121">
        <f ca="1">_xll.INSTRUMENT.PRIX(AC127,D127,H127,cTreasuries)</f>
        <v>128.24891691245068</v>
      </c>
      <c r="J127" s="122">
        <f ca="1">_xll.INSTRUMENT.DV01(A127,,,I127,cContinuous,I127)</f>
        <v>-3.0612331357126661E-2</v>
      </c>
      <c r="K127" s="123">
        <f ca="1">_xll.INSTRUMENT.CONVEXITE(A127,,,I127,cContinuous,I127)</f>
        <v>5.8215925177400942</v>
      </c>
      <c r="L127" s="123">
        <f ca="1">_xll.INSTRUMENT.Z.SPREAD(A127,swapCurve,I127,cContinuous,D127)</f>
        <v>-17.160974310781604</v>
      </c>
      <c r="M127" s="123">
        <f ca="1">_xll.INSTRUMENT.Z.SPREAD(A127,ustCurve,I127,cContinuous,D127)</f>
        <v>0.50743050681620616</v>
      </c>
      <c r="N127" s="123">
        <f ca="1">_xll.INSTRUMENT.Z.SPREAD(A127,oisCurve,I127,cContinuous,D127)</f>
        <v>17.470846034685433</v>
      </c>
      <c r="O127" s="124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-4.1232247227065847E-4</v>
      </c>
      <c r="P127" s="124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5.3128246906511516E-3</v>
      </c>
      <c r="Q127" s="379">
        <f ca="1">-(O127-curve!$S$3)/J127</f>
        <v>-6.9595801266434568E-2</v>
      </c>
      <c r="R127" s="381">
        <f t="shared" ca="1" si="3"/>
        <v>-190.1714851386125</v>
      </c>
      <c r="S127" s="199" t="str">
        <f>IF(F127&lt;&gt;"","",IF(G127="","",-G127*(SUMIF('bench Comparison'!$A:$A,"RESINV1USD",'bench Comparison'!$G:$G)+SUMIF('bench Comparison'!$A:$A,"RESSWAPORUSD",'bench Comparison'!$G:$G))/(36500*J127)))</f>
        <v/>
      </c>
      <c r="T127" s="210" t="str">
        <f>IF(G127&lt;&gt;"","",IF(F127="","",-36500*J127*F127/(SUMIF('bench Comparison'!$A:$A,"RESINV1USD",'bench Comparison'!$G:$G)+SUMIF('bench Comparison'!$A:$A,"RESSWAPORUSD",'bench Comparison'!$G:$G))))</f>
        <v/>
      </c>
      <c r="U127" s="125">
        <f>SUMIF('bench Comparison'!$E:$E,A127,'bench Comparison'!$N:$N)</f>
        <v>0</v>
      </c>
      <c r="V127" s="126">
        <f ca="1">VALUE(_xll.BDP($A127 &amp; " Corp",V$1))</f>
        <v>31093</v>
      </c>
      <c r="W127" s="127">
        <f ca="1">VALUE(_xll.BDP($A127 &amp; " Corp",W$1))</f>
        <v>31093</v>
      </c>
      <c r="X127" s="127">
        <f ca="1">VALUE(_xll.BDP($A127 &amp; " Corp",X$1))</f>
        <v>31274</v>
      </c>
      <c r="Y127" s="127">
        <f ca="1">VALUE(_xll.BDP($A127 &amp; " Corp",Y$1))</f>
        <v>41866</v>
      </c>
      <c r="Z127" s="127">
        <f ca="1">VALUE(_xll.BDP($A127 &amp; " Corp",Z$1))</f>
        <v>42050</v>
      </c>
      <c r="AA127" s="128">
        <f ca="1">_xll.BDP($A127 &amp; " Corp",AA$1)/100</f>
        <v>0.1125</v>
      </c>
      <c r="AB127" s="129">
        <f ca="1">_xll.BDP($A127 &amp; " Corp",AB$1)</f>
        <v>10520000000</v>
      </c>
      <c r="AC127" s="130" t="str">
        <f ca="1">IF(LEFT(B127,1)="B",_xll.INSTANCE.TBILL(A127,V127,Z127,TODAY()),_xll.INSTANCE.TNOTE(A127,V127,W127,X127,Y127,Z127,AA127,TODAY()))</f>
        <v>US912810DP04#0028</v>
      </c>
    </row>
    <row r="128" spans="1:29" x14ac:dyDescent="0.2">
      <c r="A128" s="131" t="s">
        <v>482</v>
      </c>
      <c r="B128" s="115" t="str">
        <f ca="1">_xll.BDP($A128 &amp; " Govt",B$1)</f>
        <v>T 4 02/15/15</v>
      </c>
      <c r="C128" s="372"/>
      <c r="D128" s="116"/>
      <c r="E128" s="117"/>
      <c r="F128" s="118"/>
      <c r="G128" s="377"/>
      <c r="H128" s="120">
        <f ca="1">IF(E128="",_xll.BDP(A128 &amp; " Govt","YLD_YTM_ASK")/100,E128)</f>
        <v>4.0043240000000001E-3</v>
      </c>
      <c r="I128" s="121">
        <f ca="1">_xll.INSTRUMENT.PRIX(AC128,D128,H128,cTreasuries)</f>
        <v>109.37397748661856</v>
      </c>
      <c r="J128" s="122">
        <f ca="1">_xll.INSTRUMENT.DV01(A128,,,I128,cContinuous,I128)</f>
        <v>-2.7649127651476538E-2</v>
      </c>
      <c r="K128" s="123">
        <f ca="1">_xll.INSTRUMENT.CONVEXITE(A128,,,I128,cContinuous,I128)</f>
        <v>6.4477772164039751</v>
      </c>
      <c r="L128" s="123">
        <f ca="1">_xll.INSTRUMENT.Z.SPREAD(A128,swapCurve,I128,cContinuous,D128)</f>
        <v>-17.848086327556871</v>
      </c>
      <c r="M128" s="123">
        <f ca="1">_xll.INSTRUMENT.Z.SPREAD(A128,ustCurve,I128,cContinuous,D128)</f>
        <v>0.23104485145883993</v>
      </c>
      <c r="N128" s="123">
        <f ca="1">_xll.INSTRUMENT.Z.SPREAD(A128,oisCurve,I128,cContinuous,D128)</f>
        <v>17.021300305811597</v>
      </c>
      <c r="O128" s="124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3.4801157438280532E-3</v>
      </c>
      <c r="P128" s="124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5.2404309400137005E-3</v>
      </c>
      <c r="Q128" s="379">
        <f ca="1">-(O128-curve!$S$3)/J128</f>
        <v>6.3725283085804288E-2</v>
      </c>
      <c r="R128" s="381">
        <f t="shared" ca="1" si="3"/>
        <v>-233.20002343942471</v>
      </c>
      <c r="S128" s="199" t="str">
        <f>IF(F128&lt;&gt;"","",IF(G128="","",-G128*(SUMIF('bench Comparison'!$A:$A,"RESINV1USD",'bench Comparison'!$G:$G)+SUMIF('bench Comparison'!$A:$A,"RESSWAPORUSD",'bench Comparison'!$G:$G))/(36500*J128)))</f>
        <v/>
      </c>
      <c r="T128" s="210" t="str">
        <f>IF(G128&lt;&gt;"","",IF(F128="","",-36500*J128*F128/(SUMIF('bench Comparison'!$A:$A,"RESINV1USD",'bench Comparison'!$G:$G)+SUMIF('bench Comparison'!$A:$A,"RESSWAPORUSD",'bench Comparison'!$G:$G))))</f>
        <v/>
      </c>
      <c r="U128" s="125">
        <f>SUMIF('bench Comparison'!$E:$E,A128,'bench Comparison'!$N:$N)</f>
        <v>0</v>
      </c>
      <c r="V128" s="126">
        <f ca="1">VALUE(_xll.BDP($A128 &amp; " Corp",V$1))</f>
        <v>38398</v>
      </c>
      <c r="W128" s="127">
        <f ca="1">VALUE(_xll.BDP($A128 &amp; " Corp",W$1))</f>
        <v>38398</v>
      </c>
      <c r="X128" s="127">
        <f ca="1">VALUE(_xll.BDP($A128 &amp; " Corp",X$1))</f>
        <v>38579</v>
      </c>
      <c r="Y128" s="127">
        <f ca="1">VALUE(_xll.BDP($A128 &amp; " Corp",Y$1))</f>
        <v>41866</v>
      </c>
      <c r="Z128" s="127">
        <f ca="1">VALUE(_xll.BDP($A128 &amp; " Corp",Z$1))</f>
        <v>42050</v>
      </c>
      <c r="AA128" s="128">
        <f ca="1">_xll.BDP($A128 &amp; " Corp",AA$1)/100</f>
        <v>0.04</v>
      </c>
      <c r="AB128" s="129">
        <f ca="1">_xll.BDP($A128 &amp; " Corp",AB$1)</f>
        <v>34215000000</v>
      </c>
      <c r="AC128" s="130" t="str">
        <f ca="1">IF(LEFT(B128,1)="B",_xll.INSTANCE.TBILL(A128,V128,Z128,TODAY()),_xll.INSTANCE.TNOTE(A128,V128,W128,X128,Y128,Z128,AA128,TODAY()))</f>
        <v>US912828DM98#0028</v>
      </c>
    </row>
    <row r="129" spans="1:29" x14ac:dyDescent="0.2">
      <c r="A129" s="131" t="s">
        <v>481</v>
      </c>
      <c r="B129" s="115" t="str">
        <f ca="1">_xll.BDP($A129 &amp; " Govt",B$1)</f>
        <v>T 0 1/4 02/15/15</v>
      </c>
      <c r="C129" s="372"/>
      <c r="D129" s="116"/>
      <c r="E129" s="117"/>
      <c r="F129" s="118"/>
      <c r="G129" s="377"/>
      <c r="H129" s="120">
        <f ca="1">IF(E129="",_xll.BDP(A129 &amp; " Govt","YLD_YTM_ASK")/100,E129)</f>
        <v>3.8794269999999995E-3</v>
      </c>
      <c r="I129" s="121">
        <f ca="1">_xll.INSTRUMENT.PRIX(AC129,D129,H129,cTreasuries)</f>
        <v>99.639662207339541</v>
      </c>
      <c r="J129" s="122">
        <f ca="1">_xll.INSTRUMENT.DV01(A129,,,I129,cContinuous,I129)</f>
        <v>-2.6123984384747851E-2</v>
      </c>
      <c r="K129" s="123">
        <f ca="1">_xll.INSTRUMENT.CONVEXITE(A129,,,I129,cContinuous,I129)</f>
        <v>6.8782636666998567</v>
      </c>
      <c r="L129" s="123">
        <f ca="1">_xll.INSTRUMENT.Z.SPREAD(A129,swapCurve,I129,cContinuous,D129)</f>
        <v>-19.358484407555018</v>
      </c>
      <c r="M129" s="123">
        <f ca="1">_xll.INSTRUMENT.Z.SPREAD(A129,ustCurve,I129,cContinuous,D129)</f>
        <v>-1.0314460279633808</v>
      </c>
      <c r="N129" s="123">
        <f ca="1">_xll.INSTRUMENT.Z.SPREAD(A129,oisCurve,I129,cContinuous,D129)</f>
        <v>15.654950348067656</v>
      </c>
      <c r="O129" s="124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5.9510456922827809E-3</v>
      </c>
      <c r="P129" s="124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5.0832524166425008E-3</v>
      </c>
      <c r="Q129" s="379">
        <f ca="1">-(O129-curve!$S$3)/J129</f>
        <v>0.1620303538993049</v>
      </c>
      <c r="R129" s="381">
        <f t="shared" ca="1" si="3"/>
        <v>-263.29305535474293</v>
      </c>
      <c r="S129" s="199" t="str">
        <f>IF(F129&lt;&gt;"","",IF(G129="","",-G129*(SUMIF('bench Comparison'!$A:$A,"RESINV1USD",'bench Comparison'!$G:$G)+SUMIF('bench Comparison'!$A:$A,"RESSWAPORUSD",'bench Comparison'!$G:$G))/(36500*J129)))</f>
        <v/>
      </c>
      <c r="T129" s="210" t="str">
        <f>IF(G129&lt;&gt;"","",IF(F129="","",-36500*J129*F129/(SUMIF('bench Comparison'!$A:$A,"RESINV1USD",'bench Comparison'!$G:$G)+SUMIF('bench Comparison'!$A:$A,"RESSWAPORUSD",'bench Comparison'!$G:$G))))</f>
        <v/>
      </c>
      <c r="U129" s="125">
        <f>SUMIF('bench Comparison'!$E:$E,A129,'bench Comparison'!$N:$N)</f>
        <v>0</v>
      </c>
      <c r="V129" s="126">
        <f ca="1">VALUE(_xll.BDP($A129 &amp; " Corp",V$1))</f>
        <v>40954</v>
      </c>
      <c r="W129" s="127">
        <f ca="1">VALUE(_xll.BDP($A129 &amp; " Corp",W$1))</f>
        <v>40954</v>
      </c>
      <c r="X129" s="127">
        <f ca="1">VALUE(_xll.BDP($A129 &amp; " Corp",X$1))</f>
        <v>41136</v>
      </c>
      <c r="Y129" s="127">
        <f ca="1">VALUE(_xll.BDP($A129 &amp; " Corp",Y$1))</f>
        <v>41866</v>
      </c>
      <c r="Z129" s="127">
        <f ca="1">VALUE(_xll.BDP($A129 &amp; " Corp",Z$1))</f>
        <v>42050</v>
      </c>
      <c r="AA129" s="128">
        <f ca="1">_xll.BDP($A129 &amp; " Corp",AA$1)/100</f>
        <v>2.5000000000000001E-3</v>
      </c>
      <c r="AB129" s="129">
        <f ca="1">_xll.BDP($A129 &amp; " Corp",AB$1)</f>
        <v>35901000000</v>
      </c>
      <c r="AC129" s="130" t="str">
        <f ca="1">IF(LEFT(B129,1)="B",_xll.INSTANCE.TBILL(A129,V129,Z129,TODAY()),_xll.INSTANCE.TNOTE(A129,V129,W129,X129,Y129,Z129,AA129,TODAY()))</f>
        <v>US912828SE18#0028</v>
      </c>
    </row>
    <row r="130" spans="1:29" x14ac:dyDescent="0.2">
      <c r="A130" s="131" t="s">
        <v>204</v>
      </c>
      <c r="B130" s="115" t="str">
        <f ca="1">_xll.BDP($A130 &amp; " Govt",B$1)</f>
        <v>T 2 3/8 02/28/15</v>
      </c>
      <c r="C130" s="372"/>
      <c r="D130" s="116"/>
      <c r="E130" s="117"/>
      <c r="F130" s="118"/>
      <c r="G130" s="377"/>
      <c r="H130" s="120">
        <f ca="1">IF(E130="",_xll.BDP(A130 &amp; " Govt","YLD_YTM_ASK")/100,E130)</f>
        <v>3.9984510000000001E-3</v>
      </c>
      <c r="I130" s="121">
        <f ca="1">_xll.INSTRUMENT.PRIX(AC130,D130,H130,cTreasuries)</f>
        <v>105.22820117705254</v>
      </c>
      <c r="J130" s="122">
        <f ca="1">_xll.INSTRUMENT.DV01(A130,,,I130,cContinuous,I130)</f>
        <v>-2.7362275843418934E-2</v>
      </c>
      <c r="K130" s="123">
        <f ca="1">_xll.INSTRUMENT.CONVEXITE(A130,,,I130,cContinuous,I130)</f>
        <v>6.8065180501691644</v>
      </c>
      <c r="L130" s="123">
        <f ca="1">_xll.INSTRUMENT.Z.SPREAD(A130,swapCurve,I130,cContinuous,D130)</f>
        <v>-18.335407579580377</v>
      </c>
      <c r="M130" s="123">
        <f ca="1">_xll.INSTRUMENT.Z.SPREAD(A130,ustCurve,I130,cContinuous,D130)</f>
        <v>-0.19186094857463201</v>
      </c>
      <c r="N130" s="123">
        <f ca="1">_xll.INSTRUMENT.Z.SPREAD(A130,oisCurve,I130,cContinuous,D130)</f>
        <v>16.69706978801393</v>
      </c>
      <c r="O130" s="124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4.9537652761036275E-3</v>
      </c>
      <c r="P130" s="124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5.3180730315748421E-3</v>
      </c>
      <c r="Q130" s="379">
        <f ca="1">-(O130-curve!$S$3)/J130</f>
        <v>0.11825032528204957</v>
      </c>
      <c r="R130" s="381">
        <f t="shared" ca="1" si="3"/>
        <v>-248.75555268573325</v>
      </c>
      <c r="S130" s="199" t="str">
        <f>IF(F130&lt;&gt;"","",IF(G130="","",-G130*(SUMIF('bench Comparison'!$A:$A,"RESINV1USD",'bench Comparison'!$G:$G)+SUMIF('bench Comparison'!$A:$A,"RESSWAPORUSD",'bench Comparison'!$G:$G))/(36500*J130)))</f>
        <v/>
      </c>
      <c r="T130" s="210" t="str">
        <f>IF(G130&lt;&gt;"","",IF(F130="","",-36500*J130*F130/(SUMIF('bench Comparison'!$A:$A,"RESINV1USD",'bench Comparison'!$G:$G)+SUMIF('bench Comparison'!$A:$A,"RESSWAPORUSD",'bench Comparison'!$G:$G))))</f>
        <v/>
      </c>
      <c r="U130" s="125">
        <f>SUMIF('bench Comparison'!$E:$E,A130,'bench Comparison'!$N:$N)</f>
        <v>0</v>
      </c>
      <c r="V130" s="126">
        <f ca="1">VALUE(_xll.BDP($A130 &amp; " Corp",V$1))</f>
        <v>40238</v>
      </c>
      <c r="W130" s="127">
        <f ca="1">VALUE(_xll.BDP($A130 &amp; " Corp",W$1))</f>
        <v>40237</v>
      </c>
      <c r="X130" s="127">
        <f ca="1">VALUE(_xll.BDP($A130 &amp; " Corp",X$1))</f>
        <v>40421</v>
      </c>
      <c r="Y130" s="127">
        <f ca="1">VALUE(_xll.BDP($A130 &amp; " Corp",Y$1))</f>
        <v>41882</v>
      </c>
      <c r="Z130" s="127">
        <f ca="1">VALUE(_xll.BDP($A130 &amp; " Corp",Z$1))</f>
        <v>42063</v>
      </c>
      <c r="AA130" s="128">
        <f ca="1">_xll.BDP($A130 &amp; " Corp",AA$1)/100</f>
        <v>2.375E-2</v>
      </c>
      <c r="AB130" s="129">
        <f ca="1">_xll.BDP($A130 &amp; " Corp",AB$1)</f>
        <v>43033000000</v>
      </c>
      <c r="AC130" s="130" t="str">
        <f ca="1">IF(LEFT(B130,1)="B",_xll.INSTANCE.TBILL(A130,V130,Z130,TODAY()),_xll.INSTANCE.TNOTE(A130,V130,W130,X130,Y130,Z130,AA130,TODAY()))</f>
        <v>US912828MR84#0027</v>
      </c>
    </row>
    <row r="131" spans="1:29" x14ac:dyDescent="0.2">
      <c r="A131" s="131" t="s">
        <v>59</v>
      </c>
      <c r="B131" s="115" t="str">
        <f ca="1">_xll.BDP($A131 &amp; " Govt",B$1)</f>
        <v>T 0 3/8 03/15/15</v>
      </c>
      <c r="C131" s="372"/>
      <c r="D131" s="116"/>
      <c r="E131" s="117"/>
      <c r="F131" s="118"/>
      <c r="G131" s="377"/>
      <c r="H131" s="120">
        <f ca="1">IF(E131="",_xll.BDP(A131 &amp; " Govt","YLD_YTM_ASK")/100,E131)</f>
        <v>4.011555E-3</v>
      </c>
      <c r="I131" s="121">
        <f ca="1">_xll.INSTRUMENT.PRIX(AC131,D131,H131,cTreasuries)</f>
        <v>99.931149123820063</v>
      </c>
      <c r="J131" s="122">
        <f ca="1">_xll.INSTRUMENT.DV01(A131,,,I131,cContinuous,I131)</f>
        <v>-2.6898882780905062E-2</v>
      </c>
      <c r="K131" s="123">
        <f ca="1">_xll.INSTRUMENT.CONVEXITE(A131,,,I131,cContinuous,I131)</f>
        <v>7.2548324025461017</v>
      </c>
      <c r="L131" s="123">
        <f ca="1">_xll.INSTRUMENT.Z.SPREAD(A131,swapCurve,I131,cContinuous,D131)</f>
        <v>-18.667264398130275</v>
      </c>
      <c r="M131" s="123">
        <f ca="1">_xll.INSTRUMENT.Z.SPREAD(A131,ustCurve,I131,cContinuous,D131)</f>
        <v>-0.44612757362095934</v>
      </c>
      <c r="N131" s="123">
        <f ca="1">_xll.INSTRUMENT.Z.SPREAD(A131,oisCurve,I131,cContinuous,D131)</f>
        <v>16.543448128258134</v>
      </c>
      <c r="O131" s="124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6.1870203595813973E-3</v>
      </c>
      <c r="P131" s="124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5.406973892484639E-3</v>
      </c>
      <c r="Q131" s="379">
        <f ca="1">-(O131-curve!$S$3)/J131</f>
        <v>0.16613526810085841</v>
      </c>
      <c r="R131" s="381">
        <f t="shared" ca="1" si="3"/>
        <v>-269.70757341996938</v>
      </c>
      <c r="S131" s="199" t="str">
        <f>IF(F131&lt;&gt;"","",IF(G131="","",-G131*(SUMIF('bench Comparison'!$A:$A,"RESINV1USD",'bench Comparison'!$G:$G)+SUMIF('bench Comparison'!$A:$A,"RESSWAPORUSD",'bench Comparison'!$G:$G))/(36500*J131)))</f>
        <v/>
      </c>
      <c r="T131" s="210" t="str">
        <f>IF(G131&lt;&gt;"","",IF(F131="","",-36500*J131*F131/(SUMIF('bench Comparison'!$A:$A,"RESINV1USD",'bench Comparison'!$G:$G)+SUMIF('bench Comparison'!$A:$A,"RESSWAPORUSD",'bench Comparison'!$G:$G))))</f>
        <v/>
      </c>
      <c r="U131" s="125">
        <f>SUMIF('bench Comparison'!$E:$E,A131,'bench Comparison'!$N:$N)</f>
        <v>0</v>
      </c>
      <c r="V131" s="126">
        <f ca="1">VALUE(_xll.BDP($A131 &amp; " Corp",V$1))</f>
        <v>40983</v>
      </c>
      <c r="W131" s="127">
        <f ca="1">VALUE(_xll.BDP($A131 &amp; " Corp",W$1))</f>
        <v>40983</v>
      </c>
      <c r="X131" s="127">
        <f ca="1">VALUE(_xll.BDP($A131 &amp; " Corp",X$1))</f>
        <v>41167</v>
      </c>
      <c r="Y131" s="127">
        <f ca="1">VALUE(_xll.BDP($A131 &amp; " Corp",Y$1))</f>
        <v>41897</v>
      </c>
      <c r="Z131" s="127">
        <f ca="1">VALUE(_xll.BDP($A131 &amp; " Corp",Z$1))</f>
        <v>42078</v>
      </c>
      <c r="AA131" s="128">
        <f ca="1">_xll.BDP($A131 &amp; " Corp",AA$1)/100</f>
        <v>3.7499999999999999E-3</v>
      </c>
      <c r="AB131" s="129">
        <f ca="1">_xll.BDP($A131 &amp; " Corp",AB$1)</f>
        <v>34222000000</v>
      </c>
      <c r="AC131" s="130" t="str">
        <f ca="1">IF(LEFT(B131,1)="B",_xll.INSTANCE.TBILL(A131,V131,Z131,TODAY()),_xll.INSTANCE.TNOTE(A131,V131,W131,X131,Y131,Z131,AA131,TODAY()))</f>
        <v>US912828SK77#0027</v>
      </c>
    </row>
    <row r="132" spans="1:29" x14ac:dyDescent="0.2">
      <c r="A132" s="131" t="s">
        <v>37</v>
      </c>
      <c r="B132" s="115" t="str">
        <f ca="1">_xll.BDP($A132 &amp; " Govt",B$1)</f>
        <v>T 2 1/2 03/31/15</v>
      </c>
      <c r="C132" s="372"/>
      <c r="D132" s="116"/>
      <c r="E132" s="117"/>
      <c r="F132" s="118"/>
      <c r="G132" s="377"/>
      <c r="H132" s="120">
        <f ca="1">IF(E132="",_xll.BDP(A132 &amp; " Govt","YLD_YTM_ASK")/100,E132)</f>
        <v>3.9249919999999995E-3</v>
      </c>
      <c r="I132" s="121">
        <f ca="1">_xll.INSTRUMENT.PRIX(AC132,D132,H132,cTreasuries)</f>
        <v>105.75078542854344</v>
      </c>
      <c r="J132" s="122">
        <f ca="1">_xll.INSTRUMENT.DV01(A132,,,I132,cContinuous,I132)</f>
        <v>-2.8257669064019397E-2</v>
      </c>
      <c r="K132" s="123">
        <f ca="1">_xll.INSTRUMENT.CONVEXITE(A132,,,I132,cContinuous,I132)</f>
        <v>7.2080752613535877</v>
      </c>
      <c r="L132" s="123">
        <f ca="1">_xll.INSTRUMENT.Z.SPREAD(A132,swapCurve,I132,cContinuous,D132)</f>
        <v>-19.709055291224974</v>
      </c>
      <c r="M132" s="123">
        <f ca="1">_xll.INSTRUMENT.Z.SPREAD(A132,ustCurve,I132,cContinuous,D132)</f>
        <v>-1.6660421432821513</v>
      </c>
      <c r="N132" s="123">
        <f ca="1">_xll.INSTRUMENT.Z.SPREAD(A132,oisCurve,I132,cContinuous,D132)</f>
        <v>15.514606431044099</v>
      </c>
      <c r="O132" s="124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4.6370973759372568E-3</v>
      </c>
      <c r="P132" s="124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5.4051989422722957E-3</v>
      </c>
      <c r="Q132" s="379">
        <f ca="1">-(O132-curve!$S$3)/J132</f>
        <v>0.10329691780882842</v>
      </c>
      <c r="R132" s="381">
        <f t="shared" ca="1" si="3"/>
        <v>-255.08385865172647</v>
      </c>
      <c r="S132" s="199" t="str">
        <f>IF(F132&lt;&gt;"","",IF(G132="","",-G132*(SUMIF('bench Comparison'!$A:$A,"RESINV1USD",'bench Comparison'!$G:$G)+SUMIF('bench Comparison'!$A:$A,"RESSWAPORUSD",'bench Comparison'!$G:$G))/(36500*J132)))</f>
        <v/>
      </c>
      <c r="T132" s="210" t="str">
        <f>IF(G132&lt;&gt;"","",IF(F132="","",-36500*J132*F132/(SUMIF('bench Comparison'!$A:$A,"RESINV1USD",'bench Comparison'!$G:$G)+SUMIF('bench Comparison'!$A:$A,"RESSWAPORUSD",'bench Comparison'!$G:$G))))</f>
        <v/>
      </c>
      <c r="U132" s="125">
        <f>SUMIF('bench Comparison'!$E:$E,A132,'bench Comparison'!$N:$N)</f>
        <v>0</v>
      </c>
      <c r="V132" s="126">
        <f ca="1">VALUE(_xll.BDP($A132 &amp; " Corp",V$1))</f>
        <v>40268</v>
      </c>
      <c r="W132" s="127">
        <f ca="1">VALUE(_xll.BDP($A132 &amp; " Corp",W$1))</f>
        <v>40268</v>
      </c>
      <c r="X132" s="127">
        <f ca="1">VALUE(_xll.BDP($A132 &amp; " Corp",X$1))</f>
        <v>40451</v>
      </c>
      <c r="Y132" s="127">
        <f ca="1">VALUE(_xll.BDP($A132 &amp; " Corp",Y$1))</f>
        <v>41912</v>
      </c>
      <c r="Z132" s="127">
        <f ca="1">VALUE(_xll.BDP($A132 &amp; " Corp",Z$1))</f>
        <v>42094</v>
      </c>
      <c r="AA132" s="128">
        <f ca="1">_xll.BDP($A132 &amp; " Corp",AA$1)/100</f>
        <v>2.5000000000000001E-2</v>
      </c>
      <c r="AB132" s="129">
        <f ca="1">_xll.BDP($A132 &amp; " Corp",AB$1)</f>
        <v>43421000000.000008</v>
      </c>
      <c r="AC132" s="130" t="str">
        <f ca="1">IF(LEFT(B132,1)="B",_xll.INSTANCE.TBILL(A132,V132,Z132,TODAY()),_xll.INSTANCE.TNOTE(A132,V132,W132,X132,Y132,Z132,AA132,TODAY()))</f>
        <v>US912828MW79#0028</v>
      </c>
    </row>
    <row r="133" spans="1:29" x14ac:dyDescent="0.2">
      <c r="A133" s="131" t="s">
        <v>483</v>
      </c>
      <c r="B133" s="115" t="str">
        <f ca="1">_xll.BDP($A133 &amp; " Govt",B$1)</f>
        <v>T 0 3/8 04/15/15</v>
      </c>
      <c r="C133" s="372"/>
      <c r="D133" s="116"/>
      <c r="E133" s="117"/>
      <c r="F133" s="118"/>
      <c r="G133" s="377"/>
      <c r="H133" s="120">
        <f ca="1">IF(E133="",_xll.BDP(A133 &amp; " Govt","YLD_YTM_ASK")/100,E133)</f>
        <v>4.0037950000000001E-3</v>
      </c>
      <c r="I133" s="121">
        <f ca="1">_xll.INSTRUMENT.PRIX(AC133,D133,H133,cTreasuries)</f>
        <v>99.930414718534564</v>
      </c>
      <c r="J133" s="122">
        <f ca="1">_xll.INSTRUMENT.DV01(A133,,,I133,cContinuous,I133)</f>
        <v>-2.7712151200833646E-2</v>
      </c>
      <c r="K133" s="123">
        <f ca="1">_xll.INSTRUMENT.CONVEXITE(A133,,,I133,cContinuous,I133)</f>
        <v>7.7035456889414995</v>
      </c>
      <c r="L133" s="123">
        <f ca="1">_xll.INSTRUMENT.Z.SPREAD(A133,swapCurve,I133,cContinuous,D133)</f>
        <v>-19.477803097460384</v>
      </c>
      <c r="M133" s="123">
        <f ca="1">_xll.INSTRUMENT.Z.SPREAD(A133,ustCurve,I133,cContinuous,D133)</f>
        <v>-1.3718231747384624</v>
      </c>
      <c r="N133" s="123">
        <f ca="1">_xll.INSTRUMENT.Z.SPREAD(A133,oisCurve,I133,cContinuous,D133)</f>
        <v>15.896203873767051</v>
      </c>
      <c r="O133" s="124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6.3547159656270839E-3</v>
      </c>
      <c r="P133" s="124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5.6278170590273111E-3</v>
      </c>
      <c r="Q133" s="379">
        <f ca="1">-(O133-curve!$S$3)/J133</f>
        <v>0.16731103532393524</v>
      </c>
      <c r="R133" s="381">
        <f t="shared" ca="1" si="3"/>
        <v>-277.9843987250531</v>
      </c>
      <c r="S133" s="199" t="str">
        <f>IF(F133&lt;&gt;"","",IF(G133="","",-G133*(SUMIF('bench Comparison'!$A:$A,"RESINV1USD",'bench Comparison'!$G:$G)+SUMIF('bench Comparison'!$A:$A,"RESSWAPORUSD",'bench Comparison'!$G:$G))/(36500*J133)))</f>
        <v/>
      </c>
      <c r="T133" s="210" t="str">
        <f>IF(G133&lt;&gt;"","",IF(F133="","",-36500*J133*F133/(SUMIF('bench Comparison'!$A:$A,"RESINV1USD",'bench Comparison'!$G:$G)+SUMIF('bench Comparison'!$A:$A,"RESSWAPORUSD",'bench Comparison'!$G:$G))))</f>
        <v/>
      </c>
      <c r="U133" s="125">
        <f>SUMIF('bench Comparison'!$E:$E,A133,'bench Comparison'!$N:$N)</f>
        <v>0</v>
      </c>
      <c r="V133" s="126">
        <f ca="1">VALUE(_xll.BDP($A133 &amp; " Corp",V$1))</f>
        <v>41015</v>
      </c>
      <c r="W133" s="127">
        <f ca="1">VALUE(_xll.BDP($A133 &amp; " Corp",W$1))</f>
        <v>41014</v>
      </c>
      <c r="X133" s="127">
        <f ca="1">VALUE(_xll.BDP($A133 &amp; " Corp",X$1))</f>
        <v>41197</v>
      </c>
      <c r="Y133" s="127">
        <f ca="1">VALUE(_xll.BDP($A133 &amp; " Corp",Y$1))</f>
        <v>41927</v>
      </c>
      <c r="Z133" s="127">
        <f ca="1">VALUE(_xll.BDP($A133 &amp; " Corp",Z$1))</f>
        <v>42109</v>
      </c>
      <c r="AA133" s="128">
        <f ca="1">_xll.BDP($A133 &amp; " Corp",AA$1)/100</f>
        <v>3.7499999999999999E-3</v>
      </c>
      <c r="AB133" s="129">
        <f ca="1">_xll.BDP($A133 &amp; " Corp",AB$1)</f>
        <v>37823000000</v>
      </c>
      <c r="AC133" s="130" t="str">
        <f ca="1">IF(LEFT(B133,1)="B",_xll.INSTANCE.TBILL(A133,V133,Z133,TODAY()),_xll.INSTANCE.TNOTE(A133,V133,W133,X133,Y133,Z133,AA133,TODAY()))</f>
        <v>US912828SP64#0028</v>
      </c>
    </row>
    <row r="134" spans="1:29" x14ac:dyDescent="0.2">
      <c r="A134" s="131" t="s">
        <v>38</v>
      </c>
      <c r="B134" s="115" t="str">
        <f ca="1">_xll.BDP($A134 &amp; " Govt",B$1)</f>
        <v>T 2 1/2 04/30/15</v>
      </c>
      <c r="C134" s="372"/>
      <c r="D134" s="116"/>
      <c r="E134" s="117"/>
      <c r="F134" s="118"/>
      <c r="G134" s="377"/>
      <c r="H134" s="120">
        <f ca="1">IF(E134="",_xll.BDP(A134 &amp; " Govt","YLD_YTM_ASK")/100,E134)</f>
        <v>4.1695320000000001E-3</v>
      </c>
      <c r="I134" s="121">
        <f ca="1">_xll.INSTRUMENT.PRIX(AC134,D134,H134,cTreasuries)</f>
        <v>105.85266835382768</v>
      </c>
      <c r="J134" s="122">
        <f ca="1">_xll.INSTRUMENT.DV01(A134,,,I134,cContinuous,I134)</f>
        <v>-2.9103130064073557E-2</v>
      </c>
      <c r="K134" s="123">
        <f ca="1">_xll.INSTRUMENT.CONVEXITE(A134,,,I134,cContinuous,I134)</f>
        <v>7.6515024194877341</v>
      </c>
      <c r="L134" s="123">
        <f ca="1">_xll.INSTRUMENT.Z.SPREAD(A134,swapCurve,I134,cContinuous,D134)</f>
        <v>-18.040002207264507</v>
      </c>
      <c r="M134" s="123">
        <f ca="1">_xll.INSTRUMENT.Z.SPREAD(A134,ustCurve,I134,cContinuous,D134)</f>
        <v>-0.10286778673764356</v>
      </c>
      <c r="N134" s="123">
        <f ca="1">_xll.INSTRUMENT.Z.SPREAD(A134,oisCurve,I134,cContinuous,D134)</f>
        <v>17.312798218575978</v>
      </c>
      <c r="O134" s="124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5.4211364462677086E-3</v>
      </c>
      <c r="P134" s="124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6.0641326557037854E-3</v>
      </c>
      <c r="Q134" s="379">
        <f ca="1">-(O134-curve!$S$3)/J134</f>
        <v>0.12723611449878644</v>
      </c>
      <c r="R134" s="381">
        <f t="shared" ca="1" si="3"/>
        <v>-262.90994826474537</v>
      </c>
      <c r="S134" s="199" t="str">
        <f>IF(F134&lt;&gt;"","",IF(G134="","",-G134*(SUMIF('bench Comparison'!$A:$A,"RESINV1USD",'bench Comparison'!$G:$G)+SUMIF('bench Comparison'!$A:$A,"RESSWAPORUSD",'bench Comparison'!$G:$G))/(36500*J134)))</f>
        <v/>
      </c>
      <c r="T134" s="210" t="str">
        <f>IF(G134&lt;&gt;"","",IF(F134="","",-36500*J134*F134/(SUMIF('bench Comparison'!$A:$A,"RESINV1USD",'bench Comparison'!$G:$G)+SUMIF('bench Comparison'!$A:$A,"RESSWAPORUSD",'bench Comparison'!$G:$G))))</f>
        <v/>
      </c>
      <c r="U134" s="125">
        <f>SUMIF('bench Comparison'!$E:$E,A134,'bench Comparison'!$N:$N)</f>
        <v>0</v>
      </c>
      <c r="V134" s="126">
        <f ca="1">VALUE(_xll.BDP($A134 &amp; " Corp",V$1))</f>
        <v>40298</v>
      </c>
      <c r="W134" s="127">
        <f ca="1">VALUE(_xll.BDP($A134 &amp; " Corp",W$1))</f>
        <v>40298</v>
      </c>
      <c r="X134" s="127">
        <f ca="1">VALUE(_xll.BDP($A134 &amp; " Corp",X$1))</f>
        <v>40482</v>
      </c>
      <c r="Y134" s="127">
        <f ca="1">VALUE(_xll.BDP($A134 &amp; " Corp",Y$1))</f>
        <v>41943</v>
      </c>
      <c r="Z134" s="127">
        <f ca="1">VALUE(_xll.BDP($A134 &amp; " Corp",Z$1))</f>
        <v>42124</v>
      </c>
      <c r="AA134" s="128">
        <f ca="1">_xll.BDP($A134 &amp; " Corp",AA$1)/100</f>
        <v>2.5000000000000001E-2</v>
      </c>
      <c r="AB134" s="129">
        <f ca="1">_xll.BDP($A134 &amp; " Corp",AB$1)</f>
        <v>42892000000</v>
      </c>
      <c r="AC134" s="130" t="str">
        <f ca="1">IF(LEFT(B134,1)="B",_xll.INSTANCE.TBILL(A134,V134,Z134,TODAY()),_xll.INSTANCE.TNOTE(A134,V134,W134,X134,Y134,Z134,AA134,TODAY()))</f>
        <v>US912828MZ01#0028</v>
      </c>
    </row>
    <row r="135" spans="1:29" x14ac:dyDescent="0.2">
      <c r="A135" s="131" t="s">
        <v>907</v>
      </c>
      <c r="B135" s="115" t="str">
        <f ca="1">_xll.BDP($A135 &amp; " Govt",B$1)</f>
        <v>T 0 1/4 05/15/15</v>
      </c>
      <c r="C135" s="372"/>
      <c r="D135" s="116"/>
      <c r="E135" s="117"/>
      <c r="F135" s="118"/>
      <c r="G135" s="377"/>
      <c r="H135" s="120">
        <f ca="1">IF(E135="",_xll.BDP(A135 &amp; " Govt","YLD_YTM_ASK")/100,E135)</f>
        <v>4.0349169999999998E-3</v>
      </c>
      <c r="I135" s="121">
        <f ca="1">_xll.INSTRUMENT.PRIX(AC135,D135,H135,cTreasuries)</f>
        <v>99.563430258861487</v>
      </c>
      <c r="J135" s="122">
        <f ca="1">_xll.INSTRUMENT.DV01(A135,,,I135,cContinuous,I135)</f>
        <v>-2.846223778641669E-2</v>
      </c>
      <c r="K135" s="123">
        <f ca="1">_xll.INSTRUMENT.CONVEXITE(A135,,,I135,cContinuous,I135)</f>
        <v>8.183918983022588</v>
      </c>
      <c r="L135" s="123">
        <f ca="1">_xll.INSTRUMENT.Z.SPREAD(A135,swapCurve,I135,cContinuous,D135)</f>
        <v>-19.976376584212286</v>
      </c>
      <c r="M135" s="123">
        <f ca="1">_xll.INSTRUMENT.Z.SPREAD(A135,ustCurve,I135,cContinuous,D135)</f>
        <v>-1.9832071448196895</v>
      </c>
      <c r="N135" s="123">
        <f ca="1">_xll.INSTRUMENT.Z.SPREAD(A135,oisCurve,I135,cContinuous,D135)</f>
        <v>15.494490816593453</v>
      </c>
      <c r="O135" s="124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6.930674490097018E-3</v>
      </c>
      <c r="P135" s="124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6.0017587022976994E-3</v>
      </c>
      <c r="Q135" s="379">
        <f ca="1">-(O135-curve!$S$3)/J135</f>
        <v>0.18313764616998815</v>
      </c>
      <c r="R135" s="381">
        <f t="shared" ca="1" si="3"/>
        <v>-287.53603439179608</v>
      </c>
      <c r="S135" s="199" t="str">
        <f>IF(F135&lt;&gt;"","",IF(G135="","",-G135*(SUMIF('bench Comparison'!$A:$A,"RESINV1USD",'bench Comparison'!$G:$G)+SUMIF('bench Comparison'!$A:$A,"RESSWAPORUSD",'bench Comparison'!$G:$G))/(36500*J135)))</f>
        <v/>
      </c>
      <c r="T135" s="210" t="str">
        <f>IF(G135&lt;&gt;"","",IF(F135="","",-36500*J135*F135/(SUMIF('bench Comparison'!$A:$A,"RESINV1USD",'bench Comparison'!$G:$G)+SUMIF('bench Comparison'!$A:$A,"RESSWAPORUSD",'bench Comparison'!$G:$G))))</f>
        <v/>
      </c>
      <c r="U135" s="125">
        <f>SUMIF('bench Comparison'!$E:$E,A135,'bench Comparison'!$N:$N)</f>
        <v>0</v>
      </c>
      <c r="V135" s="126">
        <f ca="1">VALUE(_xll.BDP($A135 &amp; " Corp",V$1))</f>
        <v>41044</v>
      </c>
      <c r="W135" s="127">
        <f ca="1">VALUE(_xll.BDP($A135 &amp; " Corp",W$1))</f>
        <v>41044</v>
      </c>
      <c r="X135" s="127">
        <f ca="1">VALUE(_xll.BDP($A135 &amp; " Corp",X$1))</f>
        <v>41228</v>
      </c>
      <c r="Y135" s="127">
        <f ca="1">VALUE(_xll.BDP($A135 &amp; " Corp",Y$1))</f>
        <v>41958</v>
      </c>
      <c r="Z135" s="127">
        <f ca="1">VALUE(_xll.BDP($A135 &amp; " Corp",Z$1))</f>
        <v>42139</v>
      </c>
      <c r="AA135" s="128">
        <f ca="1">_xll.BDP($A135 &amp; " Corp",AA$1)/100</f>
        <v>2.5000000000000001E-3</v>
      </c>
      <c r="AB135" s="129">
        <f ca="1">_xll.BDP($A135 &amp; " Corp",AB$1)</f>
        <v>34002000000</v>
      </c>
      <c r="AC135" s="130" t="str">
        <f ca="1">IF(LEFT(B135,1)="B",_xll.INSTANCE.TBILL(A135,V135,Z135,TODAY()),_xll.INSTANCE.TNOTE(A135,V135,W135,X135,Y135,Z135,AA135,TODAY()))</f>
        <v>US912828SU59#0028</v>
      </c>
    </row>
    <row r="136" spans="1:29" x14ac:dyDescent="0.2">
      <c r="A136" s="131" t="s">
        <v>484</v>
      </c>
      <c r="B136" s="115" t="str">
        <f ca="1">_xll.BDP($A136 &amp; " Govt",B$1)</f>
        <v>T 4 1/8 05/15/15</v>
      </c>
      <c r="C136" s="372"/>
      <c r="D136" s="116"/>
      <c r="E136" s="117"/>
      <c r="F136" s="118"/>
      <c r="G136" s="377"/>
      <c r="H136" s="120">
        <f ca="1">IF(E136="",_xll.BDP(A136 &amp; " Govt","YLD_YTM_ASK")/100,E136)</f>
        <v>4.3092140000000004E-3</v>
      </c>
      <c r="I136" s="121">
        <f ca="1">_xll.INSTRUMENT.PRIX(AC136,D136,H136,cTreasuries)</f>
        <v>110.52443778382823</v>
      </c>
      <c r="J136" s="122">
        <f ca="1">_xll.INSTRUMENT.DV01(A136,,,I136,cContinuous,I136)</f>
        <v>-3.0306666468945087E-2</v>
      </c>
      <c r="K136" s="123">
        <f ca="1">_xll.INSTRUMENT.CONVEXITE(A136,,,I136,cContinuous,I136)</f>
        <v>7.6808322598810124</v>
      </c>
      <c r="L136" s="123">
        <f ca="1">_xll.INSTRUMENT.Z.SPREAD(A136,swapCurve,I136,cContinuous,D136)</f>
        <v>-16.904835988031074</v>
      </c>
      <c r="M136" s="123">
        <f ca="1">_xll.INSTRUMENT.Z.SPREAD(A136,ustCurve,I136,cContinuous,D136)</f>
        <v>0.89521056034345203</v>
      </c>
      <c r="N136" s="123">
        <f ca="1">_xll.INSTRUMENT.Z.SPREAD(A136,oisCurve,I136,cContinuous,D136)</f>
        <v>18.428264718945837</v>
      </c>
      <c r="O136" s="124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4.8475720115156223E-3</v>
      </c>
      <c r="P136" s="124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6.41735423623019E-3</v>
      </c>
      <c r="Q136" s="379">
        <f ca="1">-(O136-curve!$S$3)/J136</f>
        <v>0.10325796661140935</v>
      </c>
      <c r="R136" s="381">
        <f t="shared" ca="1" si="3"/>
        <v>-253.43705378324859</v>
      </c>
      <c r="S136" s="199" t="str">
        <f>IF(F136&lt;&gt;"","",IF(G136="","",-G136*(SUMIF('bench Comparison'!$A:$A,"RESINV1USD",'bench Comparison'!$G:$G)+SUMIF('bench Comparison'!$A:$A,"RESSWAPORUSD",'bench Comparison'!$G:$G))/(36500*J136)))</f>
        <v/>
      </c>
      <c r="T136" s="210" t="str">
        <f>IF(G136&lt;&gt;"","",IF(F136="","",-36500*J136*F136/(SUMIF('bench Comparison'!$A:$A,"RESINV1USD",'bench Comparison'!$G:$G)+SUMIF('bench Comparison'!$A:$A,"RESSWAPORUSD",'bench Comparison'!$G:$G))))</f>
        <v/>
      </c>
      <c r="U136" s="125">
        <f>SUMIF('bench Comparison'!$E:$E,A136,'bench Comparison'!$N:$N)</f>
        <v>0</v>
      </c>
      <c r="V136" s="126">
        <f ca="1">VALUE(_xll.BDP($A136 &amp; " Corp",V$1))</f>
        <v>38488</v>
      </c>
      <c r="W136" s="127">
        <f ca="1">VALUE(_xll.BDP($A136 &amp; " Corp",W$1))</f>
        <v>38487</v>
      </c>
      <c r="X136" s="127">
        <f ca="1">VALUE(_xll.BDP($A136 &amp; " Corp",X$1))</f>
        <v>38671</v>
      </c>
      <c r="Y136" s="127">
        <f ca="1">VALUE(_xll.BDP($A136 &amp; " Corp",Y$1))</f>
        <v>41958</v>
      </c>
      <c r="Z136" s="127">
        <f ca="1">VALUE(_xll.BDP($A136 &amp; " Corp",Z$1))</f>
        <v>42139</v>
      </c>
      <c r="AA136" s="128">
        <f ca="1">_xll.BDP($A136 &amp; " Corp",AA$1)/100</f>
        <v>4.1250000000000002E-2</v>
      </c>
      <c r="AB136" s="129">
        <f ca="1">_xll.BDP($A136 &amp; " Corp",AB$1)</f>
        <v>34472000000</v>
      </c>
      <c r="AC136" s="130" t="str">
        <f ca="1">IF(LEFT(B136,1)="B",_xll.INSTANCE.TBILL(A136,V136,Z136,TODAY()),_xll.INSTANCE.TNOTE(A136,V136,W136,X136,Y136,Z136,AA136,TODAY()))</f>
        <v>US912828DV97#0028</v>
      </c>
    </row>
    <row r="137" spans="1:29" x14ac:dyDescent="0.2">
      <c r="A137" s="131" t="s">
        <v>206</v>
      </c>
      <c r="B137" s="115" t="str">
        <f ca="1">_xll.BDP($A137 &amp; " Govt",B$1)</f>
        <v>T 2 1/8 05/31/15</v>
      </c>
      <c r="C137" s="372"/>
      <c r="D137" s="116"/>
      <c r="E137" s="117"/>
      <c r="F137" s="118"/>
      <c r="G137" s="377"/>
      <c r="H137" s="120">
        <f ca="1">IF(E137="",_xll.BDP(A137 &amp; " Govt","YLD_YTM_ASK")/100,E137)</f>
        <v>4.2810740000000002E-3</v>
      </c>
      <c r="I137" s="121">
        <f ca="1">_xll.INSTRUMENT.PRIX(AC137,D137,H137,cTreasuries)</f>
        <v>104.90691708277738</v>
      </c>
      <c r="J137" s="122">
        <f ca="1">_xll.INSTRUMENT.DV01(A137,,,I137,cContinuous,I137)</f>
        <v>-2.9828055112721092E-2</v>
      </c>
      <c r="K137" s="123">
        <f ca="1">_xll.INSTRUMENT.CONVEXITE(A137,,,I137,cContinuous,I137)</f>
        <v>8.1885342741321487</v>
      </c>
      <c r="L137" s="123">
        <f ca="1">_xll.INSTRUMENT.Z.SPREAD(A137,swapCurve,I137,cContinuous,D137)</f>
        <v>-17.848519444851714</v>
      </c>
      <c r="M137" s="123">
        <f ca="1">_xll.INSTRUMENT.Z.SPREAD(A137,ustCurve,I137,cContinuous,D137)</f>
        <v>-1.9913912358734222E-2</v>
      </c>
      <c r="N137" s="123">
        <f ca="1">_xll.INSTRUMENT.Z.SPREAD(A137,oisCurve,I137,cContinuous,D137)</f>
        <v>17.572642470091701</v>
      </c>
      <c r="O137" s="124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6.3414738075013438E-3</v>
      </c>
      <c r="P137" s="124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6.4588793817310815E-3</v>
      </c>
      <c r="Q137" s="379">
        <f ca="1">-(O137-curve!$S$3)/J137</f>
        <v>0.15499859219340859</v>
      </c>
      <c r="R137" s="381">
        <f t="shared" ca="1" si="3"/>
        <v>-274.52457906448939</v>
      </c>
      <c r="S137" s="199" t="str">
        <f>IF(F137&lt;&gt;"","",IF(G137="","",-G137*(SUMIF('bench Comparison'!$A:$A,"RESINV1USD",'bench Comparison'!$G:$G)+SUMIF('bench Comparison'!$A:$A,"RESSWAPORUSD",'bench Comparison'!$G:$G))/(36500*J137)))</f>
        <v/>
      </c>
      <c r="T137" s="210" t="str">
        <f>IF(G137&lt;&gt;"","",IF(F137="","",-36500*J137*F137/(SUMIF('bench Comparison'!$A:$A,"RESINV1USD",'bench Comparison'!$G:$G)+SUMIF('bench Comparison'!$A:$A,"RESSWAPORUSD",'bench Comparison'!$G:$G))))</f>
        <v/>
      </c>
      <c r="U137" s="125">
        <f>SUMIF('bench Comparison'!$E:$E,A137,'bench Comparison'!$N:$N)</f>
        <v>0</v>
      </c>
      <c r="V137" s="126">
        <f ca="1">VALUE(_xll.BDP($A137 &amp; " Corp",V$1))</f>
        <v>40330</v>
      </c>
      <c r="W137" s="127">
        <f ca="1">VALUE(_xll.BDP($A137 &amp; " Corp",W$1))</f>
        <v>40329</v>
      </c>
      <c r="X137" s="127">
        <f ca="1">VALUE(_xll.BDP($A137 &amp; " Corp",X$1))</f>
        <v>40512</v>
      </c>
      <c r="Y137" s="127">
        <f ca="1">VALUE(_xll.BDP($A137 &amp; " Corp",Y$1))</f>
        <v>41973</v>
      </c>
      <c r="Z137" s="127">
        <f ca="1">VALUE(_xll.BDP($A137 &amp; " Corp",Z$1))</f>
        <v>42155</v>
      </c>
      <c r="AA137" s="128">
        <f ca="1">_xll.BDP($A137 &amp; " Corp",AA$1)/100</f>
        <v>2.1250000000000002E-2</v>
      </c>
      <c r="AB137" s="129">
        <f ca="1">_xll.BDP($A137 &amp; " Corp",AB$1)</f>
        <v>40866000000</v>
      </c>
      <c r="AC137" s="130" t="str">
        <f ca="1">IF(LEFT(B137,1)="B",_xll.INSTANCE.TBILL(A137,V137,Z137,TODAY()),_xll.INSTANCE.TNOTE(A137,V137,W137,X137,Y137,Z137,AA137,TODAY()))</f>
        <v>US912828NF38#0028</v>
      </c>
    </row>
    <row r="138" spans="1:29" x14ac:dyDescent="0.2">
      <c r="A138" s="131" t="s">
        <v>208</v>
      </c>
      <c r="B138" s="115" t="str">
        <f ca="1">_xll.BDP($A138 &amp; " Govt",B$1)</f>
        <v>T 1 7/8 06/30/15</v>
      </c>
      <c r="C138" s="372"/>
      <c r="D138" s="116"/>
      <c r="E138" s="117"/>
      <c r="F138" s="118"/>
      <c r="G138" s="377"/>
      <c r="H138" s="120">
        <f ca="1">IF(E138="",_xll.BDP(A138 &amp; " Govt","YLD_YTM_ASK")/100,E138)</f>
        <v>4.3957990000000006E-3</v>
      </c>
      <c r="I138" s="121">
        <f ca="1">_xll.INSTRUMENT.PRIX(AC138,D138,H138,cTreasuries)</f>
        <v>104.26621502730528</v>
      </c>
      <c r="J138" s="122">
        <f ca="1">_xll.INSTRUMENT.DV01(A138,,,I138,cContinuous,I138)</f>
        <v>-3.0513312551334819E-2</v>
      </c>
      <c r="K138" s="123">
        <f ca="1">_xll.INSTRUMENT.CONVEXITE(A138,,,I138,cContinuous,I138)</f>
        <v>8.6808378906529349</v>
      </c>
      <c r="L138" s="123">
        <f ca="1">_xll.INSTRUMENT.Z.SPREAD(A138,swapCurve,I138,cContinuous,D138)</f>
        <v>-17.488165411919212</v>
      </c>
      <c r="M138" s="123">
        <f ca="1">_xll.INSTRUMENT.Z.SPREAD(A138,ustCurve,I138,cContinuous,D138)</f>
        <v>0.2411804502390201</v>
      </c>
      <c r="N138" s="123">
        <f ca="1">_xll.INSTRUMENT.Z.SPREAD(A138,oisCurve,I138,cContinuous,D138)</f>
        <v>17.922679935636452</v>
      </c>
      <c r="O138" s="124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6.9763922957491358E-3</v>
      </c>
      <c r="P138" s="124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6.9735171736821765E-3</v>
      </c>
      <c r="Q138" s="379">
        <f ca="1">-(O138-curve!$S$3)/J138</f>
        <v>0.17232560475827266</v>
      </c>
      <c r="R138" s="381">
        <f t="shared" ca="1" si="3"/>
        <v>-284.49346088034576</v>
      </c>
      <c r="S138" s="199" t="str">
        <f>IF(F138&lt;&gt;"","",IF(G138="","",-G138*(SUMIF('bench Comparison'!$A:$A,"RESINV1USD",'bench Comparison'!$G:$G)+SUMIF('bench Comparison'!$A:$A,"RESSWAPORUSD",'bench Comparison'!$G:$G))/(36500*J138)))</f>
        <v/>
      </c>
      <c r="T138" s="210" t="str">
        <f>IF(G138&lt;&gt;"","",IF(F138="","",-36500*J138*F138/(SUMIF('bench Comparison'!$A:$A,"RESINV1USD",'bench Comparison'!$G:$G)+SUMIF('bench Comparison'!$A:$A,"RESSWAPORUSD",'bench Comparison'!$G:$G))))</f>
        <v/>
      </c>
      <c r="U138" s="125">
        <f>SUMIF('bench Comparison'!$E:$E,A138,'bench Comparison'!$N:$N)</f>
        <v>0</v>
      </c>
      <c r="V138" s="126">
        <f ca="1">VALUE(_xll.BDP($A138 &amp; " Corp",V$1))</f>
        <v>40359</v>
      </c>
      <c r="W138" s="127">
        <f ca="1">VALUE(_xll.BDP($A138 &amp; " Corp",W$1))</f>
        <v>40359</v>
      </c>
      <c r="X138" s="127">
        <f ca="1">VALUE(_xll.BDP($A138 &amp; " Corp",X$1))</f>
        <v>40543</v>
      </c>
      <c r="Y138" s="127">
        <f ca="1">VALUE(_xll.BDP($A138 &amp; " Corp",Y$1))</f>
        <v>42004</v>
      </c>
      <c r="Z138" s="127">
        <f ca="1">VALUE(_xll.BDP($A138 &amp; " Corp",Z$1))</f>
        <v>42185</v>
      </c>
      <c r="AA138" s="128">
        <f ca="1">_xll.BDP($A138 &amp; " Corp",AA$1)/100</f>
        <v>1.8749999999999999E-2</v>
      </c>
      <c r="AB138" s="129">
        <f ca="1">_xll.BDP($A138 &amp; " Corp",AB$1)</f>
        <v>39132000000</v>
      </c>
      <c r="AC138" s="130" t="str">
        <f ca="1">IF(LEFT(B138,1)="B",_xll.INSTANCE.TBILL(A138,V138,Z138,TODAY()),_xll.INSTANCE.TNOTE(A138,V138,W138,X138,Y138,Z138,AA138,TODAY()))</f>
        <v>US912828NL06#0027</v>
      </c>
    </row>
    <row r="139" spans="1:29" x14ac:dyDescent="0.2">
      <c r="A139" s="131" t="s">
        <v>210</v>
      </c>
      <c r="B139" s="115" t="str">
        <f ca="1">_xll.BDP($A139 &amp; " Govt",B$1)</f>
        <v>T 1 3/4 07/31/15</v>
      </c>
      <c r="C139" s="372"/>
      <c r="D139" s="116"/>
      <c r="E139" s="117"/>
      <c r="F139" s="118"/>
      <c r="G139" s="377"/>
      <c r="H139" s="120">
        <f ca="1">IF(E139="",_xll.BDP(A139 &amp; " Govt","YLD_YTM_ASK")/100,E139)</f>
        <v>4.5084460000000002E-3</v>
      </c>
      <c r="I139" s="121">
        <f ca="1">_xll.INSTRUMENT.PRIX(AC139,D139,H139,cTreasuries)</f>
        <v>103.96940432346452</v>
      </c>
      <c r="J139" s="122">
        <f ca="1">_xll.INSTRUMENT.DV01(A139,,,I139,cContinuous,I139)</f>
        <v>-3.1315669782302241E-2</v>
      </c>
      <c r="K139" s="123">
        <f ca="1">_xll.INSTRUMENT.CONVEXITE(A139,,,I139,cContinuous,I139)</f>
        <v>9.1267377868506099</v>
      </c>
      <c r="L139" s="123">
        <f ca="1">_xll.INSTRUMENT.Z.SPREAD(A139,swapCurve,I139,cContinuous,D139)</f>
        <v>-17.274369898883116</v>
      </c>
      <c r="M139" s="123">
        <f ca="1">_xll.INSTRUMENT.Z.SPREAD(A139,ustCurve,I139,cContinuous,D139)</f>
        <v>0.35833289689938119</v>
      </c>
      <c r="N139" s="123">
        <f ca="1">_xll.INSTRUMENT.Z.SPREAD(A139,oisCurve,I139,cContinuous,D139)</f>
        <v>18.055695864144489</v>
      </c>
      <c r="O139" s="124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7.5521673690715496E-3</v>
      </c>
      <c r="P139" s="124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7.4523958396350365E-3</v>
      </c>
      <c r="Q139" s="379">
        <f ca="1">-(O139-curve!$S$3)/J139</f>
        <v>0.18629651393266411</v>
      </c>
      <c r="R139" s="381">
        <f t="shared" ca="1" si="3"/>
        <v>-291.44316089348024</v>
      </c>
      <c r="S139" s="199" t="str">
        <f>IF(F139&lt;&gt;"","",IF(G139="","",-G139*(SUMIF('bench Comparison'!$A:$A,"RESINV1USD",'bench Comparison'!$G:$G)+SUMIF('bench Comparison'!$A:$A,"RESSWAPORUSD",'bench Comparison'!$G:$G))/(36500*J139)))</f>
        <v/>
      </c>
      <c r="T139" s="210" t="str">
        <f>IF(G139&lt;&gt;"","",IF(F139="","",-36500*J139*F139/(SUMIF('bench Comparison'!$A:$A,"RESINV1USD",'bench Comparison'!$G:$G)+SUMIF('bench Comparison'!$A:$A,"RESSWAPORUSD",'bench Comparison'!$G:$G))))</f>
        <v/>
      </c>
      <c r="U139" s="125">
        <f>SUMIF('bench Comparison'!$E:$E,A139,'bench Comparison'!$N:$N)</f>
        <v>0</v>
      </c>
      <c r="V139" s="126">
        <f ca="1">VALUE(_xll.BDP($A139 &amp; " Corp",V$1))</f>
        <v>40392</v>
      </c>
      <c r="W139" s="127">
        <f ca="1">VALUE(_xll.BDP($A139 &amp; " Corp",W$1))</f>
        <v>40390</v>
      </c>
      <c r="X139" s="127">
        <f ca="1">VALUE(_xll.BDP($A139 &amp; " Corp",X$1))</f>
        <v>40574</v>
      </c>
      <c r="Y139" s="127">
        <f ca="1">VALUE(_xll.BDP($A139 &amp; " Corp",Y$1))</f>
        <v>42035</v>
      </c>
      <c r="Z139" s="127">
        <f ca="1">VALUE(_xll.BDP($A139 &amp; " Corp",Z$1))</f>
        <v>42216</v>
      </c>
      <c r="AA139" s="128">
        <f ca="1">_xll.BDP($A139 &amp; " Corp",AA$1)/100</f>
        <v>1.7500000000000002E-2</v>
      </c>
      <c r="AB139" s="129">
        <f ca="1">_xll.BDP($A139 &amp; " Corp",AB$1)</f>
        <v>38214000000</v>
      </c>
      <c r="AC139" s="130" t="str">
        <f ca="1">IF(LEFT(B139,1)="B",_xll.INSTANCE.TBILL(A139,V139,Z139,TODAY()),_xll.INSTANCE.TNOTE(A139,V139,W139,X139,Y139,Z139,AA139,TODAY()))</f>
        <v>US912828NP10#0028</v>
      </c>
    </row>
    <row r="140" spans="1:29" x14ac:dyDescent="0.2">
      <c r="A140" s="131" t="s">
        <v>486</v>
      </c>
      <c r="B140" s="115" t="str">
        <f ca="1">_xll.BDP($A140 &amp; " Govt",B$1)</f>
        <v>T 4 1/4 08/15/15</v>
      </c>
      <c r="C140" s="372"/>
      <c r="D140" s="116"/>
      <c r="E140" s="117"/>
      <c r="F140" s="118"/>
      <c r="G140" s="377"/>
      <c r="H140" s="120">
        <f ca="1">IF(E140="",_xll.BDP(A140 &amp; " Govt","YLD_YTM_ASK")/100,E140)</f>
        <v>4.5861640000000002E-3</v>
      </c>
      <c r="I140" s="121">
        <f ca="1">_xll.INSTRUMENT.PRIX(AC140,D140,H140,cTreasuries)</f>
        <v>111.73506779164565</v>
      </c>
      <c r="J140" s="122">
        <f ca="1">_xll.INSTRUMENT.DV01(A140,,,I140,cContinuous,I140)</f>
        <v>-3.3194028997627675E-2</v>
      </c>
      <c r="K140" s="123">
        <f ca="1">_xll.INSTRUMENT.CONVEXITE(A140,,,I140,cContinuous,I140)</f>
        <v>8.9639069254630801</v>
      </c>
      <c r="L140" s="123">
        <f ca="1">_xll.INSTRUMENT.Z.SPREAD(A140,swapCurve,I140,cContinuous,D140)</f>
        <v>-16.80850141322647</v>
      </c>
      <c r="M140" s="123">
        <f ca="1">_xll.INSTRUMENT.Z.SPREAD(A140,ustCurve,I140,cContinuous,D140)</f>
        <v>0.67134904520378791</v>
      </c>
      <c r="N140" s="123">
        <f ca="1">_xll.INSTRUMENT.Z.SPREAD(A140,oisCurve,I140,cContinuous,D140)</f>
        <v>18.375385288250417</v>
      </c>
      <c r="O140" s="124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6.65796056734315E-3</v>
      </c>
      <c r="P140" s="124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7.7681198726849334E-3</v>
      </c>
      <c r="Q140" s="379">
        <f ca="1">-(O140-curve!$S$3)/J140</f>
        <v>0.14881571955408057</v>
      </c>
      <c r="R140" s="381">
        <f t="shared" ca="1" si="3"/>
        <v>-270.04576413739096</v>
      </c>
      <c r="S140" s="199" t="str">
        <f>IF(F140&lt;&gt;"","",IF(G140="","",-G140*(SUMIF('bench Comparison'!$A:$A,"RESINV1USD",'bench Comparison'!$G:$G)+SUMIF('bench Comparison'!$A:$A,"RESSWAPORUSD",'bench Comparison'!$G:$G))/(36500*J140)))</f>
        <v/>
      </c>
      <c r="T140" s="210" t="str">
        <f>IF(G140&lt;&gt;"","",IF(F140="","",-36500*J140*F140/(SUMIF('bench Comparison'!$A:$A,"RESINV1USD",'bench Comparison'!$G:$G)+SUMIF('bench Comparison'!$A:$A,"RESSWAPORUSD",'bench Comparison'!$G:$G))))</f>
        <v/>
      </c>
      <c r="U140" s="125">
        <f>SUMIF('bench Comparison'!$E:$E,A140,'bench Comparison'!$N:$N)</f>
        <v>0</v>
      </c>
      <c r="V140" s="126">
        <f ca="1">VALUE(_xll.BDP($A140 &amp; " Corp",V$1))</f>
        <v>38579</v>
      </c>
      <c r="W140" s="127">
        <f ca="1">VALUE(_xll.BDP($A140 &amp; " Corp",W$1))</f>
        <v>38579</v>
      </c>
      <c r="X140" s="127">
        <f ca="1">VALUE(_xll.BDP($A140 &amp; " Corp",X$1))</f>
        <v>38763</v>
      </c>
      <c r="Y140" s="127">
        <f ca="1">VALUE(_xll.BDP($A140 &amp; " Corp",Y$1))</f>
        <v>42050</v>
      </c>
      <c r="Z140" s="127">
        <f ca="1">VALUE(_xll.BDP($A140 &amp; " Corp",Z$1))</f>
        <v>42231</v>
      </c>
      <c r="AA140" s="128">
        <f ca="1">_xll.BDP($A140 &amp; " Corp",AA$1)/100</f>
        <v>4.2500000000000003E-2</v>
      </c>
      <c r="AB140" s="129">
        <f ca="1">_xll.BDP($A140 &amp; " Corp",AB$1)</f>
        <v>32470000000</v>
      </c>
      <c r="AC140" s="130" t="str">
        <f ca="1">IF(LEFT(B140,1)="B",_xll.INSTANCE.TBILL(A140,V140,Z140,TODAY()),_xll.INSTANCE.TNOTE(A140,V140,W140,X140,Y140,Z140,AA140,TODAY()))</f>
        <v>US912828EE63#0028</v>
      </c>
    </row>
    <row r="141" spans="1:29" x14ac:dyDescent="0.2">
      <c r="A141" s="131" t="s">
        <v>485</v>
      </c>
      <c r="B141" s="115" t="str">
        <f ca="1">_xll.BDP($A141 &amp; " Govt",B$1)</f>
        <v>T 10 5/8 08/15/15</v>
      </c>
      <c r="C141" s="372"/>
      <c r="D141" s="116"/>
      <c r="E141" s="117"/>
      <c r="F141" s="118"/>
      <c r="G141" s="377"/>
      <c r="H141" s="120">
        <f ca="1">IF(E141="",_xll.BDP(A141 &amp; " Govt","YLD_YTM_ASK")/100,E141)</f>
        <v>4.3419560000000001E-3</v>
      </c>
      <c r="I141" s="121">
        <f ca="1">_xll.INSTRUMENT.PRIX(AC141,D141,H141,cTreasuries)</f>
        <v>131.55531708231121</v>
      </c>
      <c r="J141" s="122">
        <f ca="1">_xll.INSTRUMENT.DV01(A141,,,I141,cContinuous,I141)</f>
        <v>-3.680693395772551E-2</v>
      </c>
      <c r="K141" s="123">
        <f ca="1">_xll.INSTRUMENT.CONVEXITE(A141,,,I141,cContinuous,I141)</f>
        <v>8.0919458408644704</v>
      </c>
      <c r="L141" s="123">
        <f ca="1">_xll.INSTRUMENT.Z.SPREAD(A141,swapCurve,I141,cContinuous,D141)</f>
        <v>-18.594883981196208</v>
      </c>
      <c r="M141" s="123">
        <f ca="1">_xll.INSTRUMENT.Z.SPREAD(A141,ustCurve,I141,cContinuous,D141)</f>
        <v>-1.3696089093949848</v>
      </c>
      <c r="N141" s="123">
        <f ca="1">_xll.INSTRUMENT.Z.SPREAD(A141,oisCurve,I141,cContinuous,D141)</f>
        <v>16.397047738650183</v>
      </c>
      <c r="O141" s="124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2.7454483543758439E-3</v>
      </c>
      <c r="P141" s="124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7.2911844890138989E-3</v>
      </c>
      <c r="Q141" s="379">
        <f ca="1">-(O141-curve!$S$3)/J141</f>
        <v>2.7909988329741155E-2</v>
      </c>
      <c r="R141" s="381">
        <f t="shared" ca="1" si="3"/>
        <v>-219.84840818739343</v>
      </c>
      <c r="S141" s="199" t="str">
        <f>IF(F141&lt;&gt;"","",IF(G141="","",-G141*(SUMIF('bench Comparison'!$A:$A,"RESINV1USD",'bench Comparison'!$G:$G)+SUMIF('bench Comparison'!$A:$A,"RESSWAPORUSD",'bench Comparison'!$G:$G))/(36500*J141)))</f>
        <v/>
      </c>
      <c r="T141" s="210" t="str">
        <f>IF(G141&lt;&gt;"","",IF(F141="","",-36500*J141*F141/(SUMIF('bench Comparison'!$A:$A,"RESINV1USD",'bench Comparison'!$G:$G)+SUMIF('bench Comparison'!$A:$A,"RESSWAPORUSD",'bench Comparison'!$G:$G))))</f>
        <v/>
      </c>
      <c r="U141" s="125">
        <f>SUMIF('bench Comparison'!$E:$E,A141,'bench Comparison'!$N:$N)</f>
        <v>0</v>
      </c>
      <c r="V141" s="126">
        <f ca="1">VALUE(_xll.BDP($A141 &amp; " Corp",V$1))</f>
        <v>31274</v>
      </c>
      <c r="W141" s="127">
        <f ca="1">VALUE(_xll.BDP($A141 &amp; " Corp",W$1))</f>
        <v>31274</v>
      </c>
      <c r="X141" s="127">
        <f ca="1">VALUE(_xll.BDP($A141 &amp; " Corp",X$1))</f>
        <v>31458</v>
      </c>
      <c r="Y141" s="127">
        <f ca="1">VALUE(_xll.BDP($A141 &amp; " Corp",Y$1))</f>
        <v>42050</v>
      </c>
      <c r="Z141" s="127">
        <f ca="1">VALUE(_xll.BDP($A141 &amp; " Corp",Z$1))</f>
        <v>42231</v>
      </c>
      <c r="AA141" s="128">
        <f ca="1">_xll.BDP($A141 &amp; " Corp",AA$1)/100</f>
        <v>0.10625</v>
      </c>
      <c r="AB141" s="129">
        <f ca="1">_xll.BDP($A141 &amp; " Corp",AB$1)</f>
        <v>4024000000</v>
      </c>
      <c r="AC141" s="130" t="str">
        <f ca="1">IF(LEFT(B141,1)="B",_xll.INSTANCE.TBILL(A141,V141,Z141,TODAY()),_xll.INSTANCE.TNOTE(A141,V141,W141,X141,Y141,Z141,AA141,TODAY()))</f>
        <v>US912810DS43#0028</v>
      </c>
    </row>
    <row r="142" spans="1:29" x14ac:dyDescent="0.2">
      <c r="A142" s="131" t="s">
        <v>212</v>
      </c>
      <c r="B142" s="115" t="str">
        <f ca="1">_xll.BDP($A142 &amp; " Govt",B$1)</f>
        <v>T 1 1/4 08/31/15</v>
      </c>
      <c r="C142" s="372"/>
      <c r="D142" s="116"/>
      <c r="E142" s="117"/>
      <c r="F142" s="118"/>
      <c r="G142" s="377"/>
      <c r="H142" s="120">
        <f ca="1">IF(E142="",_xll.BDP(A142 &amp; " Govt","YLD_YTM_ASK")/100,E142)</f>
        <v>4.5300169999999999E-3</v>
      </c>
      <c r="I142" s="121">
        <f ca="1">_xll.INSTRUMENT.PRIX(AC142,D142,H142,cTreasuries)</f>
        <v>102.49998089238629</v>
      </c>
      <c r="J142" s="122">
        <f ca="1">_xll.INSTRUMENT.DV01(A142,,,I142,cContinuous,I142)</f>
        <v>-3.1901240572583721E-2</v>
      </c>
      <c r="K142" s="123">
        <f ca="1">_xll.INSTRUMENT.CONVEXITE(A142,,,I142,cContinuous,I142)</f>
        <v>9.7409860412106255</v>
      </c>
      <c r="L142" s="123">
        <f ca="1">_xll.INSTRUMENT.Z.SPREAD(A142,swapCurve,I142,cContinuous,D142)</f>
        <v>-18.097657337028686</v>
      </c>
      <c r="M142" s="123">
        <f ca="1">_xll.INSTRUMENT.Z.SPREAD(A142,ustCurve,I142,cContinuous,D142)</f>
        <v>-0.49736087615069136</v>
      </c>
      <c r="N142" s="123">
        <f ca="1">_xll.INSTRUMENT.Z.SPREAD(A142,oisCurve,I142,cContinuous,D142)</f>
        <v>17.14251691302421</v>
      </c>
      <c r="O142" s="124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8.6192312416117824E-3</v>
      </c>
      <c r="P142" s="124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7.9099813510277537E-3</v>
      </c>
      <c r="Q142" s="379">
        <f ca="1">-(O142-curve!$S$3)/J142</f>
        <v>0.21632588139473366</v>
      </c>
      <c r="R142" s="381">
        <f t="shared" ca="1" si="3"/>
        <v>-305.34818917299839</v>
      </c>
      <c r="S142" s="199" t="str">
        <f>IF(F142&lt;&gt;"","",IF(G142="","",-G142*(SUMIF('bench Comparison'!$A:$A,"RESINV1USD",'bench Comparison'!$G:$G)+SUMIF('bench Comparison'!$A:$A,"RESSWAPORUSD",'bench Comparison'!$G:$G))/(36500*J142)))</f>
        <v/>
      </c>
      <c r="T142" s="210" t="str">
        <f>IF(G142&lt;&gt;"","",IF(F142="","",-36500*J142*F142/(SUMIF('bench Comparison'!$A:$A,"RESINV1USD",'bench Comparison'!$G:$G)+SUMIF('bench Comparison'!$A:$A,"RESSWAPORUSD",'bench Comparison'!$G:$G))))</f>
        <v/>
      </c>
      <c r="U142" s="125">
        <f>SUMIF('bench Comparison'!$E:$E,A142,'bench Comparison'!$N:$N)</f>
        <v>0</v>
      </c>
      <c r="V142" s="126">
        <f ca="1">VALUE(_xll.BDP($A142 &amp; " Corp",V$1))</f>
        <v>40421</v>
      </c>
      <c r="W142" s="127">
        <f ca="1">VALUE(_xll.BDP($A142 &amp; " Corp",W$1))</f>
        <v>40421</v>
      </c>
      <c r="X142" s="127">
        <f ca="1">VALUE(_xll.BDP($A142 &amp; " Corp",X$1))</f>
        <v>40602</v>
      </c>
      <c r="Y142" s="127">
        <f ca="1">VALUE(_xll.BDP($A142 &amp; " Corp",Y$1))</f>
        <v>42063</v>
      </c>
      <c r="Z142" s="127">
        <f ca="1">VALUE(_xll.BDP($A142 &amp; " Corp",Z$1))</f>
        <v>42247</v>
      </c>
      <c r="AA142" s="128">
        <f ca="1">_xll.BDP($A142 &amp; " Corp",AA$1)/100</f>
        <v>1.2500000000000001E-2</v>
      </c>
      <c r="AB142" s="129">
        <f ca="1">_xll.BDP($A142 &amp; " Corp",AB$1)</f>
        <v>36881000000</v>
      </c>
      <c r="AC142" s="130" t="str">
        <f ca="1">IF(LEFT(B142,1)="B",_xll.INSTANCE.TBILL(A142,V142,Z142,TODAY()),_xll.INSTANCE.TNOTE(A142,V142,W142,X142,Y142,Z142,AA142,TODAY()))</f>
        <v>US912828NV87#0028</v>
      </c>
    </row>
    <row r="143" spans="1:29" x14ac:dyDescent="0.2">
      <c r="A143" s="131" t="s">
        <v>214</v>
      </c>
      <c r="B143" s="115" t="str">
        <f ca="1">_xll.BDP($A143 &amp; " Govt",B$1)</f>
        <v>T 1 1/4 09/30/15</v>
      </c>
      <c r="C143" s="372"/>
      <c r="D143" s="116"/>
      <c r="E143" s="117"/>
      <c r="F143" s="118"/>
      <c r="G143" s="377"/>
      <c r="H143" s="120">
        <f ca="1">IF(E143="",_xll.BDP(A143 &amp; " Govt","YLD_YTM_ASK")/100,E143)</f>
        <v>4.7769099999999997E-3</v>
      </c>
      <c r="I143" s="121">
        <f ca="1">_xll.INSTRUMENT.PRIX(AC143,D143,H143,cTreasuries)</f>
        <v>102.48465069105758</v>
      </c>
      <c r="J143" s="122">
        <f ca="1">_xll.INSTRUMENT.DV01(A143,,,I143,cContinuous,I143)</f>
        <v>-3.2708645260654284E-2</v>
      </c>
      <c r="K143" s="123">
        <f ca="1">_xll.INSTRUMENT.CONVEXITE(A143,,,I143,cContinuous,I143)</f>
        <v>10.256880400929459</v>
      </c>
      <c r="L143" s="123">
        <f ca="1">_xll.INSTRUMENT.Z.SPREAD(A143,swapCurve,I143,cContinuous,D143)</f>
        <v>-16.678039850218273</v>
      </c>
      <c r="M143" s="123">
        <f ca="1">_xll.INSTRUMENT.Z.SPREAD(A143,ustCurve,I143,cContinuous,D143)</f>
        <v>0.93350573444943863</v>
      </c>
      <c r="N143" s="123">
        <f ca="1">_xll.INSTRUMENT.Z.SPREAD(A143,oisCurve,I143,cContinuous,D143)</f>
        <v>18.470294931598804</v>
      </c>
      <c r="O143" s="124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9.2794984669315912E-3</v>
      </c>
      <c r="P143" s="124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8.5852008489214239E-3</v>
      </c>
      <c r="Q143" s="379">
        <f ca="1">-(O143-curve!$S$3)/J143</f>
        <v>0.23117225276416623</v>
      </c>
      <c r="R143" s="381">
        <f t="shared" ca="1" si="3"/>
        <v>-313.58316185805512</v>
      </c>
      <c r="S143" s="199" t="str">
        <f>IF(F143&lt;&gt;"","",IF(G143="","",-G143*(SUMIF('bench Comparison'!$A:$A,"RESINV1USD",'bench Comparison'!$G:$G)+SUMIF('bench Comparison'!$A:$A,"RESSWAPORUSD",'bench Comparison'!$G:$G))/(36500*J143)))</f>
        <v/>
      </c>
      <c r="T143" s="210" t="str">
        <f>IF(G143&lt;&gt;"","",IF(F143="","",-36500*J143*F143/(SUMIF('bench Comparison'!$A:$A,"RESINV1USD",'bench Comparison'!$G:$G)+SUMIF('bench Comparison'!$A:$A,"RESSWAPORUSD",'bench Comparison'!$G:$G))))</f>
        <v/>
      </c>
      <c r="U143" s="125">
        <f>SUMIF('bench Comparison'!$E:$E,A143,'bench Comparison'!$N:$N)</f>
        <v>0</v>
      </c>
      <c r="V143" s="126">
        <f ca="1">VALUE(_xll.BDP($A143 &amp; " Corp",V$1))</f>
        <v>40451</v>
      </c>
      <c r="W143" s="127">
        <f ca="1">VALUE(_xll.BDP($A143 &amp; " Corp",W$1))</f>
        <v>40451</v>
      </c>
      <c r="X143" s="127">
        <f ca="1">VALUE(_xll.BDP($A143 &amp; " Corp",X$1))</f>
        <v>40633</v>
      </c>
      <c r="Y143" s="127">
        <f ca="1">VALUE(_xll.BDP($A143 &amp; " Corp",Y$1))</f>
        <v>42094</v>
      </c>
      <c r="Z143" s="127">
        <f ca="1">VALUE(_xll.BDP($A143 &amp; " Corp",Z$1))</f>
        <v>42277</v>
      </c>
      <c r="AA143" s="128">
        <f ca="1">_xll.BDP($A143 &amp; " Corp",AA$1)/100</f>
        <v>1.2500000000000001E-2</v>
      </c>
      <c r="AB143" s="129">
        <f ca="1">_xll.BDP($A143 &amp; " Corp",AB$1)</f>
        <v>36103000000</v>
      </c>
      <c r="AC143" s="130" t="str">
        <f ca="1">IF(LEFT(B143,1)="B",_xll.INSTANCE.TBILL(A143,V143,Z143,TODAY()),_xll.INSTANCE.TNOTE(A143,V143,W143,X143,Y143,Z143,AA143,TODAY()))</f>
        <v>US912828NZ91#0027</v>
      </c>
    </row>
    <row r="144" spans="1:29" x14ac:dyDescent="0.2">
      <c r="A144" s="131" t="s">
        <v>216</v>
      </c>
      <c r="B144" s="115" t="str">
        <f ca="1">_xll.BDP($A144 &amp; " Govt",B$1)</f>
        <v>T 1 1/4 10/31/15</v>
      </c>
      <c r="C144" s="372"/>
      <c r="D144" s="116"/>
      <c r="E144" s="117"/>
      <c r="F144" s="118"/>
      <c r="G144" s="377"/>
      <c r="H144" s="120">
        <f ca="1">IF(E144="",_xll.BDP(A144 &amp; " Govt","YLD_YTM_ASK")/100,E144)</f>
        <v>4.8950440000000003E-3</v>
      </c>
      <c r="I144" s="121">
        <f ca="1">_xll.INSTRUMENT.PRIX(AC144,D144,H144,cTreasuries)</f>
        <v>102.50710265377292</v>
      </c>
      <c r="J144" s="122">
        <f ca="1">_xll.INSTRUMENT.DV01(A144,,,I144,cContinuous,I144)</f>
        <v>-3.3608446078907804E-2</v>
      </c>
      <c r="K144" s="123">
        <f ca="1">_xll.INSTRUMENT.CONVEXITE(A144,,,I144,cContinuous,I144)</f>
        <v>10.83945675045711</v>
      </c>
      <c r="L144" s="123">
        <f ca="1">_xll.INSTRUMENT.Z.SPREAD(A144,swapCurve,I144,cContinuous,D144)</f>
        <v>-16.832560339478018</v>
      </c>
      <c r="M144" s="123">
        <f ca="1">_xll.INSTRUMENT.Z.SPREAD(A144,ustCurve,I144,cContinuous,D144)</f>
        <v>0.8630795645068452</v>
      </c>
      <c r="N144" s="123">
        <f ca="1">_xll.INSTRUMENT.Z.SPREAD(A144,oisCurve,I144,cContinuous,D144)</f>
        <v>18.238578244281374</v>
      </c>
      <c r="O144" s="124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1.0608365848366511E-2</v>
      </c>
      <c r="P144" s="124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9.3782662094130057E-3</v>
      </c>
      <c r="Q144" s="379">
        <f ca="1">-(O144-curve!$S$3)/J144</f>
        <v>0.26452275033280115</v>
      </c>
      <c r="R144" s="381">
        <f t="shared" ca="1" si="3"/>
        <v>-322.52180672107312</v>
      </c>
      <c r="S144" s="199" t="str">
        <f>IF(F144&lt;&gt;"","",IF(G144="","",-G144*(SUMIF('bench Comparison'!$A:$A,"RESINV1USD",'bench Comparison'!$G:$G)+SUMIF('bench Comparison'!$A:$A,"RESSWAPORUSD",'bench Comparison'!$G:$G))/(36500*J144)))</f>
        <v/>
      </c>
      <c r="T144" s="210" t="str">
        <f>IF(G144&lt;&gt;"","",IF(F144="","",-36500*J144*F144/(SUMIF('bench Comparison'!$A:$A,"RESINV1USD",'bench Comparison'!$G:$G)+SUMIF('bench Comparison'!$A:$A,"RESSWAPORUSD",'bench Comparison'!$G:$G))))</f>
        <v/>
      </c>
      <c r="U144" s="125">
        <f>SUMIF('bench Comparison'!$E:$E,A144,'bench Comparison'!$N:$N)</f>
        <v>0</v>
      </c>
      <c r="V144" s="126">
        <f ca="1">VALUE(_xll.BDP($A144 &amp; " Corp",V$1))</f>
        <v>40483</v>
      </c>
      <c r="W144" s="127">
        <f ca="1">VALUE(_xll.BDP($A144 &amp; " Corp",W$1))</f>
        <v>40482</v>
      </c>
      <c r="X144" s="127">
        <f ca="1">VALUE(_xll.BDP($A144 &amp; " Corp",X$1))</f>
        <v>40663</v>
      </c>
      <c r="Y144" s="127">
        <f ca="1">VALUE(_xll.BDP($A144 &amp; " Corp",Y$1))</f>
        <v>42124</v>
      </c>
      <c r="Z144" s="127">
        <f ca="1">VALUE(_xll.BDP($A144 &amp; " Corp",Z$1))</f>
        <v>42308</v>
      </c>
      <c r="AA144" s="128">
        <f ca="1">_xll.BDP($A144 &amp; " Corp",AA$1)/100</f>
        <v>1.2500000000000001E-2</v>
      </c>
      <c r="AB144" s="129">
        <f ca="1">_xll.BDP($A144 &amp; " Corp",AB$1)</f>
        <v>35718000000</v>
      </c>
      <c r="AC144" s="130" t="str">
        <f ca="1">IF(LEFT(B144,1)="B",_xll.INSTANCE.TBILL(A144,V144,Z144,TODAY()),_xll.INSTANCE.TNOTE(A144,V144,W144,X144,Y144,Z144,AA144,TODAY()))</f>
        <v>US912828PE45#0028</v>
      </c>
    </row>
    <row r="145" spans="1:29" x14ac:dyDescent="0.2">
      <c r="A145" s="131" t="s">
        <v>488</v>
      </c>
      <c r="B145" s="115" t="str">
        <f ca="1">_xll.BDP($A145 &amp; " Govt",B$1)</f>
        <v>T 9 7/8 11/15/15</v>
      </c>
      <c r="C145" s="372"/>
      <c r="D145" s="116"/>
      <c r="E145" s="117"/>
      <c r="F145" s="118"/>
      <c r="G145" s="377"/>
      <c r="H145" s="120">
        <f ca="1">IF(E145="",_xll.BDP(A145 &amp; " Govt","YLD_YTM_ASK")/100,E145)</f>
        <v>4.7126410000000001E-3</v>
      </c>
      <c r="I145" s="121">
        <f ca="1">_xll.INSTRUMENT.PRIX(AC145,D145,H145,cTreasuries)</f>
        <v>131.39759357401815</v>
      </c>
      <c r="J145" s="122">
        <f ca="1">_xll.INSTRUMENT.DV01(A145,,,I145,cContinuous,I145)</f>
        <v>-3.9601322882001633E-2</v>
      </c>
      <c r="K145" s="123">
        <f ca="1">_xll.INSTRUMENT.CONVEXITE(A145,,,I145,cContinuous,I145)</f>
        <v>9.6020769286256034</v>
      </c>
      <c r="L145" s="123">
        <f ca="1">_xll.INSTRUMENT.Z.SPREAD(A145,swapCurve,I145,cContinuous,D145)</f>
        <v>-17.983731415615729</v>
      </c>
      <c r="M145" s="123">
        <f ca="1">_xll.INSTRUMENT.Z.SPREAD(A145,ustCurve,I145,cContinuous,D145)</f>
        <v>-0.54078458756447301</v>
      </c>
      <c r="N145" s="123">
        <f ca="1">_xll.INSTRUMENT.Z.SPREAD(A145,oisCurve,I145,cContinuous,D145)</f>
        <v>16.8726444533362</v>
      </c>
      <c r="O145" s="124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5.3190429992754024E-3</v>
      </c>
      <c r="P145" s="124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9.009257703299552E-3</v>
      </c>
      <c r="Q145" s="379">
        <f ca="1">-(O145-curve!$S$3)/J145</f>
        <v>9.0928168052431133E-2</v>
      </c>
      <c r="R145" s="381">
        <f t="shared" ca="1" si="3"/>
        <v>-242.46859018413352</v>
      </c>
      <c r="S145" s="199" t="str">
        <f>IF(F145&lt;&gt;"","",IF(G145="","",-G145*(SUMIF('bench Comparison'!$A:$A,"RESINV1USD",'bench Comparison'!$G:$G)+SUMIF('bench Comparison'!$A:$A,"RESSWAPORUSD",'bench Comparison'!$G:$G))/(36500*J145)))</f>
        <v/>
      </c>
      <c r="T145" s="210" t="str">
        <f>IF(G145&lt;&gt;"","",IF(F145="","",-36500*J145*F145/(SUMIF('bench Comparison'!$A:$A,"RESINV1USD",'bench Comparison'!$G:$G)+SUMIF('bench Comparison'!$A:$A,"RESSWAPORUSD",'bench Comparison'!$G:$G))))</f>
        <v/>
      </c>
      <c r="U145" s="125">
        <f>SUMIF('bench Comparison'!$E:$E,A145,'bench Comparison'!$N:$N)</f>
        <v>0</v>
      </c>
      <c r="V145" s="126">
        <f ca="1">VALUE(_xll.BDP($A145 &amp; " Corp",V$1))</f>
        <v>31380</v>
      </c>
      <c r="W145" s="127">
        <f ca="1">VALUE(_xll.BDP($A145 &amp; " Corp",W$1))</f>
        <v>31366</v>
      </c>
      <c r="X145" s="127">
        <f ca="1">VALUE(_xll.BDP($A145 &amp; " Corp",X$1))</f>
        <v>31547</v>
      </c>
      <c r="Y145" s="127">
        <f ca="1">VALUE(_xll.BDP($A145 &amp; " Corp",Y$1))</f>
        <v>42139</v>
      </c>
      <c r="Z145" s="127">
        <f ca="1">VALUE(_xll.BDP($A145 &amp; " Corp",Z$1))</f>
        <v>42323</v>
      </c>
      <c r="AA145" s="128">
        <f ca="1">_xll.BDP($A145 &amp; " Corp",AA$1)/100</f>
        <v>9.8750000000000004E-2</v>
      </c>
      <c r="AB145" s="129">
        <f ca="1">_xll.BDP($A145 &amp; " Corp",AB$1)</f>
        <v>5585000000</v>
      </c>
      <c r="AC145" s="130" t="str">
        <f ca="1">IF(LEFT(B145,1)="B",_xll.INSTANCE.TBILL(A145,V145,Z145,TODAY()),_xll.INSTANCE.TNOTE(A145,V145,W145,X145,Y145,Z145,AA145,TODAY()))</f>
        <v>US912810DT26#0028</v>
      </c>
    </row>
    <row r="146" spans="1:29" x14ac:dyDescent="0.2">
      <c r="A146" s="131" t="s">
        <v>487</v>
      </c>
      <c r="B146" s="115" t="str">
        <f ca="1">_xll.BDP($A146 &amp; " Govt",B$1)</f>
        <v>T 4 1/2 11/15/15</v>
      </c>
      <c r="C146" s="372"/>
      <c r="D146" s="116"/>
      <c r="E146" s="117"/>
      <c r="F146" s="118"/>
      <c r="G146" s="377"/>
      <c r="H146" s="120">
        <f ca="1">IF(E146="",_xll.BDP(A146 &amp; " Govt","YLD_YTM_ASK")/100,E146)</f>
        <v>4.9256789999999996E-3</v>
      </c>
      <c r="I146" s="121">
        <f ca="1">_xll.INSTRUMENT.PRIX(AC146,D146,H146,cTreasuries)</f>
        <v>113.37412243137547</v>
      </c>
      <c r="J146" s="122">
        <f ca="1">_xll.INSTRUMENT.DV01(A146,,,I146,cContinuous,I146)</f>
        <v>-3.6096394309033213E-2</v>
      </c>
      <c r="K146" s="123">
        <f ca="1">_xll.INSTRUMENT.CONVEXITE(A146,,,I146,cContinuous,I146)</f>
        <v>10.438685341378548</v>
      </c>
      <c r="L146" s="123">
        <f ca="1">_xll.INSTRUMENT.Z.SPREAD(A146,swapCurve,I146,cContinuous,D146)</f>
        <v>-16.558268846258446</v>
      </c>
      <c r="M146" s="123">
        <f ca="1">_xll.INSTRUMENT.Z.SPREAD(A146,ustCurve,I146,cContinuous,D146)</f>
        <v>1.0655438587563879</v>
      </c>
      <c r="N146" s="123">
        <f ca="1">_xll.INSTRUMENT.Z.SPREAD(A146,oisCurve,I146,cContinuous,D146)</f>
        <v>18.408847857034097</v>
      </c>
      <c r="O146" s="124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8.3513206472929768E-3</v>
      </c>
      <c r="P146" s="124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9.3794022834845486E-3</v>
      </c>
      <c r="Q146" s="379">
        <f ca="1">-(O146-curve!$S$3)/J146</f>
        <v>0.18376221550945443</v>
      </c>
      <c r="R146" s="381">
        <f t="shared" ca="1" si="3"/>
        <v>-289.18914315954936</v>
      </c>
      <c r="S146" s="199" t="str">
        <f>IF(F146&lt;&gt;"","",IF(G146="","",-G146*(SUMIF('bench Comparison'!$A:$A,"RESINV1USD",'bench Comparison'!$G:$G)+SUMIF('bench Comparison'!$A:$A,"RESSWAPORUSD",'bench Comparison'!$G:$G))/(36500*J146)))</f>
        <v/>
      </c>
      <c r="T146" s="210" t="str">
        <f>IF(G146&lt;&gt;"","",IF(F146="","",-36500*J146*F146/(SUMIF('bench Comparison'!$A:$A,"RESINV1USD",'bench Comparison'!$G:$G)+SUMIF('bench Comparison'!$A:$A,"RESSWAPORUSD",'bench Comparison'!$G:$G))))</f>
        <v/>
      </c>
      <c r="U146" s="125">
        <f>SUMIF('bench Comparison'!$E:$E,A146,'bench Comparison'!$N:$N)</f>
        <v>0</v>
      </c>
      <c r="V146" s="126">
        <f ca="1">VALUE(_xll.BDP($A146 &amp; " Corp",V$1))</f>
        <v>38671</v>
      </c>
      <c r="W146" s="127">
        <f ca="1">VALUE(_xll.BDP($A146 &amp; " Corp",W$1))</f>
        <v>38671</v>
      </c>
      <c r="X146" s="127">
        <f ca="1">VALUE(_xll.BDP($A146 &amp; " Corp",X$1))</f>
        <v>38852</v>
      </c>
      <c r="Y146" s="127">
        <f ca="1">VALUE(_xll.BDP($A146 &amp; " Corp",Y$1))</f>
        <v>42139</v>
      </c>
      <c r="Z146" s="127">
        <f ca="1">VALUE(_xll.BDP($A146 &amp; " Corp",Z$1))</f>
        <v>42323</v>
      </c>
      <c r="AA146" s="128">
        <f ca="1">_xll.BDP($A146 &amp; " Corp",AA$1)/100</f>
        <v>4.4999999999999998E-2</v>
      </c>
      <c r="AB146" s="129">
        <f ca="1">_xll.BDP($A146 &amp; " Corp",AB$1)</f>
        <v>23221000000</v>
      </c>
      <c r="AC146" s="130" t="str">
        <f ca="1">IF(LEFT(B146,1)="B",_xll.INSTANCE.TBILL(A146,V146,Z146,TODAY()),_xll.INSTANCE.TNOTE(A146,V146,W146,X146,Y146,Z146,AA146,TODAY()))</f>
        <v>US912828EN62#0028</v>
      </c>
    </row>
    <row r="147" spans="1:29" x14ac:dyDescent="0.2">
      <c r="A147" s="131" t="s">
        <v>218</v>
      </c>
      <c r="B147" s="115" t="str">
        <f ca="1">_xll.BDP($A147 &amp; " Govt",B$1)</f>
        <v>T 1 3/8 11/30/15</v>
      </c>
      <c r="C147" s="372"/>
      <c r="D147" s="116"/>
      <c r="E147" s="117"/>
      <c r="F147" s="118"/>
      <c r="G147" s="377"/>
      <c r="H147" s="120">
        <f ca="1">IF(E147="",_xll.BDP(A147 &amp; " Govt","YLD_YTM_ASK")/100,E147)</f>
        <v>4.9427430000000003E-3</v>
      </c>
      <c r="I147" s="121">
        <f ca="1">_xll.INSTRUMENT.PRIX(AC147,D147,H147,cTreasuries)</f>
        <v>102.97664941703994</v>
      </c>
      <c r="J147" s="122">
        <f ca="1">_xll.INSTRUMENT.DV01(A147,,,I147,cContinuous,I147)</f>
        <v>-3.446338979807384E-2</v>
      </c>
      <c r="K147" s="123">
        <f ca="1">_xll.INSTRUMENT.CONVEXITE(A147,,,I147,cContinuous,I147)</f>
        <v>11.320361231085643</v>
      </c>
      <c r="L147" s="123">
        <f ca="1">_xll.INSTRUMENT.Z.SPREAD(A147,swapCurve,I147,cContinuous,D147)</f>
        <v>-17.398010331199441</v>
      </c>
      <c r="M147" s="123">
        <f ca="1">_xll.INSTRUMENT.Z.SPREAD(A147,ustCurve,I147,cContinuous,D147)</f>
        <v>0.41020206670739023</v>
      </c>
      <c r="N147" s="123">
        <f ca="1">_xll.INSTRUMENT.Z.SPREAD(A147,oisCurve,I147,cContinuous,D147)</f>
        <v>17.62171219750271</v>
      </c>
      <c r="O147" s="124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1.0236284135071612E-2</v>
      </c>
      <c r="P147" s="124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9.5253600942887696E-3</v>
      </c>
      <c r="Q147" s="379">
        <f ca="1">-(O147-curve!$S$3)/J147</f>
        <v>0.24716422057778883</v>
      </c>
      <c r="R147" s="381">
        <f t="shared" ca="1" si="3"/>
        <v>-328.47497873579277</v>
      </c>
      <c r="S147" s="199" t="str">
        <f>IF(F147&lt;&gt;"","",IF(G147="","",-G147*(SUMIF('bench Comparison'!$A:$A,"RESINV1USD",'bench Comparison'!$G:$G)+SUMIF('bench Comparison'!$A:$A,"RESSWAPORUSD",'bench Comparison'!$G:$G))/(36500*J147)))</f>
        <v/>
      </c>
      <c r="T147" s="210" t="str">
        <f>IF(G147&lt;&gt;"","",IF(F147="","",-36500*J147*F147/(SUMIF('bench Comparison'!$A:$A,"RESINV1USD",'bench Comparison'!$G:$G)+SUMIF('bench Comparison'!$A:$A,"RESSWAPORUSD",'bench Comparison'!$G:$G))))</f>
        <v/>
      </c>
      <c r="U147" s="125">
        <f>SUMIF('bench Comparison'!$E:$E,A147,'bench Comparison'!$N:$N)</f>
        <v>0</v>
      </c>
      <c r="V147" s="126">
        <f ca="1">VALUE(_xll.BDP($A147 &amp; " Corp",V$1))</f>
        <v>40512</v>
      </c>
      <c r="W147" s="127">
        <f ca="1">VALUE(_xll.BDP($A147 &amp; " Corp",W$1))</f>
        <v>40512</v>
      </c>
      <c r="X147" s="127">
        <f ca="1">VALUE(_xll.BDP($A147 &amp; " Corp",X$1))</f>
        <v>40694</v>
      </c>
      <c r="Y147" s="127">
        <f ca="1">VALUE(_xll.BDP($A147 &amp; " Corp",Y$1))</f>
        <v>42155</v>
      </c>
      <c r="Z147" s="127">
        <f ca="1">VALUE(_xll.BDP($A147 &amp; " Corp",Z$1))</f>
        <v>42338</v>
      </c>
      <c r="AA147" s="128">
        <f ca="1">_xll.BDP($A147 &amp; " Corp",AA$1)/100</f>
        <v>1.375E-2</v>
      </c>
      <c r="AB147" s="129">
        <f ca="1">_xll.BDP($A147 &amp; " Corp",AB$1)</f>
        <v>36379000000</v>
      </c>
      <c r="AC147" s="130" t="str">
        <f ca="1">IF(LEFT(B147,1)="B",_xll.INSTANCE.TBILL(A147,V147,Z147,TODAY()),_xll.INSTANCE.TNOTE(A147,V147,W147,X147,Y147,Z147,AA147,TODAY()))</f>
        <v>US912828PJ32#0028</v>
      </c>
    </row>
    <row r="148" spans="1:29" x14ac:dyDescent="0.2">
      <c r="A148" s="131" t="s">
        <v>220</v>
      </c>
      <c r="B148" s="115" t="str">
        <f ca="1">_xll.BDP($A148 &amp; " Govt",B$1)</f>
        <v>T 2 1/8 12/31/15</v>
      </c>
      <c r="C148" s="372"/>
      <c r="D148" s="116"/>
      <c r="E148" s="117"/>
      <c r="F148" s="118"/>
      <c r="G148" s="377"/>
      <c r="H148" s="120">
        <f ca="1">IF(E148="",_xll.BDP(A148 &amp; " Govt","YLD_YTM_ASK")/100,E148)</f>
        <v>5.0801339999999992E-3</v>
      </c>
      <c r="I148" s="121">
        <f ca="1">_xll.INSTRUMENT.PRIX(AC148,D148,H148,cTreasuries)</f>
        <v>105.59236182096818</v>
      </c>
      <c r="J148" s="122">
        <f ca="1">_xll.INSTRUMENT.DV01(A148,,,I148,cContinuous,I148)</f>
        <v>-3.582323471062062E-2</v>
      </c>
      <c r="K148" s="123">
        <f ca="1">_xll.INSTRUMENT.CONVEXITE(A148,,,I148,cContinuous,I148)</f>
        <v>11.724089093630605</v>
      </c>
      <c r="L148" s="123">
        <f ca="1">_xll.INSTRUMENT.Z.SPREAD(A148,swapCurve,I148,cContinuous,D148)</f>
        <v>-17.219986245299825</v>
      </c>
      <c r="M148" s="123">
        <f ca="1">_xll.INSTRUMENT.Z.SPREAD(A148,ustCurve,I148,cContinuous,D148)</f>
        <v>0.72898658459975652</v>
      </c>
      <c r="N148" s="123">
        <f ca="1">_xll.INSTRUMENT.Z.SPREAD(A148,oisCurve,I148,cContinuous,D148)</f>
        <v>17.745858254083654</v>
      </c>
      <c r="O148" s="124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1.0303429597356561E-2</v>
      </c>
      <c r="P148" s="124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1.004556009945011E-2</v>
      </c>
      <c r="Q148" s="379">
        <f ca="1">-(O148-curve!$S$3)/J148</f>
        <v>0.23965625688316447</v>
      </c>
      <c r="R148" s="381">
        <f t="shared" ca="1" si="3"/>
        <v>-327.27611530163495</v>
      </c>
      <c r="S148" s="199" t="str">
        <f>IF(F148&lt;&gt;"","",IF(G148="","",-G148*(SUMIF('bench Comparison'!$A:$A,"RESINV1USD",'bench Comparison'!$G:$G)+SUMIF('bench Comparison'!$A:$A,"RESSWAPORUSD",'bench Comparison'!$G:$G))/(36500*J148)))</f>
        <v/>
      </c>
      <c r="T148" s="210" t="str">
        <f>IF(G148&lt;&gt;"","",IF(F148="","",-36500*J148*F148/(SUMIF('bench Comparison'!$A:$A,"RESINV1USD",'bench Comparison'!$G:$G)+SUMIF('bench Comparison'!$A:$A,"RESSWAPORUSD",'bench Comparison'!$G:$G))))</f>
        <v/>
      </c>
      <c r="U148" s="125">
        <f>SUMIF('bench Comparison'!$E:$E,A148,'bench Comparison'!$N:$N)</f>
        <v>0</v>
      </c>
      <c r="V148" s="126">
        <f ca="1">VALUE(_xll.BDP($A148 &amp; " Corp",V$1))</f>
        <v>40543</v>
      </c>
      <c r="W148" s="127">
        <f ca="1">VALUE(_xll.BDP($A148 &amp; " Corp",W$1))</f>
        <v>40543</v>
      </c>
      <c r="X148" s="127">
        <f ca="1">VALUE(_xll.BDP($A148 &amp; " Corp",X$1))</f>
        <v>40724</v>
      </c>
      <c r="Y148" s="127">
        <f ca="1">VALUE(_xll.BDP($A148 &amp; " Corp",Y$1))</f>
        <v>42185</v>
      </c>
      <c r="Z148" s="127">
        <f ca="1">VALUE(_xll.BDP($A148 &amp; " Corp",Z$1))</f>
        <v>42369</v>
      </c>
      <c r="AA148" s="128">
        <f ca="1">_xll.BDP($A148 &amp; " Corp",AA$1)/100</f>
        <v>2.1250000000000002E-2</v>
      </c>
      <c r="AB148" s="129">
        <f ca="1">_xll.BDP($A148 &amp; " Corp",AB$1)</f>
        <v>36757000000</v>
      </c>
      <c r="AC148" s="130" t="str">
        <f ca="1">IF(LEFT(B148,1)="B",_xll.INSTANCE.TBILL(A148,V148,Z148,TODAY()),_xll.INSTANCE.TNOTE(A148,V148,W148,X148,Y148,Z148,AA148,TODAY()))</f>
        <v>US912828PM60#0028</v>
      </c>
    </row>
    <row r="149" spans="1:29" x14ac:dyDescent="0.2">
      <c r="A149" s="131" t="s">
        <v>222</v>
      </c>
      <c r="B149" s="115" t="str">
        <f ca="1">_xll.BDP($A149 &amp; " Govt",B$1)</f>
        <v>T 2 01/31/16</v>
      </c>
      <c r="C149" s="372"/>
      <c r="D149" s="116"/>
      <c r="E149" s="117"/>
      <c r="F149" s="118"/>
      <c r="G149" s="377"/>
      <c r="H149" s="120">
        <f ca="1">IF(E149="",_xll.BDP(A149 &amp; " Govt","YLD_YTM_ASK")/100,E149)</f>
        <v>5.1352200000000002E-3</v>
      </c>
      <c r="I149" s="121">
        <f ca="1">_xll.INSTRUMENT.PRIX(AC149,D149,H149,cTreasuries)</f>
        <v>105.26439001418917</v>
      </c>
      <c r="J149" s="122">
        <f ca="1">_xll.INSTRUMENT.DV01(A149,,,I149,cContinuous,I149)</f>
        <v>-3.6640407807186866E-2</v>
      </c>
      <c r="K149" s="123">
        <f ca="1">_xll.INSTRUMENT.CONVEXITE(A149,,,I149,cContinuous,I149)</f>
        <v>12.237131503976153</v>
      </c>
      <c r="L149" s="123">
        <f ca="1">_xll.INSTRUMENT.Z.SPREAD(A149,swapCurve,I149,cContinuous,D149)</f>
        <v>-18.152335261819072</v>
      </c>
      <c r="M149" s="123">
        <f ca="1">_xll.INSTRUMENT.Z.SPREAD(A149,ustCurve,I149,cContinuous,D149)</f>
        <v>1.6338340650407412E-2</v>
      </c>
      <c r="N149" s="123">
        <f ca="1">_xll.INSTRUMENT.Z.SPREAD(A149,oisCurve,I149,cContinuous,D149)</f>
        <v>16.792603827953812</v>
      </c>
      <c r="O149" s="124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1.1007887745568766E-2</v>
      </c>
      <c r="P149" s="124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1.0486721731118904E-2</v>
      </c>
      <c r="Q149" s="379">
        <f ca="1">-(O149-curve!$S$3)/J149</f>
        <v>0.25353758444207203</v>
      </c>
      <c r="R149" s="381">
        <f t="shared" ca="1" si="3"/>
        <v>-333.97912950018775</v>
      </c>
      <c r="S149" s="199" t="str">
        <f>IF(F149&lt;&gt;"","",IF(G149="","",-G149*(SUMIF('bench Comparison'!$A:$A,"RESINV1USD",'bench Comparison'!$G:$G)+SUMIF('bench Comparison'!$A:$A,"RESSWAPORUSD",'bench Comparison'!$G:$G))/(36500*J149)))</f>
        <v/>
      </c>
      <c r="T149" s="210" t="str">
        <f>IF(G149&lt;&gt;"","",IF(F149="","",-36500*J149*F149/(SUMIF('bench Comparison'!$A:$A,"RESINV1USD",'bench Comparison'!$G:$G)+SUMIF('bench Comparison'!$A:$A,"RESSWAPORUSD",'bench Comparison'!$G:$G))))</f>
        <v/>
      </c>
      <c r="U149" s="125">
        <f>SUMIF('bench Comparison'!$E:$E,A149,'bench Comparison'!$N:$N)</f>
        <v>0</v>
      </c>
      <c r="V149" s="126">
        <f ca="1">VALUE(_xll.BDP($A149 &amp; " Corp",V$1))</f>
        <v>40574</v>
      </c>
      <c r="W149" s="127">
        <f ca="1">VALUE(_xll.BDP($A149 &amp; " Corp",W$1))</f>
        <v>40574</v>
      </c>
      <c r="X149" s="127">
        <f ca="1">VALUE(_xll.BDP($A149 &amp; " Corp",X$1))</f>
        <v>40755</v>
      </c>
      <c r="Y149" s="127">
        <f ca="1">VALUE(_xll.BDP($A149 &amp; " Corp",Y$1))</f>
        <v>42216</v>
      </c>
      <c r="Z149" s="127">
        <f ca="1">VALUE(_xll.BDP($A149 &amp; " Corp",Z$1))</f>
        <v>42400</v>
      </c>
      <c r="AA149" s="128">
        <f ca="1">_xll.BDP($A149 &amp; " Corp",AA$1)/100</f>
        <v>0.02</v>
      </c>
      <c r="AB149" s="129">
        <f ca="1">_xll.BDP($A149 &amp; " Corp",AB$1)</f>
        <v>35698000000</v>
      </c>
      <c r="AC149" s="130" t="str">
        <f ca="1">IF(LEFT(B149,1)="B",_xll.INSTANCE.TBILL(A149,V149,Z149,TODAY()),_xll.INSTANCE.TNOTE(A149,V149,W149,X149,Y149,Z149,AA149,TODAY()))</f>
        <v>US912828PS31#0028</v>
      </c>
    </row>
    <row r="150" spans="1:29" x14ac:dyDescent="0.2">
      <c r="A150" s="131" t="s">
        <v>489</v>
      </c>
      <c r="B150" s="115" t="str">
        <f ca="1">_xll.BDP($A150 &amp; " Govt",B$1)</f>
        <v>T 9 1/4 02/15/16</v>
      </c>
      <c r="C150" s="372"/>
      <c r="D150" s="116"/>
      <c r="E150" s="117"/>
      <c r="F150" s="118"/>
      <c r="G150" s="377"/>
      <c r="H150" s="120">
        <f ca="1">IF(E150="",_xll.BDP(A150 &amp; " Govt","YLD_YTM_ASK")/100,E150)</f>
        <v>5.3473619999999996E-3</v>
      </c>
      <c r="I150" s="121">
        <f ca="1">_xll.INSTRUMENT.PRIX(AC150,D150,H150,cTreasuries)</f>
        <v>131.20966819314484</v>
      </c>
      <c r="J150" s="122">
        <f ca="1">_xll.INSTRUMENT.DV01(A150,,,I150,cContinuous,I150)</f>
        <v>-4.2401500251748603E-2</v>
      </c>
      <c r="K150" s="123">
        <f ca="1">_xll.INSTRUMENT.CONVEXITE(A150,,,I150,cContinuous,I150)</f>
        <v>10.876812105267101</v>
      </c>
      <c r="L150" s="123">
        <f ca="1">_xll.INSTRUMENT.Z.SPREAD(A150,swapCurve,I150,cContinuous,D150)</f>
        <v>-15.383112048748576</v>
      </c>
      <c r="M150" s="123">
        <f ca="1">_xll.INSTRUMENT.Z.SPREAD(A150,ustCurve,I150,cContinuous,D150)</f>
        <v>2.5754998135987144</v>
      </c>
      <c r="N150" s="123">
        <f ca="1">_xll.INSTRUMENT.Z.SPREAD(A150,oisCurve,I150,cContinuous,D150)</f>
        <v>19.392000168610512</v>
      </c>
      <c r="O150" s="124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6.5825438311918755E-3</v>
      </c>
      <c r="P150" s="124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1.0117029590449151E-2</v>
      </c>
      <c r="Q150" s="379">
        <f ca="1">-(O150-curve!$S$3)/J150</f>
        <v>0.11472180335951913</v>
      </c>
      <c r="R150" s="381">
        <f t="shared" ca="1" si="3"/>
        <v>-256.51951088260256</v>
      </c>
      <c r="S150" s="199" t="str">
        <f>IF(F150&lt;&gt;"","",IF(G150="","",-G150*(SUMIF('bench Comparison'!$A:$A,"RESINV1USD",'bench Comparison'!$G:$G)+SUMIF('bench Comparison'!$A:$A,"RESSWAPORUSD",'bench Comparison'!$G:$G))/(36500*J150)))</f>
        <v/>
      </c>
      <c r="T150" s="210" t="str">
        <f>IF(G150&lt;&gt;"","",IF(F150="","",-36500*J150*F150/(SUMIF('bench Comparison'!$A:$A,"RESINV1USD",'bench Comparison'!$G:$G)+SUMIF('bench Comparison'!$A:$A,"RESSWAPORUSD",'bench Comparison'!$G:$G))))</f>
        <v/>
      </c>
      <c r="U150" s="125">
        <f>SUMIF('bench Comparison'!$E:$E,A150,'bench Comparison'!$N:$N)</f>
        <v>0</v>
      </c>
      <c r="V150" s="126">
        <f ca="1">VALUE(_xll.BDP($A150 &amp; " Corp",V$1))</f>
        <v>31461</v>
      </c>
      <c r="W150" s="127">
        <f ca="1">VALUE(_xll.BDP($A150 &amp; " Corp",W$1))</f>
        <v>31458</v>
      </c>
      <c r="X150" s="127">
        <f ca="1">VALUE(_xll.BDP($A150 &amp; " Corp",X$1))</f>
        <v>31639</v>
      </c>
      <c r="Y150" s="127">
        <f ca="1">VALUE(_xll.BDP($A150 &amp; " Corp",Y$1))</f>
        <v>42231</v>
      </c>
      <c r="Z150" s="127">
        <f ca="1">VALUE(_xll.BDP($A150 &amp; " Corp",Z$1))</f>
        <v>42415</v>
      </c>
      <c r="AA150" s="128">
        <f ca="1">_xll.BDP($A150 &amp; " Corp",AA$1)/100</f>
        <v>9.2499999999999999E-2</v>
      </c>
      <c r="AB150" s="129">
        <f ca="1">_xll.BDP($A150 &amp; " Corp",AB$1)</f>
        <v>5432000000</v>
      </c>
      <c r="AC150" s="130" t="str">
        <f ca="1">IF(LEFT(B150,1)="B",_xll.INSTANCE.TBILL(A150,V150,Z150,TODAY()),_xll.INSTANCE.TNOTE(A150,V150,W150,X150,Y150,Z150,AA150,TODAY()))</f>
        <v>US912810DV71#0028</v>
      </c>
    </row>
    <row r="151" spans="1:29" x14ac:dyDescent="0.2">
      <c r="A151" s="131" t="s">
        <v>490</v>
      </c>
      <c r="B151" s="115" t="str">
        <f ca="1">_xll.BDP($A151 &amp; " Govt",B$1)</f>
        <v>T 4 1/2 02/15/16</v>
      </c>
      <c r="C151" s="372"/>
      <c r="D151" s="116"/>
      <c r="E151" s="117"/>
      <c r="F151" s="118"/>
      <c r="G151" s="377"/>
      <c r="H151" s="120">
        <f ca="1">IF(E151="",_xll.BDP(A151 &amp; " Govt","YLD_YTM_ASK")/100,E151)</f>
        <v>5.1585899999999994E-3</v>
      </c>
      <c r="I151" s="121">
        <f ca="1">_xll.INSTRUMENT.PRIX(AC151,D151,H151,cTreasuries)</f>
        <v>114.27227051424899</v>
      </c>
      <c r="J151" s="122">
        <f ca="1">_xll.INSTRUMENT.DV01(A151,,,I151,cContinuous,I151)</f>
        <v>-3.8915206318678272E-2</v>
      </c>
      <c r="K151" s="123">
        <f ca="1">_xll.INSTRUMENT.CONVEXITE(A151,,,I151,cContinuous,I151)</f>
        <v>11.863221393041048</v>
      </c>
      <c r="L151" s="123">
        <f ca="1">_xll.INSTRUMENT.Z.SPREAD(A151,swapCurve,I151,cContinuous,D151)</f>
        <v>-18.102308105099546</v>
      </c>
      <c r="M151" s="123">
        <f ca="1">_xll.INSTRUMENT.Z.SPREAD(A151,ustCurve,I151,cContinuous,D151)</f>
        <v>5.6180176863194681E-2</v>
      </c>
      <c r="N151" s="123">
        <f ca="1">_xll.INSTRUMENT.Z.SPREAD(A151,oisCurve,I151,cContinuous,D151)</f>
        <v>16.77540978684193</v>
      </c>
      <c r="O151" s="124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9.2884606427105811E-3</v>
      </c>
      <c r="P151" s="124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1.0350686245604141E-2</v>
      </c>
      <c r="Q151" s="379">
        <f ca="1">-(O151-curve!$S$3)/J151</f>
        <v>0.19453303995242777</v>
      </c>
      <c r="R151" s="381">
        <f t="shared" ca="1" si="3"/>
        <v>-304.84796343857528</v>
      </c>
      <c r="S151" s="199" t="str">
        <f>IF(F151&lt;&gt;"","",IF(G151="","",-G151*(SUMIF('bench Comparison'!$A:$A,"RESINV1USD",'bench Comparison'!$G:$G)+SUMIF('bench Comparison'!$A:$A,"RESSWAPORUSD",'bench Comparison'!$G:$G))/(36500*J151)))</f>
        <v/>
      </c>
      <c r="T151" s="210" t="str">
        <f>IF(G151&lt;&gt;"","",IF(F151="","",-36500*J151*F151/(SUMIF('bench Comparison'!$A:$A,"RESINV1USD",'bench Comparison'!$G:$G)+SUMIF('bench Comparison'!$A:$A,"RESSWAPORUSD",'bench Comparison'!$G:$G))))</f>
        <v/>
      </c>
      <c r="U151" s="125">
        <f>SUMIF('bench Comparison'!$E:$E,A151,'bench Comparison'!$N:$N)</f>
        <v>0</v>
      </c>
      <c r="V151" s="126">
        <f ca="1">VALUE(_xll.BDP($A151 &amp; " Corp",V$1))</f>
        <v>38763</v>
      </c>
      <c r="W151" s="127">
        <f ca="1">VALUE(_xll.BDP($A151 &amp; " Corp",W$1))</f>
        <v>38763</v>
      </c>
      <c r="X151" s="127">
        <f ca="1">VALUE(_xll.BDP($A151 &amp; " Corp",X$1))</f>
        <v>38944</v>
      </c>
      <c r="Y151" s="127">
        <f ca="1">VALUE(_xll.BDP($A151 &amp; " Corp",Y$1))</f>
        <v>42231</v>
      </c>
      <c r="Z151" s="127">
        <f ca="1">VALUE(_xll.BDP($A151 &amp; " Corp",Z$1))</f>
        <v>42415</v>
      </c>
      <c r="AA151" s="128">
        <f ca="1">_xll.BDP($A151 &amp; " Corp",AA$1)/100</f>
        <v>4.4999999999999998E-2</v>
      </c>
      <c r="AB151" s="129">
        <f ca="1">_xll.BDP($A151 &amp; " Corp",AB$1)</f>
        <v>21842000000</v>
      </c>
      <c r="AC151" s="130" t="str">
        <f ca="1">IF(LEFT(B151,1)="B",_xll.INSTANCE.TBILL(A151,V151,Z151,TODAY()),_xll.INSTANCE.TNOTE(A151,V151,W151,X151,Y151,Z151,AA151,TODAY()))</f>
        <v>US912828EW61#0028</v>
      </c>
    </row>
    <row r="152" spans="1:29" x14ac:dyDescent="0.2">
      <c r="A152" s="131" t="s">
        <v>491</v>
      </c>
      <c r="B152" s="115" t="str">
        <f ca="1">_xll.BDP($A152 &amp; " Govt",B$1)</f>
        <v>T 2 5/8 02/29/16</v>
      </c>
      <c r="C152" s="372"/>
      <c r="D152" s="116"/>
      <c r="E152" s="117"/>
      <c r="F152" s="118"/>
      <c r="G152" s="377"/>
      <c r="H152" s="120">
        <f ca="1">IF(E152="",_xll.BDP(A152 &amp; " Govt","YLD_YTM_ASK")/100,E152)</f>
        <v>5.1034650000000006E-3</v>
      </c>
      <c r="I152" s="121">
        <f ca="1">_xll.INSTRUMENT.PRIX(AC152,D152,H152,cTreasuries)</f>
        <v>107.66498477212129</v>
      </c>
      <c r="J152" s="122">
        <f ca="1">_xll.INSTRUMENT.DV01(A152,,,I152,cContinuous,I152)</f>
        <v>-3.7918106347901069E-2</v>
      </c>
      <c r="K152" s="123">
        <f ca="1">_xll.INSTRUMENT.CONVEXITE(A152,,,I152,cContinuous,I152)</f>
        <v>12.594419621673623</v>
      </c>
      <c r="L152" s="123">
        <f ca="1">_xll.INSTRUMENT.Z.SPREAD(A152,swapCurve,I152,cContinuous,D152)</f>
        <v>-19.58768458282961</v>
      </c>
      <c r="M152" s="123">
        <f ca="1">_xll.INSTRUMENT.Z.SPREAD(A152,ustCurve,I152,cContinuous,D152)</f>
        <v>-1.2369120676028471</v>
      </c>
      <c r="N152" s="123">
        <f ca="1">_xll.INSTRUMENT.Z.SPREAD(A152,oisCurve,I152,cContinuous,D152)</f>
        <v>15.335294937624607</v>
      </c>
      <c r="O152" s="124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1.0691102566280582E-2</v>
      </c>
      <c r="P152" s="124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1.0521363502279928E-2</v>
      </c>
      <c r="Q152" s="379">
        <f ca="1">-(O152-curve!$S$3)/J152</f>
        <v>0.23663985819310573</v>
      </c>
      <c r="R152" s="381">
        <f t="shared" ca="1" si="3"/>
        <v>-332.14790596658526</v>
      </c>
      <c r="S152" s="199" t="str">
        <f>IF(F152&lt;&gt;"","",IF(G152="","",-G152*(SUMIF('bench Comparison'!$A:$A,"RESINV1USD",'bench Comparison'!$G:$G)+SUMIF('bench Comparison'!$A:$A,"RESSWAPORUSD",'bench Comparison'!$G:$G))/(36500*J152)))</f>
        <v/>
      </c>
      <c r="T152" s="210" t="str">
        <f>IF(G152&lt;&gt;"","",IF(F152="","",-36500*J152*F152/(SUMIF('bench Comparison'!$A:$A,"RESINV1USD",'bench Comparison'!$G:$G)+SUMIF('bench Comparison'!$A:$A,"RESSWAPORUSD",'bench Comparison'!$G:$G))))</f>
        <v/>
      </c>
      <c r="U152" s="125">
        <f>SUMIF('bench Comparison'!$E:$E,A152,'bench Comparison'!$N:$N)</f>
        <v>0</v>
      </c>
      <c r="V152" s="126">
        <f ca="1">VALUE(_xll.BDP($A152 &amp; " Corp",V$1))</f>
        <v>39874</v>
      </c>
      <c r="W152" s="127">
        <f ca="1">VALUE(_xll.BDP($A152 &amp; " Corp",W$1))</f>
        <v>39872</v>
      </c>
      <c r="X152" s="127">
        <f ca="1">VALUE(_xll.BDP($A152 &amp; " Corp",X$1))</f>
        <v>40056</v>
      </c>
      <c r="Y152" s="127">
        <f ca="1">VALUE(_xll.BDP($A152 &amp; " Corp",Y$1))</f>
        <v>42247</v>
      </c>
      <c r="Z152" s="127">
        <f ca="1">VALUE(_xll.BDP($A152 &amp; " Corp",Z$1))</f>
        <v>42429</v>
      </c>
      <c r="AA152" s="128">
        <f ca="1">_xll.BDP($A152 &amp; " Corp",AA$1)/100</f>
        <v>2.6249999999999999E-2</v>
      </c>
      <c r="AB152" s="129">
        <f ca="1">_xll.BDP($A152 &amp; " Corp",AB$1)</f>
        <v>23179000000</v>
      </c>
      <c r="AC152" s="130" t="str">
        <f ca="1">IF(LEFT(B152,1)="B",_xll.INSTANCE.TBILL(A152,V152,Z152,TODAY()),_xll.INSTANCE.TNOTE(A152,V152,W152,X152,Y152,Z152,AA152,TODAY()))</f>
        <v>US912828KS85#0027</v>
      </c>
    </row>
    <row r="153" spans="1:29" x14ac:dyDescent="0.2">
      <c r="A153" s="131" t="s">
        <v>224</v>
      </c>
      <c r="B153" s="115" t="str">
        <f ca="1">_xll.BDP($A153 &amp; " Govt",B$1)</f>
        <v>T 2 1/8 02/29/16</v>
      </c>
      <c r="C153" s="372"/>
      <c r="D153" s="116"/>
      <c r="E153" s="117"/>
      <c r="F153" s="118"/>
      <c r="G153" s="377"/>
      <c r="H153" s="120">
        <f ca="1">IF(E153="",_xll.BDP(A153 &amp; " Govt","YLD_YTM_ASK")/100,E153)</f>
        <v>5.208697E-3</v>
      </c>
      <c r="I153" s="121">
        <f ca="1">_xll.INSTRUMENT.PRIX(AC153,D153,H153,cTreasuries)</f>
        <v>105.81342352591614</v>
      </c>
      <c r="J153" s="122">
        <f ca="1">_xll.INSTRUMENT.DV01(A153,,,I153,cContinuous,I153)</f>
        <v>-3.7526136136574892E-2</v>
      </c>
      <c r="K153" s="123">
        <f ca="1">_xll.INSTRUMENT.CONVEXITE(A153,,,I153,cContinuous,I153)</f>
        <v>12.73636055971529</v>
      </c>
      <c r="L153" s="123">
        <f ca="1">_xll.INSTRUMENT.Z.SPREAD(A153,swapCurve,I153,cContinuous,D153)</f>
        <v>-18.646854219684617</v>
      </c>
      <c r="M153" s="123">
        <f ca="1">_xll.INSTRUMENT.Z.SPREAD(A153,ustCurve,I153,cContinuous,D153)</f>
        <v>-0.27037736285506059</v>
      </c>
      <c r="N153" s="123">
        <f ca="1">_xll.INSTRUMENT.Z.SPREAD(A153,oisCurve,I153,cContinuous,D153)</f>
        <v>16.288518260931554</v>
      </c>
      <c r="O153" s="124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1.1159023427554952E-2</v>
      </c>
      <c r="P153" s="124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1.0689372354158294E-2</v>
      </c>
      <c r="Q153" s="379">
        <f ca="1">-(O153-curve!$S$3)/J153</f>
        <v>0.25158082185794872</v>
      </c>
      <c r="R153" s="381">
        <f t="shared" ca="1" si="3"/>
        <v>-339.39973231887791</v>
      </c>
      <c r="S153" s="199" t="str">
        <f>IF(F153&lt;&gt;"","",IF(G153="","",-G153*(SUMIF('bench Comparison'!$A:$A,"RESINV1USD",'bench Comparison'!$G:$G)+SUMIF('bench Comparison'!$A:$A,"RESSWAPORUSD",'bench Comparison'!$G:$G))/(36500*J153)))</f>
        <v/>
      </c>
      <c r="T153" s="210" t="str">
        <f>IF(G153&lt;&gt;"","",IF(F153="","",-36500*J153*F153/(SUMIF('bench Comparison'!$A:$A,"RESINV1USD",'bench Comparison'!$G:$G)+SUMIF('bench Comparison'!$A:$A,"RESSWAPORUSD",'bench Comparison'!$G:$G))))</f>
        <v/>
      </c>
      <c r="U153" s="125">
        <f>SUMIF('bench Comparison'!$E:$E,A153,'bench Comparison'!$N:$N)</f>
        <v>0</v>
      </c>
      <c r="V153" s="126">
        <f ca="1">VALUE(_xll.BDP($A153 &amp; " Corp",V$1))</f>
        <v>40602</v>
      </c>
      <c r="W153" s="127">
        <f ca="1">VALUE(_xll.BDP($A153 &amp; " Corp",W$1))</f>
        <v>40602</v>
      </c>
      <c r="X153" s="127">
        <f ca="1">VALUE(_xll.BDP($A153 &amp; " Corp",X$1))</f>
        <v>40786</v>
      </c>
      <c r="Y153" s="127">
        <f ca="1">VALUE(_xll.BDP($A153 &amp; " Corp",Y$1))</f>
        <v>42247</v>
      </c>
      <c r="Z153" s="127">
        <f ca="1">VALUE(_xll.BDP($A153 &amp; " Corp",Z$1))</f>
        <v>42429</v>
      </c>
      <c r="AA153" s="128">
        <f ca="1">_xll.BDP($A153 &amp; " Corp",AA$1)/100</f>
        <v>2.1250000000000002E-2</v>
      </c>
      <c r="AB153" s="129">
        <f ca="1">_xll.BDP($A153 &amp; " Corp",AB$1)</f>
        <v>36923000000</v>
      </c>
      <c r="AC153" s="130" t="str">
        <f ca="1">IF(LEFT(B153,1)="B",_xll.INSTANCE.TBILL(A153,V153,Z153,TODAY()),_xll.INSTANCE.TNOTE(A153,V153,W153,X153,Y153,Z153,AA153,TODAY()))</f>
        <v>US912828QJ23#0028</v>
      </c>
    </row>
    <row r="154" spans="1:29" x14ac:dyDescent="0.2">
      <c r="A154" s="131" t="s">
        <v>492</v>
      </c>
      <c r="B154" s="115" t="str">
        <f ca="1">_xll.BDP($A154 &amp; " Govt",B$1)</f>
        <v>T 2 3/8 03/31/16</v>
      </c>
      <c r="C154" s="372"/>
      <c r="D154" s="116"/>
      <c r="E154" s="117"/>
      <c r="F154" s="118"/>
      <c r="G154" s="377"/>
      <c r="H154" s="120">
        <f ca="1">IF(E154="",_xll.BDP(A154 &amp; " Govt","YLD_YTM_ASK")/100,E154)</f>
        <v>5.3550350000000002E-3</v>
      </c>
      <c r="I154" s="121">
        <f ca="1">_xll.INSTRUMENT.PRIX(AC154,D154,H154,cTreasuries)</f>
        <v>106.81245237527055</v>
      </c>
      <c r="J154" s="122">
        <f ca="1">_xll.INSTRUMENT.DV01(A154,,,I154,cContinuous,I154)</f>
        <v>-3.8585079400500565E-2</v>
      </c>
      <c r="K154" s="123">
        <f ca="1">_xll.INSTRUMENT.CONVEXITE(A154,,,I154,cContinuous,I154)</f>
        <v>13.26464598095791</v>
      </c>
      <c r="L154" s="123">
        <f ca="1">_xll.INSTRUMENT.Z.SPREAD(A154,swapCurve,I154,cContinuous,D154)</f>
        <v>-18.600931069902366</v>
      </c>
      <c r="M154" s="123">
        <f ca="1">_xll.INSTRUMENT.Z.SPREAD(A154,ustCurve,I154,cContinuous,D154)</f>
        <v>1.7173077160164644E-2</v>
      </c>
      <c r="N154" s="123">
        <f ca="1">_xll.INSTRUMENT.Z.SPREAD(A154,oisCurve,I154,cContinuous,D154)</f>
        <v>16.337683361469484</v>
      </c>
      <c r="O154" s="124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1.1303454300985064E-2</v>
      </c>
      <c r="P154" s="124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1.1091609771775035E-2</v>
      </c>
      <c r="Q154" s="379">
        <f ca="1">-(O154-curve!$S$3)/J154</f>
        <v>0.2484195236280515</v>
      </c>
      <c r="R154" s="381">
        <f t="shared" ca="1" si="3"/>
        <v>-343.776563040734</v>
      </c>
      <c r="S154" s="199" t="str">
        <f>IF(F154&lt;&gt;"","",IF(G154="","",-G154*(SUMIF('bench Comparison'!$A:$A,"RESINV1USD",'bench Comparison'!$G:$G)+SUMIF('bench Comparison'!$A:$A,"RESSWAPORUSD",'bench Comparison'!$G:$G))/(36500*J154)))</f>
        <v/>
      </c>
      <c r="T154" s="210" t="str">
        <f>IF(G154&lt;&gt;"","",IF(F154="","",-36500*J154*F154/(SUMIF('bench Comparison'!$A:$A,"RESINV1USD",'bench Comparison'!$G:$G)+SUMIF('bench Comparison'!$A:$A,"RESSWAPORUSD",'bench Comparison'!$G:$G))))</f>
        <v/>
      </c>
      <c r="U154" s="125">
        <f>SUMIF('bench Comparison'!$E:$E,A154,'bench Comparison'!$N:$N)</f>
        <v>0</v>
      </c>
      <c r="V154" s="126">
        <f ca="1">VALUE(_xll.BDP($A154 &amp; " Corp",V$1))</f>
        <v>39903</v>
      </c>
      <c r="W154" s="127">
        <f ca="1">VALUE(_xll.BDP($A154 &amp; " Corp",W$1))</f>
        <v>39903</v>
      </c>
      <c r="X154" s="127">
        <f ca="1">VALUE(_xll.BDP($A154 &amp; " Corp",X$1))</f>
        <v>40086</v>
      </c>
      <c r="Y154" s="127">
        <f ca="1">VALUE(_xll.BDP($A154 &amp; " Corp",Y$1))</f>
        <v>42277</v>
      </c>
      <c r="Z154" s="127">
        <f ca="1">VALUE(_xll.BDP($A154 &amp; " Corp",Z$1))</f>
        <v>42460</v>
      </c>
      <c r="AA154" s="128">
        <f ca="1">_xll.BDP($A154 &amp; " Corp",AA$1)/100</f>
        <v>2.375E-2</v>
      </c>
      <c r="AB154" s="129">
        <f ca="1">_xll.BDP($A154 &amp; " Corp",AB$1)</f>
        <v>25138000000</v>
      </c>
      <c r="AC154" s="130" t="str">
        <f ca="1">IF(LEFT(B154,1)="B",_xll.INSTANCE.TBILL(A154,V154,Z154,TODAY()),_xll.INSTANCE.TNOTE(A154,V154,W154,X154,Y154,Z154,AA154,TODAY()))</f>
        <v>US912828KT68#0028</v>
      </c>
    </row>
    <row r="155" spans="1:29" x14ac:dyDescent="0.2">
      <c r="A155" s="131" t="s">
        <v>226</v>
      </c>
      <c r="B155" s="115" t="str">
        <f ca="1">_xll.BDP($A155 &amp; " Govt",B$1)</f>
        <v>T 2 1/4 03/31/16</v>
      </c>
      <c r="C155" s="372"/>
      <c r="D155" s="116"/>
      <c r="E155" s="117"/>
      <c r="F155" s="118"/>
      <c r="G155" s="377"/>
      <c r="H155" s="120">
        <f ca="1">IF(E155="",_xll.BDP(A155 &amp; " Govt","YLD_YTM_ASK")/100,E155)</f>
        <v>5.2277349999999998E-3</v>
      </c>
      <c r="I155" s="121">
        <f ca="1">_xll.INSTRUMENT.PRIX(AC155,D155,H155,cTreasuries)</f>
        <v>106.39839134678451</v>
      </c>
      <c r="J155" s="122">
        <f ca="1">_xll.INSTRUMENT.DV01(A155,,,I155,cContinuous,I155)</f>
        <v>-3.8504769382732347E-2</v>
      </c>
      <c r="K155" s="123">
        <f ca="1">_xll.INSTRUMENT.CONVEXITE(A155,,,I155,cContinuous,I155)</f>
        <v>13.301863462353785</v>
      </c>
      <c r="L155" s="123">
        <f ca="1">_xll.INSTRUMENT.Z.SPREAD(A155,swapCurve,I155,cContinuous,D155)</f>
        <v>-19.899520515322273</v>
      </c>
      <c r="M155" s="123">
        <f ca="1">_xll.INSTRUMENT.Z.SPREAD(A155,ustCurve,I155,cContinuous,D155)</f>
        <v>-1.2760591834654822</v>
      </c>
      <c r="N155" s="123">
        <f ca="1">_xll.INSTRUMENT.Z.SPREAD(A155,oisCurve,I155,cContinuous,D155)</f>
        <v>15.041771467526033</v>
      </c>
      <c r="O155" s="124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1.1264811214880925E-2</v>
      </c>
      <c r="P155" s="124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1.0980491028230999E-2</v>
      </c>
      <c r="Q155" s="379">
        <f ca="1">-(O155-curve!$S$3)/J155</f>
        <v>0.24793406403311671</v>
      </c>
      <c r="R155" s="381">
        <f t="shared" ca="1" si="3"/>
        <v>-345.46015144604581</v>
      </c>
      <c r="S155" s="199" t="str">
        <f>IF(F155&lt;&gt;"","",IF(G155="","",-G155*(SUMIF('bench Comparison'!$A:$A,"RESINV1USD",'bench Comparison'!$G:$G)+SUMIF('bench Comparison'!$A:$A,"RESSWAPORUSD",'bench Comparison'!$G:$G))/(36500*J155)))</f>
        <v/>
      </c>
      <c r="T155" s="210" t="str">
        <f>IF(G155&lt;&gt;"","",IF(F155="","",-36500*J155*F155/(SUMIF('bench Comparison'!$A:$A,"RESINV1USD",'bench Comparison'!$G:$G)+SUMIF('bench Comparison'!$A:$A,"RESSWAPORUSD",'bench Comparison'!$G:$G))))</f>
        <v/>
      </c>
      <c r="U155" s="125">
        <f>SUMIF('bench Comparison'!$E:$E,A155,'bench Comparison'!$N:$N)</f>
        <v>0</v>
      </c>
      <c r="V155" s="126">
        <f ca="1">VALUE(_xll.BDP($A155 &amp; " Corp",V$1))</f>
        <v>40633</v>
      </c>
      <c r="W155" s="127">
        <f ca="1">VALUE(_xll.BDP($A155 &amp; " Corp",W$1))</f>
        <v>40633</v>
      </c>
      <c r="X155" s="127">
        <f ca="1">VALUE(_xll.BDP($A155 &amp; " Corp",X$1))</f>
        <v>40816</v>
      </c>
      <c r="Y155" s="127">
        <f ca="1">VALUE(_xll.BDP($A155 &amp; " Corp",Y$1))</f>
        <v>42277</v>
      </c>
      <c r="Z155" s="127">
        <f ca="1">VALUE(_xll.BDP($A155 &amp; " Corp",Z$1))</f>
        <v>42460</v>
      </c>
      <c r="AA155" s="128">
        <f ca="1">_xll.BDP($A155 &amp; " Corp",AA$1)/100</f>
        <v>2.2499999999999999E-2</v>
      </c>
      <c r="AB155" s="129">
        <f ca="1">_xll.BDP($A155 &amp; " Corp",AB$1)</f>
        <v>36570000000</v>
      </c>
      <c r="AC155" s="130" t="str">
        <f ca="1">IF(LEFT(B155,1)="B",_xll.INSTANCE.TBILL(A155,V155,Z155,TODAY()),_xll.INSTANCE.TNOTE(A155,V155,W155,X155,Y155,Z155,AA155,TODAY()))</f>
        <v>US912828QA14#0028</v>
      </c>
    </row>
    <row r="156" spans="1:29" x14ac:dyDescent="0.2">
      <c r="A156" s="131" t="s">
        <v>228</v>
      </c>
      <c r="B156" s="115" t="str">
        <f ca="1">_xll.BDP($A156 &amp; " Govt",B$1)</f>
        <v>T 2 04/30/16</v>
      </c>
      <c r="C156" s="372"/>
      <c r="D156" s="116"/>
      <c r="E156" s="117"/>
      <c r="F156" s="118"/>
      <c r="G156" s="377"/>
      <c r="H156" s="120">
        <f ca="1">IF(E156="",_xll.BDP(A156 &amp; " Govt","YLD_YTM_ASK")/100,E156)</f>
        <v>5.4239630000000004E-3</v>
      </c>
      <c r="I156" s="121">
        <f ca="1">_xll.INSTRUMENT.PRIX(AC156,D156,H156,cTreasuries)</f>
        <v>105.51604163295767</v>
      </c>
      <c r="J156" s="122">
        <f ca="1">_xll.INSTRUMENT.DV01(A156,,,I156,cContinuous,I156)</f>
        <v>-3.9186150752542045E-2</v>
      </c>
      <c r="K156" s="123">
        <f ca="1">_xll.INSTRUMENT.CONVEXITE(A156,,,I156,cContinuous,I156)</f>
        <v>14.015716473602438</v>
      </c>
      <c r="L156" s="123">
        <f ca="1">_xll.INSTRUMENT.Z.SPREAD(A156,swapCurve,I156,cContinuous,D156)</f>
        <v>-19.631705857058474</v>
      </c>
      <c r="M156" s="123">
        <f ca="1">_xll.INSTRUMENT.Z.SPREAD(A156,ustCurve,I156,cContinuous,D156)</f>
        <v>-0.73035747859711675</v>
      </c>
      <c r="N156" s="123">
        <f ca="1">_xll.INSTRUMENT.Z.SPREAD(A156,oisCurve,I156,cContinuous,D156)</f>
        <v>15.32545483945802</v>
      </c>
      <c r="O156" s="124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1.2880312827976087E-2</v>
      </c>
      <c r="P156" s="124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1.180648866105745E-2</v>
      </c>
      <c r="Q156" s="379">
        <f ca="1">-(O156-curve!$S$3)/J156</f>
        <v>0.28484924792185196</v>
      </c>
      <c r="R156" s="381">
        <f t="shared" ca="1" si="3"/>
        <v>-357.67015142953852</v>
      </c>
      <c r="S156" s="199" t="str">
        <f>IF(F156&lt;&gt;"","",IF(G156="","",-G156*(SUMIF('bench Comparison'!$A:$A,"RESINV1USD",'bench Comparison'!$G:$G)+SUMIF('bench Comparison'!$A:$A,"RESSWAPORUSD",'bench Comparison'!$G:$G))/(36500*J156)))</f>
        <v/>
      </c>
      <c r="T156" s="210" t="str">
        <f>IF(G156&lt;&gt;"","",IF(F156="","",-36500*J156*F156/(SUMIF('bench Comparison'!$A:$A,"RESINV1USD",'bench Comparison'!$G:$G)+SUMIF('bench Comparison'!$A:$A,"RESSWAPORUSD",'bench Comparison'!$G:$G))))</f>
        <v/>
      </c>
      <c r="U156" s="125">
        <f>SUMIF('bench Comparison'!$E:$E,A156,'bench Comparison'!$N:$N)</f>
        <v>0</v>
      </c>
      <c r="V156" s="126">
        <f ca="1">VALUE(_xll.BDP($A156 &amp; " Corp",V$1))</f>
        <v>40665</v>
      </c>
      <c r="W156" s="127">
        <f ca="1">VALUE(_xll.BDP($A156 &amp; " Corp",W$1))</f>
        <v>40663</v>
      </c>
      <c r="X156" s="127">
        <f ca="1">VALUE(_xll.BDP($A156 &amp; " Corp",X$1))</f>
        <v>40847</v>
      </c>
      <c r="Y156" s="127">
        <f ca="1">VALUE(_xll.BDP($A156 &amp; " Corp",Y$1))</f>
        <v>42308</v>
      </c>
      <c r="Z156" s="127">
        <f ca="1">VALUE(_xll.BDP($A156 &amp; " Corp",Z$1))</f>
        <v>42490</v>
      </c>
      <c r="AA156" s="128">
        <f ca="1">_xll.BDP($A156 &amp; " Corp",AA$1)/100</f>
        <v>0.02</v>
      </c>
      <c r="AB156" s="129">
        <f ca="1">_xll.BDP($A156 &amp; " Corp",AB$1)</f>
        <v>37209000000</v>
      </c>
      <c r="AC156" s="130" t="str">
        <f ca="1">IF(LEFT(B156,1)="B",_xll.INSTANCE.TBILL(A156,V156,Z156,TODAY()),_xll.INSTANCE.TNOTE(A156,V156,W156,X156,Y156,Z156,AA156,TODAY()))</f>
        <v>US912828QF01#0028</v>
      </c>
    </row>
    <row r="157" spans="1:29" x14ac:dyDescent="0.2">
      <c r="A157" s="131" t="s">
        <v>493</v>
      </c>
      <c r="B157" s="115" t="str">
        <f ca="1">_xll.BDP($A157 &amp; " Govt",B$1)</f>
        <v>T 2 5/8 04/30/16</v>
      </c>
      <c r="C157" s="372"/>
      <c r="D157" s="116"/>
      <c r="E157" s="117"/>
      <c r="F157" s="118"/>
      <c r="G157" s="377"/>
      <c r="H157" s="120">
        <f ca="1">IF(E157="",_xll.BDP(A157 &amp; " Govt","YLD_YTM_ASK")/100,E157)</f>
        <v>5.4580910000000009E-3</v>
      </c>
      <c r="I157" s="121">
        <f ca="1">_xll.INSTRUMENT.PRIX(AC157,D157,H157,cTreasuries)</f>
        <v>107.86760993199267</v>
      </c>
      <c r="J157" s="122">
        <f ca="1">_xll.INSTRUMENT.DV01(A157,,,I157,cContinuous,I157)</f>
        <v>-3.9693419624895705E-2</v>
      </c>
      <c r="K157" s="123">
        <f ca="1">_xll.INSTRUMENT.CONVEXITE(A157,,,I157,cContinuous,I157)</f>
        <v>13.823877507679006</v>
      </c>
      <c r="L157" s="123">
        <f ca="1">_xll.INSTRUMENT.Z.SPREAD(A157,swapCurve,I157,cContinuous,D157)</f>
        <v>-19.131684578117785</v>
      </c>
      <c r="M157" s="123">
        <f ca="1">_xll.INSTRUMENT.Z.SPREAD(A157,ustCurve,I157,cContinuous,D157)</f>
        <v>-0.26293708764055979</v>
      </c>
      <c r="N157" s="123">
        <f ca="1">_xll.INSTRUMENT.Z.SPREAD(A157,oisCurve,I157,cContinuous,D157)</f>
        <v>15.813026705811444</v>
      </c>
      <c r="O157" s="124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1.2441742272021494E-2</v>
      </c>
      <c r="P157" s="124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1.1774965001619474E-2</v>
      </c>
      <c r="Q157" s="379">
        <f ca="1">-(O157-curve!$S$3)/J157</f>
        <v>0.27016001937342526</v>
      </c>
      <c r="R157" s="381">
        <f t="shared" ca="1" si="3"/>
        <v>-348.26622745823272</v>
      </c>
      <c r="S157" s="199" t="str">
        <f>IF(F157&lt;&gt;"","",IF(G157="","",-G157*(SUMIF('bench Comparison'!$A:$A,"RESINV1USD",'bench Comparison'!$G:$G)+SUMIF('bench Comparison'!$A:$A,"RESSWAPORUSD",'bench Comparison'!$G:$G))/(36500*J157)))</f>
        <v/>
      </c>
      <c r="T157" s="210" t="str">
        <f>IF(G157&lt;&gt;"","",IF(F157="","",-36500*J157*F157/(SUMIF('bench Comparison'!$A:$A,"RESINV1USD",'bench Comparison'!$G:$G)+SUMIF('bench Comparison'!$A:$A,"RESSWAPORUSD",'bench Comparison'!$G:$G))))</f>
        <v/>
      </c>
      <c r="U157" s="125">
        <f>SUMIF('bench Comparison'!$E:$E,A157,'bench Comparison'!$N:$N)</f>
        <v>0</v>
      </c>
      <c r="V157" s="126">
        <f ca="1">VALUE(_xll.BDP($A157 &amp; " Corp",V$1))</f>
        <v>39933</v>
      </c>
      <c r="W157" s="127">
        <f ca="1">VALUE(_xll.BDP($A157 &amp; " Corp",W$1))</f>
        <v>39933</v>
      </c>
      <c r="X157" s="127">
        <f ca="1">VALUE(_xll.BDP($A157 &amp; " Corp",X$1))</f>
        <v>40117</v>
      </c>
      <c r="Y157" s="127">
        <f ca="1">VALUE(_xll.BDP($A157 &amp; " Corp",Y$1))</f>
        <v>42308</v>
      </c>
      <c r="Z157" s="127">
        <f ca="1">VALUE(_xll.BDP($A157 &amp; " Corp",Z$1))</f>
        <v>42490</v>
      </c>
      <c r="AA157" s="128">
        <f ca="1">_xll.BDP($A157 &amp; " Corp",AA$1)/100</f>
        <v>2.6249999999999999E-2</v>
      </c>
      <c r="AB157" s="129">
        <f ca="1">_xll.BDP($A157 &amp; " Corp",AB$1)</f>
        <v>26901000000</v>
      </c>
      <c r="AC157" s="130" t="str">
        <f ca="1">IF(LEFT(B157,1)="B",_xll.INSTANCE.TBILL(A157,V157,Z157,TODAY()),_xll.INSTANCE.TNOTE(A157,V157,W157,X157,Y157,Z157,AA157,TODAY()))</f>
        <v>US912828KR03#0028</v>
      </c>
    </row>
    <row r="158" spans="1:29" x14ac:dyDescent="0.2">
      <c r="A158" s="131" t="s">
        <v>494</v>
      </c>
      <c r="B158" s="115" t="str">
        <f ca="1">_xll.BDP($A158 &amp; " Govt",B$1)</f>
        <v>T 7 1/4 05/15/16</v>
      </c>
      <c r="C158" s="372"/>
      <c r="D158" s="116"/>
      <c r="E158" s="117"/>
      <c r="F158" s="118"/>
      <c r="G158" s="377"/>
      <c r="H158" s="120">
        <f ca="1">IF(E158="",_xll.BDP(A158 &amp; " Govt","YLD_YTM_ASK")/100,E158)</f>
        <v>5.8371039999999992E-3</v>
      </c>
      <c r="I158" s="121">
        <f ca="1">_xll.INSTRUMENT.PRIX(AC158,D158,H158,cTreasuries)</f>
        <v>125.46906033640811</v>
      </c>
      <c r="J158" s="122">
        <f ca="1">_xll.INSTRUMENT.DV01(A158,,,I158,cContinuous,I158)</f>
        <v>-4.3905482836624356E-2</v>
      </c>
      <c r="K158" s="123">
        <f ca="1">_xll.INSTRUMENT.CONVEXITE(A158,,,I158,cContinuous,I158)</f>
        <v>12.902406512082129</v>
      </c>
      <c r="L158" s="123">
        <f ca="1">_xll.INSTRUMENT.Z.SPREAD(A158,swapCurve,I158,cContinuous,D158)</f>
        <v>-14.892676437224962</v>
      </c>
      <c r="M158" s="123">
        <f ca="1">_xll.INSTRUMENT.Z.SPREAD(A158,ustCurve,I158,cContinuous,D158)</f>
        <v>3.8620460169070645</v>
      </c>
      <c r="N158" s="123">
        <f ca="1">_xll.INSTRUMENT.Z.SPREAD(A158,oisCurve,I158,cContinuous,D158)</f>
        <v>19.972827001832673</v>
      </c>
      <c r="O158" s="124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9.646810484211352E-3</v>
      </c>
      <c r="P158" s="124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1.1739548156948592E-2</v>
      </c>
      <c r="Q158" s="379">
        <f ca="1">-(O158-curve!$S$3)/J158</f>
        <v>0.18058435336088355</v>
      </c>
      <c r="R158" s="381">
        <f t="shared" ca="1" si="3"/>
        <v>-293.86777410222237</v>
      </c>
      <c r="S158" s="199" t="str">
        <f>IF(F158&lt;&gt;"","",IF(G158="","",-G158*(SUMIF('bench Comparison'!$A:$A,"RESINV1USD",'bench Comparison'!$G:$G)+SUMIF('bench Comparison'!$A:$A,"RESSWAPORUSD",'bench Comparison'!$G:$G))/(36500*J158)))</f>
        <v/>
      </c>
      <c r="T158" s="210" t="str">
        <f>IF(G158&lt;&gt;"","",IF(F158="","",-36500*J158*F158/(SUMIF('bench Comparison'!$A:$A,"RESINV1USD",'bench Comparison'!$G:$G)+SUMIF('bench Comparison'!$A:$A,"RESSWAPORUSD",'bench Comparison'!$G:$G))))</f>
        <v/>
      </c>
      <c r="U158" s="125">
        <f>SUMIF('bench Comparison'!$E:$E,A158,'bench Comparison'!$N:$N)</f>
        <v>0</v>
      </c>
      <c r="V158" s="126">
        <f ca="1">VALUE(_xll.BDP($A158 &amp; " Corp",V$1))</f>
        <v>31547</v>
      </c>
      <c r="W158" s="127">
        <f ca="1">VALUE(_xll.BDP($A158 &amp; " Corp",W$1))</f>
        <v>31547</v>
      </c>
      <c r="X158" s="127">
        <f ca="1">VALUE(_xll.BDP($A158 &amp; " Corp",X$1))</f>
        <v>31731</v>
      </c>
      <c r="Y158" s="127">
        <f ca="1">VALUE(_xll.BDP($A158 &amp; " Corp",Y$1))</f>
        <v>42323</v>
      </c>
      <c r="Z158" s="127">
        <f ca="1">VALUE(_xll.BDP($A158 &amp; " Corp",Z$1))</f>
        <v>42505</v>
      </c>
      <c r="AA158" s="128">
        <f ca="1">_xll.BDP($A158 &amp; " Corp",AA$1)/100</f>
        <v>7.2499999999999995E-2</v>
      </c>
      <c r="AB158" s="129">
        <f ca="1">_xll.BDP($A158 &amp; " Corp",AB$1)</f>
        <v>18824000000</v>
      </c>
      <c r="AC158" s="130" t="str">
        <f ca="1">IF(LEFT(B158,1)="B",_xll.INSTANCE.TBILL(A158,V158,Z158,TODAY()),_xll.INSTANCE.TNOTE(A158,V158,W158,X158,Y158,Z158,AA158,TODAY()))</f>
        <v>US912810DW54#0028</v>
      </c>
    </row>
    <row r="159" spans="1:29" x14ac:dyDescent="0.2">
      <c r="A159" s="131" t="s">
        <v>495</v>
      </c>
      <c r="B159" s="115" t="str">
        <f ca="1">_xll.BDP($A159 &amp; " Govt",B$1)</f>
        <v>T 5 1/8 05/15/16</v>
      </c>
      <c r="C159" s="372"/>
      <c r="D159" s="116"/>
      <c r="E159" s="117"/>
      <c r="F159" s="118"/>
      <c r="G159" s="377"/>
      <c r="H159" s="120">
        <f ca="1">IF(E159="",_xll.BDP(A159 &amp; " Govt","YLD_YTM_ASK")/100,E159)</f>
        <v>5.5361000000000004E-3</v>
      </c>
      <c r="I159" s="121">
        <f ca="1">_xll.INSTRUMENT.PRIX(AC159,D159,H159,cTreasuries)</f>
        <v>117.47686360352348</v>
      </c>
      <c r="J159" s="122">
        <f ca="1">_xll.INSTRUMENT.DV01(A159,,,I159,cContinuous,I159)</f>
        <v>-4.2178817816488051E-2</v>
      </c>
      <c r="K159" s="123">
        <f ca="1">_xll.INSTRUMENT.CONVEXITE(A159,,,I159,cContinuous,I159)</f>
        <v>13.41008030898511</v>
      </c>
      <c r="L159" s="123">
        <f ca="1">_xll.INSTRUMENT.Z.SPREAD(A159,swapCurve,I159,cContinuous,D159)</f>
        <v>-18.374412118775876</v>
      </c>
      <c r="M159" s="123">
        <f ca="1">_xll.INSTRUMENT.Z.SPREAD(A159,ustCurve,I159,cContinuous,D159)</f>
        <v>0.47799643681972953</v>
      </c>
      <c r="N159" s="123">
        <f ca="1">_xll.INSTRUMENT.Z.SPREAD(A159,oisCurve,I159,cContinuous,D159)</f>
        <v>16.527686869788749</v>
      </c>
      <c r="O159" s="124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1.0556350213086688E-2</v>
      </c>
      <c r="P159" s="124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1.1608067591820223E-2</v>
      </c>
      <c r="Q159" s="379">
        <f ca="1">-(O159-curve!$S$3)/J159</f>
        <v>0.20954079354186161</v>
      </c>
      <c r="R159" s="381">
        <f t="shared" ca="1" si="3"/>
        <v>-317.93400107442079</v>
      </c>
      <c r="S159" s="199" t="str">
        <f>IF(F159&lt;&gt;"","",IF(G159="","",-G159*(SUMIF('bench Comparison'!$A:$A,"RESINV1USD",'bench Comparison'!$G:$G)+SUMIF('bench Comparison'!$A:$A,"RESSWAPORUSD",'bench Comparison'!$G:$G))/(36500*J159)))</f>
        <v/>
      </c>
      <c r="T159" s="210" t="str">
        <f>IF(G159&lt;&gt;"","",IF(F159="","",-36500*J159*F159/(SUMIF('bench Comparison'!$A:$A,"RESINV1USD",'bench Comparison'!$G:$G)+SUMIF('bench Comparison'!$A:$A,"RESSWAPORUSD",'bench Comparison'!$G:$G))))</f>
        <v/>
      </c>
      <c r="U159" s="125">
        <f>SUMIF('bench Comparison'!$E:$E,A159,'bench Comparison'!$N:$N)</f>
        <v>0</v>
      </c>
      <c r="V159" s="126">
        <f ca="1">VALUE(_xll.BDP($A159 &amp; " Corp",V$1))</f>
        <v>38852</v>
      </c>
      <c r="W159" s="127">
        <f ca="1">VALUE(_xll.BDP($A159 &amp; " Corp",W$1))</f>
        <v>38852</v>
      </c>
      <c r="X159" s="127">
        <f ca="1">VALUE(_xll.BDP($A159 &amp; " Corp",X$1))</f>
        <v>39036</v>
      </c>
      <c r="Y159" s="127">
        <f ca="1">VALUE(_xll.BDP($A159 &amp; " Corp",Y$1))</f>
        <v>42323</v>
      </c>
      <c r="Z159" s="127">
        <f ca="1">VALUE(_xll.BDP($A159 &amp; " Corp",Z$1))</f>
        <v>42505</v>
      </c>
      <c r="AA159" s="128">
        <f ca="1">_xll.BDP($A159 &amp; " Corp",AA$1)/100</f>
        <v>5.1249999999999997E-2</v>
      </c>
      <c r="AB159" s="129">
        <f ca="1">_xll.BDP($A159 &amp; " Corp",AB$1)</f>
        <v>23294000000</v>
      </c>
      <c r="AC159" s="130" t="str">
        <f ca="1">IF(LEFT(B159,1)="B",_xll.INSTANCE.TBILL(A159,V159,Z159,TODAY()),_xll.INSTANCE.TNOTE(A159,V159,W159,X159,Y159,Z159,AA159,TODAY()))</f>
        <v>US912828FF20#0027</v>
      </c>
    </row>
    <row r="160" spans="1:29" x14ac:dyDescent="0.2">
      <c r="A160" s="131" t="s">
        <v>230</v>
      </c>
      <c r="B160" s="115" t="str">
        <f ca="1">_xll.BDP($A160 &amp; " Govt",B$1)</f>
        <v>T 1 3/4 05/31/16</v>
      </c>
      <c r="C160" s="372"/>
      <c r="D160" s="116"/>
      <c r="E160" s="117"/>
      <c r="F160" s="118"/>
      <c r="G160" s="377"/>
      <c r="H160" s="120">
        <f ca="1">IF(E160="",_xll.BDP(A160 &amp; " Govt","YLD_YTM_ASK")/100,E160)</f>
        <v>5.5535849999999998E-3</v>
      </c>
      <c r="I160" s="121">
        <f ca="1">_xll.INSTRUMENT.PRIX(AC160,D160,H160,cTreasuries)</f>
        <v>104.61715260248394</v>
      </c>
      <c r="J160" s="122">
        <f ca="1">_xll.INSTRUMENT.DV01(A160,,,I160,cContinuous,I160)</f>
        <v>-3.9777461536890761E-2</v>
      </c>
      <c r="K160" s="123">
        <f ca="1">_xll.INSTRUMENT.CONVEXITE(A160,,,I160,cContinuous,I160)</f>
        <v>14.691261932464483</v>
      </c>
      <c r="L160" s="123">
        <f ca="1">_xll.INSTRUMENT.Z.SPREAD(A160,swapCurve,I160,cContinuous,D160)</f>
        <v>-19.76246804657352</v>
      </c>
      <c r="M160" s="123">
        <f ca="1">_xll.INSTRUMENT.Z.SPREAD(A160,ustCurve,I160,cContinuous,D160)</f>
        <v>-0.61348333305899316</v>
      </c>
      <c r="N160" s="123">
        <f ca="1">_xll.INSTRUMENT.Z.SPREAD(A160,oisCurve,I160,cContinuous,D160)</f>
        <v>15.209537481307187</v>
      </c>
      <c r="O160" s="124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1.2565722704245235E-2</v>
      </c>
      <c r="P160" s="124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1.1873143123814781E-2</v>
      </c>
      <c r="Q160" s="379">
        <f ca="1">-(O160-curve!$S$3)/J160</f>
        <v>0.27270607595265295</v>
      </c>
      <c r="R160" s="381">
        <f t="shared" ca="1" si="3"/>
        <v>-369.33633683083031</v>
      </c>
      <c r="S160" s="199" t="str">
        <f>IF(F160&lt;&gt;"","",IF(G160="","",-G160*(SUMIF('bench Comparison'!$A:$A,"RESINV1USD",'bench Comparison'!$G:$G)+SUMIF('bench Comparison'!$A:$A,"RESSWAPORUSD",'bench Comparison'!$G:$G))/(36500*J160)))</f>
        <v/>
      </c>
      <c r="T160" s="210" t="str">
        <f>IF(G160&lt;&gt;"","",IF(F160="","",-36500*J160*F160/(SUMIF('bench Comparison'!$A:$A,"RESINV1USD",'bench Comparison'!$G:$G)+SUMIF('bench Comparison'!$A:$A,"RESSWAPORUSD",'bench Comparison'!$G:$G))))</f>
        <v/>
      </c>
      <c r="U160" s="125">
        <f>SUMIF('bench Comparison'!$E:$E,A160,'bench Comparison'!$N:$N)</f>
        <v>0</v>
      </c>
      <c r="V160" s="126">
        <f ca="1">VALUE(_xll.BDP($A160 &amp; " Corp",V$1))</f>
        <v>40694</v>
      </c>
      <c r="W160" s="127">
        <f ca="1">VALUE(_xll.BDP($A160 &amp; " Corp",W$1))</f>
        <v>40694</v>
      </c>
      <c r="X160" s="127">
        <f ca="1">VALUE(_xll.BDP($A160 &amp; " Corp",X$1))</f>
        <v>40877</v>
      </c>
      <c r="Y160" s="127">
        <f ca="1">VALUE(_xll.BDP($A160 &amp; " Corp",Y$1))</f>
        <v>42338</v>
      </c>
      <c r="Z160" s="127">
        <f ca="1">VALUE(_xll.BDP($A160 &amp; " Corp",Z$1))</f>
        <v>42521</v>
      </c>
      <c r="AA160" s="128">
        <f ca="1">_xll.BDP($A160 &amp; " Corp",AA$1)/100</f>
        <v>1.7500000000000002E-2</v>
      </c>
      <c r="AB160" s="129">
        <f ca="1">_xll.BDP($A160 &amp; " Corp",AB$1)</f>
        <v>37946000000</v>
      </c>
      <c r="AC160" s="130" t="str">
        <f ca="1">IF(LEFT(B160,1)="B",_xll.INSTANCE.TBILL(A160,V160,Z160,TODAY()),_xll.INSTANCE.TNOTE(A160,V160,W160,X160,Y160,Z160,AA160,TODAY()))</f>
        <v>US912828QP82#0027</v>
      </c>
    </row>
    <row r="161" spans="1:29" x14ac:dyDescent="0.2">
      <c r="A161" s="131" t="s">
        <v>496</v>
      </c>
      <c r="B161" s="115" t="str">
        <f ca="1">_xll.BDP($A161 &amp; " Govt",B$1)</f>
        <v>T 3 1/4 05/31/16</v>
      </c>
      <c r="C161" s="372"/>
      <c r="D161" s="116"/>
      <c r="E161" s="117"/>
      <c r="F161" s="118"/>
      <c r="G161" s="377"/>
      <c r="H161" s="120">
        <f ca="1">IF(E161="",_xll.BDP(A161 &amp; " Govt","YLD_YTM_ASK")/100,E161)</f>
        <v>5.6122239999999999E-3</v>
      </c>
      <c r="I161" s="121">
        <f ca="1">_xll.INSTRUMENT.PRIX(AC161,D161,H161,cTreasuries)</f>
        <v>110.39060873694102</v>
      </c>
      <c r="J161" s="122">
        <f ca="1">_xll.INSTRUMENT.DV01(A161,,,I161,cContinuous,I161)</f>
        <v>-4.1046858553242582E-2</v>
      </c>
      <c r="K161" s="123">
        <f ca="1">_xll.INSTRUMENT.CONVEXITE(A161,,,I161,cContinuous,I161)</f>
        <v>14.223689361014252</v>
      </c>
      <c r="L161" s="123">
        <f ca="1">_xll.INSTRUMENT.Z.SPREAD(A161,swapCurve,I161,cContinuous,D161)</f>
        <v>-18.767796997799959</v>
      </c>
      <c r="M161" s="123">
        <f ca="1">_xll.INSTRUMENT.Z.SPREAD(A161,ustCurve,I161,cContinuous,D161)</f>
        <v>0.29540137037195513</v>
      </c>
      <c r="N161" s="123">
        <f ca="1">_xll.INSTRUMENT.Z.SPREAD(A161,oisCurve,I161,cContinuous,D161)</f>
        <v>16.173711934166686</v>
      </c>
      <c r="O161" s="124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1.1441988786928698E-2</v>
      </c>
      <c r="P161" s="124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1.1697732375196796E-2</v>
      </c>
      <c r="Q161" s="379">
        <f ca="1">-(O161-curve!$S$3)/J161</f>
        <v>0.23689563275965667</v>
      </c>
      <c r="R161" s="381">
        <f t="shared" ca="1" si="3"/>
        <v>-346.52321425680998</v>
      </c>
      <c r="S161" s="199" t="str">
        <f>IF(F161&lt;&gt;"","",IF(G161="","",-G161*(SUMIF('bench Comparison'!$A:$A,"RESINV1USD",'bench Comparison'!$G:$G)+SUMIF('bench Comparison'!$A:$A,"RESSWAPORUSD",'bench Comparison'!$G:$G))/(36500*J161)))</f>
        <v/>
      </c>
      <c r="T161" s="210" t="str">
        <f>IF(G161&lt;&gt;"","",IF(F161="","",-36500*J161*F161/(SUMIF('bench Comparison'!$A:$A,"RESINV1USD",'bench Comparison'!$G:$G)+SUMIF('bench Comparison'!$A:$A,"RESSWAPORUSD",'bench Comparison'!$G:$G))))</f>
        <v/>
      </c>
      <c r="U161" s="125">
        <f>SUMIF('bench Comparison'!$E:$E,A161,'bench Comparison'!$N:$N)</f>
        <v>0</v>
      </c>
      <c r="V161" s="126">
        <f ca="1">VALUE(_xll.BDP($A161 &amp; " Corp",V$1))</f>
        <v>39965</v>
      </c>
      <c r="W161" s="127">
        <f ca="1">VALUE(_xll.BDP($A161 &amp; " Corp",W$1))</f>
        <v>39964</v>
      </c>
      <c r="X161" s="127">
        <f ca="1">VALUE(_xll.BDP($A161 &amp; " Corp",X$1))</f>
        <v>40147</v>
      </c>
      <c r="Y161" s="127">
        <f ca="1">VALUE(_xll.BDP($A161 &amp; " Corp",Y$1))</f>
        <v>42338</v>
      </c>
      <c r="Z161" s="127">
        <f ca="1">VALUE(_xll.BDP($A161 &amp; " Corp",Z$1))</f>
        <v>42521</v>
      </c>
      <c r="AA161" s="128">
        <f ca="1">_xll.BDP($A161 &amp; " Corp",AA$1)/100</f>
        <v>3.2500000000000001E-2</v>
      </c>
      <c r="AB161" s="129">
        <f ca="1">_xll.BDP($A161 &amp; " Corp",AB$1)</f>
        <v>26896000000.000004</v>
      </c>
      <c r="AC161" s="130" t="str">
        <f ca="1">IF(LEFT(B161,1)="B",_xll.INSTANCE.TBILL(A161,V161,Z161,TODAY()),_xll.INSTANCE.TNOTE(A161,V161,W161,X161,Y161,Z161,AA161,TODAY()))</f>
        <v>US912828KW97#0028</v>
      </c>
    </row>
    <row r="162" spans="1:29" x14ac:dyDescent="0.2">
      <c r="A162" s="131" t="s">
        <v>497</v>
      </c>
      <c r="B162" s="115" t="str">
        <f ca="1">_xll.BDP($A162 &amp; " Govt",B$1)</f>
        <v>T 3 1/4 06/30/16</v>
      </c>
      <c r="C162" s="372"/>
      <c r="D162" s="116"/>
      <c r="E162" s="117"/>
      <c r="F162" s="118"/>
      <c r="G162" s="377"/>
      <c r="H162" s="120">
        <f ca="1">IF(E162="",_xll.BDP(A162 &amp; " Govt","YLD_YTM_ASK")/100,E162)</f>
        <v>5.716914E-3</v>
      </c>
      <c r="I162" s="121">
        <f ca="1">_xll.INSTRUMENT.PRIX(AC162,D162,H162,cTreasuries)</f>
        <v>110.56244164096005</v>
      </c>
      <c r="J162" s="122">
        <f ca="1">_xll.INSTRUMENT.DV01(A162,,,I162,cContinuous,I162)</f>
        <v>-4.191738118665575E-2</v>
      </c>
      <c r="K162" s="123">
        <f ca="1">_xll.INSTRUMENT.CONVEXITE(A162,,,I162,cContinuous,I162)</f>
        <v>14.837960823027508</v>
      </c>
      <c r="L162" s="123">
        <f ca="1">_xll.INSTRUMENT.Z.SPREAD(A162,swapCurve,I162,cContinuous,D162)</f>
        <v>-19.187974404058917</v>
      </c>
      <c r="M162" s="123">
        <f ca="1">_xll.INSTRUMENT.Z.SPREAD(A162,ustCurve,I162,cContinuous,D162)</f>
        <v>0.10546767802425716</v>
      </c>
      <c r="N162" s="123">
        <f ca="1">_xll.INSTRUMENT.Z.SPREAD(A162,oisCurve,I162,cContinuous,D162)</f>
        <v>15.764940018742275</v>
      </c>
      <c r="O162" s="124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1.1929599662631161E-2</v>
      </c>
      <c r="P162" s="124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1.2153882438180821E-2</v>
      </c>
      <c r="Q162" s="379">
        <f ca="1">-(O162-curve!$S$3)/J162</f>
        <v>0.2436085489214618</v>
      </c>
      <c r="R162" s="381">
        <f t="shared" ca="1" si="3"/>
        <v>-353.98110289750451</v>
      </c>
      <c r="S162" s="199" t="str">
        <f>IF(F162&lt;&gt;"","",IF(G162="","",-G162*(SUMIF('bench Comparison'!$A:$A,"RESINV1USD",'bench Comparison'!$G:$G)+SUMIF('bench Comparison'!$A:$A,"RESSWAPORUSD",'bench Comparison'!$G:$G))/(36500*J162)))</f>
        <v/>
      </c>
      <c r="T162" s="210" t="str">
        <f>IF(G162&lt;&gt;"","",IF(F162="","",-36500*J162*F162/(SUMIF('bench Comparison'!$A:$A,"RESINV1USD",'bench Comparison'!$G:$G)+SUMIF('bench Comparison'!$A:$A,"RESSWAPORUSD",'bench Comparison'!$G:$G))))</f>
        <v/>
      </c>
      <c r="U162" s="125">
        <f>SUMIF('bench Comparison'!$E:$E,A162,'bench Comparison'!$N:$N)</f>
        <v>0</v>
      </c>
      <c r="V162" s="126">
        <f ca="1">VALUE(_xll.BDP($A162 &amp; " Corp",V$1))</f>
        <v>39994</v>
      </c>
      <c r="W162" s="127">
        <f ca="1">VALUE(_xll.BDP($A162 &amp; " Corp",W$1))</f>
        <v>39994</v>
      </c>
      <c r="X162" s="127">
        <f ca="1">VALUE(_xll.BDP($A162 &amp; " Corp",X$1))</f>
        <v>40178</v>
      </c>
      <c r="Y162" s="127">
        <f ca="1">VALUE(_xll.BDP($A162 &amp; " Corp",Y$1))</f>
        <v>42369</v>
      </c>
      <c r="Z162" s="127">
        <f ca="1">VALUE(_xll.BDP($A162 &amp; " Corp",Z$1))</f>
        <v>42551</v>
      </c>
      <c r="AA162" s="128">
        <f ca="1">_xll.BDP($A162 &amp; " Corp",AA$1)/100</f>
        <v>3.2500000000000001E-2</v>
      </c>
      <c r="AB162" s="129">
        <f ca="1">_xll.BDP($A162 &amp; " Corp",AB$1)</f>
        <v>27784000000.000004</v>
      </c>
      <c r="AC162" s="130" t="str">
        <f ca="1">IF(LEFT(B162,1)="B",_xll.INSTANCE.TBILL(A162,V162,Z162,TODAY()),_xll.INSTANCE.TNOTE(A162,V162,W162,X162,Y162,Z162,AA162,TODAY()))</f>
        <v>US912828KZ29#0027</v>
      </c>
    </row>
    <row r="163" spans="1:29" x14ac:dyDescent="0.2">
      <c r="A163" s="131" t="s">
        <v>232</v>
      </c>
      <c r="B163" s="115" t="str">
        <f ca="1">_xll.BDP($A163 &amp; " Govt",B$1)</f>
        <v>T 1 1/2 06/30/16</v>
      </c>
      <c r="C163" s="372"/>
      <c r="D163" s="116"/>
      <c r="E163" s="117"/>
      <c r="F163" s="118"/>
      <c r="G163" s="377"/>
      <c r="H163" s="120">
        <f ca="1">IF(E163="",_xll.BDP(A163 &amp; " Govt","YLD_YTM_ASK")/100,E163)</f>
        <v>5.74809E-3</v>
      </c>
      <c r="I163" s="121">
        <f ca="1">_xll.INSTRUMENT.PRIX(AC163,D163,H163,cTreasuries)</f>
        <v>103.64841173527905</v>
      </c>
      <c r="J163" s="122">
        <f ca="1">_xll.INSTRUMENT.DV01(A163,,,I163,cContinuous,I163)</f>
        <v>-4.0365573037666504E-2</v>
      </c>
      <c r="K163" s="123">
        <f ca="1">_xll.INSTRUMENT.CONVEXITE(A163,,,I163,cContinuous,I163)</f>
        <v>15.405702776151921</v>
      </c>
      <c r="L163" s="123">
        <f ca="1">_xll.INSTRUMENT.Z.SPREAD(A163,swapCurve,I163,cContinuous,D163)</f>
        <v>-19.396760736176002</v>
      </c>
      <c r="M163" s="123">
        <f ca="1">_xll.INSTRUMENT.Z.SPREAD(A163,ustCurve,I163,cContinuous,D163)</f>
        <v>5.9818196104263407E-3</v>
      </c>
      <c r="N163" s="123">
        <f ca="1">_xll.INSTRUMENT.Z.SPREAD(A163,oisCurve,I163,cContinuous,D163)</f>
        <v>15.592807597243846</v>
      </c>
      <c r="O163" s="124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1.3299985437135904E-2</v>
      </c>
      <c r="P163" s="124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1.2402747560441969E-2</v>
      </c>
      <c r="Q163" s="379">
        <f ca="1">-(O163-curve!$S$3)/J163</f>
        <v>0.28692317012733448</v>
      </c>
      <c r="R163" s="381">
        <f t="shared" ca="1" si="3"/>
        <v>-381.65450449015873</v>
      </c>
      <c r="S163" s="199" t="str">
        <f>IF(F163&lt;&gt;"","",IF(G163="","",-G163*(SUMIF('bench Comparison'!$A:$A,"RESINV1USD",'bench Comparison'!$G:$G)+SUMIF('bench Comparison'!$A:$A,"RESSWAPORUSD",'bench Comparison'!$G:$G))/(36500*J163)))</f>
        <v/>
      </c>
      <c r="T163" s="210" t="str">
        <f>IF(G163&lt;&gt;"","",IF(F163="","",-36500*J163*F163/(SUMIF('bench Comparison'!$A:$A,"RESINV1USD",'bench Comparison'!$G:$G)+SUMIF('bench Comparison'!$A:$A,"RESSWAPORUSD",'bench Comparison'!$G:$G))))</f>
        <v/>
      </c>
      <c r="U163" s="125">
        <f>SUMIF('bench Comparison'!$E:$E,A163,'bench Comparison'!$N:$N)</f>
        <v>0</v>
      </c>
      <c r="V163" s="126">
        <f ca="1">VALUE(_xll.BDP($A163 &amp; " Corp",V$1))</f>
        <v>40724</v>
      </c>
      <c r="W163" s="127">
        <f ca="1">VALUE(_xll.BDP($A163 &amp; " Corp",W$1))</f>
        <v>40724</v>
      </c>
      <c r="X163" s="127">
        <f ca="1">VALUE(_xll.BDP($A163 &amp; " Corp",X$1))</f>
        <v>40908</v>
      </c>
      <c r="Y163" s="127">
        <f ca="1">VALUE(_xll.BDP($A163 &amp; " Corp",Y$1))</f>
        <v>42369</v>
      </c>
      <c r="Z163" s="127">
        <f ca="1">VALUE(_xll.BDP($A163 &amp; " Corp",Z$1))</f>
        <v>42551</v>
      </c>
      <c r="AA163" s="128">
        <f ca="1">_xll.BDP($A163 &amp; " Corp",AA$1)/100</f>
        <v>1.4999999999999999E-2</v>
      </c>
      <c r="AB163" s="129">
        <f ca="1">_xll.BDP($A163 &amp; " Corp",AB$1)</f>
        <v>36127000000</v>
      </c>
      <c r="AC163" s="130" t="str">
        <f ca="1">IF(LEFT(B163,1)="B",_xll.INSTANCE.TBILL(A163,V163,Z163,TODAY()),_xll.INSTANCE.TNOTE(A163,V163,W163,X163,Y163,Z163,AA163,TODAY()))</f>
        <v>US912828QR49#0028</v>
      </c>
    </row>
    <row r="164" spans="1:29" x14ac:dyDescent="0.2">
      <c r="A164" s="131" t="s">
        <v>234</v>
      </c>
      <c r="B164" s="115" t="str">
        <f ca="1">_xll.BDP($A164 &amp; " Govt",B$1)</f>
        <v>T 1 1/2 07/31/16</v>
      </c>
      <c r="C164" s="372"/>
      <c r="D164" s="116"/>
      <c r="E164" s="117"/>
      <c r="F164" s="118"/>
      <c r="G164" s="377"/>
      <c r="H164" s="120">
        <f ca="1">IF(E164="",_xll.BDP(A164 &amp; " Govt","YLD_YTM_ASK")/100,E164)</f>
        <v>5.8966669999999995E-3</v>
      </c>
      <c r="I164" s="121">
        <f ca="1">_xll.INSTRUMENT.PRIX(AC164,D164,H164,cTreasuries)</f>
        <v>103.66422086323534</v>
      </c>
      <c r="J164" s="122">
        <f ca="1">_xll.INSTRUMENT.DV01(A164,,,I164,cContinuous,I164)</f>
        <v>-4.1232115454386438E-2</v>
      </c>
      <c r="K164" s="123">
        <f ca="1">_xll.INSTRUMENT.CONVEXITE(A164,,,I164,cContinuous,I164)</f>
        <v>15.978234188575701</v>
      </c>
      <c r="L164" s="123">
        <f ca="1">_xll.INSTRUMENT.Z.SPREAD(A164,swapCurve,I164,cContinuous,D164)</f>
        <v>-19.561269498985215</v>
      </c>
      <c r="M164" s="123">
        <f ca="1">_xll.INSTRUMENT.Z.SPREAD(A164,ustCurve,I164,cContinuous,D164)</f>
        <v>8.2897340791787302E-2</v>
      </c>
      <c r="N164" s="123">
        <f ca="1">_xll.INSTRUMENT.Z.SPREAD(A164,oisCurve,I164,cContinuous,D164)</f>
        <v>15.438944204027173</v>
      </c>
      <c r="O164" s="124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1.4002640809651428E-2</v>
      </c>
      <c r="P164" s="124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1.2847867504666528E-2</v>
      </c>
      <c r="Q164" s="379">
        <f ca="1">-(O164-curve!$S$3)/J164</f>
        <v>0.29793459338944456</v>
      </c>
      <c r="R164" s="381">
        <f t="shared" ca="1" si="3"/>
        <v>-387.51914648308139</v>
      </c>
      <c r="S164" s="199" t="str">
        <f>IF(F164&lt;&gt;"","",IF(G164="","",-G164*(SUMIF('bench Comparison'!$A:$A,"RESINV1USD",'bench Comparison'!$G:$G)+SUMIF('bench Comparison'!$A:$A,"RESSWAPORUSD",'bench Comparison'!$G:$G))/(36500*J164)))</f>
        <v/>
      </c>
      <c r="T164" s="210" t="str">
        <f>IF(G164&lt;&gt;"","",IF(F164="","",-36500*J164*F164/(SUMIF('bench Comparison'!$A:$A,"RESINV1USD",'bench Comparison'!$G:$G)+SUMIF('bench Comparison'!$A:$A,"RESSWAPORUSD",'bench Comparison'!$G:$G))))</f>
        <v/>
      </c>
      <c r="U164" s="125">
        <f>SUMIF('bench Comparison'!$E:$E,A164,'bench Comparison'!$N:$N)</f>
        <v>0</v>
      </c>
      <c r="V164" s="126">
        <f ca="1">VALUE(_xll.BDP($A164 &amp; " Corp",V$1))</f>
        <v>40756</v>
      </c>
      <c r="W164" s="127">
        <f ca="1">VALUE(_xll.BDP($A164 &amp; " Corp",W$1))</f>
        <v>40755</v>
      </c>
      <c r="X164" s="127">
        <f ca="1">VALUE(_xll.BDP($A164 &amp; " Corp",X$1))</f>
        <v>40939</v>
      </c>
      <c r="Y164" s="127">
        <f ca="1">VALUE(_xll.BDP($A164 &amp; " Corp",Y$1))</f>
        <v>42400</v>
      </c>
      <c r="Z164" s="127">
        <f ca="1">VALUE(_xll.BDP($A164 &amp; " Corp",Z$1))</f>
        <v>42582</v>
      </c>
      <c r="AA164" s="128">
        <f ca="1">_xll.BDP($A164 &amp; " Corp",AA$1)/100</f>
        <v>1.4999999999999999E-2</v>
      </c>
      <c r="AB164" s="129">
        <f ca="1">_xll.BDP($A164 &amp; " Corp",AB$1)</f>
        <v>36041000000</v>
      </c>
      <c r="AC164" s="130" t="str">
        <f ca="1">IF(LEFT(B164,1)="B",_xll.INSTANCE.TBILL(A164,V164,Z164,TODAY()),_xll.INSTANCE.TNOTE(A164,V164,W164,X164,Y164,Z164,AA164,TODAY()))</f>
        <v>US912828QX17#0028</v>
      </c>
    </row>
    <row r="165" spans="1:29" x14ac:dyDescent="0.2">
      <c r="A165" s="131" t="s">
        <v>498</v>
      </c>
      <c r="B165" s="115" t="str">
        <f ca="1">_xll.BDP($A165 &amp; " Govt",B$1)</f>
        <v>T 3 1/4 07/31/16</v>
      </c>
      <c r="C165" s="372"/>
      <c r="D165" s="116"/>
      <c r="E165" s="117"/>
      <c r="F165" s="118"/>
      <c r="G165" s="377"/>
      <c r="H165" s="120">
        <f ca="1">IF(E165="",_xll.BDP(A165 &amp; " Govt","YLD_YTM_ASK")/100,E165)</f>
        <v>5.852884E-3</v>
      </c>
      <c r="I165" s="121">
        <f ca="1">_xll.INSTRUMENT.PRIX(AC165,D165,H165,cTreasuries)</f>
        <v>110.72669388324871</v>
      </c>
      <c r="J165" s="122">
        <f ca="1">_xll.INSTRUMENT.DV01(A165,,,I165,cContinuous,I165)</f>
        <v>-4.2851103395206071E-2</v>
      </c>
      <c r="K165" s="123">
        <f ca="1">_xll.INSTRUMENT.CONVEXITE(A165,,,I165,cContinuous,I165)</f>
        <v>15.283022390267346</v>
      </c>
      <c r="L165" s="123">
        <f ca="1">_xll.INSTRUMENT.Z.SPREAD(A165,swapCurve,I165,cContinuous,D165)</f>
        <v>-19.432232214795839</v>
      </c>
      <c r="M165" s="123">
        <f ca="1">_xll.INSTRUMENT.Z.SPREAD(A165,ustCurve,I165,cContinuous,D165)</f>
        <v>9.4703003551935699E-2</v>
      </c>
      <c r="N165" s="123">
        <f ca="1">_xll.INSTRUMENT.Z.SPREAD(A165,oisCurve,I165,cContinuous,D165)</f>
        <v>15.528095364877533</v>
      </c>
      <c r="O165" s="124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1.2436293135456486E-2</v>
      </c>
      <c r="P165" s="124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1.2515237757141731E-2</v>
      </c>
      <c r="Q165" s="379">
        <f ca="1">-(O165-curve!$S$3)/J165</f>
        <v>0.25012485161568548</v>
      </c>
      <c r="R165" s="381">
        <f t="shared" ca="1" si="3"/>
        <v>-356.65411574856017</v>
      </c>
      <c r="S165" s="199" t="str">
        <f>IF(F165&lt;&gt;"","",IF(G165="","",-G165*(SUMIF('bench Comparison'!$A:$A,"RESINV1USD",'bench Comparison'!$G:$G)+SUMIF('bench Comparison'!$A:$A,"RESSWAPORUSD",'bench Comparison'!$G:$G))/(36500*J165)))</f>
        <v/>
      </c>
      <c r="T165" s="210" t="str">
        <f>IF(G165&lt;&gt;"","",IF(F165="","",-36500*J165*F165/(SUMIF('bench Comparison'!$A:$A,"RESINV1USD",'bench Comparison'!$G:$G)+SUMIF('bench Comparison'!$A:$A,"RESSWAPORUSD",'bench Comparison'!$G:$G))))</f>
        <v/>
      </c>
      <c r="U165" s="125">
        <f>SUMIF('bench Comparison'!$E:$E,A165,'bench Comparison'!$N:$N)</f>
        <v>0</v>
      </c>
      <c r="V165" s="126">
        <f ca="1">VALUE(_xll.BDP($A165 &amp; " Corp",V$1))</f>
        <v>40025</v>
      </c>
      <c r="W165" s="127">
        <f ca="1">VALUE(_xll.BDP($A165 &amp; " Corp",W$1))</f>
        <v>40025</v>
      </c>
      <c r="X165" s="127">
        <f ca="1">VALUE(_xll.BDP($A165 &amp; " Corp",X$1))</f>
        <v>40209</v>
      </c>
      <c r="Y165" s="127">
        <f ca="1">VALUE(_xll.BDP($A165 &amp; " Corp",Y$1))</f>
        <v>42400</v>
      </c>
      <c r="Z165" s="127">
        <f ca="1">VALUE(_xll.BDP($A165 &amp; " Corp",Z$1))</f>
        <v>42582</v>
      </c>
      <c r="AA165" s="128">
        <f ca="1">_xll.BDP($A165 &amp; " Corp",AA$1)/100</f>
        <v>3.2500000000000001E-2</v>
      </c>
      <c r="AB165" s="129">
        <f ca="1">_xll.BDP($A165 &amp; " Corp",AB$1)</f>
        <v>28701000000</v>
      </c>
      <c r="AC165" s="130" t="str">
        <f ca="1">IF(LEFT(B165,1)="B",_xll.INSTANCE.TBILL(A165,V165,Z165,TODAY()),_xll.INSTANCE.TNOTE(A165,V165,W165,X165,Y165,Z165,AA165,TODAY()))</f>
        <v>US912828LD08#0028</v>
      </c>
    </row>
    <row r="166" spans="1:29" x14ac:dyDescent="0.2">
      <c r="A166" s="131" t="s">
        <v>499</v>
      </c>
      <c r="B166" s="115" t="str">
        <f ca="1">_xll.BDP($A166 &amp; " Govt",B$1)</f>
        <v>T 4 7/8 08/15/16</v>
      </c>
      <c r="C166" s="372"/>
      <c r="D166" s="116"/>
      <c r="E166" s="117"/>
      <c r="F166" s="118"/>
      <c r="G166" s="377"/>
      <c r="H166" s="120">
        <f ca="1">IF(E166="",_xll.BDP(A166 &amp; " Govt","YLD_YTM_ASK")/100,E166)</f>
        <v>5.9810540000000004E-3</v>
      </c>
      <c r="I166" s="121">
        <f ca="1">_xll.INSTRUMENT.PRIX(AC166,D166,H166,cTreasuries)</f>
        <v>117.3830447447416</v>
      </c>
      <c r="J166" s="122">
        <f ca="1">_xll.INSTRUMENT.DV01(A166,,,I166,cContinuous,I166)</f>
        <v>-4.4779270329863896E-2</v>
      </c>
      <c r="K166" s="123">
        <f ca="1">_xll.INSTRUMENT.CONVEXITE(A166,,,I166,cContinuous,I166)</f>
        <v>15.006771649263454</v>
      </c>
      <c r="L166" s="123">
        <f ca="1">_xll.INSTRUMENT.Z.SPREAD(A166,swapCurve,I166,cContinuous,D166)</f>
        <v>-18.304952785400129</v>
      </c>
      <c r="M166" s="123">
        <f ca="1">_xll.INSTRUMENT.Z.SPREAD(A166,ustCurve,I166,cContinuous,D166)</f>
        <v>1.2186498887067554</v>
      </c>
      <c r="N166" s="123">
        <f ca="1">_xll.INSTRUMENT.Z.SPREAD(A166,oisCurve,I166,cContinuous,D166)</f>
        <v>16.624270978977471</v>
      </c>
      <c r="O166" s="124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1.1025610267808829E-2</v>
      </c>
      <c r="P166" s="124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1.2309258899022504E-2</v>
      </c>
      <c r="Q166" s="379">
        <f ca="1">-(O166-curve!$S$3)/J166</f>
        <v>0.20785160057508573</v>
      </c>
      <c r="R166" s="381">
        <f t="shared" ca="1" si="3"/>
        <v>-335.12765033277543</v>
      </c>
      <c r="S166" s="199" t="str">
        <f>IF(F166&lt;&gt;"","",IF(G166="","",-G166*(SUMIF('bench Comparison'!$A:$A,"RESINV1USD",'bench Comparison'!$G:$G)+SUMIF('bench Comparison'!$A:$A,"RESSWAPORUSD",'bench Comparison'!$G:$G))/(36500*J166)))</f>
        <v/>
      </c>
      <c r="T166" s="210" t="str">
        <f>IF(G166&lt;&gt;"","",IF(F166="","",-36500*J166*F166/(SUMIF('bench Comparison'!$A:$A,"RESINV1USD",'bench Comparison'!$G:$G)+SUMIF('bench Comparison'!$A:$A,"RESSWAPORUSD",'bench Comparison'!$G:$G))))</f>
        <v/>
      </c>
      <c r="U166" s="125">
        <f>SUMIF('bench Comparison'!$E:$E,A166,'bench Comparison'!$N:$N)</f>
        <v>0</v>
      </c>
      <c r="V166" s="126">
        <f ca="1">VALUE(_xll.BDP($A166 &amp; " Corp",V$1))</f>
        <v>38944</v>
      </c>
      <c r="W166" s="127">
        <f ca="1">VALUE(_xll.BDP($A166 &amp; " Corp",W$1))</f>
        <v>38944</v>
      </c>
      <c r="X166" s="127">
        <f ca="1">VALUE(_xll.BDP($A166 &amp; " Corp",X$1))</f>
        <v>39128</v>
      </c>
      <c r="Y166" s="127">
        <f ca="1">VALUE(_xll.BDP($A166 &amp; " Corp",Y$1))</f>
        <v>42415</v>
      </c>
      <c r="Z166" s="127">
        <f ca="1">VALUE(_xll.BDP($A166 &amp; " Corp",Z$1))</f>
        <v>42597</v>
      </c>
      <c r="AA166" s="128">
        <f ca="1">_xll.BDP($A166 &amp; " Corp",AA$1)/100</f>
        <v>4.8750000000000002E-2</v>
      </c>
      <c r="AB166" s="129">
        <f ca="1">_xll.BDP($A166 &amp; " Corp",AB$1)</f>
        <v>22557000000</v>
      </c>
      <c r="AC166" s="130" t="str">
        <f ca="1">IF(LEFT(B166,1)="B",_xll.INSTANCE.TBILL(A166,V166,Z166,TODAY()),_xll.INSTANCE.TNOTE(A166,V166,W166,X166,Y166,Z166,AA166,TODAY()))</f>
        <v>US912828FQ84#0028</v>
      </c>
    </row>
    <row r="167" spans="1:29" x14ac:dyDescent="0.2">
      <c r="A167" s="131" t="s">
        <v>500</v>
      </c>
      <c r="B167" s="115" t="str">
        <f ca="1">_xll.BDP($A167 &amp; " Govt",B$1)</f>
        <v>T 3 08/31/16</v>
      </c>
      <c r="C167" s="372"/>
      <c r="D167" s="116"/>
      <c r="E167" s="117"/>
      <c r="F167" s="118"/>
      <c r="G167" s="377"/>
      <c r="H167" s="120">
        <f ca="1">IF(E167="",_xll.BDP(A167 &amp; " Govt","YLD_YTM_ASK")/100,E167)</f>
        <v>5.9660519999999995E-3</v>
      </c>
      <c r="I167" s="121">
        <f ca="1">_xll.INSTRUMENT.PRIX(AC167,D167,H167,cTreasuries)</f>
        <v>109.86665848912118</v>
      </c>
      <c r="J167" s="122">
        <f ca="1">_xll.INSTRUMENT.DV01(A167,,,I167,cContinuous,I167)</f>
        <v>-4.3489650735908554E-2</v>
      </c>
      <c r="K167" s="123">
        <f ca="1">_xll.INSTRUMENT.CONVEXITE(A167,,,I167,cContinuous,I167)</f>
        <v>16.012171569721936</v>
      </c>
      <c r="L167" s="123">
        <f ca="1">_xll.INSTRUMENT.Z.SPREAD(A167,swapCurve,I167,cContinuous,D167)</f>
        <v>-19.826745042286174</v>
      </c>
      <c r="M167" s="123">
        <f ca="1">_xll.INSTRUMENT.Z.SPREAD(A167,ustCurve,I167,cContinuous,D167)</f>
        <v>-7.0674180532482186E-2</v>
      </c>
      <c r="N167" s="123">
        <f ca="1">_xll.INSTRUMENT.Z.SPREAD(A167,oisCurve,I167,cContinuous,D167)</f>
        <v>15.149590566099846</v>
      </c>
      <c r="O167" s="124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1.2851769177521691E-2</v>
      </c>
      <c r="P167" s="124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1.2672253256512061E-2</v>
      </c>
      <c r="Q167" s="379">
        <f ca="1">-(O167-curve!$S$3)/J167</f>
        <v>0.25600577912130074</v>
      </c>
      <c r="R167" s="381">
        <f t="shared" ca="1" si="3"/>
        <v>-368.18349420546161</v>
      </c>
      <c r="S167" s="199" t="str">
        <f>IF(F167&lt;&gt;"","",IF(G167="","",-G167*(SUMIF('bench Comparison'!$A:$A,"RESINV1USD",'bench Comparison'!$G:$G)+SUMIF('bench Comparison'!$A:$A,"RESSWAPORUSD",'bench Comparison'!$G:$G))/(36500*J167)))</f>
        <v/>
      </c>
      <c r="T167" s="210" t="str">
        <f>IF(G167&lt;&gt;"","",IF(F167="","",-36500*J167*F167/(SUMIF('bench Comparison'!$A:$A,"RESINV1USD",'bench Comparison'!$G:$G)+SUMIF('bench Comparison'!$A:$A,"RESSWAPORUSD",'bench Comparison'!$G:$G))))</f>
        <v/>
      </c>
      <c r="U167" s="125">
        <f>SUMIF('bench Comparison'!$E:$E,A167,'bench Comparison'!$N:$N)</f>
        <v>0</v>
      </c>
      <c r="V167" s="126">
        <f ca="1">VALUE(_xll.BDP($A167 &amp; " Corp",V$1))</f>
        <v>40056</v>
      </c>
      <c r="W167" s="127">
        <f ca="1">VALUE(_xll.BDP($A167 &amp; " Corp",W$1))</f>
        <v>40056</v>
      </c>
      <c r="X167" s="127">
        <f ca="1">VALUE(_xll.BDP($A167 &amp; " Corp",X$1))</f>
        <v>40237</v>
      </c>
      <c r="Y167" s="127">
        <f ca="1">VALUE(_xll.BDP($A167 &amp; " Corp",Y$1))</f>
        <v>42429</v>
      </c>
      <c r="Z167" s="127">
        <f ca="1">VALUE(_xll.BDP($A167 &amp; " Corp",Z$1))</f>
        <v>42613</v>
      </c>
      <c r="AA167" s="128">
        <f ca="1">_xll.BDP($A167 &amp; " Corp",AA$1)/100</f>
        <v>0.03</v>
      </c>
      <c r="AB167" s="129">
        <f ca="1">_xll.BDP($A167 &amp; " Corp",AB$1)</f>
        <v>28843000000.000004</v>
      </c>
      <c r="AC167" s="130" t="str">
        <f ca="1">IF(LEFT(B167,1)="B",_xll.INSTANCE.TBILL(A167,V167,Z167,TODAY()),_xll.INSTANCE.TNOTE(A167,V167,W167,X167,Y167,Z167,AA167,TODAY()))</f>
        <v>US912828LL24#0027</v>
      </c>
    </row>
    <row r="168" spans="1:29" x14ac:dyDescent="0.2">
      <c r="A168" s="131" t="s">
        <v>236</v>
      </c>
      <c r="B168" s="115" t="str">
        <f ca="1">_xll.BDP($A168 &amp; " Govt",B$1)</f>
        <v>T 1 08/31/16</v>
      </c>
      <c r="C168" s="372"/>
      <c r="D168" s="116"/>
      <c r="E168" s="117"/>
      <c r="F168" s="118"/>
      <c r="G168" s="377"/>
      <c r="H168" s="120">
        <f ca="1">IF(E168="",_xll.BDP(A168 &amp; " Govt","YLD_YTM_ASK")/100,E168)</f>
        <v>6.0221650000000003E-3</v>
      </c>
      <c r="I168" s="121">
        <f ca="1">_xll.INSTRUMENT.PRIX(AC168,D168,H168,cTreasuries)</f>
        <v>101.63221204574864</v>
      </c>
      <c r="J168" s="122">
        <f ca="1">_xll.INSTRUMENT.DV01(A168,,,I168,cContinuous,I168)</f>
        <v>-4.1566295272970184E-2</v>
      </c>
      <c r="K168" s="123">
        <f ca="1">_xll.INSTRUMENT.CONVEXITE(A168,,,I168,cContinuous,I168)</f>
        <v>16.857711265384395</v>
      </c>
      <c r="L168" s="123">
        <f ca="1">_xll.INSTRUMENT.Z.SPREAD(A168,swapCurve,I168,cContinuous,D168)</f>
        <v>-19.968984586839518</v>
      </c>
      <c r="M168" s="123">
        <f ca="1">_xll.INSTRUMENT.Z.SPREAD(A168,ustCurve,I168,cContinuous,D168)</f>
        <v>-7.3582786641397016E-2</v>
      </c>
      <c r="N168" s="123">
        <f ca="1">_xll.INSTRUMENT.Z.SPREAD(A168,oisCurve,I168,cContinuous,D168)</f>
        <v>15.053439418113649</v>
      </c>
      <c r="O168" s="124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1.4494432555700537E-2</v>
      </c>
      <c r="P168" s="124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1.3111351643469341E-2</v>
      </c>
      <c r="Q168" s="379">
        <f ca="1">-(O168-curve!$S$3)/J168</f>
        <v>0.30737079681110147</v>
      </c>
      <c r="R168" s="381">
        <f t="shared" ca="1" si="3"/>
        <v>-405.56203420771692</v>
      </c>
      <c r="S168" s="199" t="str">
        <f>IF(F168&lt;&gt;"","",IF(G168="","",-G168*(SUMIF('bench Comparison'!$A:$A,"RESINV1USD",'bench Comparison'!$G:$G)+SUMIF('bench Comparison'!$A:$A,"RESSWAPORUSD",'bench Comparison'!$G:$G))/(36500*J168)))</f>
        <v/>
      </c>
      <c r="T168" s="210" t="str">
        <f>IF(G168&lt;&gt;"","",IF(F168="","",-36500*J168*F168/(SUMIF('bench Comparison'!$A:$A,"RESINV1USD",'bench Comparison'!$G:$G)+SUMIF('bench Comparison'!$A:$A,"RESSWAPORUSD",'bench Comparison'!$G:$G))))</f>
        <v/>
      </c>
      <c r="U168" s="125">
        <f>SUMIF('bench Comparison'!$E:$E,A168,'bench Comparison'!$N:$N)</f>
        <v>0</v>
      </c>
      <c r="V168" s="126">
        <f ca="1">VALUE(_xll.BDP($A168 &amp; " Corp",V$1))</f>
        <v>40786</v>
      </c>
      <c r="W168" s="127">
        <f ca="1">VALUE(_xll.BDP($A168 &amp; " Corp",W$1))</f>
        <v>40786</v>
      </c>
      <c r="X168" s="127">
        <f ca="1">VALUE(_xll.BDP($A168 &amp; " Corp",X$1))</f>
        <v>40968</v>
      </c>
      <c r="Y168" s="127">
        <f ca="1">VALUE(_xll.BDP($A168 &amp; " Corp",Y$1))</f>
        <v>42429</v>
      </c>
      <c r="Z168" s="127">
        <f ca="1">VALUE(_xll.BDP($A168 &amp; " Corp",Z$1))</f>
        <v>42613</v>
      </c>
      <c r="AA168" s="128">
        <f ca="1">_xll.BDP($A168 &amp; " Corp",AA$1)/100</f>
        <v>0.01</v>
      </c>
      <c r="AB168" s="129">
        <f ca="1">_xll.BDP($A168 &amp; " Corp",AB$1)</f>
        <v>36070000000</v>
      </c>
      <c r="AC168" s="130" t="str">
        <f ca="1">IF(LEFT(B168,1)="B",_xll.INSTANCE.TBILL(A168,V168,Z168,TODAY()),_xll.INSTANCE.TNOTE(A168,V168,W168,X168,Y168,Z168,AA168,TODAY()))</f>
        <v>US912828RF91#0027</v>
      </c>
    </row>
    <row r="169" spans="1:29" x14ac:dyDescent="0.2">
      <c r="A169" s="131" t="s">
        <v>501</v>
      </c>
      <c r="B169" s="115" t="str">
        <f ca="1">_xll.BDP($A169 &amp; " Govt",B$1)</f>
        <v>T 3 09/30/16</v>
      </c>
      <c r="C169" s="372"/>
      <c r="D169" s="116"/>
      <c r="E169" s="117"/>
      <c r="F169" s="118"/>
      <c r="G169" s="377"/>
      <c r="H169" s="120">
        <f ca="1">IF(E169="",_xll.BDP(A169 &amp; " Govt","YLD_YTM_ASK")/100,E169)</f>
        <v>6.1570820000000004E-3</v>
      </c>
      <c r="I169" s="121">
        <f ca="1">_xll.INSTRUMENT.PRIX(AC169,D169,H169,cTreasuries)</f>
        <v>109.97650225509986</v>
      </c>
      <c r="J169" s="122">
        <f ca="1">_xll.INSTRUMENT.DV01(A169,,,I169,cContinuous,I169)</f>
        <v>-4.4341398496044925E-2</v>
      </c>
      <c r="K169" s="123">
        <f ca="1">_xll.INSTRUMENT.CONVEXITE(A169,,,I169,cContinuous,I169)</f>
        <v>16.661053555214615</v>
      </c>
      <c r="L169" s="123">
        <f ca="1">_xll.INSTRUMENT.Z.SPREAD(A169,swapCurve,I169,cContinuous,D169)</f>
        <v>-19.415315315726605</v>
      </c>
      <c r="M169" s="123">
        <f ca="1">_xll.INSTRUMENT.Z.SPREAD(A169,ustCurve,I169,cContinuous,D169)</f>
        <v>0.54292481993247754</v>
      </c>
      <c r="N169" s="123">
        <f ca="1">_xll.INSTRUMENT.Z.SPREAD(A169,oisCurve,I169,cContinuous,D169)</f>
        <v>15.57602181953774</v>
      </c>
      <c r="O169" s="124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1.3082230448054486E-2</v>
      </c>
      <c r="P169" s="124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1.3039606099226298E-2</v>
      </c>
      <c r="Q169" s="379">
        <f ca="1">-(O169-curve!$S$3)/J169</f>
        <v>0.25628562869765925</v>
      </c>
      <c r="R169" s="381">
        <f t="shared" ca="1" si="3"/>
        <v>-375.74488221657498</v>
      </c>
      <c r="S169" s="199" t="str">
        <f>IF(F169&lt;&gt;"","",IF(G169="","",-G169*(SUMIF('bench Comparison'!$A:$A,"RESINV1USD",'bench Comparison'!$G:$G)+SUMIF('bench Comparison'!$A:$A,"RESSWAPORUSD",'bench Comparison'!$G:$G))/(36500*J169)))</f>
        <v/>
      </c>
      <c r="T169" s="210" t="str">
        <f>IF(G169&lt;&gt;"","",IF(F169="","",-36500*J169*F169/(SUMIF('bench Comparison'!$A:$A,"RESINV1USD",'bench Comparison'!$G:$G)+SUMIF('bench Comparison'!$A:$A,"RESSWAPORUSD",'bench Comparison'!$G:$G))))</f>
        <v/>
      </c>
      <c r="U169" s="125">
        <f>SUMIF('bench Comparison'!$E:$E,A169,'bench Comparison'!$N:$N)</f>
        <v>0</v>
      </c>
      <c r="V169" s="126">
        <f ca="1">VALUE(_xll.BDP($A169 &amp; " Corp",V$1))</f>
        <v>40086</v>
      </c>
      <c r="W169" s="127">
        <f ca="1">VALUE(_xll.BDP($A169 &amp; " Corp",W$1))</f>
        <v>40086</v>
      </c>
      <c r="X169" s="127">
        <f ca="1">VALUE(_xll.BDP($A169 &amp; " Corp",X$1))</f>
        <v>40268</v>
      </c>
      <c r="Y169" s="127">
        <f ca="1">VALUE(_xll.BDP($A169 &amp; " Corp",Y$1))</f>
        <v>42460</v>
      </c>
      <c r="Z169" s="127">
        <f ca="1">VALUE(_xll.BDP($A169 &amp; " Corp",Z$1))</f>
        <v>42643</v>
      </c>
      <c r="AA169" s="128">
        <f ca="1">_xll.BDP($A169 &amp; " Corp",AA$1)/100</f>
        <v>0.03</v>
      </c>
      <c r="AB169" s="129">
        <f ca="1">_xll.BDP($A169 &amp; " Corp",AB$1)</f>
        <v>29514000000</v>
      </c>
      <c r="AC169" s="130" t="str">
        <f ca="1">IF(LEFT(B169,1)="B",_xll.INSTANCE.TBILL(A169,V169,Z169,TODAY()),_xll.INSTANCE.TNOTE(A169,V169,W169,X169,Y169,Z169,AA169,TODAY()))</f>
        <v>US912828LP38#0027</v>
      </c>
    </row>
    <row r="170" spans="1:29" x14ac:dyDescent="0.2">
      <c r="A170" s="131" t="s">
        <v>238</v>
      </c>
      <c r="B170" s="115" t="str">
        <f ca="1">_xll.BDP($A170 &amp; " Govt",B$1)</f>
        <v>T 1 09/30/16</v>
      </c>
      <c r="C170" s="372"/>
      <c r="D170" s="116"/>
      <c r="E170" s="117"/>
      <c r="F170" s="118"/>
      <c r="G170" s="377"/>
      <c r="H170" s="120">
        <f ca="1">IF(E170="",_xll.BDP(A170 &amp; " Govt","YLD_YTM_ASK")/100,E170)</f>
        <v>6.1350610000000007E-3</v>
      </c>
      <c r="I170" s="121">
        <f ca="1">_xll.INSTRUMENT.PRIX(AC170,D170,H170,cTreasuries)</f>
        <v>101.6170886891489</v>
      </c>
      <c r="J170" s="122">
        <f ca="1">_xll.INSTRUMENT.DV01(A170,,,I170,cContinuous,I170)</f>
        <v>-4.2361016198004836E-2</v>
      </c>
      <c r="K170" s="123">
        <f ca="1">_xll.INSTRUMENT.CONVEXITE(A170,,,I170,cContinuous,I170)</f>
        <v>17.532467504449404</v>
      </c>
      <c r="L170" s="123">
        <f ca="1">_xll.INSTRUMENT.Z.SPREAD(A170,swapCurve,I170,cContinuous,D170)</f>
        <v>-20.378352543397913</v>
      </c>
      <c r="M170" s="123">
        <f ca="1">_xll.INSTRUMENT.Z.SPREAD(A170,ustCurve,I170,cContinuous,D170)</f>
        <v>-0.28147596694578042</v>
      </c>
      <c r="N170" s="123">
        <f ca="1">_xll.INSTRUMENT.Z.SPREAD(A170,oisCurve,I170,cContinuous,D170)</f>
        <v>14.653046199400629</v>
      </c>
      <c r="O170" s="124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1.4774366980748618E-2</v>
      </c>
      <c r="P170" s="124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1.3414176824757618E-2</v>
      </c>
      <c r="Q170" s="379">
        <f ca="1">-(O170-curve!$S$3)/J170</f>
        <v>0.30821261847352427</v>
      </c>
      <c r="R170" s="381">
        <f t="shared" ca="1" si="3"/>
        <v>-413.8821274376125</v>
      </c>
      <c r="S170" s="199" t="str">
        <f>IF(F170&lt;&gt;"","",IF(G170="","",-G170*(SUMIF('bench Comparison'!$A:$A,"RESINV1USD",'bench Comparison'!$G:$G)+SUMIF('bench Comparison'!$A:$A,"RESSWAPORUSD",'bench Comparison'!$G:$G))/(36500*J170)))</f>
        <v/>
      </c>
      <c r="T170" s="210" t="str">
        <f>IF(G170&lt;&gt;"","",IF(F170="","",-36500*J170*F170/(SUMIF('bench Comparison'!$A:$A,"RESINV1USD",'bench Comparison'!$G:$G)+SUMIF('bench Comparison'!$A:$A,"RESSWAPORUSD",'bench Comparison'!$G:$G))))</f>
        <v/>
      </c>
      <c r="U170" s="125">
        <f>SUMIF('bench Comparison'!$E:$E,A170,'bench Comparison'!$N:$N)</f>
        <v>0</v>
      </c>
      <c r="V170" s="126">
        <f ca="1">VALUE(_xll.BDP($A170 &amp; " Corp",V$1))</f>
        <v>40816</v>
      </c>
      <c r="W170" s="127">
        <f ca="1">VALUE(_xll.BDP($A170 &amp; " Corp",W$1))</f>
        <v>40816</v>
      </c>
      <c r="X170" s="127">
        <f ca="1">VALUE(_xll.BDP($A170 &amp; " Corp",X$1))</f>
        <v>40999</v>
      </c>
      <c r="Y170" s="127">
        <f ca="1">VALUE(_xll.BDP($A170 &amp; " Corp",Y$1))</f>
        <v>42460</v>
      </c>
      <c r="Z170" s="127">
        <f ca="1">VALUE(_xll.BDP($A170 &amp; " Corp",Z$1))</f>
        <v>42643</v>
      </c>
      <c r="AA170" s="128">
        <f ca="1">_xll.BDP($A170 &amp; " Corp",AA$1)/100</f>
        <v>0.01</v>
      </c>
      <c r="AB170" s="129">
        <f ca="1">_xll.BDP($A170 &amp; " Corp",AB$1)</f>
        <v>36090000000</v>
      </c>
      <c r="AC170" s="130" t="str">
        <f ca="1">IF(LEFT(B170,1)="B",_xll.INSTANCE.TBILL(A170,V170,Z170,TODAY()),_xll.INSTANCE.TNOTE(A170,V170,W170,X170,Y170,Z170,AA170,TODAY()))</f>
        <v>US912828RJ14#0028</v>
      </c>
    </row>
    <row r="171" spans="1:29" x14ac:dyDescent="0.2">
      <c r="A171" s="131" t="s">
        <v>240</v>
      </c>
      <c r="B171" s="115" t="str">
        <f ca="1">_xll.BDP($A171 &amp; " Govt",B$1)</f>
        <v>T 1 10/31/16</v>
      </c>
      <c r="C171" s="372"/>
      <c r="D171" s="116"/>
      <c r="E171" s="117"/>
      <c r="F171" s="118"/>
      <c r="G171" s="377"/>
      <c r="H171" s="120">
        <f ca="1">IF(E171="",_xll.BDP(A171 &amp; " Govt","YLD_YTM_ASK")/100,E171)</f>
        <v>6.2801280000000003E-3</v>
      </c>
      <c r="I171" s="121">
        <f ca="1">_xll.INSTRUMENT.PRIX(AC171,D171,H171,cTreasuries)</f>
        <v>101.58471941106527</v>
      </c>
      <c r="J171" s="122">
        <f ca="1">_xll.INSTRUMENT.DV01(A171,,,I171,cContinuous,I171)</f>
        <v>-4.3174373378807904E-2</v>
      </c>
      <c r="K171" s="123">
        <f ca="1">_xll.INSTRUMENT.CONVEXITE(A171,,,I171,cContinuous,I171)</f>
        <v>18.243985442794084</v>
      </c>
      <c r="L171" s="123">
        <f ca="1">_xll.INSTRUMENT.Z.SPREAD(A171,swapCurve,I171,cContinuous,D171)</f>
        <v>-20.52083452285515</v>
      </c>
      <c r="M171" s="123">
        <f ca="1">_xll.INSTRUMENT.Z.SPREAD(A171,ustCurve,I171,cContinuous,D171)</f>
        <v>-0.23563835387513341</v>
      </c>
      <c r="N171" s="123">
        <f ca="1">_xll.INSTRUMENT.Z.SPREAD(A171,oisCurve,I171,cContinuous,D171)</f>
        <v>14.51161442414608</v>
      </c>
      <c r="O171" s="124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1.5220486243842465E-2</v>
      </c>
      <c r="P171" s="124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1.3804327725321617E-2</v>
      </c>
      <c r="Q171" s="379">
        <f ca="1">-(O171-curve!$S$3)/J171</f>
        <v>0.31273919990018645</v>
      </c>
      <c r="R171" s="381">
        <f t="shared" ca="1" si="3"/>
        <v>-422.56514721645328</v>
      </c>
      <c r="S171" s="199" t="str">
        <f>IF(F171&lt;&gt;"","",IF(G171="","",-G171*(SUMIF('bench Comparison'!$A:$A,"RESINV1USD",'bench Comparison'!$G:$G)+SUMIF('bench Comparison'!$A:$A,"RESSWAPORUSD",'bench Comparison'!$G:$G))/(36500*J171)))</f>
        <v/>
      </c>
      <c r="T171" s="210" t="str">
        <f>IF(G171&lt;&gt;"","",IF(F171="","",-36500*J171*F171/(SUMIF('bench Comparison'!$A:$A,"RESINV1USD",'bench Comparison'!$G:$G)+SUMIF('bench Comparison'!$A:$A,"RESSWAPORUSD",'bench Comparison'!$G:$G))))</f>
        <v/>
      </c>
      <c r="U171" s="125">
        <f>SUMIF('bench Comparison'!$E:$E,A171,'bench Comparison'!$N:$N)</f>
        <v>0</v>
      </c>
      <c r="V171" s="126">
        <f ca="1">VALUE(_xll.BDP($A171 &amp; " Corp",V$1))</f>
        <v>40847</v>
      </c>
      <c r="W171" s="127">
        <f ca="1">VALUE(_xll.BDP($A171 &amp; " Corp",W$1))</f>
        <v>40847</v>
      </c>
      <c r="X171" s="127">
        <f ca="1">VALUE(_xll.BDP($A171 &amp; " Corp",X$1))</f>
        <v>41029</v>
      </c>
      <c r="Y171" s="127">
        <f ca="1">VALUE(_xll.BDP($A171 &amp; " Corp",Y$1))</f>
        <v>42490</v>
      </c>
      <c r="Z171" s="127">
        <f ca="1">VALUE(_xll.BDP($A171 &amp; " Corp",Z$1))</f>
        <v>42674</v>
      </c>
      <c r="AA171" s="128">
        <f ca="1">_xll.BDP($A171 &amp; " Corp",AA$1)/100</f>
        <v>0.01</v>
      </c>
      <c r="AB171" s="129">
        <f ca="1">_xll.BDP($A171 &amp; " Corp",AB$1)</f>
        <v>36331000000</v>
      </c>
      <c r="AC171" s="130" t="str">
        <f ca="1">IF(LEFT(B171,1)="B",_xll.INSTANCE.TBILL(A171,V171,Z171,TODAY()),_xll.INSTANCE.TNOTE(A171,V171,W171,X171,Y171,Z171,AA171,TODAY()))</f>
        <v>US912828RM43#0028</v>
      </c>
    </row>
    <row r="172" spans="1:29" x14ac:dyDescent="0.2">
      <c r="A172" s="131" t="s">
        <v>502</v>
      </c>
      <c r="B172" s="115" t="str">
        <f ca="1">_xll.BDP($A172 &amp; " Govt",B$1)</f>
        <v>T 3 1/8 10/31/16</v>
      </c>
      <c r="C172" s="372"/>
      <c r="D172" s="116"/>
      <c r="E172" s="117"/>
      <c r="F172" s="118"/>
      <c r="G172" s="377"/>
      <c r="H172" s="120">
        <f ca="1">IF(E172="",_xll.BDP(A172 &amp; " Govt","YLD_YTM_ASK")/100,E172)</f>
        <v>6.3446250000000004E-3</v>
      </c>
      <c r="I172" s="121">
        <f ca="1">_xll.INSTRUMENT.PRIX(AC172,D172,H172,cTreasuries)</f>
        <v>110.61595583929213</v>
      </c>
      <c r="J172" s="122">
        <f ca="1">_xll.INSTRUMENT.DV01(A172,,,I172,cContinuous,I172)</f>
        <v>-4.5347829718042063E-2</v>
      </c>
      <c r="K172" s="123">
        <f ca="1">_xll.INSTRUMENT.CONVEXITE(A172,,,I172,cContinuous,I172)</f>
        <v>17.294878022941113</v>
      </c>
      <c r="L172" s="123">
        <f ca="1">_xll.INSTRUMENT.Z.SPREAD(A172,swapCurve,I172,cContinuous,D172)</f>
        <v>-19.044334463379251</v>
      </c>
      <c r="M172" s="123">
        <f ca="1">_xll.INSTRUMENT.Z.SPREAD(A172,ustCurve,I172,cContinuous,D172)</f>
        <v>1.091223345063999</v>
      </c>
      <c r="N172" s="123">
        <f ca="1">_xll.INSTRUMENT.Z.SPREAD(A172,oisCurve,I172,cContinuous,D172)</f>
        <v>15.948375896630669</v>
      </c>
      <c r="O172" s="124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1.3568839771419686E-2</v>
      </c>
      <c r="P172" s="124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1.3528919781218906E-2</v>
      </c>
      <c r="Q172" s="379">
        <f ca="1">-(O172-curve!$S$3)/J172</f>
        <v>0.26132832790325605</v>
      </c>
      <c r="R172" s="381">
        <f t="shared" ca="1" si="3"/>
        <v>-381.38270630535118</v>
      </c>
      <c r="S172" s="199" t="str">
        <f>IF(F172&lt;&gt;"","",IF(G172="","",-G172*(SUMIF('bench Comparison'!$A:$A,"RESINV1USD",'bench Comparison'!$G:$G)+SUMIF('bench Comparison'!$A:$A,"RESSWAPORUSD",'bench Comparison'!$G:$G))/(36500*J172)))</f>
        <v/>
      </c>
      <c r="T172" s="210" t="str">
        <f>IF(G172&lt;&gt;"","",IF(F172="","",-36500*J172*F172/(SUMIF('bench Comparison'!$A:$A,"RESINV1USD",'bench Comparison'!$G:$G)+SUMIF('bench Comparison'!$A:$A,"RESSWAPORUSD",'bench Comparison'!$G:$G))))</f>
        <v/>
      </c>
      <c r="U172" s="125">
        <f>SUMIF('bench Comparison'!$E:$E,A172,'bench Comparison'!$N:$N)</f>
        <v>0</v>
      </c>
      <c r="V172" s="126">
        <f ca="1">VALUE(_xll.BDP($A172 &amp; " Corp",V$1))</f>
        <v>40119</v>
      </c>
      <c r="W172" s="127">
        <f ca="1">VALUE(_xll.BDP($A172 &amp; " Corp",W$1))</f>
        <v>40117</v>
      </c>
      <c r="X172" s="127">
        <f ca="1">VALUE(_xll.BDP($A172 &amp; " Corp",X$1))</f>
        <v>40298</v>
      </c>
      <c r="Y172" s="127">
        <f ca="1">VALUE(_xll.BDP($A172 &amp; " Corp",Y$1))</f>
        <v>42490</v>
      </c>
      <c r="Z172" s="127">
        <f ca="1">VALUE(_xll.BDP($A172 &amp; " Corp",Z$1))</f>
        <v>42674</v>
      </c>
      <c r="AA172" s="128">
        <f ca="1">_xll.BDP($A172 &amp; " Corp",AA$1)/100</f>
        <v>3.125E-2</v>
      </c>
      <c r="AB172" s="129">
        <f ca="1">_xll.BDP($A172 &amp; " Corp",AB$1)</f>
        <v>31764000000.000004</v>
      </c>
      <c r="AC172" s="130" t="str">
        <f ca="1">IF(LEFT(B172,1)="B",_xll.INSTANCE.TBILL(A172,V172,Z172,TODAY()),_xll.INSTANCE.TNOTE(A172,V172,W172,X172,Y172,Z172,AA172,TODAY()))</f>
        <v>US912828LU23#0028</v>
      </c>
    </row>
    <row r="173" spans="1:29" x14ac:dyDescent="0.2">
      <c r="A173" s="131" t="s">
        <v>504</v>
      </c>
      <c r="B173" s="115" t="str">
        <f ca="1">_xll.BDP($A173 &amp; " Govt",B$1)</f>
        <v>T 4 5/8 11/15/16</v>
      </c>
      <c r="C173" s="372"/>
      <c r="D173" s="116"/>
      <c r="E173" s="117"/>
      <c r="F173" s="118"/>
      <c r="G173" s="377"/>
      <c r="H173" s="120">
        <f ca="1">IF(E173="",_xll.BDP(A173 &amp; " Govt","YLD_YTM_ASK")/100,E173)</f>
        <v>6.4563090000000004E-3</v>
      </c>
      <c r="I173" s="121">
        <f ca="1">_xll.INSTRUMENT.PRIX(AC173,D173,H173,cTreasuries)</f>
        <v>117.11577365527067</v>
      </c>
      <c r="J173" s="122">
        <f ca="1">_xll.INSTRUMENT.DV01(A173,,,I173,cContinuous,I173)</f>
        <v>-4.7338795239794847E-2</v>
      </c>
      <c r="K173" s="123">
        <f ca="1">_xll.INSTRUMENT.CONVEXITE(A173,,,I173,cContinuous,I173)</f>
        <v>17.043601321152337</v>
      </c>
      <c r="L173" s="123">
        <f ca="1">_xll.INSTRUMENT.Z.SPREAD(A173,swapCurve,I173,cContinuous,D173)</f>
        <v>-18.115369865261517</v>
      </c>
      <c r="M173" s="123">
        <f ca="1">_xll.INSTRUMENT.Z.SPREAD(A173,ustCurve,I173,cContinuous,D173)</f>
        <v>1.9999972628975202</v>
      </c>
      <c r="N173" s="123">
        <f ca="1">_xll.INSTRUMENT.Z.SPREAD(A173,oisCurve,I173,cContinuous,D173)</f>
        <v>16.848506770653131</v>
      </c>
      <c r="O173" s="124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1.2718503805492921E-2</v>
      </c>
      <c r="P173" s="124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1.3504018026218971E-2</v>
      </c>
      <c r="Q173" s="379">
        <f ca="1">-(O173-curve!$S$3)/J173</f>
        <v>0.23237466210554164</v>
      </c>
      <c r="R173" s="381">
        <f t="shared" ca="1" si="3"/>
        <v>-360.03453900374757</v>
      </c>
      <c r="S173" s="199" t="str">
        <f>IF(F173&lt;&gt;"","",IF(G173="","",-G173*(SUMIF('bench Comparison'!$A:$A,"RESINV1USD",'bench Comparison'!$G:$G)+SUMIF('bench Comparison'!$A:$A,"RESSWAPORUSD",'bench Comparison'!$G:$G))/(36500*J173)))</f>
        <v/>
      </c>
      <c r="T173" s="210" t="str">
        <f>IF(G173&lt;&gt;"","",IF(F173="","",-36500*J173*F173/(SUMIF('bench Comparison'!$A:$A,"RESINV1USD",'bench Comparison'!$G:$G)+SUMIF('bench Comparison'!$A:$A,"RESSWAPORUSD",'bench Comparison'!$G:$G))))</f>
        <v/>
      </c>
      <c r="U173" s="125">
        <f>SUMIF('bench Comparison'!$E:$E,A173,'bench Comparison'!$N:$N)</f>
        <v>0</v>
      </c>
      <c r="V173" s="126">
        <f ca="1">VALUE(_xll.BDP($A173 &amp; " Corp",V$1))</f>
        <v>39036</v>
      </c>
      <c r="W173" s="127">
        <f ca="1">VALUE(_xll.BDP($A173 &amp; " Corp",W$1))</f>
        <v>39036</v>
      </c>
      <c r="X173" s="127">
        <f ca="1">VALUE(_xll.BDP($A173 &amp; " Corp",X$1))</f>
        <v>39217</v>
      </c>
      <c r="Y173" s="127">
        <f ca="1">VALUE(_xll.BDP($A173 &amp; " Corp",Y$1))</f>
        <v>42505</v>
      </c>
      <c r="Z173" s="127">
        <f ca="1">VALUE(_xll.BDP($A173 &amp; " Corp",Z$1))</f>
        <v>42689</v>
      </c>
      <c r="AA173" s="128">
        <f ca="1">_xll.BDP($A173 &amp; " Corp",AA$1)/100</f>
        <v>4.6249999999999999E-2</v>
      </c>
      <c r="AB173" s="129">
        <f ca="1">_xll.BDP($A173 &amp; " Corp",AB$1)</f>
        <v>23294000000</v>
      </c>
      <c r="AC173" s="130" t="str">
        <f ca="1">IF(LEFT(B173,1)="B",_xll.INSTANCE.TBILL(A173,V173,Z173,TODAY()),_xll.INSTANCE.TNOTE(A173,V173,W173,X173,Y173,Z173,AA173,TODAY()))</f>
        <v>US912828FY19#0028</v>
      </c>
    </row>
    <row r="174" spans="1:29" x14ac:dyDescent="0.2">
      <c r="A174" s="131" t="s">
        <v>503</v>
      </c>
      <c r="B174" s="115" t="str">
        <f ca="1">_xll.BDP($A174 &amp; " Govt",B$1)</f>
        <v>T 7 1/2 11/15/16</v>
      </c>
      <c r="C174" s="372"/>
      <c r="D174" s="116"/>
      <c r="E174" s="117"/>
      <c r="F174" s="118"/>
      <c r="G174" s="377"/>
      <c r="H174" s="120">
        <f ca="1">IF(E174="",_xll.BDP(A174 &amp; " Govt","YLD_YTM_ASK")/100,E174)</f>
        <v>6.5646580000000001E-3</v>
      </c>
      <c r="I174" s="121">
        <f ca="1">_xll.INSTRUMENT.PRIX(AC174,D174,H174,cTreasuries)</f>
        <v>129.42822512844896</v>
      </c>
      <c r="J174" s="122">
        <f ca="1">_xll.INSTRUMENT.DV01(A174,,,I174,cContinuous,I174)</f>
        <v>-5.0323389103406196E-2</v>
      </c>
      <c r="K174" s="123">
        <f ca="1">_xll.INSTRUMENT.CONVEXITE(A174,,,I174,cContinuous,I174)</f>
        <v>16.085302936323085</v>
      </c>
      <c r="L174" s="123">
        <f ca="1">_xll.INSTRUMENT.Z.SPREAD(A174,swapCurve,I174,cContinuous,D174)</f>
        <v>-16.063337877670062</v>
      </c>
      <c r="M174" s="123">
        <f ca="1">_xll.INSTRUMENT.Z.SPREAD(A174,ustCurve,I174,cContinuous,D174)</f>
        <v>3.8788097765050216</v>
      </c>
      <c r="N174" s="123">
        <f ca="1">_xll.INSTRUMENT.Z.SPREAD(A174,oisCurve,I174,cContinuous,D174)</f>
        <v>18.855474883579696</v>
      </c>
      <c r="O174" s="124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1.110470541670896E-2</v>
      </c>
      <c r="P174" s="124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1.3270152839211638E-2</v>
      </c>
      <c r="Q174" s="379">
        <f ca="1">-(O174-curve!$S$3)/J174</f>
        <v>0.18652436425255489</v>
      </c>
      <c r="R174" s="381">
        <f t="shared" ca="1" si="3"/>
        <v>-319.63870524042932</v>
      </c>
      <c r="S174" s="199" t="str">
        <f>IF(F174&lt;&gt;"","",IF(G174="","",-G174*(SUMIF('bench Comparison'!$A:$A,"RESINV1USD",'bench Comparison'!$G:$G)+SUMIF('bench Comparison'!$A:$A,"RESSWAPORUSD",'bench Comparison'!$G:$G))/(36500*J174)))</f>
        <v/>
      </c>
      <c r="T174" s="210" t="str">
        <f>IF(G174&lt;&gt;"","",IF(F174="","",-36500*J174*F174/(SUMIF('bench Comparison'!$A:$A,"RESINV1USD",'bench Comparison'!$G:$G)+SUMIF('bench Comparison'!$A:$A,"RESSWAPORUSD",'bench Comparison'!$G:$G))))</f>
        <v/>
      </c>
      <c r="U174" s="125">
        <f>SUMIF('bench Comparison'!$E:$E,A174,'bench Comparison'!$N:$N)</f>
        <v>0</v>
      </c>
      <c r="V174" s="126">
        <f ca="1">VALUE(_xll.BDP($A174 &amp; " Corp",V$1))</f>
        <v>31731</v>
      </c>
      <c r="W174" s="127">
        <f ca="1">VALUE(_xll.BDP($A174 &amp; " Corp",W$1))</f>
        <v>31731</v>
      </c>
      <c r="X174" s="127">
        <f ca="1">VALUE(_xll.BDP($A174 &amp; " Corp",X$1))</f>
        <v>31912</v>
      </c>
      <c r="Y174" s="127">
        <f ca="1">VALUE(_xll.BDP($A174 &amp; " Corp",Y$1))</f>
        <v>42505</v>
      </c>
      <c r="Z174" s="127">
        <f ca="1">VALUE(_xll.BDP($A174 &amp; " Corp",Z$1))</f>
        <v>42689</v>
      </c>
      <c r="AA174" s="128">
        <f ca="1">_xll.BDP($A174 &amp; " Corp",AA$1)/100</f>
        <v>7.4999999999999997E-2</v>
      </c>
      <c r="AB174" s="129">
        <f ca="1">_xll.BDP($A174 &amp; " Corp",AB$1)</f>
        <v>18787000000</v>
      </c>
      <c r="AC174" s="130" t="str">
        <f ca="1">IF(LEFT(B174,1)="B",_xll.INSTANCE.TBILL(A174,V174,Z174,TODAY()),_xll.INSTANCE.TNOTE(A174,V174,W174,X174,Y174,Z174,AA174,TODAY()))</f>
        <v>US912810DX38#0028</v>
      </c>
    </row>
    <row r="175" spans="1:29" x14ac:dyDescent="0.2">
      <c r="A175" s="131" t="s">
        <v>505</v>
      </c>
      <c r="B175" s="115" t="str">
        <f ca="1">_xll.BDP($A175 &amp; " Govt",B$1)</f>
        <v>T 2 3/4 11/30/16</v>
      </c>
      <c r="C175" s="372"/>
      <c r="D175" s="116"/>
      <c r="E175" s="117"/>
      <c r="F175" s="118"/>
      <c r="G175" s="377"/>
      <c r="H175" s="120">
        <f ca="1">IF(E175="",_xll.BDP(A175 &amp; " Govt","YLD_YTM_ASK")/100,E175)</f>
        <v>6.4373840000000009E-3</v>
      </c>
      <c r="I175" s="121">
        <f ca="1">_xll.INSTRUMENT.PRIX(AC175,D175,H175,cTreasuries)</f>
        <v>109.14839995414067</v>
      </c>
      <c r="J175" s="122">
        <f ca="1">_xll.INSTRUMENT.DV01(A175,,,I175,cContinuous,I175)</f>
        <v>-4.5819919019472237E-2</v>
      </c>
      <c r="K175" s="123">
        <f ca="1">_xll.INSTRUMENT.CONVEXITE(A175,,,I175,cContinuous,I175)</f>
        <v>18.130687171179179</v>
      </c>
      <c r="L175" s="123">
        <f ca="1">_xll.INSTRUMENT.Z.SPREAD(A175,swapCurve,I175,cContinuous,D175)</f>
        <v>-19.754105304996727</v>
      </c>
      <c r="M175" s="123">
        <f ca="1">_xll.INSTRUMENT.Z.SPREAD(A175,ustCurve,I175,cContinuous,D175)</f>
        <v>0.56015650532010663</v>
      </c>
      <c r="N175" s="123">
        <f ca="1">_xll.INSTRUMENT.Z.SPREAD(A175,oisCurve,I175,cContinuous,D175)</f>
        <v>15.236818603320158</v>
      </c>
      <c r="O175" s="124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1.3991770354126735E-2</v>
      </c>
      <c r="P175" s="124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1.369839560930536E-2</v>
      </c>
      <c r="Q175" s="379">
        <f ca="1">-(O175-curve!$S$3)/J175</f>
        <v>0.26786610189661425</v>
      </c>
      <c r="R175" s="381">
        <f t="shared" ca="1" si="3"/>
        <v>-395.69443943089738</v>
      </c>
      <c r="S175" s="199" t="str">
        <f>IF(F175&lt;&gt;"","",IF(G175="","",-G175*(SUMIF('bench Comparison'!$A:$A,"RESINV1USD",'bench Comparison'!$G:$G)+SUMIF('bench Comparison'!$A:$A,"RESSWAPORUSD",'bench Comparison'!$G:$G))/(36500*J175)))</f>
        <v/>
      </c>
      <c r="T175" s="210" t="str">
        <f>IF(G175&lt;&gt;"","",IF(F175="","",-36500*J175*F175/(SUMIF('bench Comparison'!$A:$A,"RESINV1USD",'bench Comparison'!$G:$G)+SUMIF('bench Comparison'!$A:$A,"RESSWAPORUSD",'bench Comparison'!$G:$G))))</f>
        <v/>
      </c>
      <c r="U175" s="125">
        <f>SUMIF('bench Comparison'!$E:$E,A175,'bench Comparison'!$N:$N)</f>
        <v>0</v>
      </c>
      <c r="V175" s="126">
        <f ca="1">VALUE(_xll.BDP($A175 &amp; " Corp",V$1))</f>
        <v>40147</v>
      </c>
      <c r="W175" s="127">
        <f ca="1">VALUE(_xll.BDP($A175 &amp; " Corp",W$1))</f>
        <v>40147</v>
      </c>
      <c r="X175" s="127">
        <f ca="1">VALUE(_xll.BDP($A175 &amp; " Corp",X$1))</f>
        <v>40329</v>
      </c>
      <c r="Y175" s="127">
        <f ca="1">VALUE(_xll.BDP($A175 &amp; " Corp",Y$1))</f>
        <v>42521</v>
      </c>
      <c r="Z175" s="127">
        <f ca="1">VALUE(_xll.BDP($A175 &amp; " Corp",Z$1))</f>
        <v>42704</v>
      </c>
      <c r="AA175" s="128">
        <f ca="1">_xll.BDP($A175 &amp; " Corp",AA$1)/100</f>
        <v>2.75E-2</v>
      </c>
      <c r="AB175" s="129">
        <f ca="1">_xll.BDP($A175 &amp; " Corp",AB$1)</f>
        <v>32961000000</v>
      </c>
      <c r="AC175" s="130" t="str">
        <f ca="1">IF(LEFT(B175,1)="B",_xll.INSTANCE.TBILL(A175,V175,Z175,TODAY()),_xll.INSTANCE.TNOTE(A175,V175,W175,X175,Y175,Z175,AA175,TODAY()))</f>
        <v>US912828MA59#0029</v>
      </c>
    </row>
    <row r="176" spans="1:29" x14ac:dyDescent="0.2">
      <c r="A176" s="131" t="s">
        <v>242</v>
      </c>
      <c r="B176" s="115" t="str">
        <f ca="1">_xll.BDP($A176 &amp; " Govt",B$1)</f>
        <v>T 0 7/8 11/30/16</v>
      </c>
      <c r="C176" s="372"/>
      <c r="D176" s="116"/>
      <c r="E176" s="117"/>
      <c r="F176" s="118"/>
      <c r="G176" s="377"/>
      <c r="H176" s="120">
        <f ca="1">IF(E176="",_xll.BDP(A176 &amp; " Govt","YLD_YTM_ASK")/100,E176)</f>
        <v>6.3044360000000001E-3</v>
      </c>
      <c r="I176" s="121">
        <f ca="1">_xll.INSTRUMENT.PRIX(AC176,D176,H176,cTreasuries)</f>
        <v>101.06243868559415</v>
      </c>
      <c r="J176" s="122">
        <f ca="1">_xll.INSTRUMENT.DV01(A176,,,I176,cContinuous,I176)</f>
        <v>-4.3848905412332898E-2</v>
      </c>
      <c r="K176" s="123">
        <f ca="1">_xll.INSTRUMENT.CONVEXITE(A176,,,I176,cContinuous,I176)</f>
        <v>19.00948625690727</v>
      </c>
      <c r="L176" s="123">
        <f ca="1">_xll.INSTRUMENT.Z.SPREAD(A176,swapCurve,I176,cContinuous,D176)</f>
        <v>-21.868037938472103</v>
      </c>
      <c r="M176" s="123">
        <f ca="1">_xll.INSTRUMENT.Z.SPREAD(A176,ustCurve,I176,cContinuous,D176)</f>
        <v>-1.4131799974918262</v>
      </c>
      <c r="N176" s="123">
        <f ca="1">_xll.INSTRUMENT.Z.SPREAD(A176,oisCurve,I176,cContinuous,D176)</f>
        <v>13.158795899432899</v>
      </c>
      <c r="O176" s="124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1.5524653905872571E-2</v>
      </c>
      <c r="P176" s="124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1.3986408274635603E-2</v>
      </c>
      <c r="Q176" s="379">
        <f ca="1">-(O176-curve!$S$3)/J176</f>
        <v>0.31486502385592507</v>
      </c>
      <c r="R176" s="381">
        <f t="shared" ca="1" si="3"/>
        <v>-433.52248084990237</v>
      </c>
      <c r="S176" s="199" t="str">
        <f>IF(F176&lt;&gt;"","",IF(G176="","",-G176*(SUMIF('bench Comparison'!$A:$A,"RESINV1USD",'bench Comparison'!$G:$G)+SUMIF('bench Comparison'!$A:$A,"RESSWAPORUSD",'bench Comparison'!$G:$G))/(36500*J176)))</f>
        <v/>
      </c>
      <c r="T176" s="210" t="str">
        <f>IF(G176&lt;&gt;"","",IF(F176="","",-36500*J176*F176/(SUMIF('bench Comparison'!$A:$A,"RESINV1USD",'bench Comparison'!$G:$G)+SUMIF('bench Comparison'!$A:$A,"RESSWAPORUSD",'bench Comparison'!$G:$G))))</f>
        <v/>
      </c>
      <c r="U176" s="125">
        <f>SUMIF('bench Comparison'!$E:$E,A176,'bench Comparison'!$N:$N)</f>
        <v>0</v>
      </c>
      <c r="V176" s="126">
        <f ca="1">VALUE(_xll.BDP($A176 &amp; " Corp",V$1))</f>
        <v>40877</v>
      </c>
      <c r="W176" s="127">
        <f ca="1">VALUE(_xll.BDP($A176 &amp; " Corp",W$1))</f>
        <v>40877</v>
      </c>
      <c r="X176" s="127">
        <f ca="1">VALUE(_xll.BDP($A176 &amp; " Corp",X$1))</f>
        <v>41060</v>
      </c>
      <c r="Y176" s="127">
        <f ca="1">VALUE(_xll.BDP($A176 &amp; " Corp",Y$1))</f>
        <v>42521</v>
      </c>
      <c r="Z176" s="127">
        <f ca="1">VALUE(_xll.BDP($A176 &amp; " Corp",Z$1))</f>
        <v>42704</v>
      </c>
      <c r="AA176" s="128">
        <f ca="1">_xll.BDP($A176 &amp; " Corp",AA$1)/100</f>
        <v>8.7500000000000008E-3</v>
      </c>
      <c r="AB176" s="129">
        <f ca="1">_xll.BDP($A176 &amp; " Corp",AB$1)</f>
        <v>36586000000</v>
      </c>
      <c r="AC176" s="130" t="str">
        <f ca="1">IF(LEFT(B176,1)="B",_xll.INSTANCE.TBILL(A176,V176,Z176,TODAY()),_xll.INSTANCE.TNOTE(A176,V176,W176,X176,Y176,Z176,AA176,TODAY()))</f>
        <v>US912828RU68#0028</v>
      </c>
    </row>
    <row r="177" spans="1:29" x14ac:dyDescent="0.2">
      <c r="A177" s="131" t="s">
        <v>244</v>
      </c>
      <c r="B177" s="115" t="str">
        <f ca="1">_xll.BDP($A177 &amp; " Govt",B$1)</f>
        <v>T 0 7/8 12/31/16</v>
      </c>
      <c r="C177" s="372"/>
      <c r="D177" s="116"/>
      <c r="E177" s="117"/>
      <c r="F177" s="118"/>
      <c r="G177" s="377"/>
      <c r="H177" s="120">
        <f ca="1">IF(E177="",_xll.BDP(A177 &amp; " Govt","YLD_YTM_ASK")/100,E177)</f>
        <v>6.5767159999999998E-3</v>
      </c>
      <c r="I177" s="121">
        <f ca="1">_xll.INSTRUMENT.PRIX(AC177,D177,H177,cTreasuries)</f>
        <v>100.95916967463491</v>
      </c>
      <c r="J177" s="122">
        <f ca="1">_xll.INSTRUMENT.DV01(A177,,,I177,cContinuous,I177)</f>
        <v>-4.4706644533723507E-2</v>
      </c>
      <c r="K177" s="123">
        <f ca="1">_xll.INSTRUMENT.CONVEXITE(A177,,,I177,cContinuous,I177)</f>
        <v>19.821666741412017</v>
      </c>
      <c r="L177" s="123">
        <f ca="1">_xll.INSTRUMENT.Z.SPREAD(A177,swapCurve,I177,cContinuous,D177)</f>
        <v>-21.014377678404099</v>
      </c>
      <c r="M177" s="123">
        <f ca="1">_xll.INSTRUMENT.Z.SPREAD(A177,ustCurve,I177,cContinuous,D177)</f>
        <v>-0.39861867092551106</v>
      </c>
      <c r="N177" s="123">
        <f ca="1">_xll.INSTRUMENT.Z.SPREAD(A177,oisCurve,I177,cContinuous,D177)</f>
        <v>13.992949651850759</v>
      </c>
      <c r="O177" s="124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1.7635767789778729E-2</v>
      </c>
      <c r="P177" s="124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1.4952139861146099E-2</v>
      </c>
      <c r="Q177" s="379">
        <f ca="1">-(O177-curve!$S$3)/J177</f>
        <v>0.356045520719173</v>
      </c>
      <c r="R177" s="381">
        <f t="shared" ca="1" si="3"/>
        <v>-443.37182868779075</v>
      </c>
      <c r="S177" s="199" t="str">
        <f>IF(F177&lt;&gt;"","",IF(G177="","",-G177*(SUMIF('bench Comparison'!$A:$A,"RESINV1USD",'bench Comparison'!$G:$G)+SUMIF('bench Comparison'!$A:$A,"RESSWAPORUSD",'bench Comparison'!$G:$G))/(36500*J177)))</f>
        <v/>
      </c>
      <c r="T177" s="210" t="str">
        <f>IF(G177&lt;&gt;"","",IF(F177="","",-36500*J177*F177/(SUMIF('bench Comparison'!$A:$A,"RESINV1USD",'bench Comparison'!$G:$G)+SUMIF('bench Comparison'!$A:$A,"RESSWAPORUSD",'bench Comparison'!$G:$G))))</f>
        <v/>
      </c>
      <c r="U177" s="125">
        <f>SUMIF('bench Comparison'!$E:$E,A177,'bench Comparison'!$N:$N)</f>
        <v>0</v>
      </c>
      <c r="V177" s="126">
        <f ca="1">VALUE(_xll.BDP($A177 &amp; " Corp",V$1))</f>
        <v>40911</v>
      </c>
      <c r="W177" s="127">
        <f ca="1">VALUE(_xll.BDP($A177 &amp; " Corp",W$1))</f>
        <v>40908</v>
      </c>
      <c r="X177" s="127">
        <f ca="1">VALUE(_xll.BDP($A177 &amp; " Corp",X$1))</f>
        <v>41090</v>
      </c>
      <c r="Y177" s="127">
        <f ca="1">VALUE(_xll.BDP($A177 &amp; " Corp",Y$1))</f>
        <v>42551</v>
      </c>
      <c r="Z177" s="127">
        <f ca="1">VALUE(_xll.BDP($A177 &amp; " Corp",Z$1))</f>
        <v>42735</v>
      </c>
      <c r="AA177" s="128">
        <f ca="1">_xll.BDP($A177 &amp; " Corp",AA$1)/100</f>
        <v>8.7500000000000008E-3</v>
      </c>
      <c r="AB177" s="129">
        <f ca="1">_xll.BDP($A177 &amp; " Corp",AB$1)</f>
        <v>36133000000</v>
      </c>
      <c r="AC177" s="130" t="str">
        <f ca="1">IF(LEFT(B177,1)="B",_xll.INSTANCE.TBILL(A177,V177,Z177,TODAY()),_xll.INSTANCE.TNOTE(A177,V177,W177,X177,Y177,Z177,AA177,TODAY()))</f>
        <v>US912828RX08#0028</v>
      </c>
    </row>
    <row r="178" spans="1:29" x14ac:dyDescent="0.2">
      <c r="A178" s="131" t="s">
        <v>506</v>
      </c>
      <c r="B178" s="115" t="str">
        <f ca="1">_xll.BDP($A178 &amp; " Govt",B$1)</f>
        <v>T 3 1/4 12/31/16</v>
      </c>
      <c r="C178" s="372"/>
      <c r="D178" s="116"/>
      <c r="E178" s="117"/>
      <c r="F178" s="118"/>
      <c r="G178" s="377"/>
      <c r="H178" s="120">
        <f ca="1">IF(E178="",_xll.BDP(A178 &amp; " Govt","YLD_YTM_ASK")/100,E178)</f>
        <v>6.6127790000000001E-3</v>
      </c>
      <c r="I178" s="121">
        <f ca="1">_xll.INSTRUMENT.PRIX(AC178,D178,H178,cTreasuries)</f>
        <v>111.44346306161484</v>
      </c>
      <c r="J178" s="122">
        <f ca="1">_xll.INSTRUMENT.DV01(A178,,,I178,cContinuous,I178)</f>
        <v>-4.7312799584852405E-2</v>
      </c>
      <c r="K178" s="123">
        <f ca="1">_xll.INSTRUMENT.CONVEXITE(A178,,,I178,cContinuous,I178)</f>
        <v>18.692311375325843</v>
      </c>
      <c r="L178" s="123">
        <f ca="1">_xll.INSTRUMENT.Z.SPREAD(A178,swapCurve,I178,cContinuous,D178)</f>
        <v>-19.598439111187755</v>
      </c>
      <c r="M178" s="123">
        <f ca="1">_xll.INSTRUMENT.Z.SPREAD(A178,ustCurve,I178,cContinuous,D178)</f>
        <v>0.8334095289536213</v>
      </c>
      <c r="N178" s="123">
        <f ca="1">_xll.INSTRUMENT.Z.SPREAD(A178,oisCurve,I178,cContinuous,D178)</f>
        <v>15.364218054276606</v>
      </c>
      <c r="O178" s="124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1.5555447702258852E-2</v>
      </c>
      <c r="P178" s="124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1.4509515863840588E-2</v>
      </c>
      <c r="Q178" s="379">
        <f ca="1">-(O178-curve!$S$3)/J178</f>
        <v>0.29246378499079145</v>
      </c>
      <c r="R178" s="381">
        <f t="shared" ca="1" si="3"/>
        <v>-395.07937681435249</v>
      </c>
      <c r="S178" s="199" t="str">
        <f>IF(F178&lt;&gt;"","",IF(G178="","",-G178*(SUMIF('bench Comparison'!$A:$A,"RESINV1USD",'bench Comparison'!$G:$G)+SUMIF('bench Comparison'!$A:$A,"RESSWAPORUSD",'bench Comparison'!$G:$G))/(36500*J178)))</f>
        <v/>
      </c>
      <c r="T178" s="210" t="str">
        <f>IF(G178&lt;&gt;"","",IF(F178="","",-36500*J178*F178/(SUMIF('bench Comparison'!$A:$A,"RESINV1USD",'bench Comparison'!$G:$G)+SUMIF('bench Comparison'!$A:$A,"RESSWAPORUSD",'bench Comparison'!$G:$G))))</f>
        <v/>
      </c>
      <c r="U178" s="125">
        <f>SUMIF('bench Comparison'!$E:$E,A178,'bench Comparison'!$N:$N)</f>
        <v>0</v>
      </c>
      <c r="V178" s="126">
        <f ca="1">VALUE(_xll.BDP($A178 &amp; " Corp",V$1))</f>
        <v>40178</v>
      </c>
      <c r="W178" s="127">
        <f ca="1">VALUE(_xll.BDP($A178 &amp; " Corp",W$1))</f>
        <v>40178</v>
      </c>
      <c r="X178" s="127">
        <f ca="1">VALUE(_xll.BDP($A178 &amp; " Corp",X$1))</f>
        <v>40359</v>
      </c>
      <c r="Y178" s="127">
        <f ca="1">VALUE(_xll.BDP($A178 &amp; " Corp",Y$1))</f>
        <v>42551</v>
      </c>
      <c r="Z178" s="127">
        <f ca="1">VALUE(_xll.BDP($A178 &amp; " Corp",Z$1))</f>
        <v>42735</v>
      </c>
      <c r="AA178" s="128">
        <f ca="1">_xll.BDP($A178 &amp; " Corp",AA$1)/100</f>
        <v>3.2500000000000001E-2</v>
      </c>
      <c r="AB178" s="129">
        <f ca="1">_xll.BDP($A178 &amp; " Corp",AB$1)</f>
        <v>32948000000</v>
      </c>
      <c r="AC178" s="130" t="str">
        <f ca="1">IF(LEFT(B178,1)="B",_xll.INSTANCE.TBILL(A178,V178,Z178,TODAY()),_xll.INSTANCE.TNOTE(A178,V178,W178,X178,Y178,Z178,AA178,TODAY()))</f>
        <v>US912828MD98#0028</v>
      </c>
    </row>
    <row r="179" spans="1:29" x14ac:dyDescent="0.2">
      <c r="A179" s="131" t="s">
        <v>507</v>
      </c>
      <c r="B179" s="115" t="str">
        <f ca="1">_xll.BDP($A179 &amp; " Govt",B$1)</f>
        <v>T 3 1/8 01/31/17</v>
      </c>
      <c r="C179" s="372"/>
      <c r="D179" s="116"/>
      <c r="E179" s="117"/>
      <c r="F179" s="118"/>
      <c r="G179" s="377"/>
      <c r="H179" s="120">
        <f ca="1">IF(E179="",_xll.BDP(A179 &amp; " Govt","YLD_YTM_ASK")/100,E179)</f>
        <v>6.7798040000000004E-3</v>
      </c>
      <c r="I179" s="121">
        <f ca="1">_xll.INSTRUMENT.PRIX(AC179,D179,H179,cTreasuries)</f>
        <v>111.0137969771891</v>
      </c>
      <c r="J179" s="122">
        <f ca="1">_xll.INSTRUMENT.DV01(A179,,,I179,cContinuous,I179)</f>
        <v>-4.7987023195300779E-2</v>
      </c>
      <c r="K179" s="123">
        <f ca="1">_xll.INSTRUMENT.CONVEXITE(A179,,,I179,cContinuous,I179)</f>
        <v>19.139602191781961</v>
      </c>
      <c r="L179" s="123">
        <f ca="1">_xll.INSTRUMENT.Z.SPREAD(A179,swapCurve,I179,cContinuous,D179)</f>
        <v>-19.241494087214068</v>
      </c>
      <c r="M179" s="123">
        <f ca="1">_xll.INSTRUMENT.Z.SPREAD(A179,ustCurve,I179,cContinuous,D179)</f>
        <v>1.3069422452449135</v>
      </c>
      <c r="N179" s="123">
        <f ca="1">_xll.INSTRUMENT.Z.SPREAD(A179,oisCurve,I179,cContinuous,D179)</f>
        <v>15.694182205969273</v>
      </c>
      <c r="O179" s="124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1.4342003478515091E-2</v>
      </c>
      <c r="P179" s="124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1.4355064157122722E-2</v>
      </c>
      <c r="Q179" s="379">
        <f ca="1">-(O179-curve!$S$3)/J179</f>
        <v>0.26306770832555276</v>
      </c>
      <c r="R179" s="381">
        <f t="shared" ca="1" si="3"/>
        <v>-398.84954134134</v>
      </c>
      <c r="S179" s="199" t="str">
        <f>IF(F179&lt;&gt;"","",IF(G179="","",-G179*(SUMIF('bench Comparison'!$A:$A,"RESINV1USD",'bench Comparison'!$G:$G)+SUMIF('bench Comparison'!$A:$A,"RESSWAPORUSD",'bench Comparison'!$G:$G))/(36500*J179)))</f>
        <v/>
      </c>
      <c r="T179" s="210" t="str">
        <f>IF(G179&lt;&gt;"","",IF(F179="","",-36500*J179*F179/(SUMIF('bench Comparison'!$A:$A,"RESINV1USD",'bench Comparison'!$G:$G)+SUMIF('bench Comparison'!$A:$A,"RESSWAPORUSD",'bench Comparison'!$G:$G))))</f>
        <v/>
      </c>
      <c r="U179" s="125">
        <f>SUMIF('bench Comparison'!$E:$E,A179,'bench Comparison'!$N:$N)</f>
        <v>0</v>
      </c>
      <c r="V179" s="126">
        <f ca="1">VALUE(_xll.BDP($A179 &amp; " Corp",V$1))</f>
        <v>40210</v>
      </c>
      <c r="W179" s="127">
        <f ca="1">VALUE(_xll.BDP($A179 &amp; " Corp",W$1))</f>
        <v>40209</v>
      </c>
      <c r="X179" s="127">
        <f ca="1">VALUE(_xll.BDP($A179 &amp; " Corp",X$1))</f>
        <v>40390</v>
      </c>
      <c r="Y179" s="127">
        <f ca="1">VALUE(_xll.BDP($A179 &amp; " Corp",Y$1))</f>
        <v>42582</v>
      </c>
      <c r="Z179" s="127">
        <f ca="1">VALUE(_xll.BDP($A179 &amp; " Corp",Z$1))</f>
        <v>42766</v>
      </c>
      <c r="AA179" s="128">
        <f ca="1">_xll.BDP($A179 &amp; " Corp",AA$1)/100</f>
        <v>3.125E-2</v>
      </c>
      <c r="AB179" s="129">
        <f ca="1">_xll.BDP($A179 &amp; " Corp",AB$1)</f>
        <v>32521000000</v>
      </c>
      <c r="AC179" s="130" t="str">
        <f ca="1">IF(LEFT(B179,1)="B",_xll.INSTANCE.TBILL(A179,V179,Z179,TODAY()),_xll.INSTANCE.TNOTE(A179,V179,W179,X179,Y179,Z179,AA179,TODAY()))</f>
        <v>US912828MK32#0028</v>
      </c>
    </row>
    <row r="180" spans="1:29" x14ac:dyDescent="0.2">
      <c r="A180" s="131" t="s">
        <v>246</v>
      </c>
      <c r="B180" s="115" t="str">
        <f ca="1">_xll.BDP($A180 &amp; " Govt",B$1)</f>
        <v>T 0 7/8 01/31/17</v>
      </c>
      <c r="C180" s="372"/>
      <c r="D180" s="116"/>
      <c r="E180" s="117"/>
      <c r="F180" s="118"/>
      <c r="G180" s="377"/>
      <c r="H180" s="120">
        <f ca="1">IF(E180="",_xll.BDP(A180 &amp; " Govt","YLD_YTM_ASK")/100,E180)</f>
        <v>6.7196489999999994E-3</v>
      </c>
      <c r="I180" s="121">
        <f ca="1">_xll.INSTRUMENT.PRIX(AC180,D180,H180,cTreasuries)</f>
        <v>100.91231012396298</v>
      </c>
      <c r="J180" s="122">
        <f ca="1">_xll.INSTRUMENT.DV01(A180,,,I180,cContinuous,I180)</f>
        <v>-4.5432944566849341E-2</v>
      </c>
      <c r="K180" s="123">
        <f ca="1">_xll.INSTRUMENT.CONVEXITE(A180,,,I180,cContinuous,I180)</f>
        <v>20.41978833972928</v>
      </c>
      <c r="L180" s="123">
        <f ca="1">_xll.INSTRUMENT.Z.SPREAD(A180,swapCurve,I180,cContinuous,D180)</f>
        <v>-20.895502128874497</v>
      </c>
      <c r="M180" s="123">
        <f ca="1">_xll.INSTRUMENT.Z.SPREAD(A180,ustCurve,I180,cContinuous,D180)</f>
        <v>-0.16720873822982499</v>
      </c>
      <c r="N180" s="123">
        <f ca="1">_xll.INSTRUMENT.Z.SPREAD(A180,oisCurve,I180,cContinuous,D180)</f>
        <v>14.084920492591237</v>
      </c>
      <c r="O180" s="124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1.6387765228361693E-2</v>
      </c>
      <c r="P180" s="124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1.4799812877802208E-2</v>
      </c>
      <c r="Q180" s="379">
        <f ca="1">-(O180-curve!$S$3)/J180</f>
        <v>0.32288459643232892</v>
      </c>
      <c r="R180" s="381">
        <f t="shared" ca="1" si="3"/>
        <v>-449.44893038319174</v>
      </c>
      <c r="S180" s="199" t="str">
        <f>IF(F180&lt;&gt;"","",IF(G180="","",-G180*(SUMIF('bench Comparison'!$A:$A,"RESINV1USD",'bench Comparison'!$G:$G)+SUMIF('bench Comparison'!$A:$A,"RESSWAPORUSD",'bench Comparison'!$G:$G))/(36500*J180)))</f>
        <v/>
      </c>
      <c r="T180" s="210" t="str">
        <f>IF(G180&lt;&gt;"","",IF(F180="","",-36500*J180*F180/(SUMIF('bench Comparison'!$A:$A,"RESINV1USD",'bench Comparison'!$G:$G)+SUMIF('bench Comparison'!$A:$A,"RESSWAPORUSD",'bench Comparison'!$G:$G))))</f>
        <v/>
      </c>
      <c r="U180" s="125">
        <f>SUMIF('bench Comparison'!$E:$E,A180,'bench Comparison'!$N:$N)</f>
        <v>0</v>
      </c>
      <c r="V180" s="126">
        <f ca="1">VALUE(_xll.BDP($A180 &amp; " Corp",V$1))</f>
        <v>40939</v>
      </c>
      <c r="W180" s="127">
        <f ca="1">VALUE(_xll.BDP($A180 &amp; " Corp",W$1))</f>
        <v>40939</v>
      </c>
      <c r="X180" s="127">
        <f ca="1">VALUE(_xll.BDP($A180 &amp; " Corp",X$1))</f>
        <v>41121</v>
      </c>
      <c r="Y180" s="127">
        <f ca="1">VALUE(_xll.BDP($A180 &amp; " Corp",Y$1))</f>
        <v>42582</v>
      </c>
      <c r="Z180" s="127">
        <f ca="1">VALUE(_xll.BDP($A180 &amp; " Corp",Z$1))</f>
        <v>42766</v>
      </c>
      <c r="AA180" s="128">
        <f ca="1">_xll.BDP($A180 &amp; " Corp",AA$1)/100</f>
        <v>8.7500000000000008E-3</v>
      </c>
      <c r="AB180" s="129">
        <f ca="1">_xll.BDP($A180 &amp; " Corp",AB$1)</f>
        <v>35659000000</v>
      </c>
      <c r="AC180" s="130" t="str">
        <f ca="1">IF(LEFT(B180,1)="B",_xll.INSTANCE.TBILL(A180,V180,Z180,TODAY()),_xll.INSTANCE.TNOTE(A180,V180,W180,X180,Y180,Z180,AA180,TODAY()))</f>
        <v>US912828SC51#0028</v>
      </c>
    </row>
    <row r="181" spans="1:29" x14ac:dyDescent="0.2">
      <c r="A181" s="131" t="s">
        <v>39</v>
      </c>
      <c r="B181" s="115" t="str">
        <f ca="1">_xll.BDP($A181 &amp; " Govt",B$1)</f>
        <v>T 4 5/8 02/15/17</v>
      </c>
      <c r="C181" s="372"/>
      <c r="D181" s="116"/>
      <c r="E181" s="117"/>
      <c r="F181" s="118"/>
      <c r="G181" s="377"/>
      <c r="H181" s="120">
        <f ca="1">IF(E181="",_xll.BDP(A181 &amp; " Govt","YLD_YTM_ASK")/100,E181)</f>
        <v>6.8649360000000003E-3</v>
      </c>
      <c r="I181" s="121">
        <f ca="1">_xll.INSTRUMENT.PRIX(AC181,D181,H181,cTreasuries)</f>
        <v>117.88098397206427</v>
      </c>
      <c r="J181" s="122">
        <f ca="1">_xll.INSTRUMENT.DV01(A181,,,I181,cContinuous,I181)</f>
        <v>-5.0159420627768382E-2</v>
      </c>
      <c r="K181" s="123">
        <f ca="1">_xll.INSTRUMENT.CONVEXITE(A181,,,I181,cContinuous,I181)</f>
        <v>18.760863037568118</v>
      </c>
      <c r="L181" s="123">
        <f ca="1">_xll.INSTRUMENT.Z.SPREAD(A181,swapCurve,I181,cContinuous,D181)</f>
        <v>-18.467804647300735</v>
      </c>
      <c r="M181" s="123">
        <f ca="1">_xll.INSTRUMENT.Z.SPREAD(A181,ustCurve,I181,cContinuous,D181)</f>
        <v>2.0225929753693834</v>
      </c>
      <c r="N181" s="123">
        <f ca="1">_xll.INSTRUMENT.Z.SPREAD(A181,oisCurve,I181,cContinuous,D181)</f>
        <v>16.423179633743786</v>
      </c>
      <c r="O181" s="124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1.3320026340359442E-2</v>
      </c>
      <c r="P181" s="124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1.4168882454627177E-2</v>
      </c>
      <c r="Q181" s="379">
        <f ca="1">-(O181-curve!$S$3)/J181</f>
        <v>0.23129970278752487</v>
      </c>
      <c r="R181" s="381">
        <f t="shared" ca="1" si="3"/>
        <v>-374.02471565195987</v>
      </c>
      <c r="S181" s="199" t="str">
        <f>IF(F181&lt;&gt;"","",IF(G181="","",-G181*(SUMIF('bench Comparison'!$A:$A,"RESINV1USD",'bench Comparison'!$G:$G)+SUMIF('bench Comparison'!$A:$A,"RESSWAPORUSD",'bench Comparison'!$G:$G))/(36500*J181)))</f>
        <v/>
      </c>
      <c r="T181" s="210" t="str">
        <f>IF(G181&lt;&gt;"","",IF(F181="","",-36500*J181*F181/(SUMIF('bench Comparison'!$A:$A,"RESINV1USD",'bench Comparison'!$G:$G)+SUMIF('bench Comparison'!$A:$A,"RESSWAPORUSD",'bench Comparison'!$G:$G))))</f>
        <v/>
      </c>
      <c r="U181" s="125">
        <f>SUMIF('bench Comparison'!$E:$E,A181,'bench Comparison'!$N:$N)</f>
        <v>0</v>
      </c>
      <c r="V181" s="126">
        <f ca="1">VALUE(_xll.BDP($A181 &amp; " Corp",V$1))</f>
        <v>39128</v>
      </c>
      <c r="W181" s="127">
        <f ca="1">VALUE(_xll.BDP($A181 &amp; " Corp",W$1))</f>
        <v>39128</v>
      </c>
      <c r="X181" s="127">
        <f ca="1">VALUE(_xll.BDP($A181 &amp; " Corp",X$1))</f>
        <v>39309</v>
      </c>
      <c r="Y181" s="127">
        <f ca="1">VALUE(_xll.BDP($A181 &amp; " Corp",Y$1))</f>
        <v>42597</v>
      </c>
      <c r="Z181" s="127">
        <f ca="1">VALUE(_xll.BDP($A181 &amp; " Corp",Z$1))</f>
        <v>42781</v>
      </c>
      <c r="AA181" s="128">
        <f ca="1">_xll.BDP($A181 &amp; " Corp",AA$1)/100</f>
        <v>4.6249999999999999E-2</v>
      </c>
      <c r="AB181" s="129">
        <f ca="1">_xll.BDP($A181 &amp; " Corp",AB$1)</f>
        <v>22193000000</v>
      </c>
      <c r="AC181" s="130" t="str">
        <f ca="1">IF(LEFT(B181,1)="B",_xll.INSTANCE.TBILL(A181,V181,Z181,TODAY()),_xll.INSTANCE.TNOTE(A181,V181,W181,X181,Y181,Z181,AA181,TODAY()))</f>
        <v>US912828GH76#0028</v>
      </c>
    </row>
    <row r="182" spans="1:29" x14ac:dyDescent="0.2">
      <c r="A182" s="131" t="s">
        <v>508</v>
      </c>
      <c r="B182" s="115" t="str">
        <f ca="1">_xll.BDP($A182 &amp; " Govt",B$1)</f>
        <v>T 3 02/28/17</v>
      </c>
      <c r="C182" s="372"/>
      <c r="D182" s="116"/>
      <c r="E182" s="117"/>
      <c r="F182" s="118"/>
      <c r="G182" s="377"/>
      <c r="H182" s="120">
        <f ca="1">IF(E182="",_xll.BDP(A182 &amp; " Govt","YLD_YTM_ASK")/100,E182)</f>
        <v>6.8429090000000003E-3</v>
      </c>
      <c r="I182" s="121">
        <f ca="1">_xll.INSTRUMENT.PRIX(AC182,D182,H182,cTreasuries)</f>
        <v>110.61211448777523</v>
      </c>
      <c r="J182" s="122">
        <f ca="1">_xll.INSTRUMENT.DV01(A182,,,I182,cContinuous,I182)</f>
        <v>-4.8669699578424867E-2</v>
      </c>
      <c r="K182" s="123">
        <f ca="1">_xll.INSTRUMENT.CONVEXITE(A182,,,I182,cContinuous,I182)</f>
        <v>19.869360724930399</v>
      </c>
      <c r="L182" s="123">
        <f ca="1">_xll.INSTRUMENT.Z.SPREAD(A182,swapCurve,I182,cContinuous,D182)</f>
        <v>-20.038528870590177</v>
      </c>
      <c r="M182" s="123">
        <f ca="1">_xll.INSTRUMENT.Z.SPREAD(A182,ustCurve,I182,cContinuous,D182)</f>
        <v>0.61631663774126111</v>
      </c>
      <c r="N182" s="123">
        <f ca="1">_xll.INSTRUMENT.Z.SPREAD(A182,oisCurve,I182,cContinuous,D182)</f>
        <v>14.866643559327116</v>
      </c>
      <c r="O182" s="124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1.4997402237778257E-2</v>
      </c>
      <c r="P182" s="124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1.4542907826939582E-2</v>
      </c>
      <c r="Q182" s="379">
        <f ca="1">-(O182-curve!$S$3)/J182</f>
        <v>0.27284398908644036</v>
      </c>
      <c r="R182" s="381">
        <f t="shared" ca="1" si="3"/>
        <v>-408.24909331756851</v>
      </c>
      <c r="S182" s="199" t="str">
        <f>IF(F182&lt;&gt;"","",IF(G182="","",-G182*(SUMIF('bench Comparison'!$A:$A,"RESINV1USD",'bench Comparison'!$G:$G)+SUMIF('bench Comparison'!$A:$A,"RESSWAPORUSD",'bench Comparison'!$G:$G))/(36500*J182)))</f>
        <v/>
      </c>
      <c r="T182" s="210" t="str">
        <f>IF(G182&lt;&gt;"","",IF(F182="","",-36500*J182*F182/(SUMIF('bench Comparison'!$A:$A,"RESINV1USD",'bench Comparison'!$G:$G)+SUMIF('bench Comparison'!$A:$A,"RESSWAPORUSD",'bench Comparison'!$G:$G))))</f>
        <v/>
      </c>
      <c r="U182" s="125">
        <f>SUMIF('bench Comparison'!$E:$E,A182,'bench Comparison'!$N:$N)</f>
        <v>0</v>
      </c>
      <c r="V182" s="126">
        <f ca="1">VALUE(_xll.BDP($A182 &amp; " Corp",V$1))</f>
        <v>40238</v>
      </c>
      <c r="W182" s="127">
        <f ca="1">VALUE(_xll.BDP($A182 &amp; " Corp",W$1))</f>
        <v>40237</v>
      </c>
      <c r="X182" s="127">
        <f ca="1">VALUE(_xll.BDP($A182 &amp; " Corp",X$1))</f>
        <v>40421</v>
      </c>
      <c r="Y182" s="127">
        <f ca="1">VALUE(_xll.BDP($A182 &amp; " Corp",Y$1))</f>
        <v>42613</v>
      </c>
      <c r="Z182" s="127">
        <f ca="1">VALUE(_xll.BDP($A182 &amp; " Corp",Z$1))</f>
        <v>42794</v>
      </c>
      <c r="AA182" s="128">
        <f ca="1">_xll.BDP($A182 &amp; " Corp",AA$1)/100</f>
        <v>0.03</v>
      </c>
      <c r="AB182" s="129">
        <f ca="1">_xll.BDP($A182 &amp; " Corp",AB$1)</f>
        <v>32786000000</v>
      </c>
      <c r="AC182" s="130" t="str">
        <f ca="1">IF(LEFT(B182,1)="B",_xll.INSTANCE.TBILL(A182,V182,Z182,TODAY()),_xll.INSTANCE.TNOTE(A182,V182,W182,X182,Y182,Z182,AA182,TODAY()))</f>
        <v>US912828MS67#0028</v>
      </c>
    </row>
    <row r="183" spans="1:29" x14ac:dyDescent="0.2">
      <c r="A183" s="131" t="s">
        <v>61</v>
      </c>
      <c r="B183" s="115" t="str">
        <f ca="1">_xll.BDP($A183 &amp; " Govt",B$1)</f>
        <v>T 0 7/8 02/28/17</v>
      </c>
      <c r="C183" s="372" t="s">
        <v>953</v>
      </c>
      <c r="D183" s="116"/>
      <c r="E183" s="117"/>
      <c r="F183" s="118"/>
      <c r="G183" s="377"/>
      <c r="H183" s="120">
        <f ca="1">IF(E183="",_xll.BDP(A183 &amp; " Govt","YLD_YTM_ASK")/100,E183)</f>
        <v>6.7042020000000003E-3</v>
      </c>
      <c r="I183" s="121">
        <f ca="1">_xll.INSTRUMENT.PRIX(AC183,D183,H183,cTreasuries)</f>
        <v>100.94008650556658</v>
      </c>
      <c r="J183" s="122">
        <f ca="1">_xll.INSTRUMENT.DV01(A183,,,I183,cContinuous,I183)</f>
        <v>-4.6191579833062435E-2</v>
      </c>
      <c r="K183" s="123">
        <f ca="1">_xll.INSTRUMENT.CONVEXITE(A183,,,I183,cContinuous,I183)</f>
        <v>21.114792064767041</v>
      </c>
      <c r="L183" s="123">
        <f ca="1">_xll.INSTRUMENT.Z.SPREAD(A183,swapCurve,I183,cContinuous,D183)</f>
        <v>-22.468721285255551</v>
      </c>
      <c r="M183" s="123">
        <f ca="1">_xll.INSTRUMENT.Z.SPREAD(A183,ustCurve,I183,cContinuous,D183)</f>
        <v>-1.6446964523671046</v>
      </c>
      <c r="N183" s="123">
        <f ca="1">_xll.INSTRUMENT.Z.SPREAD(A183,oisCurve,I183,cContinuous,D183)</f>
        <v>12.476824337305594</v>
      </c>
      <c r="O183" s="124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1.6671306235947956E-2</v>
      </c>
      <c r="P183" s="124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1.4938842368558984E-2</v>
      </c>
      <c r="Q183" s="379">
        <f ca="1">-(O183-curve!$S$3)/J183</f>
        <v>0.32372001634988057</v>
      </c>
      <c r="R183" s="381">
        <f t="shared" ca="1" si="3"/>
        <v>-457.11344234331119</v>
      </c>
      <c r="S183" s="199" t="str">
        <f>IF(F183&lt;&gt;"","",IF(G183="","",-G183*(SUMIF('bench Comparison'!$A:$A,"RESINV1USD",'bench Comparison'!$G:$G)+SUMIF('bench Comparison'!$A:$A,"RESSWAPORUSD",'bench Comparison'!$G:$G))/(36500*J183)))</f>
        <v/>
      </c>
      <c r="T183" s="210" t="str">
        <f>IF(G183&lt;&gt;"","",IF(F183="","",-36500*J183*F183/(SUMIF('bench Comparison'!$A:$A,"RESINV1USD",'bench Comparison'!$G:$G)+SUMIF('bench Comparison'!$A:$A,"RESSWAPORUSD",'bench Comparison'!$G:$G))))</f>
        <v/>
      </c>
      <c r="U183" s="125">
        <f>SUMIF('bench Comparison'!$E:$E,A183,'bench Comparison'!$N:$N)</f>
        <v>0</v>
      </c>
      <c r="V183" s="126">
        <f ca="1">VALUE(_xll.BDP($A183 &amp; " Corp",V$1))</f>
        <v>40968</v>
      </c>
      <c r="W183" s="127">
        <f ca="1">VALUE(_xll.BDP($A183 &amp; " Corp",W$1))</f>
        <v>40968</v>
      </c>
      <c r="X183" s="127">
        <f ca="1">VALUE(_xll.BDP($A183 &amp; " Corp",X$1))</f>
        <v>41152</v>
      </c>
      <c r="Y183" s="127">
        <f ca="1">VALUE(_xll.BDP($A183 &amp; " Corp",Y$1))</f>
        <v>42613</v>
      </c>
      <c r="Z183" s="127">
        <f ca="1">VALUE(_xll.BDP($A183 &amp; " Corp",Z$1))</f>
        <v>42794</v>
      </c>
      <c r="AA183" s="128">
        <f ca="1">_xll.BDP($A183 &amp; " Corp",AA$1)/100</f>
        <v>8.7500000000000008E-3</v>
      </c>
      <c r="AB183" s="129">
        <f ca="1">_xll.BDP($A183 &amp; " Corp",AB$1)</f>
        <v>35497000000</v>
      </c>
      <c r="AC183" s="130" t="str">
        <f ca="1">IF(LEFT(B183,1)="B",_xll.INSTANCE.TBILL(A183,V183,Z183,TODAY()),_xll.INSTANCE.TNOTE(A183,V183,W183,X183,Y183,Z183,AA183,TODAY()))</f>
        <v>US912828SJ05#0028</v>
      </c>
    </row>
    <row r="184" spans="1:29" x14ac:dyDescent="0.2">
      <c r="A184" s="131" t="s">
        <v>509</v>
      </c>
      <c r="B184" s="115" t="str">
        <f ca="1">_xll.BDP($A184 &amp; " Govt",B$1)</f>
        <v>T 3 1/4 03/31/17</v>
      </c>
      <c r="C184" s="372"/>
      <c r="D184" s="116"/>
      <c r="E184" s="117"/>
      <c r="F184" s="118"/>
      <c r="G184" s="377"/>
      <c r="H184" s="120">
        <f ca="1">IF(E184="",_xll.BDP(A184 &amp; " Govt","YLD_YTM_ASK")/100,E184)</f>
        <v>7.0614229999999998E-3</v>
      </c>
      <c r="I184" s="121">
        <f ca="1">_xll.INSTRUMENT.PRIX(AC184,D184,H184,cTreasuries)</f>
        <v>111.8529037000273</v>
      </c>
      <c r="J184" s="122">
        <f ca="1">_xll.INSTRUMENT.DV01(A184,,,I184,cContinuous,I184)</f>
        <v>-4.9839467961618852E-2</v>
      </c>
      <c r="K184" s="123">
        <f ca="1">_xll.INSTRUMENT.CONVEXITE(A184,,,I184,cContinuous,I184)</f>
        <v>20.479125943719058</v>
      </c>
      <c r="L184" s="123">
        <f ca="1">_xll.INSTRUMENT.Z.SPREAD(A184,swapCurve,I184,cContinuous,D184)</f>
        <v>-19.259061860523136</v>
      </c>
      <c r="M184" s="123">
        <f ca="1">_xll.INSTRUMENT.Z.SPREAD(A184,ustCurve,I184,cContinuous,D184)</f>
        <v>1.4683733136759176</v>
      </c>
      <c r="N184" s="123">
        <f ca="1">_xll.INSTRUMENT.Z.SPREAD(A184,oisCurve,I184,cContinuous,D184)</f>
        <v>15.602153020331258</v>
      </c>
      <c r="O184" s="124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1.5047972510981625E-2</v>
      </c>
      <c r="P184" s="124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1.4876688815371452E-2</v>
      </c>
      <c r="Q184" s="379">
        <f ca="1">-(O184-curve!$S$3)/J184</f>
        <v>0.26745480638125341</v>
      </c>
      <c r="R184" s="381">
        <f t="shared" ca="1" si="3"/>
        <v>-410.90177687069092</v>
      </c>
      <c r="S184" s="199" t="str">
        <f>IF(F184&lt;&gt;"","",IF(G184="","",-G184*(SUMIF('bench Comparison'!$A:$A,"RESINV1USD",'bench Comparison'!$G:$G)+SUMIF('bench Comparison'!$A:$A,"RESSWAPORUSD",'bench Comparison'!$G:$G))/(36500*J184)))</f>
        <v/>
      </c>
      <c r="T184" s="210" t="str">
        <f>IF(G184&lt;&gt;"","",IF(F184="","",-36500*J184*F184/(SUMIF('bench Comparison'!$A:$A,"RESINV1USD",'bench Comparison'!$G:$G)+SUMIF('bench Comparison'!$A:$A,"RESSWAPORUSD",'bench Comparison'!$G:$G))))</f>
        <v/>
      </c>
      <c r="U184" s="125">
        <f>SUMIF('bench Comparison'!$E:$E,A184,'bench Comparison'!$N:$N)</f>
        <v>0</v>
      </c>
      <c r="V184" s="126">
        <f ca="1">VALUE(_xll.BDP($A184 &amp; " Corp",V$1))</f>
        <v>40268</v>
      </c>
      <c r="W184" s="127">
        <f ca="1">VALUE(_xll.BDP($A184 &amp; " Corp",W$1))</f>
        <v>40268</v>
      </c>
      <c r="X184" s="127">
        <f ca="1">VALUE(_xll.BDP($A184 &amp; " Corp",X$1))</f>
        <v>40451</v>
      </c>
      <c r="Y184" s="127">
        <f ca="1">VALUE(_xll.BDP($A184 &amp; " Corp",Y$1))</f>
        <v>42643</v>
      </c>
      <c r="Z184" s="127">
        <f ca="1">VALUE(_xll.BDP($A184 &amp; " Corp",Z$1))</f>
        <v>42825</v>
      </c>
      <c r="AA184" s="128">
        <f ca="1">_xll.BDP($A184 &amp; " Corp",AA$1)/100</f>
        <v>3.2500000000000001E-2</v>
      </c>
      <c r="AB184" s="129">
        <f ca="1">_xll.BDP($A184 &amp; " Corp",AB$1)</f>
        <v>33083000000</v>
      </c>
      <c r="AC184" s="130" t="str">
        <f ca="1">IF(LEFT(B184,1)="B",_xll.INSTANCE.TBILL(A184,V184,Z184,TODAY()),_xll.INSTANCE.TNOTE(A184,V184,W184,X184,Y184,Z184,AA184,TODAY()))</f>
        <v>US912828MV96#0028</v>
      </c>
    </row>
    <row r="185" spans="1:29" x14ac:dyDescent="0.2">
      <c r="A185" s="131" t="s">
        <v>63</v>
      </c>
      <c r="B185" s="115" t="str">
        <f ca="1">_xll.BDP($A185 &amp; " Govt",B$1)</f>
        <v>T 1 03/31/17</v>
      </c>
      <c r="C185" s="372" t="s">
        <v>933</v>
      </c>
      <c r="D185" s="116"/>
      <c r="E185" s="117"/>
      <c r="F185" s="118"/>
      <c r="G185" s="377"/>
      <c r="H185" s="120">
        <f ca="1">IF(E185="",_xll.BDP(A185 &amp; " Govt","YLD_YTM_ASK")/100,E185)</f>
        <v>6.8987720000000001E-3</v>
      </c>
      <c r="I185" s="121">
        <f ca="1">_xll.INSTRUMENT.PRIX(AC185,D185,H185,cTreasuries)</f>
        <v>101.44523422100494</v>
      </c>
      <c r="J185" s="122">
        <f ca="1">_xll.INSTRUMENT.DV01(A185,,,I185,cContinuous,I185)</f>
        <v>-4.7132860669298934E-2</v>
      </c>
      <c r="K185" s="123">
        <f ca="1">_xll.INSTRUMENT.CONVEXITE(A185,,,I185,cContinuous,I185)</f>
        <v>21.814075520689634</v>
      </c>
      <c r="L185" s="123">
        <f ca="1">_xll.INSTRUMENT.Z.SPREAD(A185,swapCurve,I185,cContinuous,D185)</f>
        <v>-22.031656665697877</v>
      </c>
      <c r="M185" s="123">
        <f ca="1">_xll.INSTRUMENT.Z.SPREAD(A185,ustCurve,I185,cContinuous,D185)</f>
        <v>-1.1308652919899387</v>
      </c>
      <c r="N185" s="123">
        <f ca="1">_xll.INSTRUMENT.Z.SPREAD(A185,oisCurve,I185,cContinuous,D185)</f>
        <v>12.863379269022202</v>
      </c>
      <c r="O185" s="124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1.6979819041522529E-2</v>
      </c>
      <c r="P185" s="124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1.5341284564772338E-2</v>
      </c>
      <c r="Q185" s="379">
        <f ca="1">-(O185-curve!$S$3)/J185</f>
        <v>0.32380066831592469</v>
      </c>
      <c r="R185" s="381">
        <f t="shared" ca="1" si="3"/>
        <v>-462.82095359636702</v>
      </c>
      <c r="S185" s="199" t="str">
        <f>IF(F185&lt;&gt;"","",IF(G185="","",-G185*(SUMIF('bench Comparison'!$A:$A,"RESINV1USD",'bench Comparison'!$G:$G)+SUMIF('bench Comparison'!$A:$A,"RESSWAPORUSD",'bench Comparison'!$G:$G))/(36500*J185)))</f>
        <v/>
      </c>
      <c r="T185" s="210" t="str">
        <f>IF(G185&lt;&gt;"","",IF(F185="","",-36500*J185*F185/(SUMIF('bench Comparison'!$A:$A,"RESINV1USD",'bench Comparison'!$G:$G)+SUMIF('bench Comparison'!$A:$A,"RESSWAPORUSD",'bench Comparison'!$G:$G))))</f>
        <v/>
      </c>
      <c r="U185" s="125">
        <f>SUMIF('bench Comparison'!$E:$E,A185,'bench Comparison'!$N:$N)</f>
        <v>33000000</v>
      </c>
      <c r="V185" s="126">
        <f ca="1">VALUE(_xll.BDP($A185 &amp; " Corp",V$1))</f>
        <v>41001</v>
      </c>
      <c r="W185" s="127">
        <f ca="1">VALUE(_xll.BDP($A185 &amp; " Corp",W$1))</f>
        <v>40999</v>
      </c>
      <c r="X185" s="127">
        <f ca="1">VALUE(_xll.BDP($A185 &amp; " Corp",X$1))</f>
        <v>41182</v>
      </c>
      <c r="Y185" s="127">
        <f ca="1">VALUE(_xll.BDP($A185 &amp; " Corp",Y$1))</f>
        <v>42643</v>
      </c>
      <c r="Z185" s="127">
        <f ca="1">VALUE(_xll.BDP($A185 &amp; " Corp",Z$1))</f>
        <v>42825</v>
      </c>
      <c r="AA185" s="128">
        <f ca="1">_xll.BDP($A185 &amp; " Corp",AA$1)/100</f>
        <v>0.01</v>
      </c>
      <c r="AB185" s="129">
        <f ca="1">_xll.BDP($A185 &amp; " Corp",AB$1)</f>
        <v>35831000000</v>
      </c>
      <c r="AC185" s="130" t="str">
        <f ca="1">IF(LEFT(B185,1)="B",_xll.INSTANCE.TBILL(A185,V185,Z185,TODAY()),_xll.INSTANCE.TNOTE(A185,V185,W185,X185,Y185,Z185,AA185,TODAY()))</f>
        <v>US912828SM34#0028</v>
      </c>
    </row>
    <row r="186" spans="1:29" x14ac:dyDescent="0.2">
      <c r="A186" s="131" t="s">
        <v>614</v>
      </c>
      <c r="B186" s="115" t="str">
        <f ca="1">_xll.BDP($A186 &amp; " Govt",B$1)</f>
        <v>T 0 7/8 04/30/17</v>
      </c>
      <c r="C186" s="372" t="s">
        <v>932</v>
      </c>
      <c r="D186" s="116"/>
      <c r="E186" s="117"/>
      <c r="F186" s="118"/>
      <c r="G186" s="377"/>
      <c r="H186" s="120">
        <f ca="1">IF(E186="",_xll.BDP(A186 &amp; " Govt","YLD_YTM_ASK")/100,E186)</f>
        <v>7.0189159999999992E-3</v>
      </c>
      <c r="I186" s="121">
        <f ca="1">_xll.INSTRUMENT.PRIX(AC186,D186,H186,cTreasuries)</f>
        <v>100.82204442007128</v>
      </c>
      <c r="J186" s="122">
        <f ca="1">_xll.INSTRUMENT.DV01(A186,,,I186,cContinuous,I186)</f>
        <v>-4.7784234853917792E-2</v>
      </c>
      <c r="K186" s="123">
        <f ca="1">_xll.INSTRUMENT.CONVEXITE(A186,,,I186,cContinuous,I186)</f>
        <v>22.692653500199892</v>
      </c>
      <c r="L186" s="123">
        <f ca="1">_xll.INSTRUMENT.Z.SPREAD(A186,swapCurve,I186,cContinuous,D186)</f>
        <v>-22.503004683233726</v>
      </c>
      <c r="M186" s="123">
        <f ca="1">_xll.INSTRUMENT.Z.SPREAD(A186,ustCurve,I186,cContinuous,D186)</f>
        <v>-1.5305955195457004</v>
      </c>
      <c r="N186" s="123">
        <f ca="1">_xll.INSTRUMENT.Z.SPREAD(A186,oisCurve,I186,cContinuous,D186)</f>
        <v>12.329966128312128</v>
      </c>
      <c r="O186" s="124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1.8006284997622673E-2</v>
      </c>
      <c r="P186" s="124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1.583862981136587E-2</v>
      </c>
      <c r="Q186" s="379">
        <f ca="1">-(O186-curve!$S$3)/J186</f>
        <v>0.34086802457453286</v>
      </c>
      <c r="R186" s="381">
        <f t="shared" ca="1" si="3"/>
        <v>-474.89833351049964</v>
      </c>
      <c r="S186" s="199" t="str">
        <f>IF(F186&lt;&gt;"","",IF(G186="","",-G186*(SUMIF('bench Comparison'!$A:$A,"RESINV1USD",'bench Comparison'!$G:$G)+SUMIF('bench Comparison'!$A:$A,"RESSWAPORUSD",'bench Comparison'!$G:$G))/(36500*J186)))</f>
        <v/>
      </c>
      <c r="T186" s="210" t="str">
        <f>IF(G186&lt;&gt;"","",IF(F186="","",-36500*J186*F186/(SUMIF('bench Comparison'!$A:$A,"RESINV1USD",'bench Comparison'!$G:$G)+SUMIF('bench Comparison'!$A:$A,"RESSWAPORUSD",'bench Comparison'!$G:$G))))</f>
        <v/>
      </c>
      <c r="U186" s="125">
        <f>SUMIF('bench Comparison'!$E:$E,A186,'bench Comparison'!$N:$N)</f>
        <v>-221035795.39214849</v>
      </c>
      <c r="V186" s="126">
        <f ca="1">VALUE(_xll.BDP($A186 &amp; " Corp",V$1))</f>
        <v>41029</v>
      </c>
      <c r="W186" s="127">
        <f ca="1">VALUE(_xll.BDP($A186 &amp; " Corp",W$1))</f>
        <v>41029</v>
      </c>
      <c r="X186" s="127">
        <f ca="1">VALUE(_xll.BDP($A186 &amp; " Corp",X$1))</f>
        <v>41213</v>
      </c>
      <c r="Y186" s="127">
        <f ca="1">VALUE(_xll.BDP($A186 &amp; " Corp",Y$1))</f>
        <v>42674</v>
      </c>
      <c r="Z186" s="127">
        <f ca="1">VALUE(_xll.BDP($A186 &amp; " Corp",Z$1))</f>
        <v>42855</v>
      </c>
      <c r="AA186" s="128">
        <f ca="1">_xll.BDP($A186 &amp; " Corp",AA$1)/100</f>
        <v>8.7500000000000008E-3</v>
      </c>
      <c r="AB186" s="129">
        <f ca="1">_xll.BDP($A186 &amp; " Corp",AB$1)</f>
        <v>35940000000</v>
      </c>
      <c r="AC186" s="130" t="str">
        <f ca="1">IF(LEFT(B186,1)="B",_xll.INSTANCE.TBILL(A186,V186,Z186,TODAY()),_xll.INSTANCE.TNOTE(A186,V186,W186,X186,Y186,Z186,AA186,TODAY()))</f>
        <v>US912828SS04#0028</v>
      </c>
    </row>
    <row r="187" spans="1:29" x14ac:dyDescent="0.2">
      <c r="A187" s="131" t="s">
        <v>510</v>
      </c>
      <c r="B187" s="115" t="str">
        <f ca="1">_xll.BDP($A187 &amp; " Govt",B$1)</f>
        <v>T 3 1/8 04/30/17</v>
      </c>
      <c r="C187" s="372"/>
      <c r="D187" s="116"/>
      <c r="E187" s="117"/>
      <c r="F187" s="118"/>
      <c r="G187" s="377"/>
      <c r="H187" s="120">
        <f ca="1">IF(E187="",_xll.BDP(A187 &amp; " Govt","YLD_YTM_ASK")/100,E187)</f>
        <v>7.1270880000000002E-3</v>
      </c>
      <c r="I187" s="121">
        <f ca="1">_xll.INSTRUMENT.PRIX(AC187,D187,H187,cTreasuries)</f>
        <v>111.43146035426112</v>
      </c>
      <c r="J187" s="122">
        <f ca="1">_xll.INSTRUMENT.DV01(A187,,,I187,cContinuous,I187)</f>
        <v>-5.0592910741946363E-2</v>
      </c>
      <c r="K187" s="123">
        <f ca="1">_xll.INSTRUMENT.CONVEXITE(A187,,,I187,cContinuous,I187)</f>
        <v>21.306565089077267</v>
      </c>
      <c r="L187" s="123">
        <f ca="1">_xll.INSTRUMENT.Z.SPREAD(A187,swapCurve,I187,cContinuous,D187)</f>
        <v>-20.213235404425102</v>
      </c>
      <c r="M187" s="123">
        <f ca="1">_xll.INSTRUMENT.Z.SPREAD(A187,ustCurve,I187,cContinuous,D187)</f>
        <v>0.58667848583981708</v>
      </c>
      <c r="N187" s="123">
        <f ca="1">_xll.INSTRUMENT.Z.SPREAD(A187,oisCurve,I187,cContinuous,D187)</f>
        <v>14.591295503615981</v>
      </c>
      <c r="O187" s="124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1.6105406364072764E-2</v>
      </c>
      <c r="P187" s="124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1.5434202554797558E-2</v>
      </c>
      <c r="Q187" s="379">
        <f ca="1">-(O187-curve!$S$3)/J187</f>
        <v>0.28437263039270433</v>
      </c>
      <c r="R187" s="381">
        <f t="shared" ca="1" si="3"/>
        <v>-421.13736443734768</v>
      </c>
      <c r="S187" s="199" t="str">
        <f>IF(F187&lt;&gt;"","",IF(G187="","",-G187*(SUMIF('bench Comparison'!$A:$A,"RESINV1USD",'bench Comparison'!$G:$G)+SUMIF('bench Comparison'!$A:$A,"RESSWAPORUSD",'bench Comparison'!$G:$G))/(36500*J187)))</f>
        <v/>
      </c>
      <c r="T187" s="210" t="str">
        <f>IF(G187&lt;&gt;"","",IF(F187="","",-36500*J187*F187/(SUMIF('bench Comparison'!$A:$A,"RESINV1USD",'bench Comparison'!$G:$G)+SUMIF('bench Comparison'!$A:$A,"RESSWAPORUSD",'bench Comparison'!$G:$G))))</f>
        <v/>
      </c>
      <c r="U187" s="125">
        <f>SUMIF('bench Comparison'!$E:$E,A187,'bench Comparison'!$N:$N)</f>
        <v>0</v>
      </c>
      <c r="V187" s="126">
        <f ca="1">VALUE(_xll.BDP($A187 &amp; " Corp",V$1))</f>
        <v>40298</v>
      </c>
      <c r="W187" s="127">
        <f ca="1">VALUE(_xll.BDP($A187 &amp; " Corp",W$1))</f>
        <v>40298</v>
      </c>
      <c r="X187" s="127">
        <f ca="1">VALUE(_xll.BDP($A187 &amp; " Corp",X$1))</f>
        <v>40482</v>
      </c>
      <c r="Y187" s="127">
        <f ca="1">VALUE(_xll.BDP($A187 &amp; " Corp",Y$1))</f>
        <v>42674</v>
      </c>
      <c r="Z187" s="127">
        <f ca="1">VALUE(_xll.BDP($A187 &amp; " Corp",Z$1))</f>
        <v>42855</v>
      </c>
      <c r="AA187" s="128">
        <f ca="1">_xll.BDP($A187 &amp; " Corp",AA$1)/100</f>
        <v>3.125E-2</v>
      </c>
      <c r="AB187" s="129">
        <f ca="1">_xll.BDP($A187 &amp; " Corp",AB$1)</f>
        <v>32682000000</v>
      </c>
      <c r="AC187" s="130" t="str">
        <f ca="1">IF(LEFT(B187,1)="B",_xll.INSTANCE.TBILL(A187,V187,Z187,TODAY()),_xll.INSTANCE.TNOTE(A187,V187,W187,X187,Y187,Z187,AA187,TODAY()))</f>
        <v>US912828NA41#0028</v>
      </c>
    </row>
    <row r="188" spans="1:29" x14ac:dyDescent="0.2">
      <c r="A188" s="131" t="s">
        <v>511</v>
      </c>
      <c r="B188" s="115" t="str">
        <f ca="1">_xll.BDP($A188 &amp; " Govt",B$1)</f>
        <v>T 4 1/2 05/15/17</v>
      </c>
      <c r="C188" s="372"/>
      <c r="D188" s="116"/>
      <c r="E188" s="117"/>
      <c r="F188" s="118"/>
      <c r="G188" s="377"/>
      <c r="H188" s="120">
        <f ca="1">IF(E188="",_xll.BDP(A188 &amp; " Govt","YLD_YTM_ASK")/100,E188)</f>
        <v>7.1863429999999996E-3</v>
      </c>
      <c r="I188" s="121">
        <f ca="1">_xll.INSTRUMENT.PRIX(AC188,D188,H188,cTreasuries)</f>
        <v>118.06404133506319</v>
      </c>
      <c r="J188" s="122">
        <f ca="1">_xll.INSTRUMENT.DV01(A188,,,I188,cContinuous,I188)</f>
        <v>-5.2755111618171022E-2</v>
      </c>
      <c r="K188" s="123">
        <f ca="1">_xll.INSTRUMENT.CONVEXITE(A188,,,I188,cContinuous,I188)</f>
        <v>20.927662429962627</v>
      </c>
      <c r="L188" s="123">
        <f ca="1">_xll.INSTRUMENT.Z.SPREAD(A188,swapCurve,I188,cContinuous,D188)</f>
        <v>-19.570594304698904</v>
      </c>
      <c r="M188" s="123">
        <f ca="1">_xll.INSTRUMENT.Z.SPREAD(A188,ustCurve,I188,cContinuous,D188)</f>
        <v>1.1505358563127741</v>
      </c>
      <c r="N188" s="123">
        <f ca="1">_xll.INSTRUMENT.Z.SPREAD(A188,oisCurve,I188,cContinuous,D188)</f>
        <v>15.18597909700985</v>
      </c>
      <c r="O188" s="124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1.4704772298305021E-2</v>
      </c>
      <c r="P188" s="124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1.5149190799814482E-2</v>
      </c>
      <c r="Q188" s="379">
        <f ca="1">-(O188-curve!$S$3)/J188</f>
        <v>0.24616771044172581</v>
      </c>
      <c r="R188" s="381">
        <f t="shared" ca="1" si="3"/>
        <v>-396.69449628752722</v>
      </c>
      <c r="S188" s="199" t="str">
        <f>IF(F188&lt;&gt;"","",IF(G188="","",-G188*(SUMIF('bench Comparison'!$A:$A,"RESINV1USD",'bench Comparison'!$G:$G)+SUMIF('bench Comparison'!$A:$A,"RESSWAPORUSD",'bench Comparison'!$G:$G))/(36500*J188)))</f>
        <v/>
      </c>
      <c r="T188" s="210" t="str">
        <f>IF(G188&lt;&gt;"","",IF(F188="","",-36500*J188*F188/(SUMIF('bench Comparison'!$A:$A,"RESINV1USD",'bench Comparison'!$G:$G)+SUMIF('bench Comparison'!$A:$A,"RESSWAPORUSD",'bench Comparison'!$G:$G))))</f>
        <v/>
      </c>
      <c r="U188" s="125">
        <f>SUMIF('bench Comparison'!$E:$E,A188,'bench Comparison'!$N:$N)</f>
        <v>0</v>
      </c>
      <c r="V188" s="126">
        <f ca="1">VALUE(_xll.BDP($A188 &amp; " Corp",V$1))</f>
        <v>39217</v>
      </c>
      <c r="W188" s="127">
        <f ca="1">VALUE(_xll.BDP($A188 &amp; " Corp",W$1))</f>
        <v>39217</v>
      </c>
      <c r="X188" s="127">
        <f ca="1">VALUE(_xll.BDP($A188 &amp; " Corp",X$1))</f>
        <v>39401</v>
      </c>
      <c r="Y188" s="127">
        <f ca="1">VALUE(_xll.BDP($A188 &amp; " Corp",Y$1))</f>
        <v>42689</v>
      </c>
      <c r="Z188" s="127">
        <f ca="1">VALUE(_xll.BDP($A188 &amp; " Corp",Z$1))</f>
        <v>42870</v>
      </c>
      <c r="AA188" s="128">
        <f ca="1">_xll.BDP($A188 &amp; " Corp",AA$1)/100</f>
        <v>4.4999999999999998E-2</v>
      </c>
      <c r="AB188" s="129">
        <f ca="1">_xll.BDP($A188 &amp; " Corp",AB$1)</f>
        <v>25587000000</v>
      </c>
      <c r="AC188" s="130" t="str">
        <f ca="1">IF(LEFT(B188,1)="B",_xll.INSTANCE.TBILL(A188,V188,Z188,TODAY()),_xll.INSTANCE.TNOTE(A188,V188,W188,X188,Y188,Z188,AA188,TODAY()))</f>
        <v>US912828GS32#0029</v>
      </c>
    </row>
    <row r="189" spans="1:29" x14ac:dyDescent="0.2">
      <c r="A189" s="131" t="s">
        <v>512</v>
      </c>
      <c r="B189" s="115" t="str">
        <f ca="1">_xll.BDP($A189 &amp; " Govt",B$1)</f>
        <v>T 8 3/4 05/15/17</v>
      </c>
      <c r="C189" s="372"/>
      <c r="D189" s="116"/>
      <c r="E189" s="117"/>
      <c r="F189" s="118"/>
      <c r="G189" s="377"/>
      <c r="H189" s="120">
        <f ca="1">IF(E189="",_xll.BDP(A189 &amp; " Govt","YLD_YTM_ASK")/100,E189)</f>
        <v>7.0187119999999999E-3</v>
      </c>
      <c r="I189" s="121">
        <f ca="1">_xll.INSTRUMENT.PRIX(AC189,D189,H189,cTreasuries)</f>
        <v>138.46244253219729</v>
      </c>
      <c r="J189" s="122">
        <f ca="1">_xll.INSTRUMENT.DV01(A189,,,I189,cContinuous,I189)</f>
        <v>-5.8234070436775982E-2</v>
      </c>
      <c r="K189" s="123">
        <f ca="1">_xll.INSTRUMENT.CONVEXITE(A189,,,I189,cContinuous,I189)</f>
        <v>19.124229161794396</v>
      </c>
      <c r="L189" s="123">
        <f ca="1">_xll.INSTRUMENT.Z.SPREAD(A189,swapCurve,I189,cContinuous,D189)</f>
        <v>-19.37278447883417</v>
      </c>
      <c r="M189" s="123">
        <f ca="1">_xll.INSTRUMENT.Z.SPREAD(A189,ustCurve,I189,cContinuous,D189)</f>
        <v>1.0848299804196491</v>
      </c>
      <c r="N189" s="123">
        <f ca="1">_xll.INSTRUMENT.Z.SPREAD(A189,oisCurve,I189,cContinuous,D189)</f>
        <v>15.343056485515286</v>
      </c>
      <c r="O189" s="124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1.196778198555923E-2</v>
      </c>
      <c r="P189" s="124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1.4338719724289236E-2</v>
      </c>
      <c r="Q189" s="379">
        <f ca="1">-(O189-curve!$S$3)/J189</f>
        <v>0.17600718362156978</v>
      </c>
      <c r="R189" s="381">
        <f t="shared" ca="1" si="3"/>
        <v>-328.40275492260736</v>
      </c>
      <c r="S189" s="199" t="str">
        <f>IF(F189&lt;&gt;"","",IF(G189="","",-G189*(SUMIF('bench Comparison'!$A:$A,"RESINV1USD",'bench Comparison'!$G:$G)+SUMIF('bench Comparison'!$A:$A,"RESSWAPORUSD",'bench Comparison'!$G:$G))/(36500*J189)))</f>
        <v/>
      </c>
      <c r="T189" s="210" t="str">
        <f>IF(G189&lt;&gt;"","",IF(F189="","",-36500*J189*F189/(SUMIF('bench Comparison'!$A:$A,"RESINV1USD",'bench Comparison'!$G:$G)+SUMIF('bench Comparison'!$A:$A,"RESSWAPORUSD",'bench Comparison'!$G:$G))))</f>
        <v/>
      </c>
      <c r="U189" s="125">
        <f>SUMIF('bench Comparison'!$E:$E,A189,'bench Comparison'!$N:$N)</f>
        <v>0</v>
      </c>
      <c r="V189" s="126">
        <f ca="1">VALUE(_xll.BDP($A189 &amp; " Corp",V$1))</f>
        <v>31912</v>
      </c>
      <c r="W189" s="127">
        <f ca="1">VALUE(_xll.BDP($A189 &amp; " Corp",W$1))</f>
        <v>31912</v>
      </c>
      <c r="X189" s="127">
        <f ca="1">VALUE(_xll.BDP($A189 &amp; " Corp",X$1))</f>
        <v>32096</v>
      </c>
      <c r="Y189" s="127">
        <f ca="1">VALUE(_xll.BDP($A189 &amp; " Corp",Y$1))</f>
        <v>42689</v>
      </c>
      <c r="Z189" s="127">
        <f ca="1">VALUE(_xll.BDP($A189 &amp; " Corp",Z$1))</f>
        <v>42870</v>
      </c>
      <c r="AA189" s="128">
        <f ca="1">_xll.BDP($A189 &amp; " Corp",AA$1)/100</f>
        <v>8.7499999999999994E-2</v>
      </c>
      <c r="AB189" s="129">
        <f ca="1">_xll.BDP($A189 &amp; " Corp",AB$1)</f>
        <v>15559000000</v>
      </c>
      <c r="AC189" s="130" t="str">
        <f ca="1">IF(LEFT(B189,1)="B",_xll.INSTANCE.TBILL(A189,V189,Z189,TODAY()),_xll.INSTANCE.TNOTE(A189,V189,W189,X189,Y189,Z189,AA189,TODAY()))</f>
        <v>US912810DY11#0027</v>
      </c>
    </row>
    <row r="190" spans="1:29" x14ac:dyDescent="0.2">
      <c r="A190" s="131" t="s">
        <v>914</v>
      </c>
      <c r="B190" s="115" t="str">
        <f ca="1">_xll.BDP($A190 &amp; " Govt",B$1)</f>
        <v>T 0 5/8 05/31/17</v>
      </c>
      <c r="C190" s="372" t="s">
        <v>931</v>
      </c>
      <c r="D190" s="116"/>
      <c r="E190" s="117"/>
      <c r="F190" s="118"/>
      <c r="G190" s="377"/>
      <c r="H190" s="120">
        <f ca="1">IF(E190="",_xll.BDP(A190 &amp; " Govt","YLD_YTM_ASK")/100,E190)</f>
        <v>7.0765059999999998E-3</v>
      </c>
      <c r="I190" s="121">
        <f ca="1">_xll.INSTRUMENT.PRIX(AC190,D190,H190,cTreasuries)</f>
        <v>99.601182570121594</v>
      </c>
      <c r="J190" s="122">
        <f ca="1">_xll.INSTRUMENT.DV01(A190,,,I190,cContinuous,I190)</f>
        <v>-4.824732507737646E-2</v>
      </c>
      <c r="K190" s="123">
        <f ca="1">_xll.INSTRUMENT.CONVEXITE(A190,,,I190,cContinuous,I190)</f>
        <v>23.655055687424792</v>
      </c>
      <c r="L190" s="123">
        <f ca="1">_xll.INSTRUMENT.Z.SPREAD(A190,swapCurve,I190,cContinuous,D190)</f>
        <v>-23.541276250100207</v>
      </c>
      <c r="M190" s="123">
        <f ca="1">_xll.INSTRUMENT.Z.SPREAD(A190,ustCurve,I190,cContinuous,D190)</f>
        <v>-2.5133685524291196</v>
      </c>
      <c r="N190" s="123">
        <f ca="1">_xll.INSTRUMENT.Z.SPREAD(A190,oisCurve,I190,cContinuous,D190)</f>
        <v>11.217165849892202</v>
      </c>
      <c r="O190" s="124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1.7981902918194913E-2</v>
      </c>
      <c r="P190" s="124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1.5981616009771677E-2</v>
      </c>
      <c r="Q190" s="379">
        <f ca="1">-(O190-curve!$S$3)/J190</f>
        <v>0.33709092959972053</v>
      </c>
      <c r="R190" s="381">
        <f t="shared" ref="R190:R254" ca="1" si="4">K190/J190</f>
        <v>-490.28740245159889</v>
      </c>
      <c r="S190" s="199" t="str">
        <f>IF(F190&lt;&gt;"","",IF(G190="","",-G190*(SUMIF('bench Comparison'!$A:$A,"RESINV1USD",'bench Comparison'!$G:$G)+SUMIF('bench Comparison'!$A:$A,"RESSWAPORUSD",'bench Comparison'!$G:$G))/(36500*J190)))</f>
        <v/>
      </c>
      <c r="T190" s="210" t="str">
        <f>IF(G190&lt;&gt;"","",IF(F190="","",-36500*J190*F190/(SUMIF('bench Comparison'!$A:$A,"RESINV1USD",'bench Comparison'!$G:$G)+SUMIF('bench Comparison'!$A:$A,"RESSWAPORUSD",'bench Comparison'!$G:$G))))</f>
        <v/>
      </c>
      <c r="U190" s="125">
        <f>SUMIF('bench Comparison'!$E:$E,A190,'bench Comparison'!$N:$N)</f>
        <v>254803911.71865389</v>
      </c>
      <c r="V190" s="126">
        <f ca="1">VALUE(_xll.BDP($A190 &amp; " Corp",V$1))</f>
        <v>41060</v>
      </c>
      <c r="W190" s="127">
        <f ca="1">VALUE(_xll.BDP($A190 &amp; " Corp",W$1))</f>
        <v>41060</v>
      </c>
      <c r="X190" s="127">
        <f ca="1">VALUE(_xll.BDP($A190 &amp; " Corp",X$1))</f>
        <v>41243</v>
      </c>
      <c r="Y190" s="127">
        <f ca="1">VALUE(_xll.BDP($A190 &amp; " Corp",Y$1))</f>
        <v>42704</v>
      </c>
      <c r="Z190" s="127">
        <f ca="1">VALUE(_xll.BDP($A190 &amp; " Corp",Z$1))</f>
        <v>42886</v>
      </c>
      <c r="AA190" s="128">
        <f ca="1">_xll.BDP($A190 &amp; " Corp",AA$1)/100</f>
        <v>6.2500000000000003E-3</v>
      </c>
      <c r="AB190" s="129">
        <f ca="1">_xll.BDP($A190 &amp; " Corp",AB$1)</f>
        <v>35001000000</v>
      </c>
      <c r="AC190" s="130" t="str">
        <f ca="1">IF(LEFT(B190,1)="B",_xll.INSTANCE.TBILL(A190,V190,Z190,TODAY()),_xll.INSTANCE.TNOTE(A190,V190,W190,X190,Y190,Z190,AA190,TODAY()))</f>
        <v>US912828SY71#0028</v>
      </c>
    </row>
    <row r="191" spans="1:29" x14ac:dyDescent="0.2">
      <c r="A191" s="131" t="s">
        <v>513</v>
      </c>
      <c r="B191" s="115" t="str">
        <f ca="1">_xll.BDP($A191 &amp; " Govt",B$1)</f>
        <v>T 2 3/4 05/31/17</v>
      </c>
      <c r="C191" s="372"/>
      <c r="D191" s="116"/>
      <c r="E191" s="117"/>
      <c r="F191" s="118"/>
      <c r="G191" s="377"/>
      <c r="H191" s="120">
        <f ca="1">IF(E191="",_xll.BDP(A191 &amp; " Govt","YLD_YTM_ASK")/100,E191)</f>
        <v>7.2140309999999992E-3</v>
      </c>
      <c r="I191" s="121">
        <f ca="1">_xll.INSTRUMENT.PRIX(AC191,D191,H191,cTreasuries)</f>
        <v>109.77451477866022</v>
      </c>
      <c r="J191" s="122">
        <f ca="1">_xll.INSTRUMENT.DV01(A191,,,I191,cContinuous,I191)</f>
        <v>-5.0976038369033333E-2</v>
      </c>
      <c r="K191" s="123">
        <f ca="1">_xll.INSTRUMENT.CONVEXITE(A191,,,I191,cContinuous,I191)</f>
        <v>22.273156320778412</v>
      </c>
      <c r="L191" s="123">
        <f ca="1">_xll.INSTRUMENT.Z.SPREAD(A191,swapCurve,I191,cContinuous,D191)</f>
        <v>-20.955887981595279</v>
      </c>
      <c r="M191" s="123">
        <f ca="1">_xll.INSTRUMENT.Z.SPREAD(A191,ustCurve,I191,cContinuous,D191)</f>
        <v>-9.6399980021871043E-2</v>
      </c>
      <c r="N191" s="123">
        <f ca="1">_xll.INSTRUMENT.Z.SPREAD(A191,oisCurve,I191,cContinuous,D191)</f>
        <v>13.777978327604719</v>
      </c>
      <c r="O191" s="124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1.6025586229946352E-2</v>
      </c>
      <c r="P191" s="124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1.5464689888766189E-2</v>
      </c>
      <c r="Q191" s="379">
        <f ca="1">-(O191-curve!$S$3)/J191</f>
        <v>0.28066949552273524</v>
      </c>
      <c r="R191" s="381">
        <f t="shared" ca="1" si="4"/>
        <v>-436.9338425150903</v>
      </c>
      <c r="S191" s="199" t="str">
        <f>IF(F191&lt;&gt;"","",IF(G191="","",-G191*(SUMIF('bench Comparison'!$A:$A,"RESINV1USD",'bench Comparison'!$G:$G)+SUMIF('bench Comparison'!$A:$A,"RESSWAPORUSD",'bench Comparison'!$G:$G))/(36500*J191)))</f>
        <v/>
      </c>
      <c r="T191" s="210" t="str">
        <f>IF(G191&lt;&gt;"","",IF(F191="","",-36500*J191*F191/(SUMIF('bench Comparison'!$A:$A,"RESINV1USD",'bench Comparison'!$G:$G)+SUMIF('bench Comparison'!$A:$A,"RESSWAPORUSD",'bench Comparison'!$G:$G))))</f>
        <v/>
      </c>
      <c r="U191" s="125">
        <f>SUMIF('bench Comparison'!$E:$E,A191,'bench Comparison'!$N:$N)</f>
        <v>0</v>
      </c>
      <c r="V191" s="126">
        <f ca="1">VALUE(_xll.BDP($A191 &amp; " Corp",V$1))</f>
        <v>40330</v>
      </c>
      <c r="W191" s="127">
        <f ca="1">VALUE(_xll.BDP($A191 &amp; " Corp",W$1))</f>
        <v>40329</v>
      </c>
      <c r="X191" s="127">
        <f ca="1">VALUE(_xll.BDP($A191 &amp; " Corp",X$1))</f>
        <v>40512</v>
      </c>
      <c r="Y191" s="127">
        <f ca="1">VALUE(_xll.BDP($A191 &amp; " Corp",Y$1))</f>
        <v>42704</v>
      </c>
      <c r="Z191" s="127">
        <f ca="1">VALUE(_xll.BDP($A191 &amp; " Corp",Z$1))</f>
        <v>42886</v>
      </c>
      <c r="AA191" s="128">
        <f ca="1">_xll.BDP($A191 &amp; " Corp",AA$1)/100</f>
        <v>2.75E-2</v>
      </c>
      <c r="AB191" s="129">
        <f ca="1">_xll.BDP($A191 &amp; " Corp",AB$1)</f>
        <v>31674000000.000004</v>
      </c>
      <c r="AC191" s="130" t="str">
        <f ca="1">IF(LEFT(B191,1)="B",_xll.INSTANCE.TBILL(A191,V191,Z191,TODAY()),_xll.INSTANCE.TNOTE(A191,V191,W191,X191,Y191,Z191,AA191,TODAY()))</f>
        <v>US912828NG11#0028</v>
      </c>
    </row>
    <row r="192" spans="1:29" x14ac:dyDescent="0.2">
      <c r="A192" s="131" t="s">
        <v>514</v>
      </c>
      <c r="B192" s="115" t="str">
        <f ca="1">_xll.BDP($A192 &amp; " Govt",B$1)</f>
        <v>T 2 1/2 06/30/17</v>
      </c>
      <c r="C192" s="372"/>
      <c r="D192" s="116"/>
      <c r="E192" s="117"/>
      <c r="F192" s="118"/>
      <c r="G192" s="377"/>
      <c r="H192" s="120">
        <f ca="1">IF(E192="",_xll.BDP(A192 &amp; " Govt","YLD_YTM_ASK")/100,E192)</f>
        <v>7.3943950000000007E-3</v>
      </c>
      <c r="I192" s="121">
        <f ca="1">_xll.INSTRUMENT.PRIX(AC192,D192,H192,cTreasuries)</f>
        <v>108.61809222539564</v>
      </c>
      <c r="J192" s="122">
        <f ca="1">_xll.INSTRUMENT.DV01(A192,,,I192,cContinuous,I192)</f>
        <v>-5.1470462294769356E-2</v>
      </c>
      <c r="K192" s="123">
        <f ca="1">_xll.INSTRUMENT.CONVEXITE(A192,,,I192,cContinuous,I192)</f>
        <v>23.194016653102569</v>
      </c>
      <c r="L192" s="123">
        <f ca="1">_xll.INSTRUMENT.Z.SPREAD(A192,swapCurve,I192,cContinuous,D192)</f>
        <v>-20.749775579324336</v>
      </c>
      <c r="M192" s="123">
        <f ca="1">_xll.INSTRUMENT.Z.SPREAD(A192,ustCurve,I192,cContinuous,D192)</f>
        <v>0.14179903016514778</v>
      </c>
      <c r="N192" s="123">
        <f ca="1">_xll.INSTRUMENT.Z.SPREAD(A192,oisCurve,I192,cContinuous,D192)</f>
        <v>13.897148346924867</v>
      </c>
      <c r="O192" s="124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1.6771479995589263E-2</v>
      </c>
      <c r="P192" s="124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1.5994530276274437E-2</v>
      </c>
      <c r="Q192" s="379">
        <f ca="1">-(O192-curve!$S$3)/J192</f>
        <v>0.29246507739171546</v>
      </c>
      <c r="R192" s="381">
        <f t="shared" ca="1" si="4"/>
        <v>-450.62771187620831</v>
      </c>
      <c r="S192" s="199" t="str">
        <f>IF(F192&lt;&gt;"","",IF(G192="","",-G192*(SUMIF('bench Comparison'!$A:$A,"RESINV1USD",'bench Comparison'!$G:$G)+SUMIF('bench Comparison'!$A:$A,"RESSWAPORUSD",'bench Comparison'!$G:$G))/(36500*J192)))</f>
        <v/>
      </c>
      <c r="T192" s="210" t="str">
        <f>IF(G192&lt;&gt;"","",IF(F192="","",-36500*J192*F192/(SUMIF('bench Comparison'!$A:$A,"RESINV1USD",'bench Comparison'!$G:$G)+SUMIF('bench Comparison'!$A:$A,"RESSWAPORUSD",'bench Comparison'!$G:$G))))</f>
        <v/>
      </c>
      <c r="U192" s="125">
        <f>SUMIF('bench Comparison'!$E:$E,A192,'bench Comparison'!$N:$N)</f>
        <v>0</v>
      </c>
      <c r="V192" s="126">
        <f ca="1">VALUE(_xll.BDP($A192 &amp; " Corp",V$1))</f>
        <v>40359</v>
      </c>
      <c r="W192" s="127">
        <f ca="1">VALUE(_xll.BDP($A192 &amp; " Corp",W$1))</f>
        <v>40359</v>
      </c>
      <c r="X192" s="127">
        <f ca="1">VALUE(_xll.BDP($A192 &amp; " Corp",X$1))</f>
        <v>40543</v>
      </c>
      <c r="Y192" s="127">
        <f ca="1">VALUE(_xll.BDP($A192 &amp; " Corp",Y$1))</f>
        <v>42735</v>
      </c>
      <c r="Z192" s="127">
        <f ca="1">VALUE(_xll.BDP($A192 &amp; " Corp",Z$1))</f>
        <v>42916</v>
      </c>
      <c r="AA192" s="128">
        <f ca="1">_xll.BDP($A192 &amp; " Corp",AA$1)/100</f>
        <v>2.5000000000000001E-2</v>
      </c>
      <c r="AB192" s="129">
        <f ca="1">_xll.BDP($A192 &amp; " Corp",AB$1)</f>
        <v>30893000000</v>
      </c>
      <c r="AC192" s="130" t="str">
        <f ca="1">IF(LEFT(B192,1)="B",_xll.INSTANCE.TBILL(A192,V192,Z192,TODAY()),_xll.INSTANCE.TNOTE(A192,V192,W192,X192,Y192,Z192,AA192,TODAY()))</f>
        <v>US912828NK23#0028</v>
      </c>
    </row>
    <row r="193" spans="1:29" x14ac:dyDescent="0.2">
      <c r="A193" s="131" t="s">
        <v>952</v>
      </c>
      <c r="B193" s="115" t="str">
        <f ca="1">_xll.BDP($A193 &amp; " Govt",B$1)</f>
        <v>T 0 3/4 06/30/17</v>
      </c>
      <c r="C193" s="372" t="s">
        <v>930</v>
      </c>
      <c r="D193" s="116"/>
      <c r="E193" s="117"/>
      <c r="F193" s="118"/>
      <c r="G193" s="377"/>
      <c r="H193" s="120">
        <f ca="1">IF(E193="",_xll.BDP(A193 &amp; " Govt","YLD_YTM_ASK")/100,E193)</f>
        <v>7.1650029999999996E-3</v>
      </c>
      <c r="I193" s="121">
        <f ca="1">_xll.INSTRUMENT.PRIX(AC193,D193,H193,cTreasuries)</f>
        <v>100.16499057012371</v>
      </c>
      <c r="J193" s="122">
        <f ca="1">_xll.INSTRUMENT.DV01(A193,,,I193,cContinuous,I193)</f>
        <v>-4.9184203342054124E-2</v>
      </c>
      <c r="K193" s="123">
        <f ca="1">_xll.INSTRUMENT.CONVEXITE(A193,,,I193,cContinuous,I193)</f>
        <v>24.365996826803947</v>
      </c>
      <c r="L193" s="123">
        <f ca="1">_xll.INSTRUMENT.Z.SPREAD(A193,swapCurve,I193,cContinuous,D193)</f>
        <v>-24.079714425108659</v>
      </c>
      <c r="M193" s="123">
        <f ca="1">_xll.INSTRUMENT.Z.SPREAD(A193,ustCurve,I193,cContinuous,D193)</f>
        <v>-3.0496229683153353</v>
      </c>
      <c r="N193" s="123">
        <f ca="1">_xll.INSTRUMENT.Z.SPREAD(A193,oisCurve,I193,cContinuous,D193)</f>
        <v>10.584533715086652</v>
      </c>
      <c r="O193" s="124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1.8168471057678392E-2</v>
      </c>
      <c r="P193" s="124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1.6216850638785356E-2</v>
      </c>
      <c r="Q193" s="379">
        <f ca="1">-(O193-curve!$S$3)/J193</f>
        <v>0.33446315448298952</v>
      </c>
      <c r="R193" s="381">
        <f t="shared" ref="R193" ca="1" si="5">K193/J193</f>
        <v>-495.40289709176221</v>
      </c>
      <c r="S193" s="199" t="str">
        <f>IF(F193&lt;&gt;"","",IF(G193="","",-G193*(SUMIF('bench Comparison'!$A:$A,"RESINV1USD",'bench Comparison'!$G:$G)+SUMIF('bench Comparison'!$A:$A,"RESSWAPORUSD",'bench Comparison'!$G:$G))/(36500*J193)))</f>
        <v/>
      </c>
      <c r="T193" s="210" t="str">
        <f>IF(G193&lt;&gt;"","",IF(F193="","",-36500*J193*F193/(SUMIF('bench Comparison'!$A:$A,"RESINV1USD",'bench Comparison'!$G:$G)+SUMIF('bench Comparison'!$A:$A,"RESSWAPORUSD",'bench Comparison'!$G:$G))))</f>
        <v/>
      </c>
      <c r="U193" s="125">
        <f>SUMIF('bench Comparison'!$E:$E,A193,'bench Comparison'!$N:$N)</f>
        <v>124964204.60785151</v>
      </c>
      <c r="V193" s="126">
        <f ca="1">VALUE(_xll.BDP($A193 &amp; " Corp",V$1))</f>
        <v>41092</v>
      </c>
      <c r="W193" s="127">
        <f ca="1">VALUE(_xll.BDP($A193 &amp; " Corp",W$1))</f>
        <v>41090</v>
      </c>
      <c r="X193" s="127">
        <f ca="1">VALUE(_xll.BDP($A193 &amp; " Corp",X$1))</f>
        <v>41274</v>
      </c>
      <c r="Y193" s="127">
        <f ca="1">VALUE(_xll.BDP($A193 &amp; " Corp",Y$1))</f>
        <v>42735</v>
      </c>
      <c r="Z193" s="127">
        <f ca="1">VALUE(_xll.BDP($A193 &amp; " Corp",Z$1))</f>
        <v>42916</v>
      </c>
      <c r="AA193" s="128">
        <f ca="1">_xll.BDP($A193 &amp; " Corp",AA$1)/100</f>
        <v>7.4999999999999997E-3</v>
      </c>
      <c r="AB193" s="129">
        <f ca="1">_xll.BDP($A193 &amp; " Corp",AB$1)</f>
        <v>35000000000</v>
      </c>
      <c r="AC193" s="130" t="str">
        <f ca="1">IF(LEFT(B193,1)="B",_xll.INSTANCE.TBILL(A193,V193,Z193,TODAY()),_xll.INSTANCE.TNOTE(A193,V193,W193,X193,Y193,Z193,AA193,TODAY()))</f>
        <v>US912828TB69#0031</v>
      </c>
    </row>
    <row r="194" spans="1:29" x14ac:dyDescent="0.2">
      <c r="A194" s="131" t="s">
        <v>515</v>
      </c>
      <c r="B194" s="115" t="str">
        <f ca="1">_xll.BDP($A194 &amp; " Govt",B$1)</f>
        <v>T 2 3/8 07/31/17</v>
      </c>
      <c r="C194" s="372"/>
      <c r="D194" s="116"/>
      <c r="E194" s="117"/>
      <c r="F194" s="118"/>
      <c r="G194" s="377"/>
      <c r="H194" s="120">
        <f ca="1">IF(E194="",_xll.BDP(A194 &amp; " Govt","YLD_YTM_ASK")/100,E194)</f>
        <v>7.5414469999999997E-3</v>
      </c>
      <c r="I194" s="121">
        <f ca="1">_xll.INSTRUMENT.PRIX(AC194,D194,H194,cTreasuries)</f>
        <v>108.06347476754965</v>
      </c>
      <c r="J194" s="122">
        <f ca="1">_xll.INSTRUMENT.DV01(A194,,,I194,cContinuous,I194)</f>
        <v>-5.2159100982206399E-2</v>
      </c>
      <c r="K194" s="123">
        <f ca="1">_xll.INSTRUMENT.CONVEXITE(A194,,,I194,cContinuous,I194)</f>
        <v>23.82265397433649</v>
      </c>
      <c r="L194" s="123">
        <f ca="1">_xll.INSTRUMENT.Z.SPREAD(A194,swapCurve,I194,cContinuous,D194)</f>
        <v>-20.836404670285809</v>
      </c>
      <c r="M194" s="123">
        <f ca="1">_xll.INSTRUMENT.Z.SPREAD(A194,ustCurve,I194,cContinuous,D194)</f>
        <v>5.5554030527021382E-2</v>
      </c>
      <c r="N194" s="123">
        <f ca="1">_xll.INSTRUMENT.Z.SPREAD(A194,oisCurve,I194,cContinuous,D194)</f>
        <v>13.701348033695211</v>
      </c>
      <c r="O194" s="124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1.7015165646652716E-2</v>
      </c>
      <c r="P194" s="124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1.6265419839776637E-2</v>
      </c>
      <c r="Q194" s="379">
        <f ca="1">-(O194-curve!$S$3)/J194</f>
        <v>0.29327572947833164</v>
      </c>
      <c r="R194" s="381">
        <f t="shared" ca="1" si="4"/>
        <v>-456.73053265360863</v>
      </c>
      <c r="S194" s="199" t="str">
        <f>IF(F194&lt;&gt;"","",IF(G194="","",-G194*(SUMIF('bench Comparison'!$A:$A,"RESINV1USD",'bench Comparison'!$G:$G)+SUMIF('bench Comparison'!$A:$A,"RESSWAPORUSD",'bench Comparison'!$G:$G))/(36500*J194)))</f>
        <v/>
      </c>
      <c r="T194" s="210" t="str">
        <f>IF(G194&lt;&gt;"","",IF(F194="","",-36500*J194*F194/(SUMIF('bench Comparison'!$A:$A,"RESINV1USD",'bench Comparison'!$G:$G)+SUMIF('bench Comparison'!$A:$A,"RESSWAPORUSD",'bench Comparison'!$G:$G))))</f>
        <v/>
      </c>
      <c r="U194" s="125">
        <f>SUMIF('bench Comparison'!$E:$E,A194,'bench Comparison'!$N:$N)</f>
        <v>0</v>
      </c>
      <c r="V194" s="126">
        <f ca="1">VALUE(_xll.BDP($A194 &amp; " Corp",V$1))</f>
        <v>40392</v>
      </c>
      <c r="W194" s="127">
        <f ca="1">VALUE(_xll.BDP($A194 &amp; " Corp",W$1))</f>
        <v>40390</v>
      </c>
      <c r="X194" s="127">
        <f ca="1">VALUE(_xll.BDP($A194 &amp; " Corp",X$1))</f>
        <v>40574</v>
      </c>
      <c r="Y194" s="127">
        <f ca="1">VALUE(_xll.BDP($A194 &amp; " Corp",Y$1))</f>
        <v>42766</v>
      </c>
      <c r="Z194" s="127">
        <f ca="1">VALUE(_xll.BDP($A194 &amp; " Corp",Z$1))</f>
        <v>42947</v>
      </c>
      <c r="AA194" s="128">
        <f ca="1">_xll.BDP($A194 &amp; " Corp",AA$1)/100</f>
        <v>2.375E-2</v>
      </c>
      <c r="AB194" s="129">
        <f ca="1">_xll.BDP($A194 &amp; " Corp",AB$1)</f>
        <v>29952000000</v>
      </c>
      <c r="AC194" s="130" t="str">
        <f ca="1">IF(LEFT(B194,1)="B",_xll.INSTANCE.TBILL(A194,V194,Z194,TODAY()),_xll.INSTANCE.TNOTE(A194,V194,W194,X194,Y194,Z194,AA194,TODAY()))</f>
        <v>US912828NR75#0028</v>
      </c>
    </row>
    <row r="195" spans="1:29" x14ac:dyDescent="0.2">
      <c r="A195" s="131" t="s">
        <v>517</v>
      </c>
      <c r="B195" s="115" t="str">
        <f ca="1">_xll.BDP($A195 &amp; " Govt",B$1)</f>
        <v>T 8 7/8 08/15/17</v>
      </c>
      <c r="C195" s="372"/>
      <c r="D195" s="116"/>
      <c r="E195" s="117"/>
      <c r="F195" s="118"/>
      <c r="G195" s="377"/>
      <c r="H195" s="120">
        <f ca="1">IF(E195="",_xll.BDP(A195 &amp; " Govt","YLD_YTM_ASK")/100,E195)</f>
        <v>7.3090529999999994E-3</v>
      </c>
      <c r="I195" s="121">
        <f ca="1">_xll.INSTRUMENT.PRIX(AC195,D195,H195,cTreasuries)</f>
        <v>140.86025098846164</v>
      </c>
      <c r="J195" s="122">
        <f ca="1">_xll.INSTRUMENT.DV01(A195,,,I195,cContinuous,I195)</f>
        <v>-6.1790481403118859E-2</v>
      </c>
      <c r="K195" s="123">
        <f ca="1">_xll.INSTRUMENT.CONVEXITE(A195,,,I195,cContinuous,I195)</f>
        <v>20.58730217818519</v>
      </c>
      <c r="L195" s="123">
        <f ca="1">_xll.INSTRUMENT.Z.SPREAD(A195,swapCurve,I195,cContinuous,D195)</f>
        <v>-20.466946397328414</v>
      </c>
      <c r="M195" s="123">
        <f ca="1">_xll.INSTRUMENT.Z.SPREAD(A195,ustCurve,I195,cContinuous,D195)</f>
        <v>-4.5490870293060032E-3</v>
      </c>
      <c r="N195" s="123">
        <f ca="1">_xll.INSTRUMENT.Z.SPREAD(A195,oisCurve,I195,cContinuous,D195)</f>
        <v>13.973117274757611</v>
      </c>
      <c r="O195" s="124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1.2043267898649757E-2</v>
      </c>
      <c r="P195" s="124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1.4641607384222819E-2</v>
      </c>
      <c r="Q195" s="379">
        <f ca="1">-(O195-curve!$S$3)/J195</f>
        <v>0.16709856286969191</v>
      </c>
      <c r="R195" s="381">
        <f t="shared" ca="1" si="4"/>
        <v>-333.17918408620864</v>
      </c>
      <c r="S195" s="199" t="str">
        <f>IF(F195&lt;&gt;"","",IF(G195="","",-G195*(SUMIF('bench Comparison'!$A:$A,"RESINV1USD",'bench Comparison'!$G:$G)+SUMIF('bench Comparison'!$A:$A,"RESSWAPORUSD",'bench Comparison'!$G:$G))/(36500*J195)))</f>
        <v/>
      </c>
      <c r="T195" s="210" t="str">
        <f>IF(G195&lt;&gt;"","",IF(F195="","",-36500*J195*F195/(SUMIF('bench Comparison'!$A:$A,"RESINV1USD",'bench Comparison'!$G:$G)+SUMIF('bench Comparison'!$A:$A,"RESSWAPORUSD",'bench Comparison'!$G:$G))))</f>
        <v/>
      </c>
      <c r="U195" s="125">
        <f>SUMIF('bench Comparison'!$E:$E,A195,'bench Comparison'!$N:$N)</f>
        <v>0</v>
      </c>
      <c r="V195" s="126">
        <f ca="1">VALUE(_xll.BDP($A195 &amp; " Corp",V$1))</f>
        <v>32004</v>
      </c>
      <c r="W195" s="127">
        <f ca="1">VALUE(_xll.BDP($A195 &amp; " Corp",W$1))</f>
        <v>32004</v>
      </c>
      <c r="X195" s="127">
        <f ca="1">VALUE(_xll.BDP($A195 &amp; " Corp",X$1))</f>
        <v>32188</v>
      </c>
      <c r="Y195" s="127">
        <f ca="1">VALUE(_xll.BDP($A195 &amp; " Corp",Y$1))</f>
        <v>42781</v>
      </c>
      <c r="Z195" s="127">
        <f ca="1">VALUE(_xll.BDP($A195 &amp; " Corp",Z$1))</f>
        <v>42962</v>
      </c>
      <c r="AA195" s="128">
        <f ca="1">_xll.BDP($A195 &amp; " Corp",AA$1)/100</f>
        <v>8.8749999999999996E-2</v>
      </c>
      <c r="AB195" s="129">
        <f ca="1">_xll.BDP($A195 &amp; " Corp",AB$1)</f>
        <v>10968000000</v>
      </c>
      <c r="AC195" s="130" t="str">
        <f ca="1">IF(LEFT(B195,1)="B",_xll.INSTANCE.TBILL(A195,V195,Z195,TODAY()),_xll.INSTANCE.TNOTE(A195,V195,W195,X195,Y195,Z195,AA195,TODAY()))</f>
        <v>US912810DZ85#0028</v>
      </c>
    </row>
    <row r="196" spans="1:29" x14ac:dyDescent="0.2">
      <c r="A196" s="131" t="s">
        <v>516</v>
      </c>
      <c r="B196" s="115" t="str">
        <f ca="1">_xll.BDP($A196 &amp; " Govt",B$1)</f>
        <v>T 4 3/4 08/15/17</v>
      </c>
      <c r="C196" s="372"/>
      <c r="D196" s="116"/>
      <c r="E196" s="117"/>
      <c r="F196" s="118"/>
      <c r="G196" s="377"/>
      <c r="H196" s="120">
        <f ca="1">IF(E196="",_xll.BDP(A196 &amp; " Govt","YLD_YTM_ASK")/100,E196)</f>
        <v>7.4909749999999995E-3</v>
      </c>
      <c r="I196" s="121">
        <f ca="1">_xll.INSTRUMENT.PRIX(AC196,D196,H196,cTreasuries)</f>
        <v>120.06347741338347</v>
      </c>
      <c r="J196" s="122">
        <f ca="1">_xll.INSTRUMENT.DV01(A196,,,I196,cContinuous,I196)</f>
        <v>-5.594194018185588E-2</v>
      </c>
      <c r="K196" s="123">
        <f ca="1">_xll.INSTRUMENT.CONVEXITE(A196,,,I196,cContinuous,I196)</f>
        <v>22.648205180027691</v>
      </c>
      <c r="L196" s="123">
        <f ca="1">_xll.INSTRUMENT.Z.SPREAD(A196,swapCurve,I196,cContinuous,D196)</f>
        <v>-20.683349926294643</v>
      </c>
      <c r="M196" s="123">
        <f ca="1">_xll.INSTRUMENT.Z.SPREAD(A196,ustCurve,I196,cContinuous,D196)</f>
        <v>2.9292520801124228E-2</v>
      </c>
      <c r="N196" s="123">
        <f ca="1">_xll.INSTRUMENT.Z.SPREAD(A196,oisCurve,I196,cContinuous,D196)</f>
        <v>13.781312231737758</v>
      </c>
      <c r="O196" s="124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1.4979174566419094E-2</v>
      </c>
      <c r="P196" s="124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1.5635562595470897E-2</v>
      </c>
      <c r="Q196" s="379">
        <f ca="1">-(O196-curve!$S$3)/J196</f>
        <v>0.23704947068600199</v>
      </c>
      <c r="R196" s="381">
        <f t="shared" ca="1" si="4"/>
        <v>-404.85197879092107</v>
      </c>
      <c r="S196" s="199" t="str">
        <f>IF(F196&lt;&gt;"","",IF(G196="","",-G196*(SUMIF('bench Comparison'!$A:$A,"RESINV1USD",'bench Comparison'!$G:$G)+SUMIF('bench Comparison'!$A:$A,"RESSWAPORUSD",'bench Comparison'!$G:$G))/(36500*J196)))</f>
        <v/>
      </c>
      <c r="T196" s="210" t="str">
        <f>IF(G196&lt;&gt;"","",IF(F196="","",-36500*J196*F196/(SUMIF('bench Comparison'!$A:$A,"RESINV1USD",'bench Comparison'!$G:$G)+SUMIF('bench Comparison'!$A:$A,"RESSWAPORUSD",'bench Comparison'!$G:$G))))</f>
        <v/>
      </c>
      <c r="U196" s="125">
        <f>SUMIF('bench Comparison'!$E:$E,A196,'bench Comparison'!$N:$N)</f>
        <v>0</v>
      </c>
      <c r="V196" s="126">
        <f ca="1">VALUE(_xll.BDP($A196 &amp; " Corp",V$1))</f>
        <v>39309</v>
      </c>
      <c r="W196" s="127">
        <f ca="1">VALUE(_xll.BDP($A196 &amp; " Corp",W$1))</f>
        <v>39309</v>
      </c>
      <c r="X196" s="127">
        <f ca="1">VALUE(_xll.BDP($A196 &amp; " Corp",X$1))</f>
        <v>39493</v>
      </c>
      <c r="Y196" s="127">
        <f ca="1">VALUE(_xll.BDP($A196 &amp; " Corp",Y$1))</f>
        <v>42781</v>
      </c>
      <c r="Z196" s="127">
        <f ca="1">VALUE(_xll.BDP($A196 &amp; " Corp",Z$1))</f>
        <v>42962</v>
      </c>
      <c r="AA196" s="128">
        <f ca="1">_xll.BDP($A196 &amp; " Corp",AA$1)/100</f>
        <v>4.7500000000000001E-2</v>
      </c>
      <c r="AB196" s="129">
        <f ca="1">_xll.BDP($A196 &amp; " Corp",AB$1)</f>
        <v>28000000000</v>
      </c>
      <c r="AC196" s="130" t="str">
        <f ca="1">IF(LEFT(B196,1)="B",_xll.INSTANCE.TBILL(A196,V196,Z196,TODAY()),_xll.INSTANCE.TNOTE(A196,V196,W196,X196,Y196,Z196,AA196,TODAY()))</f>
        <v>US912828HA15#0028</v>
      </c>
    </row>
    <row r="197" spans="1:29" x14ac:dyDescent="0.2">
      <c r="A197" s="131" t="s">
        <v>518</v>
      </c>
      <c r="B197" s="115" t="str">
        <f ca="1">_xll.BDP($A197 &amp; " Govt",B$1)</f>
        <v>T 1 7/8 08/31/17</v>
      </c>
      <c r="C197" s="372"/>
      <c r="D197" s="116"/>
      <c r="E197" s="117"/>
      <c r="F197" s="118"/>
      <c r="G197" s="377"/>
      <c r="H197" s="120">
        <f ca="1">IF(E197="",_xll.BDP(A197 &amp; " Govt","YLD_YTM_ASK")/100,E197)</f>
        <v>7.7380550000000006E-3</v>
      </c>
      <c r="I197" s="121">
        <f ca="1">_xll.INSTRUMENT.PRIX(AC197,D197,H197,cTreasuries)</f>
        <v>105.56243608562846</v>
      </c>
      <c r="J197" s="122">
        <f ca="1">_xll.INSTRUMENT.DV01(A197,,,I197,cContinuous,I197)</f>
        <v>-5.2283033481863722E-2</v>
      </c>
      <c r="K197" s="123">
        <f ca="1">_xll.INSTRUMENT.CONVEXITE(A197,,,I197,cContinuous,I197)</f>
        <v>25.023277550064979</v>
      </c>
      <c r="L197" s="123">
        <f ca="1">_xll.INSTRUMENT.Z.SPREAD(A197,swapCurve,I197,cContinuous,D197)</f>
        <v>-20.674294103518942</v>
      </c>
      <c r="M197" s="123">
        <f ca="1">_xll.INSTRUMENT.Z.SPREAD(A197,ustCurve,I197,cContinuous,D197)</f>
        <v>0.23310649944126319</v>
      </c>
      <c r="N197" s="123">
        <f ca="1">_xll.INSTRUMENT.Z.SPREAD(A197,oisCurve,I197,cContinuous,D197)</f>
        <v>13.749581484328184</v>
      </c>
      <c r="O197" s="124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1.811451873365039E-2</v>
      </c>
      <c r="P197" s="124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1.6739194672876486E-2</v>
      </c>
      <c r="Q197" s="379">
        <f ca="1">-(O197-curve!$S$3)/J197</f>
        <v>0.31360750102948576</v>
      </c>
      <c r="R197" s="381">
        <f t="shared" ca="1" si="4"/>
        <v>-478.61181503068707</v>
      </c>
      <c r="S197" s="199" t="str">
        <f>IF(F197&lt;&gt;"","",IF(G197="","",-G197*(SUMIF('bench Comparison'!$A:$A,"RESINV1USD",'bench Comparison'!$G:$G)+SUMIF('bench Comparison'!$A:$A,"RESSWAPORUSD",'bench Comparison'!$G:$G))/(36500*J197)))</f>
        <v/>
      </c>
      <c r="T197" s="210" t="str">
        <f>IF(G197&lt;&gt;"","",IF(F197="","",-36500*J197*F197/(SUMIF('bench Comparison'!$A:$A,"RESINV1USD",'bench Comparison'!$G:$G)+SUMIF('bench Comparison'!$A:$A,"RESSWAPORUSD",'bench Comparison'!$G:$G))))</f>
        <v/>
      </c>
      <c r="U197" s="125">
        <f>SUMIF('bench Comparison'!$E:$E,A197,'bench Comparison'!$N:$N)</f>
        <v>0</v>
      </c>
      <c r="V197" s="126">
        <f ca="1">VALUE(_xll.BDP($A197 &amp; " Corp",V$1))</f>
        <v>40421</v>
      </c>
      <c r="W197" s="127">
        <f ca="1">VALUE(_xll.BDP($A197 &amp; " Corp",W$1))</f>
        <v>40421</v>
      </c>
      <c r="X197" s="127">
        <f ca="1">VALUE(_xll.BDP($A197 &amp; " Corp",X$1))</f>
        <v>40602</v>
      </c>
      <c r="Y197" s="127">
        <f ca="1">VALUE(_xll.BDP($A197 &amp; " Corp",Y$1))</f>
        <v>42794</v>
      </c>
      <c r="Z197" s="127">
        <f ca="1">VALUE(_xll.BDP($A197 &amp; " Corp",Z$1))</f>
        <v>42978</v>
      </c>
      <c r="AA197" s="128">
        <f ca="1">_xll.BDP($A197 &amp; " Corp",AA$1)/100</f>
        <v>1.8749999999999999E-2</v>
      </c>
      <c r="AB197" s="129">
        <f ca="1">_xll.BDP($A197 &amp; " Corp",AB$1)</f>
        <v>29710000000.000004</v>
      </c>
      <c r="AC197" s="130" t="str">
        <f ca="1">IF(LEFT(B197,1)="B",_xll.INSTANCE.TBILL(A197,V197,Z197,TODAY()),_xll.INSTANCE.TNOTE(A197,V197,W197,X197,Y197,Z197,AA197,TODAY()))</f>
        <v>US912828NW60#0028</v>
      </c>
    </row>
    <row r="198" spans="1:29" x14ac:dyDescent="0.2">
      <c r="A198" s="131" t="s">
        <v>519</v>
      </c>
      <c r="B198" s="115" t="str">
        <f ca="1">_xll.BDP($A198 &amp; " Govt",B$1)</f>
        <v>T 1 7/8 09/30/17</v>
      </c>
      <c r="C198" s="372"/>
      <c r="D198" s="116"/>
      <c r="E198" s="117"/>
      <c r="F198" s="118"/>
      <c r="G198" s="377"/>
      <c r="H198" s="120">
        <f ca="1">IF(E198="",_xll.BDP(A198 &amp; " Govt","YLD_YTM_ASK")/100,E198)</f>
        <v>7.932873E-3</v>
      </c>
      <c r="I198" s="121">
        <f ca="1">_xll.INSTRUMENT.PRIX(AC198,D198,H198,cTreasuries)</f>
        <v>105.54726543918976</v>
      </c>
      <c r="J198" s="122">
        <f ca="1">_xll.INSTRUMENT.DV01(A198,,,I198,cContinuous,I198)</f>
        <v>-5.3121841066548534E-2</v>
      </c>
      <c r="K198" s="123">
        <f ca="1">_xll.INSTRUMENT.CONVEXITE(A198,,,I198,cContinuous,I198)</f>
        <v>25.890861323855408</v>
      </c>
      <c r="L198" s="123">
        <f ca="1">_xll.INSTRUMENT.Z.SPREAD(A198,swapCurve,I198,cContinuous,D198)</f>
        <v>-20.355967806956119</v>
      </c>
      <c r="M198" s="123">
        <f ca="1">_xll.INSTRUMENT.Z.SPREAD(A198,ustCurve,I198,cContinuous,D198)</f>
        <v>0.51634579350525012</v>
      </c>
      <c r="N198" s="123">
        <f ca="1">_xll.INSTRUMENT.Z.SPREAD(A198,oisCurve,I198,cContinuous,D198)</f>
        <v>13.945885442327526</v>
      </c>
      <c r="O198" s="124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1.9578862085463101E-2</v>
      </c>
      <c r="P198" s="124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1.7451247014961754E-2</v>
      </c>
      <c r="Q198" s="379">
        <f ca="1">-(O198-curve!$S$3)/J198</f>
        <v>0.33622130689947083</v>
      </c>
      <c r="R198" s="381">
        <f t="shared" ca="1" si="4"/>
        <v>-487.38637072876594</v>
      </c>
      <c r="S198" s="199" t="str">
        <f>IF(F198&lt;&gt;"","",IF(G198="","",-G198*(SUMIF('bench Comparison'!$A:$A,"RESINV1USD",'bench Comparison'!$G:$G)+SUMIF('bench Comparison'!$A:$A,"RESSWAPORUSD",'bench Comparison'!$G:$G))/(36500*J198)))</f>
        <v/>
      </c>
      <c r="T198" s="210" t="str">
        <f>IF(G198&lt;&gt;"","",IF(F198="","",-36500*J198*F198/(SUMIF('bench Comparison'!$A:$A,"RESINV1USD",'bench Comparison'!$G:$G)+SUMIF('bench Comparison'!$A:$A,"RESSWAPORUSD",'bench Comparison'!$G:$G))))</f>
        <v/>
      </c>
      <c r="U198" s="125">
        <f>SUMIF('bench Comparison'!$E:$E,A198,'bench Comparison'!$N:$N)</f>
        <v>0</v>
      </c>
      <c r="V198" s="126">
        <f ca="1">VALUE(_xll.BDP($A198 &amp; " Corp",V$1))</f>
        <v>40451</v>
      </c>
      <c r="W198" s="127">
        <f ca="1">VALUE(_xll.BDP($A198 &amp; " Corp",W$1))</f>
        <v>40451</v>
      </c>
      <c r="X198" s="127">
        <f ca="1">VALUE(_xll.BDP($A198 &amp; " Corp",X$1))</f>
        <v>40633</v>
      </c>
      <c r="Y198" s="127">
        <f ca="1">VALUE(_xll.BDP($A198 &amp; " Corp",Y$1))</f>
        <v>42825</v>
      </c>
      <c r="Z198" s="127">
        <f ca="1">VALUE(_xll.BDP($A198 &amp; " Corp",Z$1))</f>
        <v>43008</v>
      </c>
      <c r="AA198" s="128">
        <f ca="1">_xll.BDP($A198 &amp; " Corp",AA$1)/100</f>
        <v>1.8749999999999999E-2</v>
      </c>
      <c r="AB198" s="129">
        <f ca="1">_xll.BDP($A198 &amp; " Corp",AB$1)</f>
        <v>29914000000</v>
      </c>
      <c r="AC198" s="130" t="str">
        <f ca="1">IF(LEFT(B198,1)="B",_xll.INSTANCE.TBILL(A198,V198,Z198,TODAY()),_xll.INSTANCE.TNOTE(A198,V198,W198,X198,Y198,Z198,AA198,TODAY()))</f>
        <v>US912828PA23#0028</v>
      </c>
    </row>
    <row r="199" spans="1:29" x14ac:dyDescent="0.2">
      <c r="A199" s="131" t="s">
        <v>520</v>
      </c>
      <c r="B199" s="115" t="str">
        <f ca="1">_xll.BDP($A199 &amp; " Govt",B$1)</f>
        <v>T 1 7/8 10/31/17</v>
      </c>
      <c r="C199" s="372"/>
      <c r="D199" s="116"/>
      <c r="E199" s="117"/>
      <c r="F199" s="118"/>
      <c r="G199" s="377"/>
      <c r="H199" s="120">
        <f ca="1">IF(E199="",_xll.BDP(A199 &amp; " Govt","YLD_YTM_ASK")/100,E199)</f>
        <v>8.0200610000000002E-3</v>
      </c>
      <c r="I199" s="121">
        <f ca="1">_xll.INSTRUMENT.PRIX(AC199,D199,H199,cTreasuries)</f>
        <v>105.58471673196682</v>
      </c>
      <c r="J199" s="122">
        <f ca="1">_xll.INSTRUMENT.DV01(A199,,,I199,cContinuous,I199)</f>
        <v>-5.3907891451347945E-2</v>
      </c>
      <c r="K199" s="123">
        <f ca="1">_xll.INSTRUMENT.CONVEXITE(A199,,,I199,cContinuous,I199)</f>
        <v>26.695477151890593</v>
      </c>
      <c r="L199" s="123">
        <f ca="1">_xll.INSTRUMENT.Z.SPREAD(A199,swapCurve,I199,cContinuous,D199)</f>
        <v>-20.809949312603205</v>
      </c>
      <c r="M199" s="123">
        <f ca="1">_xll.INSTRUMENT.Z.SPREAD(A199,ustCurve,I199,cContinuous,D199)</f>
        <v>2.1096737313374858E-2</v>
      </c>
      <c r="N199" s="123">
        <f ca="1">_xll.INSTRUMENT.Z.SPREAD(A199,oisCurve,I199,cContinuous,D199)</f>
        <v>13.380084571220454</v>
      </c>
      <c r="O199" s="124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1.8787147053753998E-2</v>
      </c>
      <c r="P199" s="124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1.7440795183760658E-2</v>
      </c>
      <c r="Q199" s="379">
        <f ca="1">-(O199-curve!$S$3)/J199</f>
        <v>0.3166323025636541</v>
      </c>
      <c r="R199" s="381">
        <f t="shared" ca="1" si="4"/>
        <v>-495.20536665737245</v>
      </c>
      <c r="S199" s="199" t="str">
        <f>IF(F199&lt;&gt;"","",IF(G199="","",-G199*(SUMIF('bench Comparison'!$A:$A,"RESINV1USD",'bench Comparison'!$G:$G)+SUMIF('bench Comparison'!$A:$A,"RESSWAPORUSD",'bench Comparison'!$G:$G))/(36500*J199)))</f>
        <v/>
      </c>
      <c r="T199" s="210" t="str">
        <f>IF(G199&lt;&gt;"","",IF(F199="","",-36500*J199*F199/(SUMIF('bench Comparison'!$A:$A,"RESINV1USD",'bench Comparison'!$G:$G)+SUMIF('bench Comparison'!$A:$A,"RESSWAPORUSD",'bench Comparison'!$G:$G))))</f>
        <v/>
      </c>
      <c r="U199" s="125">
        <f>SUMIF('bench Comparison'!$E:$E,A199,'bench Comparison'!$N:$N)</f>
        <v>0</v>
      </c>
      <c r="V199" s="126">
        <f ca="1">VALUE(_xll.BDP($A199 &amp; " Corp",V$1))</f>
        <v>40483</v>
      </c>
      <c r="W199" s="127">
        <f ca="1">VALUE(_xll.BDP($A199 &amp; " Corp",W$1))</f>
        <v>40482</v>
      </c>
      <c r="X199" s="127">
        <f ca="1">VALUE(_xll.BDP($A199 &amp; " Corp",X$1))</f>
        <v>40663</v>
      </c>
      <c r="Y199" s="127">
        <f ca="1">VALUE(_xll.BDP($A199 &amp; " Corp",Y$1))</f>
        <v>42855</v>
      </c>
      <c r="Z199" s="127">
        <f ca="1">VALUE(_xll.BDP($A199 &amp; " Corp",Z$1))</f>
        <v>43039</v>
      </c>
      <c r="AA199" s="128">
        <f ca="1">_xll.BDP($A199 &amp; " Corp",AA$1)/100</f>
        <v>1.8749999999999999E-2</v>
      </c>
      <c r="AB199" s="129">
        <f ca="1">_xll.BDP($A199 &amp; " Corp",AB$1)</f>
        <v>29595000000</v>
      </c>
      <c r="AC199" s="130" t="str">
        <f ca="1">IF(LEFT(B199,1)="B",_xll.INSTANCE.TBILL(A199,V199,Z199,TODAY()),_xll.INSTANCE.TNOTE(A199,V199,W199,X199,Y199,Z199,AA199,TODAY()))</f>
        <v>US912828PF10#0028</v>
      </c>
    </row>
    <row r="200" spans="1:29" x14ac:dyDescent="0.2">
      <c r="A200" s="131" t="s">
        <v>521</v>
      </c>
      <c r="B200" s="115" t="str">
        <f ca="1">_xll.BDP($A200 &amp; " Govt",B$1)</f>
        <v>T 4 1/4 11/15/17</v>
      </c>
      <c r="C200" s="372"/>
      <c r="D200" s="116"/>
      <c r="E200" s="117"/>
      <c r="F200" s="118"/>
      <c r="G200" s="377"/>
      <c r="H200" s="120">
        <f ca="1">IF(E200="",_xll.BDP(A200 &amp; " Govt","YLD_YTM_ASK")/100,E200)</f>
        <v>8.0725129999999999E-3</v>
      </c>
      <c r="I200" s="121">
        <f ca="1">_xll.INSTRUMENT.PRIX(AC200,D200,H200,cTreasuries)</f>
        <v>118.05317966681892</v>
      </c>
      <c r="J200" s="122">
        <f ca="1">_xll.INSTRUMENT.DV01(A200,,,I200,cContinuous,I200)</f>
        <v>-5.7948591258414124E-2</v>
      </c>
      <c r="K200" s="123">
        <f ca="1">_xll.INSTRUMENT.CONVEXITE(A200,,,I200,cContinuous,I200)</f>
        <v>25.340239083646804</v>
      </c>
      <c r="L200" s="123">
        <f ca="1">_xll.INSTRUMENT.Z.SPREAD(A200,swapCurve,I200,cContinuous,D200)</f>
        <v>-19.440489839675635</v>
      </c>
      <c r="M200" s="123">
        <f ca="1">_xll.INSTRUMENT.Z.SPREAD(A200,ustCurve,I200,cContinuous,D200)</f>
        <v>1.2157552141732944</v>
      </c>
      <c r="N200" s="123">
        <f ca="1">_xll.INSTRUMENT.Z.SPREAD(A200,oisCurve,I200,cContinuous,D200)</f>
        <v>14.702382593189769</v>
      </c>
      <c r="O200" s="124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1.6874543263721502E-2</v>
      </c>
      <c r="P200" s="124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1.6933482791682213E-2</v>
      </c>
      <c r="Q200" s="379">
        <f ca="1">-(O200-curve!$S$3)/J200</f>
        <v>0.26154865333949989</v>
      </c>
      <c r="R200" s="381">
        <f t="shared" ca="1" si="4"/>
        <v>-437.28826764131918</v>
      </c>
      <c r="S200" s="199" t="str">
        <f>IF(F200&lt;&gt;"","",IF(G200="","",-G200*(SUMIF('bench Comparison'!$A:$A,"RESINV1USD",'bench Comparison'!$G:$G)+SUMIF('bench Comparison'!$A:$A,"RESSWAPORUSD",'bench Comparison'!$G:$G))/(36500*J200)))</f>
        <v/>
      </c>
      <c r="T200" s="210" t="str">
        <f>IF(G200&lt;&gt;"","",IF(F200="","",-36500*J200*F200/(SUMIF('bench Comparison'!$A:$A,"RESINV1USD",'bench Comparison'!$G:$G)+SUMIF('bench Comparison'!$A:$A,"RESSWAPORUSD",'bench Comparison'!$G:$G))))</f>
        <v/>
      </c>
      <c r="U200" s="125">
        <f>SUMIF('bench Comparison'!$E:$E,A200,'bench Comparison'!$N:$N)</f>
        <v>0</v>
      </c>
      <c r="V200" s="126">
        <f ca="1">VALUE(_xll.BDP($A200 &amp; " Corp",V$1))</f>
        <v>39401</v>
      </c>
      <c r="W200" s="127">
        <f ca="1">VALUE(_xll.BDP($A200 &amp; " Corp",W$1))</f>
        <v>39401</v>
      </c>
      <c r="X200" s="127">
        <f ca="1">VALUE(_xll.BDP($A200 &amp; " Corp",X$1))</f>
        <v>39583</v>
      </c>
      <c r="Y200" s="127">
        <f ca="1">VALUE(_xll.BDP($A200 &amp; " Corp",Y$1))</f>
        <v>42870</v>
      </c>
      <c r="Z200" s="127">
        <f ca="1">VALUE(_xll.BDP($A200 &amp; " Corp",Z$1))</f>
        <v>43054</v>
      </c>
      <c r="AA200" s="128">
        <f ca="1">_xll.BDP($A200 &amp; " Corp",AA$1)/100</f>
        <v>4.2500000000000003E-2</v>
      </c>
      <c r="AB200" s="129">
        <f ca="1">_xll.BDP($A200 &amp; " Corp",AB$1)</f>
        <v>27674000000</v>
      </c>
      <c r="AC200" s="130" t="str">
        <f ca="1">IF(LEFT(B200,1)="B",_xll.INSTANCE.TBILL(A200,V200,Z200,TODAY()),_xll.INSTANCE.TNOTE(A200,V200,W200,X200,Y200,Z200,AA200,TODAY()))</f>
        <v>US912828HH67#0028</v>
      </c>
    </row>
    <row r="201" spans="1:29" x14ac:dyDescent="0.2">
      <c r="A201" s="131" t="s">
        <v>522</v>
      </c>
      <c r="B201" s="115" t="str">
        <f ca="1">_xll.BDP($A201 &amp; " Govt",B$1)</f>
        <v>T 2 1/4 11/30/17</v>
      </c>
      <c r="C201" s="372"/>
      <c r="D201" s="116"/>
      <c r="E201" s="117"/>
      <c r="F201" s="118"/>
      <c r="G201" s="377"/>
      <c r="H201" s="120">
        <f ca="1">IF(E201="",_xll.BDP(A201 &amp; " Govt","YLD_YTM_ASK")/100,E201)</f>
        <v>8.1442730000000005E-3</v>
      </c>
      <c r="I201" s="121">
        <f ca="1">_xll.INSTRUMENT.PRIX(AC201,D201,H201,cTreasuries)</f>
        <v>107.58605132696674</v>
      </c>
      <c r="J201" s="122">
        <f ca="1">_xll.INSTRUMENT.DV01(A201,,,I201,cContinuous,I201)</f>
        <v>-5.5290579924657871E-2</v>
      </c>
      <c r="K201" s="123">
        <f ca="1">_xll.INSTRUMENT.CONVEXITE(A201,,,I201,cContinuous,I201)</f>
        <v>27.227069531348398</v>
      </c>
      <c r="L201" s="123">
        <f ca="1">_xll.INSTRUMENT.Z.SPREAD(A201,swapCurve,I201,cContinuous,D201)</f>
        <v>-20.75795667289119</v>
      </c>
      <c r="M201" s="123">
        <f ca="1">_xll.INSTRUMENT.Z.SPREAD(A201,ustCurve,I201,cContinuous,D201)</f>
        <v>-1.7167206525558248E-3</v>
      </c>
      <c r="N201" s="123">
        <f ca="1">_xll.INSTRUMENT.Z.SPREAD(A201,oisCurve,I201,cContinuous,D201)</f>
        <v>13.321699426678279</v>
      </c>
      <c r="O201" s="124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1.8595612120427422E-2</v>
      </c>
      <c r="P201" s="124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1.7477454575945597E-2</v>
      </c>
      <c r="Q201" s="379">
        <f ca="1">-(O201-curve!$S$3)/J201</f>
        <v>0.30524991574086269</v>
      </c>
      <c r="R201" s="381">
        <f t="shared" ca="1" si="4"/>
        <v>-492.43595506593658</v>
      </c>
      <c r="S201" s="199" t="str">
        <f>IF(F201&lt;&gt;"","",IF(G201="","",-G201*(SUMIF('bench Comparison'!$A:$A,"RESINV1USD",'bench Comparison'!$G:$G)+SUMIF('bench Comparison'!$A:$A,"RESSWAPORUSD",'bench Comparison'!$G:$G))/(36500*J201)))</f>
        <v/>
      </c>
      <c r="T201" s="210" t="str">
        <f>IF(G201&lt;&gt;"","",IF(F201="","",-36500*J201*F201/(SUMIF('bench Comparison'!$A:$A,"RESINV1USD",'bench Comparison'!$G:$G)+SUMIF('bench Comparison'!$A:$A,"RESSWAPORUSD",'bench Comparison'!$G:$G))))</f>
        <v/>
      </c>
      <c r="U201" s="125">
        <f>SUMIF('bench Comparison'!$E:$E,A201,'bench Comparison'!$N:$N)</f>
        <v>0</v>
      </c>
      <c r="V201" s="126">
        <f ca="1">VALUE(_xll.BDP($A201 &amp; " Corp",V$1))</f>
        <v>40512</v>
      </c>
      <c r="W201" s="127">
        <f ca="1">VALUE(_xll.BDP($A201 &amp; " Corp",W$1))</f>
        <v>40512</v>
      </c>
      <c r="X201" s="127">
        <f ca="1">VALUE(_xll.BDP($A201 &amp; " Corp",X$1))</f>
        <v>40694</v>
      </c>
      <c r="Y201" s="127">
        <f ca="1">VALUE(_xll.BDP($A201 &amp; " Corp",Y$1))</f>
        <v>42886</v>
      </c>
      <c r="Z201" s="127">
        <f ca="1">VALUE(_xll.BDP($A201 &amp; " Corp",Z$1))</f>
        <v>43069</v>
      </c>
      <c r="AA201" s="128">
        <f ca="1">_xll.BDP($A201 &amp; " Corp",AA$1)/100</f>
        <v>2.2499999999999999E-2</v>
      </c>
      <c r="AB201" s="129">
        <f ca="1">_xll.BDP($A201 &amp; " Corp",AB$1)</f>
        <v>30144000000</v>
      </c>
      <c r="AC201" s="130" t="str">
        <f ca="1">IF(LEFT(B201,1)="B",_xll.INSTANCE.TBILL(A201,V201,Z201,TODAY()),_xll.INSTANCE.TNOTE(A201,V201,W201,X201,Y201,Z201,AA201,TODAY()))</f>
        <v>US912828PK05#0028</v>
      </c>
    </row>
    <row r="202" spans="1:29" x14ac:dyDescent="0.2">
      <c r="A202" s="131" t="s">
        <v>523</v>
      </c>
      <c r="B202" s="115" t="str">
        <f ca="1">_xll.BDP($A202 &amp; " Govt",B$1)</f>
        <v>T 2 3/4 12/31/17</v>
      </c>
      <c r="C202" s="372"/>
      <c r="D202" s="116"/>
      <c r="E202" s="117"/>
      <c r="F202" s="118"/>
      <c r="G202" s="377"/>
      <c r="H202" s="120">
        <f ca="1">IF(E202="",_xll.BDP(A202 &amp; " Govt","YLD_YTM_ASK")/100,E202)</f>
        <v>8.2633540000000005E-3</v>
      </c>
      <c r="I202" s="121">
        <f ca="1">_xll.INSTRUMENT.PRIX(AC202,D202,H202,cTreasuries)</f>
        <v>110.31022162247415</v>
      </c>
      <c r="J202" s="122">
        <f ca="1">_xll.INSTRUMENT.DV01(A202,,,I202,cContinuous,I202)</f>
        <v>-5.6980677728390987E-2</v>
      </c>
      <c r="K202" s="123">
        <f ca="1">_xll.INSTRUMENT.CONVEXITE(A202,,,I202,cContinuous,I202)</f>
        <v>27.749676921058345</v>
      </c>
      <c r="L202" s="123">
        <f ca="1">_xll.INSTRUMENT.Z.SPREAD(A202,swapCurve,I202,cContinuous,D202)</f>
        <v>-20.890130985680806</v>
      </c>
      <c r="M202" s="123">
        <f ca="1">_xll.INSTRUMENT.Z.SPREAD(A202,ustCurve,I202,cContinuous,D202)</f>
        <v>-0.21603654845635004</v>
      </c>
      <c r="N202" s="123">
        <f ca="1">_xll.INSTRUMENT.Z.SPREAD(A202,oisCurve,I202,cContinuous,D202)</f>
        <v>13.082947150102092</v>
      </c>
      <c r="O202" s="124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1.9739789335967591E-2</v>
      </c>
      <c r="P202" s="124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1.8054007368536601E-2</v>
      </c>
      <c r="Q202" s="379">
        <f ca="1">-(O202-curve!$S$3)/J202</f>
        <v>0.31627602192990467</v>
      </c>
      <c r="R202" s="381">
        <f t="shared" ca="1" si="4"/>
        <v>-487.00152450506727</v>
      </c>
      <c r="S202" s="199" t="str">
        <f>IF(F202&lt;&gt;"","",IF(G202="","",-G202*(SUMIF('bench Comparison'!$A:$A,"RESINV1USD",'bench Comparison'!$G:$G)+SUMIF('bench Comparison'!$A:$A,"RESSWAPORUSD",'bench Comparison'!$G:$G))/(36500*J202)))</f>
        <v/>
      </c>
      <c r="T202" s="210" t="str">
        <f>IF(G202&lt;&gt;"","",IF(F202="","",-36500*J202*F202/(SUMIF('bench Comparison'!$A:$A,"RESINV1USD",'bench Comparison'!$G:$G)+SUMIF('bench Comparison'!$A:$A,"RESSWAPORUSD",'bench Comparison'!$G:$G))))</f>
        <v/>
      </c>
      <c r="U202" s="125">
        <f>SUMIF('bench Comparison'!$E:$E,A202,'bench Comparison'!$N:$N)</f>
        <v>0</v>
      </c>
      <c r="V202" s="126">
        <f ca="1">VALUE(_xll.BDP($A202 &amp; " Corp",V$1))</f>
        <v>40543</v>
      </c>
      <c r="W202" s="127">
        <f ca="1">VALUE(_xll.BDP($A202 &amp; " Corp",W$1))</f>
        <v>40543</v>
      </c>
      <c r="X202" s="127">
        <f ca="1">VALUE(_xll.BDP($A202 &amp; " Corp",X$1))</f>
        <v>40724</v>
      </c>
      <c r="Y202" s="127">
        <f ca="1">VALUE(_xll.BDP($A202 &amp; " Corp",Y$1))</f>
        <v>42916</v>
      </c>
      <c r="Z202" s="127">
        <f ca="1">VALUE(_xll.BDP($A202 &amp; " Corp",Z$1))</f>
        <v>43100</v>
      </c>
      <c r="AA202" s="128">
        <f ca="1">_xll.BDP($A202 &amp; " Corp",AA$1)/100</f>
        <v>2.75E-2</v>
      </c>
      <c r="AB202" s="129">
        <f ca="1">_xll.BDP($A202 &amp; " Corp",AB$1)</f>
        <v>30454000000.000004</v>
      </c>
      <c r="AC202" s="130" t="str">
        <f ca="1">IF(LEFT(B202,1)="B",_xll.INSTANCE.TBILL(A202,V202,Z202,TODAY()),_xll.INSTANCE.TNOTE(A202,V202,W202,X202,Y202,Z202,AA202,TODAY()))</f>
        <v>US912828PN44#0027</v>
      </c>
    </row>
    <row r="203" spans="1:29" x14ac:dyDescent="0.2">
      <c r="A203" s="131" t="s">
        <v>524</v>
      </c>
      <c r="B203" s="115" t="str">
        <f ca="1">_xll.BDP($A203 &amp; " Govt",B$1)</f>
        <v>T 2 5/8 01/31/18</v>
      </c>
      <c r="C203" s="372"/>
      <c r="D203" s="116"/>
      <c r="E203" s="117"/>
      <c r="F203" s="118"/>
      <c r="G203" s="377"/>
      <c r="H203" s="120">
        <f ca="1">IF(E203="",_xll.BDP(A203 &amp; " Govt","YLD_YTM_ASK")/100,E203)</f>
        <v>8.4522659999999999E-3</v>
      </c>
      <c r="I203" s="121">
        <f ca="1">_xll.INSTRUMENT.PRIX(AC203,D203,H203,cTreasuries)</f>
        <v>109.67740954957532</v>
      </c>
      <c r="J203" s="122">
        <f ca="1">_xll.INSTRUMENT.DV01(A203,,,I203,cContinuous,I203)</f>
        <v>-5.7570147208870513E-2</v>
      </c>
      <c r="K203" s="123">
        <f ca="1">_xll.INSTRUMENT.CONVEXITE(A203,,,I203,cContinuous,I203)</f>
        <v>28.341658313536755</v>
      </c>
      <c r="L203" s="123">
        <f ca="1">_xll.INSTRUMENT.Z.SPREAD(A203,swapCurve,I203,cContinuous,D203)</f>
        <v>-20.415694711338372</v>
      </c>
      <c r="M203" s="123">
        <f ca="1">_xll.INSTRUMENT.Z.SPREAD(A203,ustCurve,I203,cContinuous,D203)</f>
        <v>0.22838625623044284</v>
      </c>
      <c r="N203" s="123">
        <f ca="1">_xll.INSTRUMENT.Z.SPREAD(A203,oisCurve,I203,cContinuous,D203)</f>
        <v>13.472347327849185</v>
      </c>
      <c r="O203" s="124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1.8774277555481035E-2</v>
      </c>
      <c r="P203" s="124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1.7974967868511833E-2</v>
      </c>
      <c r="Q203" s="379">
        <f ca="1">-(O203-curve!$S$3)/J203</f>
        <v>0.29626657434863785</v>
      </c>
      <c r="R203" s="381">
        <f t="shared" ca="1" si="4"/>
        <v>-492.29782600190782</v>
      </c>
      <c r="S203" s="199" t="str">
        <f>IF(F203&lt;&gt;"","",IF(G203="","",-G203*(SUMIF('bench Comparison'!$A:$A,"RESINV1USD",'bench Comparison'!$G:$G)+SUMIF('bench Comparison'!$A:$A,"RESSWAPORUSD",'bench Comparison'!$G:$G))/(36500*J203)))</f>
        <v/>
      </c>
      <c r="T203" s="210" t="str">
        <f>IF(G203&lt;&gt;"","",IF(F203="","",-36500*J203*F203/(SUMIF('bench Comparison'!$A:$A,"RESINV1USD",'bench Comparison'!$G:$G)+SUMIF('bench Comparison'!$A:$A,"RESSWAPORUSD",'bench Comparison'!$G:$G))))</f>
        <v/>
      </c>
      <c r="U203" s="125">
        <f>SUMIF('bench Comparison'!$E:$E,A203,'bench Comparison'!$N:$N)</f>
        <v>0</v>
      </c>
      <c r="V203" s="126">
        <f ca="1">VALUE(_xll.BDP($A203 &amp; " Corp",V$1))</f>
        <v>40574</v>
      </c>
      <c r="W203" s="127">
        <f ca="1">VALUE(_xll.BDP($A203 &amp; " Corp",W$1))</f>
        <v>40574</v>
      </c>
      <c r="X203" s="127">
        <f ca="1">VALUE(_xll.BDP($A203 &amp; " Corp",X$1))</f>
        <v>40755</v>
      </c>
      <c r="Y203" s="127">
        <f ca="1">VALUE(_xll.BDP($A203 &amp; " Corp",Y$1))</f>
        <v>42947</v>
      </c>
      <c r="Z203" s="127">
        <f ca="1">VALUE(_xll.BDP($A203 &amp; " Corp",Z$1))</f>
        <v>43131</v>
      </c>
      <c r="AA203" s="128">
        <f ca="1">_xll.BDP($A203 &amp; " Corp",AA$1)/100</f>
        <v>2.6249999999999999E-2</v>
      </c>
      <c r="AB203" s="129">
        <f ca="1">_xll.BDP($A203 &amp; " Corp",AB$1)</f>
        <v>29578000000</v>
      </c>
      <c r="AC203" s="130" t="str">
        <f ca="1">IF(LEFT(B203,1)="B",_xll.INSTANCE.TBILL(A203,V203,Z203,TODAY()),_xll.INSTANCE.TNOTE(A203,V203,W203,X203,Y203,Z203,AA203,TODAY()))</f>
        <v>US912828PT14#0028</v>
      </c>
    </row>
    <row r="204" spans="1:29" x14ac:dyDescent="0.2">
      <c r="A204" s="131" t="s">
        <v>525</v>
      </c>
      <c r="B204" s="115" t="str">
        <f ca="1">_xll.BDP($A204 &amp; " Govt",B$1)</f>
        <v>T 3 1/2 02/15/18</v>
      </c>
      <c r="C204" s="372"/>
      <c r="D204" s="116"/>
      <c r="E204" s="117"/>
      <c r="F204" s="118"/>
      <c r="G204" s="377"/>
      <c r="H204" s="120">
        <f ca="1">IF(E204="",_xll.BDP(A204 &amp; " Govt","YLD_YTM_ASK")/100,E204)</f>
        <v>8.5110080000000005E-3</v>
      </c>
      <c r="I204" s="121">
        <f ca="1">_xll.INSTRUMENT.PRIX(AC204,D204,H204,cTreasuries)</f>
        <v>114.50554910119675</v>
      </c>
      <c r="J204" s="122">
        <f ca="1">_xll.INSTRUMENT.DV01(A204,,,I204,cContinuous,I204)</f>
        <v>-5.9447361660679945E-2</v>
      </c>
      <c r="K204" s="123">
        <f ca="1">_xll.INSTRUMENT.CONVEXITE(A204,,,I204,cContinuous,I204)</f>
        <v>27.988235841057914</v>
      </c>
      <c r="L204" s="123">
        <f ca="1">_xll.INSTRUMENT.Z.SPREAD(A204,swapCurve,I204,cContinuous,D204)</f>
        <v>-19.915363308293177</v>
      </c>
      <c r="M204" s="123">
        <f ca="1">_xll.INSTRUMENT.Z.SPREAD(A204,ustCurve,I204,cContinuous,D204)</f>
        <v>0.66118481436494514</v>
      </c>
      <c r="N204" s="123">
        <f ca="1">_xll.INSTRUMENT.Z.SPREAD(A204,oisCurve,I204,cContinuous,D204)</f>
        <v>13.9441949677071</v>
      </c>
      <c r="O204" s="124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1.8062032339126184E-2</v>
      </c>
      <c r="P204" s="124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1.7767207557591525E-2</v>
      </c>
      <c r="Q204" s="379">
        <f ca="1">-(O204-curve!$S$3)/J204</f>
        <v>0.27493003264389232</v>
      </c>
      <c r="R204" s="381">
        <f t="shared" ca="1" si="4"/>
        <v>-470.80703094633839</v>
      </c>
      <c r="S204" s="199" t="str">
        <f>IF(F204&lt;&gt;"","",IF(G204="","",-G204*(SUMIF('bench Comparison'!$A:$A,"RESINV1USD",'bench Comparison'!$G:$G)+SUMIF('bench Comparison'!$A:$A,"RESSWAPORUSD",'bench Comparison'!$G:$G))/(36500*J204)))</f>
        <v/>
      </c>
      <c r="T204" s="210" t="str">
        <f>IF(G204&lt;&gt;"","",IF(F204="","",-36500*J204*F204/(SUMIF('bench Comparison'!$A:$A,"RESINV1USD",'bench Comparison'!$G:$G)+SUMIF('bench Comparison'!$A:$A,"RESSWAPORUSD",'bench Comparison'!$G:$G))))</f>
        <v/>
      </c>
      <c r="U204" s="125">
        <f>SUMIF('bench Comparison'!$E:$E,A204,'bench Comparison'!$N:$N)</f>
        <v>0</v>
      </c>
      <c r="V204" s="126">
        <f ca="1">VALUE(_xll.BDP($A204 &amp; " Corp",V$1))</f>
        <v>39493</v>
      </c>
      <c r="W204" s="127">
        <f ca="1">VALUE(_xll.BDP($A204 &amp; " Corp",W$1))</f>
        <v>39493</v>
      </c>
      <c r="X204" s="127">
        <f ca="1">VALUE(_xll.BDP($A204 &amp; " Corp",X$1))</f>
        <v>39675</v>
      </c>
      <c r="Y204" s="127">
        <f ca="1">VALUE(_xll.BDP($A204 &amp; " Corp",Y$1))</f>
        <v>42962</v>
      </c>
      <c r="Z204" s="127">
        <f ca="1">VALUE(_xll.BDP($A204 &amp; " Corp",Z$1))</f>
        <v>43146</v>
      </c>
      <c r="AA204" s="128">
        <f ca="1">_xll.BDP($A204 &amp; " Corp",AA$1)/100</f>
        <v>3.5000000000000003E-2</v>
      </c>
      <c r="AB204" s="129">
        <f ca="1">_xll.BDP($A204 &amp; " Corp",AB$1)</f>
        <v>39205000000</v>
      </c>
      <c r="AC204" s="130" t="str">
        <f ca="1">IF(LEFT(B204,1)="B",_xll.INSTANCE.TBILL(A204,V204,Z204,TODAY()),_xll.INSTANCE.TNOTE(A204,V204,W204,X204,Y204,Z204,AA204,TODAY()))</f>
        <v>US912828HR40#0028</v>
      </c>
    </row>
    <row r="205" spans="1:29" x14ac:dyDescent="0.2">
      <c r="A205" s="131" t="s">
        <v>526</v>
      </c>
      <c r="B205" s="115" t="str">
        <f ca="1">_xll.BDP($A205 &amp; " Govt",B$1)</f>
        <v>T 2 3/4 02/28/18</v>
      </c>
      <c r="C205" s="372"/>
      <c r="D205" s="116"/>
      <c r="E205" s="117"/>
      <c r="F205" s="118"/>
      <c r="G205" s="377"/>
      <c r="H205" s="120">
        <f ca="1">IF(E205="",_xll.BDP(A205 &amp; " Govt","YLD_YTM_ASK")/100,E205)</f>
        <v>8.5638050000000007E-3</v>
      </c>
      <c r="I205" s="121">
        <f ca="1">_xll.INSTRUMENT.PRIX(AC205,D205,H205,cTreasuries)</f>
        <v>110.44865225908443</v>
      </c>
      <c r="J205" s="122">
        <f ca="1">_xll.INSTRUMENT.DV01(A205,,,I205,cContinuous,I205)</f>
        <v>-5.8565134613024483E-2</v>
      </c>
      <c r="K205" s="123">
        <f ca="1">_xll.INSTRUMENT.CONVEXITE(A205,,,I205,cContinuous,I205)</f>
        <v>29.030005515478333</v>
      </c>
      <c r="L205" s="123">
        <f ca="1">_xll.INSTRUMENT.Z.SPREAD(A205,swapCurve,I205,cContinuous,D205)</f>
        <v>-20.575205498096629</v>
      </c>
      <c r="M205" s="123">
        <f ca="1">_xll.INSTRUMENT.Z.SPREAD(A205,ustCurve,I205,cContinuous,D205)</f>
        <v>3.8260653402547355E-2</v>
      </c>
      <c r="N205" s="123">
        <f ca="1">_xll.INSTRUMENT.Z.SPREAD(A205,oisCurve,I205,cContinuous,D205)</f>
        <v>13.253050043145748</v>
      </c>
      <c r="O205" s="124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1.9173985542113574E-2</v>
      </c>
      <c r="P205" s="124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1.8109125793691019E-2</v>
      </c>
      <c r="Q205" s="379">
        <f ca="1">-(O205-curve!$S$3)/J205</f>
        <v>0.29805819452636156</v>
      </c>
      <c r="R205" s="381">
        <f t="shared" ca="1" si="4"/>
        <v>-495.6875060101417</v>
      </c>
      <c r="S205" s="199" t="str">
        <f>IF(F205&lt;&gt;"","",IF(G205="","",-G205*(SUMIF('bench Comparison'!$A:$A,"RESINV1USD",'bench Comparison'!$G:$G)+SUMIF('bench Comparison'!$A:$A,"RESSWAPORUSD",'bench Comparison'!$G:$G))/(36500*J205)))</f>
        <v/>
      </c>
      <c r="T205" s="210" t="str">
        <f>IF(G205&lt;&gt;"","",IF(F205="","",-36500*J205*F205/(SUMIF('bench Comparison'!$A:$A,"RESINV1USD",'bench Comparison'!$G:$G)+SUMIF('bench Comparison'!$A:$A,"RESSWAPORUSD",'bench Comparison'!$G:$G))))</f>
        <v/>
      </c>
      <c r="U205" s="125">
        <f>SUMIF('bench Comparison'!$E:$E,A205,'bench Comparison'!$N:$N)</f>
        <v>0</v>
      </c>
      <c r="V205" s="126">
        <f ca="1">VALUE(_xll.BDP($A205 &amp; " Corp",V$1))</f>
        <v>40602</v>
      </c>
      <c r="W205" s="127">
        <f ca="1">VALUE(_xll.BDP($A205 &amp; " Corp",W$1))</f>
        <v>40602</v>
      </c>
      <c r="X205" s="127">
        <f ca="1">VALUE(_xll.BDP($A205 &amp; " Corp",X$1))</f>
        <v>40786</v>
      </c>
      <c r="Y205" s="127">
        <f ca="1">VALUE(_xll.BDP($A205 &amp; " Corp",Y$1))</f>
        <v>42978</v>
      </c>
      <c r="Z205" s="127">
        <f ca="1">VALUE(_xll.BDP($A205 &amp; " Corp",Z$1))</f>
        <v>43159</v>
      </c>
      <c r="AA205" s="128">
        <f ca="1">_xll.BDP($A205 &amp; " Corp",AA$1)/100</f>
        <v>2.75E-2</v>
      </c>
      <c r="AB205" s="129">
        <f ca="1">_xll.BDP($A205 &amp; " Corp",AB$1)</f>
        <v>30593000000.000004</v>
      </c>
      <c r="AC205" s="130" t="str">
        <f ca="1">IF(LEFT(B205,1)="B",_xll.INSTANCE.TBILL(A205,V205,Z205,TODAY()),_xll.INSTANCE.TNOTE(A205,V205,W205,X205,Y205,Z205,AA205,TODAY()))</f>
        <v>US912828PY09#0028</v>
      </c>
    </row>
    <row r="206" spans="1:29" x14ac:dyDescent="0.2">
      <c r="A206" s="131" t="s">
        <v>527</v>
      </c>
      <c r="B206" s="115" t="str">
        <f ca="1">_xll.BDP($A206 &amp; " Govt",B$1)</f>
        <v>T 2 7/8 03/31/18</v>
      </c>
      <c r="C206" s="372"/>
      <c r="D206" s="116"/>
      <c r="E206" s="117"/>
      <c r="F206" s="118"/>
      <c r="G206" s="377"/>
      <c r="H206" s="120">
        <f ca="1">IF(E206="",_xll.BDP(A206 &amp; " Govt","YLD_YTM_ASK")/100,E206)</f>
        <v>8.6636339999999999E-3</v>
      </c>
      <c r="I206" s="121">
        <f ca="1">_xll.INSTRUMENT.PRIX(AC206,D206,H206,cTreasuries)</f>
        <v>111.23595575748098</v>
      </c>
      <c r="J206" s="122">
        <f ca="1">_xll.INSTRUMENT.DV01(A206,,,I206,cContinuous,I206)</f>
        <v>-5.9701260970883706E-2</v>
      </c>
      <c r="K206" s="123">
        <f ca="1">_xll.INSTRUMENT.CONVEXITE(A206,,,I206,cContinuous,I206)</f>
        <v>29.863975492766112</v>
      </c>
      <c r="L206" s="123">
        <f ca="1">_xll.INSTRUMENT.Z.SPREAD(A206,swapCurve,I206,cContinuous,D206)</f>
        <v>-21.196821050358388</v>
      </c>
      <c r="M206" s="123">
        <f ca="1">_xll.INSTRUMENT.Z.SPREAD(A206,ustCurve,I206,cContinuous,D206)</f>
        <v>-0.60013775686069448</v>
      </c>
      <c r="N206" s="123">
        <f ca="1">_xll.INSTRUMENT.Z.SPREAD(A206,oisCurve,I206,cContinuous,D206)</f>
        <v>12.592017981625403</v>
      </c>
      <c r="O206" s="124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2.0382861619426765E-2</v>
      </c>
      <c r="P206" s="124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1.8660318111406511E-2</v>
      </c>
      <c r="Q206" s="379">
        <f ca="1">-(O206-curve!$S$3)/J206</f>
        <v>0.31263484319648394</v>
      </c>
      <c r="R206" s="381">
        <f t="shared" ca="1" si="4"/>
        <v>-500.22352973969458</v>
      </c>
      <c r="S206" s="199" t="str">
        <f>IF(F206&lt;&gt;"","",IF(G206="","",-G206*(SUMIF('bench Comparison'!$A:$A,"RESINV1USD",'bench Comparison'!$G:$G)+SUMIF('bench Comparison'!$A:$A,"RESSWAPORUSD",'bench Comparison'!$G:$G))/(36500*J206)))</f>
        <v/>
      </c>
      <c r="T206" s="210" t="str">
        <f>IF(G206&lt;&gt;"","",IF(F206="","",-36500*J206*F206/(SUMIF('bench Comparison'!$A:$A,"RESINV1USD",'bench Comparison'!$G:$G)+SUMIF('bench Comparison'!$A:$A,"RESSWAPORUSD",'bench Comparison'!$G:$G))))</f>
        <v/>
      </c>
      <c r="U206" s="125">
        <f>SUMIF('bench Comparison'!$E:$E,A206,'bench Comparison'!$N:$N)</f>
        <v>0</v>
      </c>
      <c r="V206" s="126">
        <f ca="1">VALUE(_xll.BDP($A206 &amp; " Corp",V$1))</f>
        <v>40633</v>
      </c>
      <c r="W206" s="127">
        <f ca="1">VALUE(_xll.BDP($A206 &amp; " Corp",W$1))</f>
        <v>40633</v>
      </c>
      <c r="X206" s="127">
        <f ca="1">VALUE(_xll.BDP($A206 &amp; " Corp",X$1))</f>
        <v>40816</v>
      </c>
      <c r="Y206" s="127">
        <f ca="1">VALUE(_xll.BDP($A206 &amp; " Corp",Y$1))</f>
        <v>43008</v>
      </c>
      <c r="Z206" s="127">
        <f ca="1">VALUE(_xll.BDP($A206 &amp; " Corp",Z$1))</f>
        <v>43190</v>
      </c>
      <c r="AA206" s="128">
        <f ca="1">_xll.BDP($A206 &amp; " Corp",AA$1)/100</f>
        <v>2.8750000000000001E-2</v>
      </c>
      <c r="AB206" s="129">
        <f ca="1">_xll.BDP($A206 &amp; " Corp",AB$1)</f>
        <v>30300000000</v>
      </c>
      <c r="AC206" s="130" t="str">
        <f ca="1">IF(LEFT(B206,1)="B",_xll.INSTANCE.TBILL(A206,V206,Z206,TODAY()),_xll.INSTANCE.TNOTE(A206,V206,W206,X206,Y206,Z206,AA206,TODAY()))</f>
        <v>US912828QB96#0027</v>
      </c>
    </row>
    <row r="207" spans="1:29" x14ac:dyDescent="0.2">
      <c r="A207" s="131" t="s">
        <v>528</v>
      </c>
      <c r="B207" s="115" t="str">
        <f ca="1">_xll.BDP($A207 &amp; " Govt",B$1)</f>
        <v>T 2 5/8 04/30/18</v>
      </c>
      <c r="C207" s="372"/>
      <c r="D207" s="116"/>
      <c r="E207" s="117"/>
      <c r="F207" s="118"/>
      <c r="G207" s="377"/>
      <c r="H207" s="120">
        <f ca="1">IF(E207="",_xll.BDP(A207 &amp; " Govt","YLD_YTM_ASK")/100,E207)</f>
        <v>8.8953910000000008E-3</v>
      </c>
      <c r="I207" s="121">
        <f ca="1">_xll.INSTRUMENT.PRIX(AC207,D207,H207,cTreasuries)</f>
        <v>109.83805369493665</v>
      </c>
      <c r="J207" s="122">
        <f ca="1">_xll.INSTRUMENT.DV01(A207,,,I207,cContinuous,I207)</f>
        <v>-6.0003346082707694E-2</v>
      </c>
      <c r="K207" s="123">
        <f ca="1">_xll.INSTRUMENT.CONVEXITE(A207,,,I207,cContinuous,I207)</f>
        <v>30.934890503832019</v>
      </c>
      <c r="L207" s="123">
        <f ca="1">_xll.INSTRUMENT.Z.SPREAD(A207,swapCurve,I207,cContinuous,D207)</f>
        <v>-20.421267213889372</v>
      </c>
      <c r="M207" s="123">
        <f ca="1">_xll.INSTRUMENT.Z.SPREAD(A207,ustCurve,I207,cContinuous,D207)</f>
        <v>0.19468905008072387</v>
      </c>
      <c r="N207" s="123">
        <f ca="1">_xll.INSTRUMENT.Z.SPREAD(A207,oisCurve,I207,cContinuous,D207)</f>
        <v>13.351202421484018</v>
      </c>
      <c r="O207" s="124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1.9913136761644759E-2</v>
      </c>
      <c r="P207" s="124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1.8850035483978816E-2</v>
      </c>
      <c r="Q207" s="379">
        <f ca="1">-(O207-curve!$S$3)/J207</f>
        <v>0.3032325810531119</v>
      </c>
      <c r="R207" s="381">
        <f t="shared" ca="1" si="4"/>
        <v>-515.55275702778044</v>
      </c>
      <c r="S207" s="199" t="str">
        <f>IF(F207&lt;&gt;"","",IF(G207="","",-G207*(SUMIF('bench Comparison'!$A:$A,"RESINV1USD",'bench Comparison'!$G:$G)+SUMIF('bench Comparison'!$A:$A,"RESSWAPORUSD",'bench Comparison'!$G:$G))/(36500*J207)))</f>
        <v/>
      </c>
      <c r="T207" s="210" t="str">
        <f>IF(G207&lt;&gt;"","",IF(F207="","",-36500*J207*F207/(SUMIF('bench Comparison'!$A:$A,"RESINV1USD",'bench Comparison'!$G:$G)+SUMIF('bench Comparison'!$A:$A,"RESSWAPORUSD",'bench Comparison'!$G:$G))))</f>
        <v/>
      </c>
      <c r="U207" s="125">
        <f>SUMIF('bench Comparison'!$E:$E,A207,'bench Comparison'!$N:$N)</f>
        <v>0</v>
      </c>
      <c r="V207" s="126">
        <f ca="1">VALUE(_xll.BDP($A207 &amp; " Corp",V$1))</f>
        <v>40665</v>
      </c>
      <c r="W207" s="127">
        <f ca="1">VALUE(_xll.BDP($A207 &amp; " Corp",W$1))</f>
        <v>40663</v>
      </c>
      <c r="X207" s="127">
        <f ca="1">VALUE(_xll.BDP($A207 &amp; " Corp",X$1))</f>
        <v>40847</v>
      </c>
      <c r="Y207" s="127">
        <f ca="1">VALUE(_xll.BDP($A207 &amp; " Corp",Y$1))</f>
        <v>43039</v>
      </c>
      <c r="Z207" s="127">
        <f ca="1">VALUE(_xll.BDP($A207 &amp; " Corp",Z$1))</f>
        <v>43220</v>
      </c>
      <c r="AA207" s="128">
        <f ca="1">_xll.BDP($A207 &amp; " Corp",AA$1)/100</f>
        <v>2.6249999999999999E-2</v>
      </c>
      <c r="AB207" s="129">
        <f ca="1">_xll.BDP($A207 &amp; " Corp",AB$1)</f>
        <v>30830000000.000004</v>
      </c>
      <c r="AC207" s="130" t="str">
        <f ca="1">IF(LEFT(B207,1)="B",_xll.INSTANCE.TBILL(A207,V207,Z207,TODAY()),_xll.INSTANCE.TNOTE(A207,V207,W207,X207,Y207,Z207,AA207,TODAY()))</f>
        <v>US912828QG83#0027</v>
      </c>
    </row>
    <row r="208" spans="1:29" x14ac:dyDescent="0.2">
      <c r="A208" s="131" t="s">
        <v>529</v>
      </c>
      <c r="B208" s="115" t="str">
        <f ca="1">_xll.BDP($A208 &amp; " Govt",B$1)</f>
        <v>T 9 1/8 05/15/18</v>
      </c>
      <c r="C208" s="372"/>
      <c r="D208" s="116"/>
      <c r="E208" s="117"/>
      <c r="F208" s="118"/>
      <c r="G208" s="377"/>
      <c r="H208" s="120">
        <f ca="1">IF(E208="",_xll.BDP(A208 &amp; " Govt","YLD_YTM_ASK")/100,E208)</f>
        <v>8.421182000000001E-3</v>
      </c>
      <c r="I208" s="121">
        <f ca="1">_xll.INSTRUMENT.PRIX(AC208,D208,H208,cTreasuries)</f>
        <v>147.33767149905668</v>
      </c>
      <c r="J208" s="122">
        <f ca="1">_xll.INSTRUMENT.DV01(A208,,,I208,cContinuous,I208)</f>
        <v>-7.235824413390135E-2</v>
      </c>
      <c r="K208" s="123">
        <f ca="1">_xll.INSTRUMENT.CONVEXITE(A208,,,I208,cContinuous,I208)</f>
        <v>26.571176691532919</v>
      </c>
      <c r="L208" s="123">
        <f ca="1">_xll.INSTRUMENT.Z.SPREAD(A208,swapCurve,I208,cContinuous,D208)</f>
        <v>-21.363710246797119</v>
      </c>
      <c r="M208" s="123">
        <f ca="1">_xll.INSTRUMENT.Z.SPREAD(A208,ustCurve,I208,cContinuous,D208)</f>
        <v>-1.0434706289775102</v>
      </c>
      <c r="N208" s="123">
        <f ca="1">_xll.INSTRUMENT.Z.SPREAD(A208,oisCurve,I208,cContinuous,D208)</f>
        <v>12.481005490523057</v>
      </c>
      <c r="O208" s="124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1.4903280770079085E-2</v>
      </c>
      <c r="P208" s="124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1.685839182154782E-2</v>
      </c>
      <c r="Q208" s="379">
        <f ca="1">-(O208-curve!$S$3)/J208</f>
        <v>0.18221992076697466</v>
      </c>
      <c r="R208" s="381">
        <f t="shared" ca="1" si="4"/>
        <v>-367.21699109174165</v>
      </c>
      <c r="S208" s="199" t="str">
        <f>IF(F208&lt;&gt;"","",IF(G208="","",-G208*(SUMIF('bench Comparison'!$A:$A,"RESINV1USD",'bench Comparison'!$G:$G)+SUMIF('bench Comparison'!$A:$A,"RESSWAPORUSD",'bench Comparison'!$G:$G))/(36500*J208)))</f>
        <v/>
      </c>
      <c r="T208" s="210" t="str">
        <f>IF(G208&lt;&gt;"","",IF(F208="","",-36500*J208*F208/(SUMIF('bench Comparison'!$A:$A,"RESINV1USD",'bench Comparison'!$G:$G)+SUMIF('bench Comparison'!$A:$A,"RESSWAPORUSD",'bench Comparison'!$G:$G))))</f>
        <v/>
      </c>
      <c r="U208" s="125">
        <f>SUMIF('bench Comparison'!$E:$E,A208,'bench Comparison'!$N:$N)</f>
        <v>0</v>
      </c>
      <c r="V208" s="126">
        <f ca="1">VALUE(_xll.BDP($A208 &amp; " Corp",V$1))</f>
        <v>32278</v>
      </c>
      <c r="W208" s="127">
        <f ca="1">VALUE(_xll.BDP($A208 &amp; " Corp",W$1))</f>
        <v>32278</v>
      </c>
      <c r="X208" s="127">
        <f ca="1">VALUE(_xll.BDP($A208 &amp; " Corp",X$1))</f>
        <v>32462</v>
      </c>
      <c r="Y208" s="127">
        <f ca="1">VALUE(_xll.BDP($A208 &amp; " Corp",Y$1))</f>
        <v>43054</v>
      </c>
      <c r="Z208" s="127">
        <f ca="1">VALUE(_xll.BDP($A208 &amp; " Corp",Z$1))</f>
        <v>43235</v>
      </c>
      <c r="AA208" s="128">
        <f ca="1">_xll.BDP($A208 &amp; " Corp",AA$1)/100</f>
        <v>9.1249999999999998E-2</v>
      </c>
      <c r="AB208" s="129">
        <f ca="1">_xll.BDP($A208 &amp; " Corp",AB$1)</f>
        <v>6717000000</v>
      </c>
      <c r="AC208" s="130" t="str">
        <f ca="1">IF(LEFT(B208,1)="B",_xll.INSTANCE.TBILL(A208,V208,Z208,TODAY()),_xll.INSTANCE.TNOTE(A208,V208,W208,X208,Y208,Z208,AA208,TODAY()))</f>
        <v>US912810EA26#0028</v>
      </c>
    </row>
    <row r="209" spans="1:29" x14ac:dyDescent="0.2">
      <c r="A209" s="131" t="s">
        <v>530</v>
      </c>
      <c r="B209" s="115" t="str">
        <f ca="1">_xll.BDP($A209 &amp; " Govt",B$1)</f>
        <v>T 3 7/8 05/15/18</v>
      </c>
      <c r="C209" s="372"/>
      <c r="D209" s="116"/>
      <c r="E209" s="117"/>
      <c r="F209" s="118"/>
      <c r="G209" s="377"/>
      <c r="H209" s="120">
        <f ca="1">IF(E209="",_xll.BDP(A209 &amp; " Govt","YLD_YTM_ASK")/100,E209)</f>
        <v>8.6529850000000002E-3</v>
      </c>
      <c r="I209" s="121">
        <f ca="1">_xll.INSTRUMENT.PRIX(AC209,D209,H209,cTreasuries)</f>
        <v>117.18928384936878</v>
      </c>
      <c r="J209" s="122">
        <f ca="1">_xll.INSTRUMENT.DV01(A209,,,I209,cContinuous,I209)</f>
        <v>-6.2777261177858909E-2</v>
      </c>
      <c r="K209" s="123">
        <f ca="1">_xll.INSTRUMENT.CONVEXITE(A209,,,I209,cContinuous,I209)</f>
        <v>30.217397228405115</v>
      </c>
      <c r="L209" s="123">
        <f ca="1">_xll.INSTRUMENT.Z.SPREAD(A209,swapCurve,I209,cContinuous,D209)</f>
        <v>-22.590520331807348</v>
      </c>
      <c r="M209" s="123">
        <f ca="1">_xll.INSTRUMENT.Z.SPREAD(A209,ustCurve,I209,cContinuous,D209)</f>
        <v>-2.0354682147352592</v>
      </c>
      <c r="N209" s="123">
        <f ca="1">_xll.INSTRUMENT.Z.SPREAD(A209,oisCurve,I209,cContinuous,D209)</f>
        <v>11.199171838232338</v>
      </c>
      <c r="O209" s="124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1.8592095134938102E-2</v>
      </c>
      <c r="P209" s="124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1.8265515024836095E-2</v>
      </c>
      <c r="Q209" s="379">
        <f ca="1">-(O209-curve!$S$3)/J209</f>
        <v>0.26879044356473525</v>
      </c>
      <c r="R209" s="381">
        <f t="shared" ca="1" si="4"/>
        <v>-481.34303187891504</v>
      </c>
      <c r="S209" s="199" t="str">
        <f>IF(F209&lt;&gt;"","",IF(G209="","",-G209*(SUMIF('bench Comparison'!$A:$A,"RESINV1USD",'bench Comparison'!$G:$G)+SUMIF('bench Comparison'!$A:$A,"RESSWAPORUSD",'bench Comparison'!$G:$G))/(36500*J209)))</f>
        <v/>
      </c>
      <c r="T209" s="210" t="str">
        <f>IF(G209&lt;&gt;"","",IF(F209="","",-36500*J209*F209/(SUMIF('bench Comparison'!$A:$A,"RESINV1USD",'bench Comparison'!$G:$G)+SUMIF('bench Comparison'!$A:$A,"RESSWAPORUSD",'bench Comparison'!$G:$G))))</f>
        <v/>
      </c>
      <c r="U209" s="125">
        <f>SUMIF('bench Comparison'!$E:$E,A209,'bench Comparison'!$N:$N)</f>
        <v>0</v>
      </c>
      <c r="V209" s="126">
        <f ca="1">VALUE(_xll.BDP($A209 &amp; " Corp",V$1))</f>
        <v>39583</v>
      </c>
      <c r="W209" s="127">
        <f ca="1">VALUE(_xll.BDP($A209 &amp; " Corp",W$1))</f>
        <v>39583</v>
      </c>
      <c r="X209" s="127">
        <f ca="1">VALUE(_xll.BDP($A209 &amp; " Corp",X$1))</f>
        <v>39767</v>
      </c>
      <c r="Y209" s="127">
        <f ca="1">VALUE(_xll.BDP($A209 &amp; " Corp",Y$1))</f>
        <v>43054</v>
      </c>
      <c r="Z209" s="127">
        <f ca="1">VALUE(_xll.BDP($A209 &amp; " Corp",Z$1))</f>
        <v>43235</v>
      </c>
      <c r="AA209" s="128">
        <f ca="1">_xll.BDP($A209 &amp; " Corp",AA$1)/100</f>
        <v>3.875E-2</v>
      </c>
      <c r="AB209" s="129">
        <f ca="1">_xll.BDP($A209 &amp; " Corp",AB$1)</f>
        <v>34078000000</v>
      </c>
      <c r="AC209" s="130" t="str">
        <f ca="1">IF(LEFT(B209,1)="B",_xll.INSTANCE.TBILL(A209,V209,Z209,TODAY()),_xll.INSTANCE.TNOTE(A209,V209,W209,X209,Y209,Z209,AA209,TODAY()))</f>
        <v>US912828HZ65#0028</v>
      </c>
    </row>
    <row r="210" spans="1:29" x14ac:dyDescent="0.2">
      <c r="A210" s="131" t="s">
        <v>531</v>
      </c>
      <c r="B210" s="115" t="str">
        <f ca="1">_xll.BDP($A210 &amp; " Govt",B$1)</f>
        <v>T 2 3/8 05/31/18</v>
      </c>
      <c r="C210" s="372"/>
      <c r="D210" s="116"/>
      <c r="E210" s="117"/>
      <c r="F210" s="118"/>
      <c r="G210" s="377"/>
      <c r="H210" s="120">
        <f ca="1">IF(E210="",_xll.BDP(A210 &amp; " Govt","YLD_YTM_ASK")/100,E210)</f>
        <v>9.0609139999999998E-3</v>
      </c>
      <c r="I210" s="121">
        <f ca="1">_xll.INSTRUMENT.PRIX(AC210,D210,H210,cTreasuries)</f>
        <v>108.43879785525024</v>
      </c>
      <c r="J210" s="122">
        <f ca="1">_xll.INSTRUMENT.DV01(A210,,,I210,cContinuous,I210)</f>
        <v>-6.0377386902161975E-2</v>
      </c>
      <c r="K210" s="123">
        <f ca="1">_xll.INSTRUMENT.CONVEXITE(A210,,,I210,cContinuous,I210)</f>
        <v>32.118649670274991</v>
      </c>
      <c r="L210" s="123">
        <f ca="1">_xll.INSTRUMENT.Z.SPREAD(A210,swapCurve,I210,cContinuous,D210)</f>
        <v>-20.571096189080404</v>
      </c>
      <c r="M210" s="123">
        <f ca="1">_xll.INSTRUMENT.Z.SPREAD(A210,ustCurve,I210,cContinuous,D210)</f>
        <v>7.8198784557346079E-2</v>
      </c>
      <c r="N210" s="123">
        <f ca="1">_xll.INSTRUMENT.Z.SPREAD(A210,oisCurve,I210,cContinuous,D210)</f>
        <v>13.209472425757331</v>
      </c>
      <c r="O210" s="124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2.031021683998625E-2</v>
      </c>
      <c r="P210" s="124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1.9078426292120781E-2</v>
      </c>
      <c r="Q210" s="379">
        <f ca="1">-(O210-curve!$S$3)/J210</f>
        <v>0.30793067631349141</v>
      </c>
      <c r="R210" s="381">
        <f t="shared" ca="1" si="4"/>
        <v>-531.96488483877886</v>
      </c>
      <c r="S210" s="199" t="str">
        <f>IF(F210&lt;&gt;"","",IF(G210="","",-G210*(SUMIF('bench Comparison'!$A:$A,"RESINV1USD",'bench Comparison'!$G:$G)+SUMIF('bench Comparison'!$A:$A,"RESSWAPORUSD",'bench Comparison'!$G:$G))/(36500*J210)))</f>
        <v/>
      </c>
      <c r="T210" s="210" t="str">
        <f>IF(G210&lt;&gt;"","",IF(F210="","",-36500*J210*F210/(SUMIF('bench Comparison'!$A:$A,"RESINV1USD",'bench Comparison'!$G:$G)+SUMIF('bench Comparison'!$A:$A,"RESSWAPORUSD",'bench Comparison'!$G:$G))))</f>
        <v/>
      </c>
      <c r="U210" s="125">
        <f>SUMIF('bench Comparison'!$E:$E,A210,'bench Comparison'!$N:$N)</f>
        <v>0</v>
      </c>
      <c r="V210" s="126">
        <f ca="1">VALUE(_xll.BDP($A210 &amp; " Corp",V$1))</f>
        <v>40694</v>
      </c>
      <c r="W210" s="127">
        <f ca="1">VALUE(_xll.BDP($A210 &amp; " Corp",W$1))</f>
        <v>40694</v>
      </c>
      <c r="X210" s="127">
        <f ca="1">VALUE(_xll.BDP($A210 &amp; " Corp",X$1))</f>
        <v>40877</v>
      </c>
      <c r="Y210" s="127">
        <f ca="1">VALUE(_xll.BDP($A210 &amp; " Corp",Y$1))</f>
        <v>43069</v>
      </c>
      <c r="Z210" s="127">
        <f ca="1">VALUE(_xll.BDP($A210 &amp; " Corp",Z$1))</f>
        <v>43251</v>
      </c>
      <c r="AA210" s="128">
        <f ca="1">_xll.BDP($A210 &amp; " Corp",AA$1)/100</f>
        <v>2.375E-2</v>
      </c>
      <c r="AB210" s="129">
        <f ca="1">_xll.BDP($A210 &amp; " Corp",AB$1)</f>
        <v>31441000000.000004</v>
      </c>
      <c r="AC210" s="130" t="str">
        <f ca="1">IF(LEFT(B210,1)="B",_xll.INSTANCE.TBILL(A210,V210,Z210,TODAY()),_xll.INSTANCE.TNOTE(A210,V210,W210,X210,Y210,Z210,AA210,TODAY()))</f>
        <v>US912828QQ65#0028</v>
      </c>
    </row>
    <row r="211" spans="1:29" x14ac:dyDescent="0.2">
      <c r="A211" s="131" t="s">
        <v>532</v>
      </c>
      <c r="B211" s="115" t="str">
        <f ca="1">_xll.BDP($A211 &amp; " Govt",B$1)</f>
        <v>T 2 3/8 06/30/18</v>
      </c>
      <c r="C211" s="372"/>
      <c r="D211" s="116"/>
      <c r="E211" s="117"/>
      <c r="F211" s="118"/>
      <c r="G211" s="377"/>
      <c r="H211" s="120">
        <f ca="1">IF(E211="",_xll.BDP(A211 &amp; " Govt","YLD_YTM_ASK")/100,E211)</f>
        <v>9.145803000000001E-3</v>
      </c>
      <c r="I211" s="121">
        <f ca="1">_xll.INSTRUMENT.PRIX(AC211,D211,H211,cTreasuries)</f>
        <v>108.50107131213161</v>
      </c>
      <c r="J211" s="122">
        <f ca="1">_xll.INSTRUMENT.DV01(A211,,,I211,cContinuous,I211)</f>
        <v>-6.1248746337521753E-2</v>
      </c>
      <c r="K211" s="123">
        <f ca="1">_xll.INSTRUMENT.CONVEXITE(A211,,,I211,cContinuous,I211)</f>
        <v>33.09782206487948</v>
      </c>
      <c r="L211" s="123">
        <f ca="1">_xll.INSTRUMENT.Z.SPREAD(A211,swapCurve,I211,cContinuous,D211)</f>
        <v>-21.482481119209691</v>
      </c>
      <c r="M211" s="123">
        <f ca="1">_xll.INSTRUMENT.Z.SPREAD(A211,ustCurve,I211,cContinuous,D211)</f>
        <v>-0.78608613603517008</v>
      </c>
      <c r="N211" s="123">
        <f ca="1">_xll.INSTRUMENT.Z.SPREAD(A211,oisCurve,I211,cContinuous,D211)</f>
        <v>12.346201141768244</v>
      </c>
      <c r="O211" s="124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2.1965900213464961E-2</v>
      </c>
      <c r="P211" s="124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1.9773193770072316E-2</v>
      </c>
      <c r="Q211" s="379">
        <f ca="1">-(O211-curve!$S$3)/J211</f>
        <v>0.33058199827836754</v>
      </c>
      <c r="R211" s="381">
        <f t="shared" ca="1" si="4"/>
        <v>-540.38366569151049</v>
      </c>
      <c r="S211" s="199" t="str">
        <f>IF(F211&lt;&gt;"","",IF(G211="","",-G211*(SUMIF('bench Comparison'!$A:$A,"RESINV1USD",'bench Comparison'!$G:$G)+SUMIF('bench Comparison'!$A:$A,"RESSWAPORUSD",'bench Comparison'!$G:$G))/(36500*J211)))</f>
        <v/>
      </c>
      <c r="T211" s="210" t="str">
        <f>IF(G211&lt;&gt;"","",IF(F211="","",-36500*J211*F211/(SUMIF('bench Comparison'!$A:$A,"RESINV1USD",'bench Comparison'!$G:$G)+SUMIF('bench Comparison'!$A:$A,"RESSWAPORUSD",'bench Comparison'!$G:$G))))</f>
        <v/>
      </c>
      <c r="U211" s="125">
        <f>SUMIF('bench Comparison'!$E:$E,A211,'bench Comparison'!$N:$N)</f>
        <v>0</v>
      </c>
      <c r="V211" s="126">
        <f ca="1">VALUE(_xll.BDP($A211 &amp; " Corp",V$1))</f>
        <v>40724</v>
      </c>
      <c r="W211" s="127">
        <f ca="1">VALUE(_xll.BDP($A211 &amp; " Corp",W$1))</f>
        <v>40724</v>
      </c>
      <c r="X211" s="127">
        <f ca="1">VALUE(_xll.BDP($A211 &amp; " Corp",X$1))</f>
        <v>40908</v>
      </c>
      <c r="Y211" s="127">
        <f ca="1">VALUE(_xll.BDP($A211 &amp; " Corp",Y$1))</f>
        <v>43100</v>
      </c>
      <c r="Z211" s="127">
        <f ca="1">VALUE(_xll.BDP($A211 &amp; " Corp",Z$1))</f>
        <v>43281</v>
      </c>
      <c r="AA211" s="128">
        <f ca="1">_xll.BDP($A211 &amp; " Corp",AA$1)/100</f>
        <v>2.375E-2</v>
      </c>
      <c r="AB211" s="129">
        <f ca="1">_xll.BDP($A211 &amp; " Corp",AB$1)</f>
        <v>29934000000</v>
      </c>
      <c r="AC211" s="130" t="str">
        <f ca="1">IF(LEFT(B211,1)="B",_xll.INSTANCE.TBILL(A211,V211,Z211,TODAY()),_xll.INSTANCE.TNOTE(A211,V211,W211,X211,Y211,Z211,AA211,TODAY()))</f>
        <v>US912828QT05#0028</v>
      </c>
    </row>
    <row r="212" spans="1:29" x14ac:dyDescent="0.2">
      <c r="A212" s="131" t="s">
        <v>533</v>
      </c>
      <c r="B212" s="115" t="str">
        <f ca="1">_xll.BDP($A212 &amp; " Govt",B$1)</f>
        <v>T 2 1/4 07/31/18</v>
      </c>
      <c r="C212" s="372"/>
      <c r="D212" s="116"/>
      <c r="E212" s="117"/>
      <c r="F212" s="118"/>
      <c r="G212" s="377"/>
      <c r="H212" s="120">
        <f ca="1">IF(E212="",_xll.BDP(A212 &amp; " Govt","YLD_YTM_ASK")/100,E212)</f>
        <v>9.3435189999999998E-3</v>
      </c>
      <c r="I212" s="121">
        <f ca="1">_xll.INSTRUMENT.PRIX(AC212,D212,H212,cTreasuries)</f>
        <v>107.75894108787084</v>
      </c>
      <c r="J212" s="122">
        <f ca="1">_xll.INSTRUMENT.DV01(A212,,,I212,cContinuous,I212)</f>
        <v>-6.1765240473758261E-2</v>
      </c>
      <c r="K212" s="123">
        <f ca="1">_xll.INSTRUMENT.CONVEXITE(A212,,,I212,cContinuous,I212)</f>
        <v>33.785308703423865</v>
      </c>
      <c r="L212" s="123">
        <f ca="1">_xll.INSTRUMENT.Z.SPREAD(A212,swapCurve,I212,cContinuous,D212)</f>
        <v>-21.08057636284714</v>
      </c>
      <c r="M212" s="123">
        <f ca="1">_xll.INSTRUMENT.Z.SPREAD(A212,ustCurve,I212,cContinuous,D212)</f>
        <v>-0.30977465022803297</v>
      </c>
      <c r="N212" s="123">
        <f ca="1">_xll.INSTRUMENT.Z.SPREAD(A212,oisCurve,I212,cContinuous,D212)</f>
        <v>12.822031511856139</v>
      </c>
      <c r="O212" s="124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2.088735756586213E-2</v>
      </c>
      <c r="P212" s="124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1.9650497660630546E-2</v>
      </c>
      <c r="Q212" s="379">
        <f ca="1">-(O212-curve!$S$3)/J212</f>
        <v>0.31035563306588643</v>
      </c>
      <c r="R212" s="381">
        <f t="shared" ca="1" si="4"/>
        <v>-546.99550174629337</v>
      </c>
      <c r="S212" s="199" t="str">
        <f>IF(F212&lt;&gt;"","",IF(G212="","",-G212*(SUMIF('bench Comparison'!$A:$A,"RESINV1USD",'bench Comparison'!$G:$G)+SUMIF('bench Comparison'!$A:$A,"RESSWAPORUSD",'bench Comparison'!$G:$G))/(36500*J212)))</f>
        <v/>
      </c>
      <c r="T212" s="210" t="str">
        <f>IF(G212&lt;&gt;"","",IF(F212="","",-36500*J212*F212/(SUMIF('bench Comparison'!$A:$A,"RESINV1USD",'bench Comparison'!$G:$G)+SUMIF('bench Comparison'!$A:$A,"RESSWAPORUSD",'bench Comparison'!$G:$G))))</f>
        <v/>
      </c>
      <c r="U212" s="125">
        <f>SUMIF('bench Comparison'!$E:$E,A212,'bench Comparison'!$N:$N)</f>
        <v>0</v>
      </c>
      <c r="V212" s="126">
        <f ca="1">VALUE(_xll.BDP($A212 &amp; " Corp",V$1))</f>
        <v>40756</v>
      </c>
      <c r="W212" s="127">
        <f ca="1">VALUE(_xll.BDP($A212 &amp; " Corp",W$1))</f>
        <v>40755</v>
      </c>
      <c r="X212" s="127">
        <f ca="1">VALUE(_xll.BDP($A212 &amp; " Corp",X$1))</f>
        <v>40939</v>
      </c>
      <c r="Y212" s="127">
        <f ca="1">VALUE(_xll.BDP($A212 &amp; " Corp",Y$1))</f>
        <v>43131</v>
      </c>
      <c r="Z212" s="127">
        <f ca="1">VALUE(_xll.BDP($A212 &amp; " Corp",Z$1))</f>
        <v>43312</v>
      </c>
      <c r="AA212" s="128">
        <f ca="1">_xll.BDP($A212 &amp; " Corp",AA$1)/100</f>
        <v>2.2499999999999999E-2</v>
      </c>
      <c r="AB212" s="129">
        <f ca="1">_xll.BDP($A212 &amp; " Corp",AB$1)</f>
        <v>29864000000</v>
      </c>
      <c r="AC212" s="130" t="str">
        <f ca="1">IF(LEFT(B212,1)="B",_xll.INSTANCE.TBILL(A212,V212,Z212,TODAY()),_xll.INSTANCE.TNOTE(A212,V212,W212,X212,Y212,Z212,AA212,TODAY()))</f>
        <v>US912828QY99#0028</v>
      </c>
    </row>
    <row r="213" spans="1:29" x14ac:dyDescent="0.2">
      <c r="A213" s="131" t="s">
        <v>534</v>
      </c>
      <c r="B213" s="115" t="str">
        <f ca="1">_xll.BDP($A213 &amp; " Govt",B$1)</f>
        <v>T 4 08/15/18</v>
      </c>
      <c r="C213" s="372"/>
      <c r="D213" s="116"/>
      <c r="E213" s="117"/>
      <c r="F213" s="118"/>
      <c r="G213" s="377"/>
      <c r="H213" s="120">
        <f ca="1">IF(E213="",_xll.BDP(A213 &amp; " Govt","YLD_YTM_ASK")/100,E213)</f>
        <v>8.950075E-3</v>
      </c>
      <c r="I213" s="121">
        <f ca="1">_xll.INSTRUMENT.PRIX(AC213,D213,H213,cTreasuries)</f>
        <v>118.4542209408079</v>
      </c>
      <c r="J213" s="122">
        <f ca="1">_xll.INSTRUMENT.DV01(A213,,,I213,cContinuous,I213)</f>
        <v>-6.575589352706139E-2</v>
      </c>
      <c r="K213" s="123">
        <f ca="1">_xll.INSTRUMENT.CONVEXITE(A213,,,I213,cContinuous,I213)</f>
        <v>32.303443720882825</v>
      </c>
      <c r="L213" s="123">
        <f ca="1">_xll.INSTRUMENT.Z.SPREAD(A213,swapCurve,I213,cContinuous,D213)</f>
        <v>-24.223701472116922</v>
      </c>
      <c r="M213" s="123">
        <f ca="1">_xll.INSTRUMENT.Z.SPREAD(A213,ustCurve,I213,cContinuous,D213)</f>
        <v>-3.5137425648341805</v>
      </c>
      <c r="N213" s="123">
        <f ca="1">_xll.INSTRUMENT.Z.SPREAD(A213,oisCurve,I213,cContinuous,D213)</f>
        <v>9.7381715807422182</v>
      </c>
      <c r="O213" s="124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1.8764608278625718E-2</v>
      </c>
      <c r="P213" s="124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1.8609128423648123E-2</v>
      </c>
      <c r="Q213" s="379">
        <f ca="1">-(O213-curve!$S$3)/J213</f>
        <v>0.25923822348255671</v>
      </c>
      <c r="R213" s="381">
        <f t="shared" ca="1" si="4"/>
        <v>-491.26309427440998</v>
      </c>
      <c r="S213" s="199" t="str">
        <f>IF(F213&lt;&gt;"","",IF(G213="","",-G213*(SUMIF('bench Comparison'!$A:$A,"RESINV1USD",'bench Comparison'!$G:$G)+SUMIF('bench Comparison'!$A:$A,"RESSWAPORUSD",'bench Comparison'!$G:$G))/(36500*J213)))</f>
        <v/>
      </c>
      <c r="T213" s="210" t="str">
        <f>IF(G213&lt;&gt;"","",IF(F213="","",-36500*J213*F213/(SUMIF('bench Comparison'!$A:$A,"RESINV1USD",'bench Comparison'!$G:$G)+SUMIF('bench Comparison'!$A:$A,"RESSWAPORUSD",'bench Comparison'!$G:$G))))</f>
        <v/>
      </c>
      <c r="U213" s="125">
        <f>SUMIF('bench Comparison'!$E:$E,A213,'bench Comparison'!$N:$N)</f>
        <v>0</v>
      </c>
      <c r="V213" s="126">
        <f ca="1">VALUE(_xll.BDP($A213 &amp; " Corp",V$1))</f>
        <v>39675</v>
      </c>
      <c r="W213" s="127">
        <f ca="1">VALUE(_xll.BDP($A213 &amp; " Corp",W$1))</f>
        <v>39675</v>
      </c>
      <c r="X213" s="127">
        <f ca="1">VALUE(_xll.BDP($A213 &amp; " Corp",X$1))</f>
        <v>39859</v>
      </c>
      <c r="Y213" s="127">
        <f ca="1">VALUE(_xll.BDP($A213 &amp; " Corp",Y$1))</f>
        <v>43146</v>
      </c>
      <c r="Z213" s="127">
        <f ca="1">VALUE(_xll.BDP($A213 &amp; " Corp",Z$1))</f>
        <v>43327</v>
      </c>
      <c r="AA213" s="128">
        <f ca="1">_xll.BDP($A213 &amp; " Corp",AA$1)/100</f>
        <v>0.04</v>
      </c>
      <c r="AB213" s="129">
        <f ca="1">_xll.BDP($A213 &amp; " Corp",AB$1)</f>
        <v>36803000000</v>
      </c>
      <c r="AC213" s="130" t="str">
        <f ca="1">IF(LEFT(B213,1)="B",_xll.INSTANCE.TBILL(A213,V213,Z213,TODAY()),_xll.INSTANCE.TNOTE(A213,V213,W213,X213,Y213,Z213,AA213,TODAY()))</f>
        <v>US912828JH40#0028</v>
      </c>
    </row>
    <row r="214" spans="1:29" x14ac:dyDescent="0.2">
      <c r="A214" s="131" t="s">
        <v>535</v>
      </c>
      <c r="B214" s="115" t="str">
        <f ca="1">_xll.BDP($A214 &amp; " Govt",B$1)</f>
        <v>T 1 1/2 08/31/18</v>
      </c>
      <c r="C214" s="372"/>
      <c r="D214" s="116"/>
      <c r="E214" s="117"/>
      <c r="F214" s="118"/>
      <c r="G214" s="377"/>
      <c r="H214" s="120">
        <f ca="1">IF(E214="",_xll.BDP(A214 &amp; " Govt","YLD_YTM_ASK")/100,E214)</f>
        <v>9.5051670000000001E-3</v>
      </c>
      <c r="I214" s="121">
        <f ca="1">_xll.INSTRUMENT.PRIX(AC214,D214,H214,cTreasuries)</f>
        <v>103.2811100726548</v>
      </c>
      <c r="J214" s="122">
        <f ca="1">_xll.INSTRUMENT.DV01(A214,,,I214,cContinuous,I214)</f>
        <v>-6.1093116506933838E-2</v>
      </c>
      <c r="K214" s="123">
        <f ca="1">_xll.INSTRUMENT.CONVEXITE(A214,,,I214,cContinuous,I214)</f>
        <v>35.731302211353302</v>
      </c>
      <c r="L214" s="123">
        <f ca="1">_xll.INSTRUMENT.Z.SPREAD(A214,swapCurve,I214,cContinuous,D214)</f>
        <v>-21.885035038066231</v>
      </c>
      <c r="M214" s="123">
        <f ca="1">_xll.INSTRUMENT.Z.SPREAD(A214,ustCurve,I214,cContinuous,D214)</f>
        <v>-0.97128350229242766</v>
      </c>
      <c r="N214" s="123">
        <f ca="1">_xll.INSTRUMENT.Z.SPREAD(A214,oisCurve,I214,cContinuous,D214)</f>
        <v>12.128098267106656</v>
      </c>
      <c r="O214" s="124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2.2197058469366621E-2</v>
      </c>
      <c r="P214" s="124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2.0198700591790502E-2</v>
      </c>
      <c r="Q214" s="379">
        <f ca="1">-(O214-curve!$S$3)/J214</f>
        <v>0.33520783327333076</v>
      </c>
      <c r="R214" s="381">
        <f t="shared" ca="1" si="4"/>
        <v>-584.86625424155488</v>
      </c>
      <c r="S214" s="199" t="str">
        <f>IF(F214&lt;&gt;"","",IF(G214="","",-G214*(SUMIF('bench Comparison'!$A:$A,"RESINV1USD",'bench Comparison'!$G:$G)+SUMIF('bench Comparison'!$A:$A,"RESSWAPORUSD",'bench Comparison'!$G:$G))/(36500*J214)))</f>
        <v/>
      </c>
      <c r="T214" s="210" t="str">
        <f>IF(G214&lt;&gt;"","",IF(F214="","",-36500*J214*F214/(SUMIF('bench Comparison'!$A:$A,"RESINV1USD",'bench Comparison'!$G:$G)+SUMIF('bench Comparison'!$A:$A,"RESSWAPORUSD",'bench Comparison'!$G:$G))))</f>
        <v/>
      </c>
      <c r="U214" s="125">
        <f>SUMIF('bench Comparison'!$E:$E,A214,'bench Comparison'!$N:$N)</f>
        <v>0</v>
      </c>
      <c r="V214" s="126">
        <f ca="1">VALUE(_xll.BDP($A214 &amp; " Corp",V$1))</f>
        <v>40786</v>
      </c>
      <c r="W214" s="127">
        <f ca="1">VALUE(_xll.BDP($A214 &amp; " Corp",W$1))</f>
        <v>40786</v>
      </c>
      <c r="X214" s="127">
        <f ca="1">VALUE(_xll.BDP($A214 &amp; " Corp",X$1))</f>
        <v>40968</v>
      </c>
      <c r="Y214" s="127">
        <f ca="1">VALUE(_xll.BDP($A214 &amp; " Corp",Y$1))</f>
        <v>43159</v>
      </c>
      <c r="Z214" s="127">
        <f ca="1">VALUE(_xll.BDP($A214 &amp; " Corp",Z$1))</f>
        <v>43343</v>
      </c>
      <c r="AA214" s="128">
        <f ca="1">_xll.BDP($A214 &amp; " Corp",AA$1)/100</f>
        <v>1.4999999999999999E-2</v>
      </c>
      <c r="AB214" s="129">
        <f ca="1">_xll.BDP($A214 &amp; " Corp",AB$1)</f>
        <v>29887000000.000004</v>
      </c>
      <c r="AC214" s="130" t="str">
        <f ca="1">IF(LEFT(B214,1)="B",_xll.INSTANCE.TBILL(A214,V214,Z214,TODAY()),_xll.INSTANCE.TNOTE(A214,V214,W214,X214,Y214,Z214,AA214,TODAY()))</f>
        <v>US912828RE27#0029</v>
      </c>
    </row>
    <row r="215" spans="1:29" x14ac:dyDescent="0.2">
      <c r="A215" s="131" t="s">
        <v>536</v>
      </c>
      <c r="B215" s="115" t="str">
        <f ca="1">_xll.BDP($A215 &amp; " Govt",B$1)</f>
        <v>T 1 3/8 09/30/18</v>
      </c>
      <c r="C215" s="372"/>
      <c r="D215" s="116"/>
      <c r="E215" s="117"/>
      <c r="F215" s="118"/>
      <c r="G215" s="377"/>
      <c r="H215" s="120">
        <f ca="1">IF(E215="",_xll.BDP(A215 &amp; " Govt","YLD_YTM_ASK")/100,E215)</f>
        <v>9.6921520000000008E-3</v>
      </c>
      <c r="I215" s="121">
        <f ca="1">_xll.INSTRUMENT.PRIX(AC215,D215,H215,cTreasuries)</f>
        <v>102.45352830208087</v>
      </c>
      <c r="J215" s="122">
        <f ca="1">_xll.INSTRUMENT.DV01(A215,,,I215,cContinuous,I215)</f>
        <v>-6.1600913829671915E-2</v>
      </c>
      <c r="K215" s="123">
        <f ca="1">_xll.INSTRUMENT.CONVEXITE(A215,,,I215,cContinuous,I215)</f>
        <v>36.912035000944947</v>
      </c>
      <c r="L215" s="123">
        <f ca="1">_xll.INSTRUMENT.Z.SPREAD(A215,swapCurve,I215,cContinuous,D215)</f>
        <v>-21.914934523587092</v>
      </c>
      <c r="M215" s="123">
        <f ca="1">_xll.INSTRUMENT.Z.SPREAD(A215,ustCurve,I215,cContinuous,D215)</f>
        <v>-0.88196762144238727</v>
      </c>
      <c r="N215" s="123">
        <f ca="1">_xll.INSTRUMENT.Z.SPREAD(A215,oisCurve,I215,cContinuous,D215)</f>
        <v>12.240284065647804</v>
      </c>
      <c r="O215" s="124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2.3285742376132557E-2</v>
      </c>
      <c r="P215" s="124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2.0758304197408036E-2</v>
      </c>
      <c r="Q215" s="379">
        <f ca="1">-(O215-curve!$S$3)/J215</f>
        <v>0.35011777874927758</v>
      </c>
      <c r="R215" s="381">
        <f t="shared" ca="1" si="4"/>
        <v>-599.21245816267685</v>
      </c>
      <c r="S215" s="199" t="str">
        <f>IF(F215&lt;&gt;"","",IF(G215="","",-G215*(SUMIF('bench Comparison'!$A:$A,"RESINV1USD",'bench Comparison'!$G:$G)+SUMIF('bench Comparison'!$A:$A,"RESSWAPORUSD",'bench Comparison'!$G:$G))/(36500*J215)))</f>
        <v/>
      </c>
      <c r="T215" s="210" t="str">
        <f>IF(G215&lt;&gt;"","",IF(F215="","",-36500*J215*F215/(SUMIF('bench Comparison'!$A:$A,"RESINV1USD",'bench Comparison'!$G:$G)+SUMIF('bench Comparison'!$A:$A,"RESSWAPORUSD",'bench Comparison'!$G:$G))))</f>
        <v/>
      </c>
      <c r="U215" s="125">
        <f>SUMIF('bench Comparison'!$E:$E,A215,'bench Comparison'!$N:$N)</f>
        <v>0</v>
      </c>
      <c r="V215" s="126">
        <f ca="1">VALUE(_xll.BDP($A215 &amp; " Corp",V$1))</f>
        <v>40816</v>
      </c>
      <c r="W215" s="127">
        <f ca="1">VALUE(_xll.BDP($A215 &amp; " Corp",W$1))</f>
        <v>40816</v>
      </c>
      <c r="X215" s="127">
        <f ca="1">VALUE(_xll.BDP($A215 &amp; " Corp",X$1))</f>
        <v>40999</v>
      </c>
      <c r="Y215" s="127">
        <f ca="1">VALUE(_xll.BDP($A215 &amp; " Corp",Y$1))</f>
        <v>43190</v>
      </c>
      <c r="Z215" s="127">
        <f ca="1">VALUE(_xll.BDP($A215 &amp; " Corp",Z$1))</f>
        <v>43373</v>
      </c>
      <c r="AA215" s="128">
        <f ca="1">_xll.BDP($A215 &amp; " Corp",AA$1)/100</f>
        <v>1.375E-2</v>
      </c>
      <c r="AB215" s="129">
        <f ca="1">_xll.BDP($A215 &amp; " Corp",AB$1)</f>
        <v>29903000000</v>
      </c>
      <c r="AC215" s="130" t="str">
        <f ca="1">IF(LEFT(B215,1)="B",_xll.INSTANCE.TBILL(A215,V215,Z215,TODAY()),_xll.INSTANCE.TNOTE(A215,V215,W215,X215,Y215,Z215,AA215,TODAY()))</f>
        <v>US912828RH57#0027</v>
      </c>
    </row>
    <row r="216" spans="1:29" x14ac:dyDescent="0.2">
      <c r="A216" s="131" t="s">
        <v>537</v>
      </c>
      <c r="B216" s="115" t="str">
        <f ca="1">_xll.BDP($A216 &amp; " Govt",B$1)</f>
        <v>T 1 3/4 10/31/18</v>
      </c>
      <c r="C216" s="372"/>
      <c r="D216" s="116"/>
      <c r="E216" s="117"/>
      <c r="F216" s="118"/>
      <c r="G216" s="377"/>
      <c r="H216" s="120">
        <f ca="1">IF(E216="",_xll.BDP(A216 &amp; " Govt","YLD_YTM_ASK")/100,E216)</f>
        <v>9.7915880000000004E-3</v>
      </c>
      <c r="I216" s="121">
        <f ca="1">_xll.INSTRUMENT.PRIX(AC216,D216,H216,cTreasuries)</f>
        <v>104.71722746943225</v>
      </c>
      <c r="J216" s="122">
        <f ca="1">_xll.INSTRUMENT.DV01(A216,,,I216,cContinuous,I216)</f>
        <v>-6.31346820398591E-2</v>
      </c>
      <c r="K216" s="123">
        <f ca="1">_xll.INSTRUMENT.CONVEXITE(A216,,,I216,cContinuous,I216)</f>
        <v>37.37437184642323</v>
      </c>
      <c r="L216" s="123">
        <f ca="1">_xll.INSTRUMENT.Z.SPREAD(A216,swapCurve,I216,cContinuous,D216)</f>
        <v>-22.148104305485766</v>
      </c>
      <c r="M216" s="123">
        <f ca="1">_xll.INSTRUMENT.Z.SPREAD(A216,ustCurve,I216,cContinuous,D216)</f>
        <v>-1.0292211144858927</v>
      </c>
      <c r="N216" s="123">
        <f ca="1">_xll.INSTRUMENT.Z.SPREAD(A216,oisCurve,I216,cContinuous,D216)</f>
        <v>12.157757170596494</v>
      </c>
      <c r="O216" s="124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2.2436206986078726E-2</v>
      </c>
      <c r="P216" s="124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2.064111011484341E-2</v>
      </c>
      <c r="Q216" s="379">
        <f ca="1">-(O216-curve!$S$3)/J216</f>
        <v>0.32815623773691521</v>
      </c>
      <c r="R216" s="381">
        <f t="shared" ca="1" si="4"/>
        <v>-591.97845999806418</v>
      </c>
      <c r="S216" s="199" t="str">
        <f>IF(F216&lt;&gt;"","",IF(G216="","",-G216*(SUMIF('bench Comparison'!$A:$A,"RESINV1USD",'bench Comparison'!$G:$G)+SUMIF('bench Comparison'!$A:$A,"RESSWAPORUSD",'bench Comparison'!$G:$G))/(36500*J216)))</f>
        <v/>
      </c>
      <c r="T216" s="210" t="str">
        <f>IF(G216&lt;&gt;"","",IF(F216="","",-36500*J216*F216/(SUMIF('bench Comparison'!$A:$A,"RESINV1USD",'bench Comparison'!$G:$G)+SUMIF('bench Comparison'!$A:$A,"RESSWAPORUSD",'bench Comparison'!$G:$G))))</f>
        <v/>
      </c>
      <c r="U216" s="125">
        <f>SUMIF('bench Comparison'!$E:$E,A216,'bench Comparison'!$N:$N)</f>
        <v>0</v>
      </c>
      <c r="V216" s="126">
        <f ca="1">VALUE(_xll.BDP($A216 &amp; " Corp",V$1))</f>
        <v>40847</v>
      </c>
      <c r="W216" s="127">
        <f ca="1">VALUE(_xll.BDP($A216 &amp; " Corp",W$1))</f>
        <v>40847</v>
      </c>
      <c r="X216" s="127">
        <f ca="1">VALUE(_xll.BDP($A216 &amp; " Corp",X$1))</f>
        <v>41029</v>
      </c>
      <c r="Y216" s="127">
        <f ca="1">VALUE(_xll.BDP($A216 &amp; " Corp",Y$1))</f>
        <v>43220</v>
      </c>
      <c r="Z216" s="127">
        <f ca="1">VALUE(_xll.BDP($A216 &amp; " Corp",Z$1))</f>
        <v>43404</v>
      </c>
      <c r="AA216" s="128">
        <f ca="1">_xll.BDP($A216 &amp; " Corp",AA$1)/100</f>
        <v>1.7500000000000002E-2</v>
      </c>
      <c r="AB216" s="129">
        <f ca="1">_xll.BDP($A216 &amp; " Corp",AB$1)</f>
        <v>30103000000.000004</v>
      </c>
      <c r="AC216" s="130" t="str">
        <f ca="1">IF(LEFT(B216,1)="B",_xll.INSTANCE.TBILL(A216,V216,Z216,TODAY()),_xll.INSTANCE.TNOTE(A216,V216,W216,X216,Y216,Z216,AA216,TODAY()))</f>
        <v>US912828RP73#0028</v>
      </c>
    </row>
    <row r="217" spans="1:29" x14ac:dyDescent="0.2">
      <c r="A217" s="131" t="s">
        <v>538</v>
      </c>
      <c r="B217" s="115" t="str">
        <f ca="1">_xll.BDP($A217 &amp; " Govt",B$1)</f>
        <v>T 3 3/4 11/15/18</v>
      </c>
      <c r="C217" s="372"/>
      <c r="D217" s="116"/>
      <c r="E217" s="117"/>
      <c r="F217" s="118"/>
      <c r="G217" s="377"/>
      <c r="H217" s="120">
        <f ca="1">IF(E217="",_xll.BDP(A217 &amp; " Govt","YLD_YTM_ASK")/100,E217)</f>
        <v>9.4995200000000009E-3</v>
      </c>
      <c r="I217" s="121">
        <f ca="1">_xll.INSTRUMENT.PRIX(AC217,D217,H217,cTreasuries)</f>
        <v>117.26383820665208</v>
      </c>
      <c r="J217" s="122">
        <f ca="1">_xll.INSTRUMENT.DV01(A217,,,I217,cContinuous,I217)</f>
        <v>-6.7858864690255621E-2</v>
      </c>
      <c r="K217" s="123">
        <f ca="1">_xll.INSTRUMENT.CONVEXITE(A217,,,I217,cContinuous,I217)</f>
        <v>35.38759566111851</v>
      </c>
      <c r="L217" s="123">
        <f ca="1">_xll.INSTRUMENT.Z.SPREAD(A217,swapCurve,I217,cContinuous,D217)</f>
        <v>-23.841074454890027</v>
      </c>
      <c r="M217" s="123">
        <f ca="1">_xll.INSTRUMENT.Z.SPREAD(A217,ustCurve,I217,cContinuous,D217)</f>
        <v>-2.7968579279981607</v>
      </c>
      <c r="N217" s="123">
        <f ca="1">_xll.INSTRUMENT.Z.SPREAD(A217,oisCurve,I217,cContinuous,D217)</f>
        <v>10.532996325555448</v>
      </c>
      <c r="O217" s="124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2.0187924544425657E-2</v>
      </c>
      <c r="P217" s="124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1.962584414197668E-2</v>
      </c>
      <c r="Q217" s="379">
        <f ca="1">-(O217-curve!$S$3)/J217</f>
        <v>0.27217899049106398</v>
      </c>
      <c r="R217" s="381">
        <f t="shared" ca="1" si="4"/>
        <v>-521.48817730220719</v>
      </c>
      <c r="S217" s="199" t="str">
        <f>IF(F217&lt;&gt;"","",IF(G217="","",-G217*(SUMIF('bench Comparison'!$A:$A,"RESINV1USD",'bench Comparison'!$G:$G)+SUMIF('bench Comparison'!$A:$A,"RESSWAPORUSD",'bench Comparison'!$G:$G))/(36500*J217)))</f>
        <v/>
      </c>
      <c r="T217" s="210" t="str">
        <f>IF(G217&lt;&gt;"","",IF(F217="","",-36500*J217*F217/(SUMIF('bench Comparison'!$A:$A,"RESINV1USD",'bench Comparison'!$G:$G)+SUMIF('bench Comparison'!$A:$A,"RESSWAPORUSD",'bench Comparison'!$G:$G))))</f>
        <v/>
      </c>
      <c r="U217" s="125">
        <f>SUMIF('bench Comparison'!$E:$E,A217,'bench Comparison'!$N:$N)</f>
        <v>0</v>
      </c>
      <c r="V217" s="126">
        <f ca="1">VALUE(_xll.BDP($A217 &amp; " Corp",V$1))</f>
        <v>39769</v>
      </c>
      <c r="W217" s="127">
        <f ca="1">VALUE(_xll.BDP($A217 &amp; " Corp",W$1))</f>
        <v>39767</v>
      </c>
      <c r="X217" s="127">
        <f ca="1">VALUE(_xll.BDP($A217 &amp; " Corp",X$1))</f>
        <v>39948</v>
      </c>
      <c r="Y217" s="127">
        <f ca="1">VALUE(_xll.BDP($A217 &amp; " Corp",Y$1))</f>
        <v>43235</v>
      </c>
      <c r="Z217" s="127">
        <f ca="1">VALUE(_xll.BDP($A217 &amp; " Corp",Z$1))</f>
        <v>43419</v>
      </c>
      <c r="AA217" s="128">
        <f ca="1">_xll.BDP($A217 &amp; " Corp",AA$1)/100</f>
        <v>3.7499999999999999E-2</v>
      </c>
      <c r="AB217" s="129">
        <f ca="1">_xll.BDP($A217 &amp; " Corp",AB$1)</f>
        <v>57351000000</v>
      </c>
      <c r="AC217" s="130" t="str">
        <f ca="1">IF(LEFT(B217,1)="B",_xll.INSTANCE.TBILL(A217,V217,Z217,TODAY()),_xll.INSTANCE.TNOTE(A217,V217,W217,X217,Y217,Z217,AA217,TODAY()))</f>
        <v>US912828JR22#0028</v>
      </c>
    </row>
    <row r="218" spans="1:29" x14ac:dyDescent="0.2">
      <c r="A218" s="131" t="s">
        <v>539</v>
      </c>
      <c r="B218" s="115" t="str">
        <f ca="1">_xll.BDP($A218 &amp; " Govt",B$1)</f>
        <v>T 9 11/15/18</v>
      </c>
      <c r="C218" s="372"/>
      <c r="D218" s="116"/>
      <c r="E218" s="117"/>
      <c r="F218" s="118"/>
      <c r="G218" s="377"/>
      <c r="H218" s="120">
        <f ca="1">IF(E218="",_xll.BDP(A218 &amp; " Govt","YLD_YTM_ASK")/100,E218)</f>
        <v>9.0397080000000005E-3</v>
      </c>
      <c r="I218" s="121">
        <f ca="1">_xll.INSTRUMENT.PRIX(AC218,D218,H218,cTreasuries)</f>
        <v>149.99824888831986</v>
      </c>
      <c r="J218" s="122">
        <f ca="1">_xll.INSTRUMENT.DV01(A218,,,I218,cContinuous,I218)</f>
        <v>-7.9104062164042449E-2</v>
      </c>
      <c r="K218" s="123">
        <f ca="1">_xll.INSTRUMENT.CONVEXITE(A218,,,I218,cContinuous,I218)</f>
        <v>30.851307844504131</v>
      </c>
      <c r="L218" s="123">
        <f ca="1">_xll.INSTRUMENT.Z.SPREAD(A218,swapCurve,I218,cContinuous,D218)</f>
        <v>-24.101169225689031</v>
      </c>
      <c r="M218" s="123">
        <f ca="1">_xll.INSTRUMENT.Z.SPREAD(A218,ustCurve,I218,cContinuous,D218)</f>
        <v>-3.3268876477040563</v>
      </c>
      <c r="N218" s="123">
        <f ca="1">_xll.INSTRUMENT.Z.SPREAD(A218,oisCurve,I218,cContinuous,D218)</f>
        <v>10.252848586910227</v>
      </c>
      <c r="O218" s="124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1.6137715742594826E-2</v>
      </c>
      <c r="P218" s="124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1.783240950665111E-2</v>
      </c>
      <c r="Q218" s="379">
        <f ca="1">-(O218-curve!$S$3)/J218</f>
        <v>0.18228581555685527</v>
      </c>
      <c r="R218" s="381">
        <f t="shared" ca="1" si="4"/>
        <v>-390.00914745093718</v>
      </c>
      <c r="S218" s="199" t="str">
        <f>IF(F218&lt;&gt;"","",IF(G218="","",-G218*(SUMIF('bench Comparison'!$A:$A,"RESINV1USD",'bench Comparison'!$G:$G)+SUMIF('bench Comparison'!$A:$A,"RESSWAPORUSD",'bench Comparison'!$G:$G))/(36500*J218)))</f>
        <v/>
      </c>
      <c r="T218" s="210" t="str">
        <f>IF(G218&lt;&gt;"","",IF(F218="","",-36500*J218*F218/(SUMIF('bench Comparison'!$A:$A,"RESINV1USD",'bench Comparison'!$G:$G)+SUMIF('bench Comparison'!$A:$A,"RESSWAPORUSD",'bench Comparison'!$G:$G))))</f>
        <v/>
      </c>
      <c r="U218" s="125">
        <f>SUMIF('bench Comparison'!$E:$E,A218,'bench Comparison'!$N:$N)</f>
        <v>0</v>
      </c>
      <c r="V218" s="126">
        <f ca="1">VALUE(_xll.BDP($A218 &amp; " Corp",V$1))</f>
        <v>32469</v>
      </c>
      <c r="W218" s="127">
        <f ca="1">VALUE(_xll.BDP($A218 &amp; " Corp",W$1))</f>
        <v>32462</v>
      </c>
      <c r="X218" s="127">
        <f ca="1">VALUE(_xll.BDP($A218 &amp; " Corp",X$1))</f>
        <v>32643</v>
      </c>
      <c r="Y218" s="127">
        <f ca="1">VALUE(_xll.BDP($A218 &amp; " Corp",Y$1))</f>
        <v>43235</v>
      </c>
      <c r="Z218" s="127">
        <f ca="1">VALUE(_xll.BDP($A218 &amp; " Corp",Z$1))</f>
        <v>43419</v>
      </c>
      <c r="AA218" s="128">
        <f ca="1">_xll.BDP($A218 &amp; " Corp",AA$1)/100</f>
        <v>0.09</v>
      </c>
      <c r="AB218" s="129">
        <f ca="1">_xll.BDP($A218 &amp; " Corp",AB$1)</f>
        <v>7174000000</v>
      </c>
      <c r="AC218" s="130" t="str">
        <f ca="1">IF(LEFT(B218,1)="B",_xll.INSTANCE.TBILL(A218,V218,Z218,TODAY()),_xll.INSTANCE.TNOTE(A218,V218,W218,X218,Y218,Z218,AA218,TODAY()))</f>
        <v>US912810EB09#0028</v>
      </c>
    </row>
    <row r="219" spans="1:29" x14ac:dyDescent="0.2">
      <c r="A219" s="131" t="s">
        <v>540</v>
      </c>
      <c r="B219" s="115" t="str">
        <f ca="1">_xll.BDP($A219 &amp; " Govt",B$1)</f>
        <v>T 1 3/8 11/30/18</v>
      </c>
      <c r="C219" s="372"/>
      <c r="D219" s="116"/>
      <c r="E219" s="117"/>
      <c r="F219" s="118"/>
      <c r="G219" s="377"/>
      <c r="H219" s="120">
        <f ca="1">IF(E219="",_xll.BDP(A219 &amp; " Govt","YLD_YTM_ASK")/100,E219)</f>
        <v>9.892864999999999E-3</v>
      </c>
      <c r="I219" s="121">
        <f ca="1">_xll.INSTRUMENT.PRIX(AC219,D219,H219,cTreasuries)</f>
        <v>102.39070989034693</v>
      </c>
      <c r="J219" s="122">
        <f ca="1">_xll.INSTRUMENT.DV01(A219,,,I219,cContinuous,I219)</f>
        <v>-6.3111158179104065E-2</v>
      </c>
      <c r="K219" s="123">
        <f ca="1">_xll.INSTRUMENT.CONVEXITE(A219,,,I219,cContinuous,I219)</f>
        <v>38.908375822608733</v>
      </c>
      <c r="L219" s="123">
        <f ca="1">_xll.INSTRUMENT.Z.SPREAD(A219,swapCurve,I219,cContinuous,D219)</f>
        <v>-23.218473722336874</v>
      </c>
      <c r="M219" s="123">
        <f ca="1">_xll.INSTRUMENT.Z.SPREAD(A219,ustCurve,I219,cContinuous,D219)</f>
        <v>-1.9678171911138063</v>
      </c>
      <c r="N219" s="123">
        <f ca="1">_xll.INSTRUMENT.Z.SPREAD(A219,oisCurve,I219,cContinuous,D219)</f>
        <v>11.24679219525547</v>
      </c>
      <c r="O219" s="124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2.2972915287503306E-2</v>
      </c>
      <c r="P219" s="124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2.0907254381651117E-2</v>
      </c>
      <c r="Q219" s="379">
        <f ca="1">-(O219-curve!$S$3)/J219</f>
        <v>0.33678272818289878</v>
      </c>
      <c r="R219" s="381">
        <f t="shared" ca="1" si="4"/>
        <v>-616.50549514857721</v>
      </c>
      <c r="S219" s="199" t="str">
        <f>IF(F219&lt;&gt;"","",IF(G219="","",-G219*(SUMIF('bench Comparison'!$A:$A,"RESINV1USD",'bench Comparison'!$G:$G)+SUMIF('bench Comparison'!$A:$A,"RESSWAPORUSD",'bench Comparison'!$G:$G))/(36500*J219)))</f>
        <v/>
      </c>
      <c r="T219" s="210" t="str">
        <f>IF(G219&lt;&gt;"","",IF(F219="","",-36500*J219*F219/(SUMIF('bench Comparison'!$A:$A,"RESINV1USD",'bench Comparison'!$G:$G)+SUMIF('bench Comparison'!$A:$A,"RESSWAPORUSD",'bench Comparison'!$G:$G))))</f>
        <v/>
      </c>
      <c r="U219" s="125">
        <f>SUMIF('bench Comparison'!$E:$E,A219,'bench Comparison'!$N:$N)</f>
        <v>0</v>
      </c>
      <c r="V219" s="126">
        <f ca="1">VALUE(_xll.BDP($A219 &amp; " Corp",V$1))</f>
        <v>40877</v>
      </c>
      <c r="W219" s="127">
        <f ca="1">VALUE(_xll.BDP($A219 &amp; " Corp",W$1))</f>
        <v>40877</v>
      </c>
      <c r="X219" s="127">
        <f ca="1">VALUE(_xll.BDP($A219 &amp; " Corp",X$1))</f>
        <v>41060</v>
      </c>
      <c r="Y219" s="127">
        <f ca="1">VALUE(_xll.BDP($A219 &amp; " Corp",Y$1))</f>
        <v>43251</v>
      </c>
      <c r="Z219" s="127">
        <f ca="1">VALUE(_xll.BDP($A219 &amp; " Corp",Z$1))</f>
        <v>43434</v>
      </c>
      <c r="AA219" s="128">
        <f ca="1">_xll.BDP($A219 &amp; " Corp",AA$1)/100</f>
        <v>1.375E-2</v>
      </c>
      <c r="AB219" s="129">
        <f ca="1">_xll.BDP($A219 &amp; " Corp",AB$1)</f>
        <v>30314000000.000004</v>
      </c>
      <c r="AC219" s="130" t="str">
        <f ca="1">IF(LEFT(B219,1)="B",_xll.INSTANCE.TBILL(A219,V219,Z219,TODAY()),_xll.INSTANCE.TNOTE(A219,V219,W219,X219,Y219,Z219,AA219,TODAY()))</f>
        <v>US912828RT95#0027</v>
      </c>
    </row>
    <row r="220" spans="1:29" x14ac:dyDescent="0.2">
      <c r="A220" s="131" t="s">
        <v>541</v>
      </c>
      <c r="B220" s="115" t="str">
        <f ca="1">_xll.BDP($A220 &amp; " Govt",B$1)</f>
        <v>T 1 3/8 12/31/18</v>
      </c>
      <c r="C220" s="372"/>
      <c r="D220" s="116"/>
      <c r="E220" s="117"/>
      <c r="F220" s="118"/>
      <c r="G220" s="377"/>
      <c r="H220" s="120">
        <f ca="1">IF(E220="",_xll.BDP(A220 &amp; " Govt","YLD_YTM_ASK")/100,E220)</f>
        <v>1.0013542E-2</v>
      </c>
      <c r="I220" s="121">
        <f ca="1">_xll.INSTRUMENT.PRIX(AC220,D220,H220,cTreasuries)</f>
        <v>102.34108586351886</v>
      </c>
      <c r="J220" s="122">
        <f ca="1">_xll.INSTRUMENT.DV01(A220,,,I220,cContinuous,I220)</f>
        <v>-6.38783558095119E-2</v>
      </c>
      <c r="K220" s="123">
        <f ca="1">_xll.INSTRUMENT.CONVEXITE(A220,,,I220,cContinuous,I220)</f>
        <v>39.960413584814333</v>
      </c>
      <c r="L220" s="123">
        <f ca="1">_xll.INSTRUMENT.Z.SPREAD(A220,swapCurve,I220,cContinuous,D220)</f>
        <v>-23.742294776601138</v>
      </c>
      <c r="M220" s="123">
        <f ca="1">_xll.INSTRUMENT.Z.SPREAD(A220,ustCurve,I220,cContinuous,D220)</f>
        <v>-2.388110674059881</v>
      </c>
      <c r="N220" s="123">
        <f ca="1">_xll.INSTRUMENT.Z.SPREAD(A220,oisCurve,I220,cContinuous,D220)</f>
        <v>10.889252195784868</v>
      </c>
      <c r="O220" s="124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2.3291830505516111E-2</v>
      </c>
      <c r="P220" s="124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2.1182804369312566E-2</v>
      </c>
      <c r="Q220" s="379">
        <f ca="1">-(O220-curve!$S$3)/J220</f>
        <v>0.33773040922793257</v>
      </c>
      <c r="R220" s="381">
        <f t="shared" ca="1" si="4"/>
        <v>-625.57047811277528</v>
      </c>
      <c r="S220" s="199" t="str">
        <f>IF(F220&lt;&gt;"","",IF(G220="","",-G220*(SUMIF('bench Comparison'!$A:$A,"RESINV1USD",'bench Comparison'!$G:$G)+SUMIF('bench Comparison'!$A:$A,"RESSWAPORUSD",'bench Comparison'!$G:$G))/(36500*J220)))</f>
        <v/>
      </c>
      <c r="T220" s="210" t="str">
        <f>IF(G220&lt;&gt;"","",IF(F220="","",-36500*J220*F220/(SUMIF('bench Comparison'!$A:$A,"RESINV1USD",'bench Comparison'!$G:$G)+SUMIF('bench Comparison'!$A:$A,"RESSWAPORUSD",'bench Comparison'!$G:$G))))</f>
        <v/>
      </c>
      <c r="U220" s="125">
        <f>SUMIF('bench Comparison'!$E:$E,A220,'bench Comparison'!$N:$N)</f>
        <v>0</v>
      </c>
      <c r="V220" s="126">
        <f ca="1">VALUE(_xll.BDP($A220 &amp; " Corp",V$1))</f>
        <v>40911</v>
      </c>
      <c r="W220" s="127">
        <f ca="1">VALUE(_xll.BDP($A220 &amp; " Corp",W$1))</f>
        <v>40908</v>
      </c>
      <c r="X220" s="127">
        <f ca="1">VALUE(_xll.BDP($A220 &amp; " Corp",X$1))</f>
        <v>41090</v>
      </c>
      <c r="Y220" s="127">
        <f ca="1">VALUE(_xll.BDP($A220 &amp; " Corp",Y$1))</f>
        <v>43281</v>
      </c>
      <c r="Z220" s="127">
        <f ca="1">VALUE(_xll.BDP($A220 &amp; " Corp",Z$1))</f>
        <v>43465</v>
      </c>
      <c r="AA220" s="128">
        <f ca="1">_xll.BDP($A220 &amp; " Corp",AA$1)/100</f>
        <v>1.375E-2</v>
      </c>
      <c r="AB220" s="129">
        <f ca="1">_xll.BDP($A220 &amp; " Corp",AB$1)</f>
        <v>29939000000</v>
      </c>
      <c r="AC220" s="130" t="str">
        <f ca="1">IF(LEFT(B220,1)="B",_xll.INSTANCE.TBILL(A220,V220,Z220,TODAY()),_xll.INSTANCE.TNOTE(A220,V220,W220,X220,Y220,Z220,AA220,TODAY()))</f>
        <v>US912828RY80#0028</v>
      </c>
    </row>
    <row r="221" spans="1:29" x14ac:dyDescent="0.2">
      <c r="A221" s="131" t="s">
        <v>542</v>
      </c>
      <c r="B221" s="115" t="str">
        <f ca="1">_xll.BDP($A221 &amp; " Govt",B$1)</f>
        <v>T 1 1/4 01/31/19</v>
      </c>
      <c r="C221" s="372"/>
      <c r="D221" s="116"/>
      <c r="E221" s="117"/>
      <c r="F221" s="118"/>
      <c r="G221" s="377"/>
      <c r="H221" s="120">
        <f ca="1">IF(E221="",_xll.BDP(A221 &amp; " Govt","YLD_YTM_ASK")/100,E221)</f>
        <v>1.0161681000000001E-2</v>
      </c>
      <c r="I221" s="121">
        <f ca="1">_xll.INSTRUMENT.PRIX(AC221,D221,H221,cTreasuries)</f>
        <v>101.48169842106105</v>
      </c>
      <c r="J221" s="122">
        <f ca="1">_xll.INSTRUMENT.DV01(A221,,,I221,cContinuous,I221)</f>
        <v>-6.4357123522447351E-2</v>
      </c>
      <c r="K221" s="123">
        <f ca="1">_xll.INSTRUMENT.CONVEXITE(A221,,,I221,cContinuous,I221)</f>
        <v>40.96622166707423</v>
      </c>
      <c r="L221" s="123">
        <f ca="1">_xll.INSTRUMENT.Z.SPREAD(A221,swapCurve,I221,cContinuous,D221)</f>
        <v>-24.114873052044636</v>
      </c>
      <c r="M221" s="123">
        <f ca="1">_xll.INSTRUMENT.Z.SPREAD(A221,ustCurve,I221,cContinuous,D221)</f>
        <v>-2.6616859833820219</v>
      </c>
      <c r="N221" s="123">
        <f ca="1">_xll.INSTRUMENT.Z.SPREAD(A221,oisCurve,I221,cContinuous,D221)</f>
        <v>10.680513315945445</v>
      </c>
      <c r="O221" s="124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2.3541894235303288E-2</v>
      </c>
      <c r="P221" s="124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2.1417708837276075E-2</v>
      </c>
      <c r="Q221" s="379">
        <f ca="1">-(O221-curve!$S$3)/J221</f>
        <v>0.3391035177408005</v>
      </c>
      <c r="R221" s="381">
        <f t="shared" ca="1" si="4"/>
        <v>-636.54525598530631</v>
      </c>
      <c r="S221" s="199" t="str">
        <f>IF(F221&lt;&gt;"","",IF(G221="","",-G221*(SUMIF('bench Comparison'!$A:$A,"RESINV1USD",'bench Comparison'!$G:$G)+SUMIF('bench Comparison'!$A:$A,"RESSWAPORUSD",'bench Comparison'!$G:$G))/(36500*J221)))</f>
        <v/>
      </c>
      <c r="T221" s="210" t="str">
        <f>IF(G221&lt;&gt;"","",IF(F221="","",-36500*J221*F221/(SUMIF('bench Comparison'!$A:$A,"RESINV1USD",'bench Comparison'!$G:$G)+SUMIF('bench Comparison'!$A:$A,"RESSWAPORUSD",'bench Comparison'!$G:$G))))</f>
        <v/>
      </c>
      <c r="U221" s="125">
        <f>SUMIF('bench Comparison'!$E:$E,A221,'bench Comparison'!$N:$N)</f>
        <v>0</v>
      </c>
      <c r="V221" s="126">
        <f ca="1">VALUE(_xll.BDP($A221 &amp; " Corp",V$1))</f>
        <v>40939</v>
      </c>
      <c r="W221" s="127">
        <f ca="1">VALUE(_xll.BDP($A221 &amp; " Corp",W$1))</f>
        <v>40939</v>
      </c>
      <c r="X221" s="127">
        <f ca="1">VALUE(_xll.BDP($A221 &amp; " Corp",X$1))</f>
        <v>41121</v>
      </c>
      <c r="Y221" s="127">
        <f ca="1">VALUE(_xll.BDP($A221 &amp; " Corp",Y$1))</f>
        <v>43312</v>
      </c>
      <c r="Z221" s="127">
        <f ca="1">VALUE(_xll.BDP($A221 &amp; " Corp",Z$1))</f>
        <v>43496</v>
      </c>
      <c r="AA221" s="128">
        <f ca="1">_xll.BDP($A221 &amp; " Corp",AA$1)/100</f>
        <v>1.2500000000000001E-2</v>
      </c>
      <c r="AB221" s="129">
        <f ca="1">_xll.BDP($A221 &amp; " Corp",AB$1)</f>
        <v>29546000000</v>
      </c>
      <c r="AC221" s="130" t="str">
        <f ca="1">IF(LEFT(B221,1)="B",_xll.INSTANCE.TBILL(A221,V221,Z221,TODAY()),_xll.INSTANCE.TNOTE(A221,V221,W221,X221,Y221,Z221,AA221,TODAY()))</f>
        <v>US912828SD35#0028</v>
      </c>
    </row>
    <row r="222" spans="1:29" x14ac:dyDescent="0.2">
      <c r="A222" s="131" t="s">
        <v>544</v>
      </c>
      <c r="B222" s="115" t="str">
        <f ca="1">_xll.BDP($A222 &amp; " Govt",B$1)</f>
        <v>T 8 7/8 02/15/19</v>
      </c>
      <c r="C222" s="372"/>
      <c r="D222" s="116"/>
      <c r="E222" s="117"/>
      <c r="F222" s="118"/>
      <c r="G222" s="377"/>
      <c r="H222" s="120">
        <f ca="1">IF(E222="",_xll.BDP(A222 &amp; " Govt","YLD_YTM_ASK")/100,E222)</f>
        <v>9.5590060000000001E-3</v>
      </c>
      <c r="I222" s="121">
        <f ca="1">_xll.INSTRUMENT.PRIX(AC222,D222,H222,cTreasuries)</f>
        <v>150.68468601972822</v>
      </c>
      <c r="J222" s="122">
        <f ca="1">_xll.INSTRUMENT.DV01(A222,,,I222,cContinuous,I222)</f>
        <v>-8.2240755057268397E-2</v>
      </c>
      <c r="K222" s="123">
        <f ca="1">_xll.INSTRUMENT.CONVEXITE(A222,,,I222,cContinuous,I222)</f>
        <v>32.661440677383467</v>
      </c>
      <c r="L222" s="123">
        <f ca="1">_xll.INSTRUMENT.Z.SPREAD(A222,swapCurve,I222,cContinuous,D222)</f>
        <v>-23.445292344669834</v>
      </c>
      <c r="M222" s="123">
        <f ca="1">_xll.INSTRUMENT.Z.SPREAD(A222,ustCurve,I222,cContinuous,D222)</f>
        <v>-2.4339900748753167</v>
      </c>
      <c r="N222" s="123">
        <f ca="1">_xll.INSTRUMENT.Z.SPREAD(A222,oisCurve,I222,cContinuous,D222)</f>
        <v>11.288065972338421</v>
      </c>
      <c r="O222" s="124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1.6315332286054224E-2</v>
      </c>
      <c r="P222" s="124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1.8181008786251996E-2</v>
      </c>
      <c r="Q222" s="379">
        <f ca="1">-(O222-curve!$S$3)/J222</f>
        <v>0.17749308136491826</v>
      </c>
      <c r="R222" s="381">
        <f t="shared" ca="1" si="4"/>
        <v>-397.14422192062386</v>
      </c>
      <c r="S222" s="199" t="str">
        <f>IF(F222&lt;&gt;"","",IF(G222="","",-G222*(SUMIF('bench Comparison'!$A:$A,"RESINV1USD",'bench Comparison'!$G:$G)+SUMIF('bench Comparison'!$A:$A,"RESSWAPORUSD",'bench Comparison'!$G:$G))/(36500*J222)))</f>
        <v/>
      </c>
      <c r="T222" s="210" t="str">
        <f>IF(G222&lt;&gt;"","",IF(F222="","",-36500*J222*F222/(SUMIF('bench Comparison'!$A:$A,"RESINV1USD",'bench Comparison'!$G:$G)+SUMIF('bench Comparison'!$A:$A,"RESSWAPORUSD",'bench Comparison'!$G:$G))))</f>
        <v/>
      </c>
      <c r="U222" s="125">
        <f>SUMIF('bench Comparison'!$E:$E,A222,'bench Comparison'!$N:$N)</f>
        <v>0</v>
      </c>
      <c r="V222" s="126">
        <f ca="1">VALUE(_xll.BDP($A222 &amp; " Corp",V$1))</f>
        <v>32554</v>
      </c>
      <c r="W222" s="127">
        <f ca="1">VALUE(_xll.BDP($A222 &amp; " Corp",W$1))</f>
        <v>32554</v>
      </c>
      <c r="X222" s="127">
        <f ca="1">VALUE(_xll.BDP($A222 &amp; " Corp",X$1))</f>
        <v>32735</v>
      </c>
      <c r="Y222" s="127">
        <f ca="1">VALUE(_xll.BDP($A222 &amp; " Corp",Y$1))</f>
        <v>43327</v>
      </c>
      <c r="Z222" s="127">
        <f ca="1">VALUE(_xll.BDP($A222 &amp; " Corp",Z$1))</f>
        <v>43511</v>
      </c>
      <c r="AA222" s="128">
        <f ca="1">_xll.BDP($A222 &amp; " Corp",AA$1)/100</f>
        <v>8.8749999999999996E-2</v>
      </c>
      <c r="AB222" s="129">
        <f ca="1">_xll.BDP($A222 &amp; " Corp",AB$1)</f>
        <v>13090000000</v>
      </c>
      <c r="AC222" s="130" t="str">
        <f ca="1">IF(LEFT(B222,1)="B",_xll.INSTANCE.TBILL(A222,V222,Z222,TODAY()),_xll.INSTANCE.TNOTE(A222,V222,W222,X222,Y222,Z222,AA222,TODAY()))</f>
        <v>US912810EC81#0028</v>
      </c>
    </row>
    <row r="223" spans="1:29" x14ac:dyDescent="0.2">
      <c r="A223" s="131" t="s">
        <v>543</v>
      </c>
      <c r="B223" s="115" t="str">
        <f ca="1">_xll.BDP($A223 &amp; " Govt",B$1)</f>
        <v>T 2 3/4 02/15/19</v>
      </c>
      <c r="C223" s="372"/>
      <c r="D223" s="116"/>
      <c r="E223" s="117"/>
      <c r="F223" s="118"/>
      <c r="G223" s="377"/>
      <c r="H223" s="120">
        <f ca="1">IF(E223="",_xll.BDP(A223 &amp; " Govt","YLD_YTM_ASK")/100,E223)</f>
        <v>1.0063434E-2</v>
      </c>
      <c r="I223" s="121">
        <f ca="1">_xll.INSTRUMENT.PRIX(AC223,D223,H223,cTreasuries)</f>
        <v>111.13795607081701</v>
      </c>
      <c r="J223" s="122">
        <f ca="1">_xll.INSTRUMENT.DV01(A223,,,I223,cContinuous,I223)</f>
        <v>-6.8174428683254212E-2</v>
      </c>
      <c r="K223" s="123">
        <f ca="1">_xll.INSTRUMENT.CONVEXITE(A223,,,I223,cContinuous,I223)</f>
        <v>39.105205055627998</v>
      </c>
      <c r="L223" s="123">
        <f ca="1">_xll.INSTRUMENT.Z.SPREAD(A223,swapCurve,I223,cContinuous,D223)</f>
        <v>-24.136655352209139</v>
      </c>
      <c r="M223" s="123">
        <f ca="1">_xll.INSTRUMENT.Z.SPREAD(A223,ustCurve,I223,cContinuous,D223)</f>
        <v>-2.7600416350815338</v>
      </c>
      <c r="N223" s="123">
        <f ca="1">_xll.INSTRUMENT.Z.SPREAD(A223,oisCurve,I223,cContinuous,D223)</f>
        <v>10.701779782233006</v>
      </c>
      <c r="O223" s="124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2.1684858897534322E-2</v>
      </c>
      <c r="P223" s="124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2.0605017895408605E-2</v>
      </c>
      <c r="Q223" s="379">
        <f ca="1">-(O223-curve!$S$3)/J223</f>
        <v>0.29287655248479694</v>
      </c>
      <c r="R223" s="381">
        <f t="shared" ca="1" si="4"/>
        <v>-573.60517441686272</v>
      </c>
      <c r="S223" s="199" t="str">
        <f>IF(F223&lt;&gt;"","",IF(G223="","",-G223*(SUMIF('bench Comparison'!$A:$A,"RESINV1USD",'bench Comparison'!$G:$G)+SUMIF('bench Comparison'!$A:$A,"RESSWAPORUSD",'bench Comparison'!$G:$G))/(36500*J223)))</f>
        <v/>
      </c>
      <c r="T223" s="210" t="str">
        <f>IF(G223&lt;&gt;"","",IF(F223="","",-36500*J223*F223/(SUMIF('bench Comparison'!$A:$A,"RESINV1USD",'bench Comparison'!$G:$G)+SUMIF('bench Comparison'!$A:$A,"RESSWAPORUSD",'bench Comparison'!$G:$G))))</f>
        <v/>
      </c>
      <c r="U223" s="125">
        <f>SUMIF('bench Comparison'!$E:$E,A223,'bench Comparison'!$N:$N)</f>
        <v>0</v>
      </c>
      <c r="V223" s="126">
        <f ca="1">VALUE(_xll.BDP($A223 &amp; " Corp",V$1))</f>
        <v>39861</v>
      </c>
      <c r="W223" s="127">
        <f ca="1">VALUE(_xll.BDP($A223 &amp; " Corp",W$1))</f>
        <v>39859</v>
      </c>
      <c r="X223" s="127">
        <f ca="1">VALUE(_xll.BDP($A223 &amp; " Corp",X$1))</f>
        <v>40040</v>
      </c>
      <c r="Y223" s="127">
        <f ca="1">VALUE(_xll.BDP($A223 &amp; " Corp",Y$1))</f>
        <v>43327</v>
      </c>
      <c r="Z223" s="127">
        <f ca="1">VALUE(_xll.BDP($A223 &amp; " Corp",Z$1))</f>
        <v>43511</v>
      </c>
      <c r="AA223" s="128">
        <f ca="1">_xll.BDP($A223 &amp; " Corp",AA$1)/100</f>
        <v>2.75E-2</v>
      </c>
      <c r="AB223" s="129">
        <f ca="1">_xll.BDP($A223 &amp; " Corp",AB$1)</f>
        <v>58677000000</v>
      </c>
      <c r="AC223" s="130" t="str">
        <f ca="1">IF(LEFT(B223,1)="B",_xll.INSTANCE.TBILL(A223,V223,Z223,TODAY()),_xll.INSTANCE.TNOTE(A223,V223,W223,X223,Y223,Z223,AA223,TODAY()))</f>
        <v>US912828KD17#0028</v>
      </c>
    </row>
    <row r="224" spans="1:29" x14ac:dyDescent="0.2">
      <c r="A224" s="131" t="s">
        <v>545</v>
      </c>
      <c r="B224" s="115" t="str">
        <f ca="1">_xll.BDP($A224 &amp; " Govt",B$1)</f>
        <v>T 1 3/8 02/28/19</v>
      </c>
      <c r="C224" s="372"/>
      <c r="D224" s="116"/>
      <c r="E224" s="117"/>
      <c r="F224" s="118"/>
      <c r="G224" s="377"/>
      <c r="H224" s="120">
        <f ca="1">IF(E224="",_xll.BDP(A224 &amp; " Govt","YLD_YTM_ASK")/100,E224)</f>
        <v>1.0319413E-2</v>
      </c>
      <c r="I224" s="121">
        <f ca="1">_xll.INSTRUMENT.PRIX(AC224,D224,H224,cTreasuries)</f>
        <v>102.20690129933494</v>
      </c>
      <c r="J224" s="122">
        <f ca="1">_xll.INSTRUMENT.DV01(A224,,,I224,cContinuous,I224)</f>
        <v>-6.5310744557671024E-2</v>
      </c>
      <c r="K224" s="123">
        <f ca="1">_xll.INSTRUMENT.CONVEXITE(A224,,,I224,cContinuous,I224)</f>
        <v>41.72266648477364</v>
      </c>
      <c r="L224" s="123">
        <f ca="1">_xll.INSTRUMENT.Z.SPREAD(A224,swapCurve,I224,cContinuous,D224)</f>
        <v>-23.910134868193847</v>
      </c>
      <c r="M224" s="123">
        <f ca="1">_xll.INSTRUMENT.Z.SPREAD(A224,ustCurve,I224,cContinuous,D224)</f>
        <v>-2.4008735887961903</v>
      </c>
      <c r="N224" s="123">
        <f ca="1">_xll.INSTRUMENT.Z.SPREAD(A224,oisCurve,I224,cContinuous,D224)</f>
        <v>11.021764396261094</v>
      </c>
      <c r="O224" s="124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2.3767882027456978E-2</v>
      </c>
      <c r="P224" s="124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2.1545892332395532E-2</v>
      </c>
      <c r="Q224" s="379">
        <f ca="1">-(O224-curve!$S$3)/J224</f>
        <v>0.33761236255428623</v>
      </c>
      <c r="R224" s="381">
        <f t="shared" ca="1" si="4"/>
        <v>-638.83311647031496</v>
      </c>
      <c r="S224" s="199" t="str">
        <f>IF(F224&lt;&gt;"","",IF(G224="","",-G224*(SUMIF('bench Comparison'!$A:$A,"RESINV1USD",'bench Comparison'!$G:$G)+SUMIF('bench Comparison'!$A:$A,"RESSWAPORUSD",'bench Comparison'!$G:$G))/(36500*J224)))</f>
        <v/>
      </c>
      <c r="T224" s="210" t="str">
        <f>IF(G224&lt;&gt;"","",IF(F224="","",-36500*J224*F224/(SUMIF('bench Comparison'!$A:$A,"RESINV1USD",'bench Comparison'!$G:$G)+SUMIF('bench Comparison'!$A:$A,"RESSWAPORUSD",'bench Comparison'!$G:$G))))</f>
        <v/>
      </c>
      <c r="U224" s="125">
        <f>SUMIF('bench Comparison'!$E:$E,A224,'bench Comparison'!$N:$N)</f>
        <v>0</v>
      </c>
      <c r="V224" s="126">
        <f ca="1">VALUE(_xll.BDP($A224 &amp; " Corp",V$1))</f>
        <v>40968</v>
      </c>
      <c r="W224" s="127">
        <f ca="1">VALUE(_xll.BDP($A224 &amp; " Corp",W$1))</f>
        <v>40968</v>
      </c>
      <c r="X224" s="127">
        <f ca="1">VALUE(_xll.BDP($A224 &amp; " Corp",X$1))</f>
        <v>41152</v>
      </c>
      <c r="Y224" s="127">
        <f ca="1">VALUE(_xll.BDP($A224 &amp; " Corp",Y$1))</f>
        <v>43343</v>
      </c>
      <c r="Z224" s="127">
        <f ca="1">VALUE(_xll.BDP($A224 &amp; " Corp",Z$1))</f>
        <v>43524</v>
      </c>
      <c r="AA224" s="128">
        <f ca="1">_xll.BDP($A224 &amp; " Corp",AA$1)/100</f>
        <v>1.375E-2</v>
      </c>
      <c r="AB224" s="129">
        <f ca="1">_xll.BDP($A224 &amp; " Corp",AB$1)</f>
        <v>29412000000</v>
      </c>
      <c r="AC224" s="130" t="str">
        <f ca="1">IF(LEFT(B224,1)="B",_xll.INSTANCE.TBILL(A224,V224,Z224,TODAY()),_xll.INSTANCE.TNOTE(A224,V224,W224,X224,Y224,Z224,AA224,TODAY()))</f>
        <v>US912828SH49#0028</v>
      </c>
    </row>
    <row r="225" spans="1:29" x14ac:dyDescent="0.2">
      <c r="A225" s="131" t="s">
        <v>546</v>
      </c>
      <c r="B225" s="115" t="str">
        <f ca="1">_xll.BDP($A225 &amp; " Govt",B$1)</f>
        <v>T 1 1/2 03/31/19</v>
      </c>
      <c r="C225" s="372"/>
      <c r="D225" s="116"/>
      <c r="E225" s="117"/>
      <c r="F225" s="118"/>
      <c r="G225" s="377"/>
      <c r="H225" s="120">
        <f ca="1">IF(E225="",_xll.BDP(A225 &amp; " Govt","YLD_YTM_ASK")/100,E225)</f>
        <v>1.0524999E-2</v>
      </c>
      <c r="I225" s="121">
        <f ca="1">_xll.INSTRUMENT.PRIX(AC225,D225,H225,cTreasuries)</f>
        <v>102.90601517687897</v>
      </c>
      <c r="J225" s="122">
        <f ca="1">_xll.INSTRUMENT.DV01(A225,,,I225,cContinuous,I225)</f>
        <v>-6.6350756984384918E-2</v>
      </c>
      <c r="K225" s="123">
        <f ca="1">_xll.INSTRUMENT.CONVEXITE(A225,,,I225,cContinuous,I225)</f>
        <v>42.624078255436004</v>
      </c>
      <c r="L225" s="123">
        <f ca="1">_xll.INSTRUMENT.Z.SPREAD(A225,swapCurve,I225,cContinuous,D225)</f>
        <v>-23.461254527924208</v>
      </c>
      <c r="M225" s="123">
        <f ca="1">_xll.INSTRUMENT.Z.SPREAD(A225,ustCurve,I225,cContinuous,D225)</f>
        <v>-1.9103595253365551</v>
      </c>
      <c r="N225" s="123">
        <f ca="1">_xll.INSTRUMENT.Z.SPREAD(A225,oisCurve,I225,cContinuous,D225)</f>
        <v>11.613534288867477</v>
      </c>
      <c r="O225" s="124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2.4669746192446221E-2</v>
      </c>
      <c r="P225" s="124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2.2058776301223867E-2</v>
      </c>
      <c r="Q225" s="379">
        <f ca="1">-(O225-curve!$S$3)/J225</f>
        <v>0.34591284227074465</v>
      </c>
      <c r="R225" s="381">
        <f t="shared" ca="1" si="4"/>
        <v>-642.40530466694167</v>
      </c>
      <c r="S225" s="199" t="str">
        <f>IF(F225&lt;&gt;"","",IF(G225="","",-G225*(SUMIF('bench Comparison'!$A:$A,"RESINV1USD",'bench Comparison'!$G:$G)+SUMIF('bench Comparison'!$A:$A,"RESSWAPORUSD",'bench Comparison'!$G:$G))/(36500*J225)))</f>
        <v/>
      </c>
      <c r="T225" s="210" t="str">
        <f>IF(G225&lt;&gt;"","",IF(F225="","",-36500*J225*F225/(SUMIF('bench Comparison'!$A:$A,"RESINV1USD",'bench Comparison'!$G:$G)+SUMIF('bench Comparison'!$A:$A,"RESSWAPORUSD",'bench Comparison'!$G:$G))))</f>
        <v/>
      </c>
      <c r="U225" s="125">
        <f>SUMIF('bench Comparison'!$E:$E,A225,'bench Comparison'!$N:$N)</f>
        <v>0</v>
      </c>
      <c r="V225" s="126">
        <f ca="1">VALUE(_xll.BDP($A225 &amp; " Corp",V$1))</f>
        <v>41001</v>
      </c>
      <c r="W225" s="127">
        <f ca="1">VALUE(_xll.BDP($A225 &amp; " Corp",W$1))</f>
        <v>40999</v>
      </c>
      <c r="X225" s="127">
        <f ca="1">VALUE(_xll.BDP($A225 &amp; " Corp",X$1))</f>
        <v>41182</v>
      </c>
      <c r="Y225" s="127">
        <f ca="1">VALUE(_xll.BDP($A225 &amp; " Corp",Y$1))</f>
        <v>43373</v>
      </c>
      <c r="Z225" s="127">
        <f ca="1">VALUE(_xll.BDP($A225 &amp; " Corp",Z$1))</f>
        <v>43555</v>
      </c>
      <c r="AA225" s="128">
        <f ca="1">_xll.BDP($A225 &amp; " Corp",AA$1)/100</f>
        <v>1.4999999999999999E-2</v>
      </c>
      <c r="AB225" s="129">
        <f ca="1">_xll.BDP($A225 &amp; " Corp",AB$1)</f>
        <v>29688000000.000004</v>
      </c>
      <c r="AC225" s="130" t="str">
        <f ca="1">IF(LEFT(B225,1)="B",_xll.INSTANCE.TBILL(A225,V225,Z225,TODAY()),_xll.INSTANCE.TNOTE(A225,V225,W225,X225,Y225,Z225,AA225,TODAY()))</f>
        <v>US912828SN17#0028</v>
      </c>
    </row>
    <row r="226" spans="1:29" x14ac:dyDescent="0.2">
      <c r="A226" s="131" t="s">
        <v>749</v>
      </c>
      <c r="B226" s="115" t="str">
        <f ca="1">_xll.BDP($A226 &amp; " Govt",B$1)</f>
        <v>T 1 1/4 04/30/19</v>
      </c>
      <c r="C226" s="372"/>
      <c r="D226" s="116"/>
      <c r="E226" s="117"/>
      <c r="F226" s="118"/>
      <c r="G226" s="377"/>
      <c r="H226" s="120">
        <f ca="1">IF(E226="",_xll.BDP(A226 &amp; " Govt","YLD_YTM_ASK")/100,E226)</f>
        <v>1.0667945999999999E-2</v>
      </c>
      <c r="I226" s="121">
        <f ca="1">_xll.INSTRUMENT.PRIX(AC226,D226,H226,cTreasuries)</f>
        <v>101.20552178455451</v>
      </c>
      <c r="J226" s="122">
        <f ca="1">_xll.INSTRUMENT.DV01(A226,,,I226,cContinuous,I226)</f>
        <v>-6.6457212477608163E-2</v>
      </c>
      <c r="K226" s="123">
        <f ca="1">_xll.INSTRUMENT.CONVEXITE(A226,,,I226,cContinuous,I226)</f>
        <v>44.100026661069229</v>
      </c>
      <c r="L226" s="123">
        <f ca="1">_xll.INSTRUMENT.Z.SPREAD(A226,swapCurve,I226,cContinuous,D226)</f>
        <v>-23.846170838605051</v>
      </c>
      <c r="M226" s="123">
        <f ca="1">_xll.INSTRUMENT.Z.SPREAD(A226,ustCurve,I226,cContinuous,D226)</f>
        <v>-2.2601520679682943</v>
      </c>
      <c r="N226" s="123">
        <f ca="1">_xll.INSTRUMENT.Z.SPREAD(A226,oisCurve,I226,cContinuous,D226)</f>
        <v>11.34796222288219</v>
      </c>
      <c r="O226" s="124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2.4433747229065349E-2</v>
      </c>
      <c r="P226" s="124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2.2152511312646568E-2</v>
      </c>
      <c r="Q226" s="379">
        <f ca="1">-(O226-curve!$S$3)/J226</f>
        <v>0.34180759506813313</v>
      </c>
      <c r="R226" s="381">
        <f t="shared" ca="1" si="4"/>
        <v>-663.58526060550798</v>
      </c>
      <c r="S226" s="199" t="str">
        <f>IF(F226&lt;&gt;"","",IF(G226="","",-G226*(SUMIF('bench Comparison'!$A:$A,"RESINV1USD",'bench Comparison'!$G:$G)+SUMIF('bench Comparison'!$A:$A,"RESSWAPORUSD",'bench Comparison'!$G:$G))/(36500*J226)))</f>
        <v/>
      </c>
      <c r="T226" s="210" t="str">
        <f>IF(G226&lt;&gt;"","",IF(F226="","",-36500*J226*F226/(SUMIF('bench Comparison'!$A:$A,"RESINV1USD",'bench Comparison'!$G:$G)+SUMIF('bench Comparison'!$A:$A,"RESSWAPORUSD",'bench Comparison'!$G:$G))))</f>
        <v/>
      </c>
      <c r="U226" s="125">
        <f>SUMIF('bench Comparison'!$E:$E,A226,'bench Comparison'!$N:$N)</f>
        <v>0</v>
      </c>
      <c r="V226" s="126">
        <f ca="1">VALUE(_xll.BDP($A226 &amp; " Corp",V$1))</f>
        <v>41029</v>
      </c>
      <c r="W226" s="127">
        <f ca="1">VALUE(_xll.BDP($A226 &amp; " Corp",W$1))</f>
        <v>41029</v>
      </c>
      <c r="X226" s="127">
        <f ca="1">VALUE(_xll.BDP($A226 &amp; " Corp",X$1))</f>
        <v>41213</v>
      </c>
      <c r="Y226" s="127">
        <f ca="1">VALUE(_xll.BDP($A226 &amp; " Corp",Y$1))</f>
        <v>43404</v>
      </c>
      <c r="Z226" s="127">
        <f ca="1">VALUE(_xll.BDP($A226 &amp; " Corp",Z$1))</f>
        <v>43585</v>
      </c>
      <c r="AA226" s="128">
        <f ca="1">_xll.BDP($A226 &amp; " Corp",AA$1)/100</f>
        <v>1.2500000000000001E-2</v>
      </c>
      <c r="AB226" s="129">
        <f ca="1">_xll.BDP($A226 &amp; " Corp",AB$1)</f>
        <v>29779000000</v>
      </c>
      <c r="AC226" s="130" t="str">
        <f ca="1">IF(LEFT(B226,1)="B",_xll.INSTANCE.TBILL(A226,V226,Z226,TODAY()),_xll.INSTANCE.TNOTE(A226,V226,W226,X226,Y226,Z226,AA226,TODAY()))</f>
        <v>US912828ST86#0028</v>
      </c>
    </row>
    <row r="227" spans="1:29" x14ac:dyDescent="0.2">
      <c r="A227" s="131" t="s">
        <v>547</v>
      </c>
      <c r="B227" s="115" t="str">
        <f ca="1">_xll.BDP($A227 &amp; " Govt",B$1)</f>
        <v>T 3 1/8 05/15/19</v>
      </c>
      <c r="C227" s="372"/>
      <c r="D227" s="116"/>
      <c r="E227" s="117"/>
      <c r="F227" s="118"/>
      <c r="G227" s="377"/>
      <c r="H227" s="120">
        <f ca="1">IF(E227="",_xll.BDP(A227 &amp; " Govt","YLD_YTM_ASK")/100,E227)</f>
        <v>1.0343654000000001E-2</v>
      </c>
      <c r="I227" s="121">
        <f ca="1">_xll.INSTRUMENT.PRIX(AC227,D227,H227,cTreasuries)</f>
        <v>113.83015184925635</v>
      </c>
      <c r="J227" s="122">
        <f ca="1">_xll.INSTRUMENT.DV01(A227,,,I227,cContinuous,I227)</f>
        <v>-7.1516075981259961E-2</v>
      </c>
      <c r="K227" s="123">
        <f ca="1">_xll.INSTRUMENT.CONVEXITE(A227,,,I227,cContinuous,I227)</f>
        <v>41.567931222375627</v>
      </c>
      <c r="L227" s="123">
        <f ca="1">_xll.INSTRUMENT.Z.SPREAD(A227,swapCurve,I227,cContinuous,D227)</f>
        <v>-25.476111784412662</v>
      </c>
      <c r="M227" s="123">
        <f ca="1">_xll.INSTRUMENT.Z.SPREAD(A227,ustCurve,I227,cContinuous,D227)</f>
        <v>-4.0310994023201969</v>
      </c>
      <c r="N227" s="123">
        <f ca="1">_xll.INSTRUMENT.Z.SPREAD(A227,oisCurve,I227,cContinuous,D227)</f>
        <v>9.7110792998407653</v>
      </c>
      <c r="O227" s="124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2.2045383769413777E-2</v>
      </c>
      <c r="P227" s="124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2.0998926385654426E-2</v>
      </c>
      <c r="Q227" s="379">
        <f ca="1">-(O227-curve!$S$3)/J227</f>
        <v>0.28423282784108761</v>
      </c>
      <c r="R227" s="381">
        <f t="shared" ca="1" si="4"/>
        <v>-581.23898231312455</v>
      </c>
      <c r="S227" s="199" t="str">
        <f>IF(F227&lt;&gt;"","",IF(G227="","",-G227*(SUMIF('bench Comparison'!$A:$A,"RESINV1USD",'bench Comparison'!$G:$G)+SUMIF('bench Comparison'!$A:$A,"RESSWAPORUSD",'bench Comparison'!$G:$G))/(36500*J227)))</f>
        <v/>
      </c>
      <c r="T227" s="210" t="str">
        <f>IF(G227&lt;&gt;"","",IF(F227="","",-36500*J227*F227/(SUMIF('bench Comparison'!$A:$A,"RESINV1USD",'bench Comparison'!$G:$G)+SUMIF('bench Comparison'!$A:$A,"RESSWAPORUSD",'bench Comparison'!$G:$G))))</f>
        <v/>
      </c>
      <c r="U227" s="125">
        <f>SUMIF('bench Comparison'!$E:$E,A227,'bench Comparison'!$N:$N)</f>
        <v>0</v>
      </c>
      <c r="V227" s="126">
        <f ca="1">VALUE(_xll.BDP($A227 &amp; " Corp",V$1))</f>
        <v>39948</v>
      </c>
      <c r="W227" s="127">
        <f ca="1">VALUE(_xll.BDP($A227 &amp; " Corp",W$1))</f>
        <v>39948</v>
      </c>
      <c r="X227" s="127">
        <f ca="1">VALUE(_xll.BDP($A227 &amp; " Corp",X$1))</f>
        <v>40132</v>
      </c>
      <c r="Y227" s="127">
        <f ca="1">VALUE(_xll.BDP($A227 &amp; " Corp",Y$1))</f>
        <v>43419</v>
      </c>
      <c r="Z227" s="127">
        <f ca="1">VALUE(_xll.BDP($A227 &amp; " Corp",Z$1))</f>
        <v>43600</v>
      </c>
      <c r="AA227" s="128">
        <f ca="1">_xll.BDP($A227 &amp; " Corp",AA$1)/100</f>
        <v>3.125E-2</v>
      </c>
      <c r="AB227" s="129">
        <f ca="1">_xll.BDP($A227 &amp; " Corp",AB$1)</f>
        <v>64411000000.000008</v>
      </c>
      <c r="AC227" s="130" t="str">
        <f ca="1">IF(LEFT(B227,1)="B",_xll.INSTANCE.TBILL(A227,V227,Z227,TODAY()),_xll.INSTANCE.TNOTE(A227,V227,W227,X227,Y227,Z227,AA227,TODAY()))</f>
        <v>US912828KQ20#0028</v>
      </c>
    </row>
    <row r="228" spans="1:29" x14ac:dyDescent="0.2">
      <c r="A228" s="131" t="s">
        <v>915</v>
      </c>
      <c r="B228" s="115" t="str">
        <f ca="1">_xll.BDP($A228 &amp; " Govt",B$1)</f>
        <v>T 1 1/8 05/31/19</v>
      </c>
      <c r="C228" s="372"/>
      <c r="D228" s="116"/>
      <c r="E228" s="117"/>
      <c r="F228" s="118"/>
      <c r="G228" s="377"/>
      <c r="H228" s="120">
        <f ca="1">IF(E228="",_xll.BDP(A228 &amp; " Govt","YLD_YTM_ASK")/100,E228)</f>
        <v>1.0849774999999999E-2</v>
      </c>
      <c r="I228" s="121">
        <f ca="1">_xll.INSTRUMENT.PRIX(AC228,D228,H228,cTreasuries)</f>
        <v>100.26455926568276</v>
      </c>
      <c r="J228" s="122">
        <f ca="1">_xll.INSTRUMENT.DV01(A228,,,I228,cContinuous,I228)</f>
        <v>-6.6869562841448502E-2</v>
      </c>
      <c r="K228" s="123">
        <f ca="1">_xll.INSTRUMENT.CONVEXITE(A228,,,I228,cContinuous,I228)</f>
        <v>45.454002189074011</v>
      </c>
      <c r="L228" s="123">
        <f ca="1">_xll.INSTRUMENT.Z.SPREAD(A228,swapCurve,I228,cContinuous,D228)</f>
        <v>-23.807002269005626</v>
      </c>
      <c r="M228" s="123">
        <f ca="1">_xll.INSTRUMENT.Z.SPREAD(A228,ustCurve,I228,cContinuous,D228)</f>
        <v>-2.2313592120890893</v>
      </c>
      <c r="N228" s="123">
        <f ca="1">_xll.INSTRUMENT.Z.SPREAD(A228,oisCurve,I228,cContinuous,D228)</f>
        <v>11.485260849194345</v>
      </c>
      <c r="O228" s="124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2.4838033524618223E-2</v>
      </c>
      <c r="P228" s="124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2.2447801673420441E-2</v>
      </c>
      <c r="Q228" s="379">
        <f ca="1">-(O228-curve!$S$3)/J228</f>
        <v>0.34574573670048592</v>
      </c>
      <c r="R228" s="381">
        <f t="shared" ca="1" si="4"/>
        <v>-679.74127925507764</v>
      </c>
      <c r="S228" s="199" t="str">
        <f>IF(F228&lt;&gt;"","",IF(G228="","",-G228*(SUMIF('bench Comparison'!$A:$A,"RESINV1USD",'bench Comparison'!$G:$G)+SUMIF('bench Comparison'!$A:$A,"RESSWAPORUSD",'bench Comparison'!$G:$G))/(36500*J228)))</f>
        <v/>
      </c>
      <c r="T228" s="210" t="str">
        <f>IF(G228&lt;&gt;"","",IF(F228="","",-36500*J228*F228/(SUMIF('bench Comparison'!$A:$A,"RESINV1USD",'bench Comparison'!$G:$G)+SUMIF('bench Comparison'!$A:$A,"RESSWAPORUSD",'bench Comparison'!$G:$G))))</f>
        <v/>
      </c>
      <c r="U228" s="125">
        <f>SUMIF('bench Comparison'!$E:$E,A228,'bench Comparison'!$N:$N)</f>
        <v>0</v>
      </c>
      <c r="V228" s="126">
        <f ca="1">VALUE(_xll.BDP($A228 &amp; " Corp",V$1))</f>
        <v>41060</v>
      </c>
      <c r="W228" s="127">
        <f ca="1">VALUE(_xll.BDP($A228 &amp; " Corp",W$1))</f>
        <v>41060</v>
      </c>
      <c r="X228" s="127">
        <f ca="1">VALUE(_xll.BDP($A228 &amp; " Corp",X$1))</f>
        <v>41243</v>
      </c>
      <c r="Y228" s="127">
        <f ca="1">VALUE(_xll.BDP($A228 &amp; " Corp",Y$1))</f>
        <v>43434</v>
      </c>
      <c r="Z228" s="127">
        <f ca="1">VALUE(_xll.BDP($A228 &amp; " Corp",Z$1))</f>
        <v>43616</v>
      </c>
      <c r="AA228" s="128">
        <f ca="1">_xll.BDP($A228 &amp; " Corp",AA$1)/100</f>
        <v>1.125E-2</v>
      </c>
      <c r="AB228" s="129">
        <f ca="1">_xll.BDP($A228 &amp; " Corp",AB$1)</f>
        <v>29000000000</v>
      </c>
      <c r="AC228" s="130" t="str">
        <f ca="1">IF(LEFT(B228,1)="B",_xll.INSTANCE.TBILL(A228,V228,Z228,TODAY()),_xll.INSTANCE.TNOTE(A228,V228,W228,X228,Y228,Z228,AA228,TODAY()))</f>
        <v>US912828SX98#0028</v>
      </c>
    </row>
    <row r="229" spans="1:29" x14ac:dyDescent="0.2">
      <c r="A229" s="131" t="s">
        <v>248</v>
      </c>
      <c r="B229" s="115" t="str">
        <f ca="1">_xll.BDP($A229 &amp; " Govt",B$1)</f>
        <v>T 3 5/8 08/15/19</v>
      </c>
      <c r="C229" s="372"/>
      <c r="D229" s="116"/>
      <c r="E229" s="117"/>
      <c r="F229" s="118"/>
      <c r="G229" s="377"/>
      <c r="H229" s="120">
        <f ca="1">IF(E229="",_xll.BDP(A229 &amp; " Govt","YLD_YTM_ASK")/100,E229)</f>
        <v>1.0683708E-2</v>
      </c>
      <c r="I229" s="121">
        <f ca="1">_xll.INSTRUMENT.PRIX(AC229,D229,H229,cTreasuries)</f>
        <v>117.48557264496145</v>
      </c>
      <c r="J229" s="122">
        <f ca="1">_xll.INSTRUMENT.DV01(A229,,,I229,cContinuous,I229)</f>
        <v>-7.5339628178984555E-2</v>
      </c>
      <c r="K229" s="123">
        <f ca="1">_xll.INSTRUMENT.CONVEXITE(A229,,,I229,cContinuous,I229)</f>
        <v>43.362226479061611</v>
      </c>
      <c r="L229" s="123">
        <f ca="1">_xll.INSTRUMENT.Z.SPREAD(A229,swapCurve,I229,cContinuous,D229)</f>
        <v>-25.820886332949684</v>
      </c>
      <c r="M229" s="123">
        <f ca="1">_xll.INSTRUMENT.Z.SPREAD(A229,ustCurve,I229,cContinuous,D229)</f>
        <v>-4.6332467112820988</v>
      </c>
      <c r="N229" s="123">
        <f ca="1">_xll.INSTRUMENT.Z.SPREAD(A229,oisCurve,I229,cContinuous,D229)</f>
        <v>9.4779872609715241</v>
      </c>
      <c r="O229" s="124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2.1723032106048916E-2</v>
      </c>
      <c r="P229" s="124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2.1071599161117269E-2</v>
      </c>
      <c r="Q229" s="379">
        <f ca="1">-(O229-curve!$S$3)/J229</f>
        <v>0.26552911571797422</v>
      </c>
      <c r="R229" s="381">
        <f t="shared" ca="1" si="4"/>
        <v>-575.55668281300586</v>
      </c>
      <c r="S229" s="199" t="str">
        <f>IF(F229&lt;&gt;"","",IF(G229="","",-G229*(SUMIF('bench Comparison'!$A:$A,"RESINV1USD",'bench Comparison'!$G:$G)+SUMIF('bench Comparison'!$A:$A,"RESSWAPORUSD",'bench Comparison'!$G:$G))/(36500*J229)))</f>
        <v/>
      </c>
      <c r="T229" s="210" t="str">
        <f>IF(G229&lt;&gt;"","",IF(F229="","",-36500*J229*F229/(SUMIF('bench Comparison'!$A:$A,"RESINV1USD",'bench Comparison'!$G:$G)+SUMIF('bench Comparison'!$A:$A,"RESSWAPORUSD",'bench Comparison'!$G:$G))))</f>
        <v/>
      </c>
      <c r="U229" s="125">
        <f>SUMIF('bench Comparison'!$E:$E,A229,'bench Comparison'!$N:$N)</f>
        <v>0</v>
      </c>
      <c r="V229" s="126">
        <f ca="1">VALUE(_xll.BDP($A229 &amp; " Corp",V$1))</f>
        <v>40042</v>
      </c>
      <c r="W229" s="127">
        <f ca="1">VALUE(_xll.BDP($A229 &amp; " Corp",W$1))</f>
        <v>40040</v>
      </c>
      <c r="X229" s="127">
        <f ca="1">VALUE(_xll.BDP($A229 &amp; " Corp",X$1))</f>
        <v>40224</v>
      </c>
      <c r="Y229" s="127">
        <f ca="1">VALUE(_xll.BDP($A229 &amp; " Corp",Y$1))</f>
        <v>43511</v>
      </c>
      <c r="Z229" s="127">
        <f ca="1">VALUE(_xll.BDP($A229 &amp; " Corp",Z$1))</f>
        <v>43692</v>
      </c>
      <c r="AA229" s="128">
        <f ca="1">_xll.BDP($A229 &amp; " Corp",AA$1)/100</f>
        <v>3.6249999999999998E-2</v>
      </c>
      <c r="AB229" s="129">
        <f ca="1">_xll.BDP($A229 &amp; " Corp",AB$1)</f>
        <v>66753000000</v>
      </c>
      <c r="AC229" s="130" t="str">
        <f ca="1">IF(LEFT(B229,1)="B",_xll.INSTANCE.TBILL(A229,V229,Z229,TODAY()),_xll.INSTANCE.TNOTE(A229,V229,W229,X229,Y229,Z229,AA229,TODAY()))</f>
        <v>US912828LJ77#0027</v>
      </c>
    </row>
    <row r="230" spans="1:29" x14ac:dyDescent="0.2">
      <c r="A230" s="131" t="s">
        <v>548</v>
      </c>
      <c r="B230" s="115" t="str">
        <f ca="1">_xll.BDP($A230 &amp; " Govt",B$1)</f>
        <v>T 8 1/8 08/15/19</v>
      </c>
      <c r="C230" s="372"/>
      <c r="D230" s="116"/>
      <c r="E230" s="117"/>
      <c r="F230" s="118"/>
      <c r="G230" s="377"/>
      <c r="H230" s="120">
        <f ca="1">IF(E230="",_xll.BDP(A230 &amp; " Govt","YLD_YTM_ASK")/100,E230)</f>
        <v>1.0333924999999999E-2</v>
      </c>
      <c r="I230" s="121">
        <f ca="1">_xll.INSTRUMENT.PRIX(AC230,D230,H230,cTreasuries)</f>
        <v>148.56347206063563</v>
      </c>
      <c r="J230" s="122">
        <f ca="1">_xll.INSTRUMENT.DV01(A230,,,I230,cContinuous,I230)</f>
        <v>-8.7144451423547015E-2</v>
      </c>
      <c r="K230" s="123">
        <f ca="1">_xll.INSTRUMENT.CONVEXITE(A230,,,I230,cContinuous,I230)</f>
        <v>37.810494045438794</v>
      </c>
      <c r="L230" s="123">
        <f ca="1">_xll.INSTRUMENT.Z.SPREAD(A230,swapCurve,I230,cContinuous,D230)</f>
        <v>-24.511140134929921</v>
      </c>
      <c r="M230" s="123">
        <f ca="1">_xll.INSTRUMENT.Z.SPREAD(A230,ustCurve,I230,cContinuous,D230)</f>
        <v>-3.5503996021810234</v>
      </c>
      <c r="N230" s="123">
        <f ca="1">_xll.INSTRUMENT.Z.SPREAD(A230,oisCurve,I230,cContinuous,D230)</f>
        <v>10.662664193347579</v>
      </c>
      <c r="O230" s="124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1.7839558952762291E-2</v>
      </c>
      <c r="P230" s="124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1.9259099722703985E-2</v>
      </c>
      <c r="Q230" s="379">
        <f ca="1">-(O230-curve!$S$3)/J230</f>
        <v>0.18499619232491962</v>
      </c>
      <c r="R230" s="381">
        <f t="shared" ca="1" si="4"/>
        <v>-433.88297737590835</v>
      </c>
      <c r="S230" s="199" t="str">
        <f>IF(F230&lt;&gt;"","",IF(G230="","",-G230*(SUMIF('bench Comparison'!$A:$A,"RESINV1USD",'bench Comparison'!$G:$G)+SUMIF('bench Comparison'!$A:$A,"RESSWAPORUSD",'bench Comparison'!$G:$G))/(36500*J230)))</f>
        <v/>
      </c>
      <c r="T230" s="210" t="str">
        <f>IF(G230&lt;&gt;"","",IF(F230="","",-36500*J230*F230/(SUMIF('bench Comparison'!$A:$A,"RESINV1USD",'bench Comparison'!$G:$G)+SUMIF('bench Comparison'!$A:$A,"RESSWAPORUSD",'bench Comparison'!$G:$G))))</f>
        <v/>
      </c>
      <c r="U230" s="125">
        <f>SUMIF('bench Comparison'!$E:$E,A230,'bench Comparison'!$N:$N)</f>
        <v>0</v>
      </c>
      <c r="V230" s="126">
        <f ca="1">VALUE(_xll.BDP($A230 &amp; " Corp",V$1))</f>
        <v>32735</v>
      </c>
      <c r="W230" s="127">
        <f ca="1">VALUE(_xll.BDP($A230 &amp; " Corp",W$1))</f>
        <v>32735</v>
      </c>
      <c r="X230" s="127">
        <f ca="1">VALUE(_xll.BDP($A230 &amp; " Corp",X$1))</f>
        <v>32919</v>
      </c>
      <c r="Y230" s="127">
        <f ca="1">VALUE(_xll.BDP($A230 &amp; " Corp",Y$1))</f>
        <v>43511</v>
      </c>
      <c r="Z230" s="127">
        <f ca="1">VALUE(_xll.BDP($A230 &amp; " Corp",Z$1))</f>
        <v>43692</v>
      </c>
      <c r="AA230" s="128">
        <f ca="1">_xll.BDP($A230 &amp; " Corp",AA$1)/100</f>
        <v>8.1250000000000003E-2</v>
      </c>
      <c r="AB230" s="129">
        <f ca="1">_xll.BDP($A230 &amp; " Corp",AB$1)</f>
        <v>18941000000</v>
      </c>
      <c r="AC230" s="130" t="str">
        <f ca="1">IF(LEFT(B230,1)="B",_xll.INSTANCE.TBILL(A230,V230,Z230,TODAY()),_xll.INSTANCE.TNOTE(A230,V230,W230,X230,Y230,Z230,AA230,TODAY()))</f>
        <v>US912810ED64#0028</v>
      </c>
    </row>
    <row r="231" spans="1:29" x14ac:dyDescent="0.2">
      <c r="A231" s="131" t="s">
        <v>250</v>
      </c>
      <c r="B231" s="115" t="str">
        <f ca="1">_xll.BDP($A231 &amp; " Govt",B$1)</f>
        <v>T 3 3/8 11/15/19</v>
      </c>
      <c r="C231" s="372"/>
      <c r="D231" s="116"/>
      <c r="E231" s="117"/>
      <c r="F231" s="118"/>
      <c r="G231" s="377"/>
      <c r="H231" s="120">
        <f ca="1">IF(E231="",_xll.BDP(A231 &amp; " Govt","YLD_YTM_ASK")/100,E231)</f>
        <v>1.1221904E-2</v>
      </c>
      <c r="I231" s="121">
        <f ca="1">_xll.INSTRUMENT.PRIX(AC231,D231,H231,cTreasuries)</f>
        <v>115.88849297792433</v>
      </c>
      <c r="J231" s="122">
        <f ca="1">_xll.INSTRUMENT.DV01(A231,,,I231,cContinuous,I231)</f>
        <v>-7.7132930351409626E-2</v>
      </c>
      <c r="K231" s="123">
        <f ca="1">_xll.INSTRUMENT.CONVEXITE(A231,,,I231,cContinuous,I231)</f>
        <v>47.020294694431605</v>
      </c>
      <c r="L231" s="123">
        <f ca="1">_xll.INSTRUMENT.Z.SPREAD(A231,swapCurve,I231,cContinuous,D231)</f>
        <v>-24.772786195431856</v>
      </c>
      <c r="M231" s="123">
        <f ca="1">_xll.INSTRUMENT.Z.SPREAD(A231,ustCurve,I231,cContinuous,D231)</f>
        <v>-4.0925656457635169</v>
      </c>
      <c r="N231" s="123">
        <f ca="1">_xll.INSTRUMENT.Z.SPREAD(A231,oisCurve,I231,cContinuous,D231)</f>
        <v>10.440273635866761</v>
      </c>
      <c r="O231" s="124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2.2956694565812029E-2</v>
      </c>
      <c r="P231" s="124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2.1930203400417292E-2</v>
      </c>
      <c r="Q231" s="379">
        <f ca="1">-(O231-curve!$S$3)/J231</f>
        <v>0.27534967505952812</v>
      </c>
      <c r="R231" s="381">
        <f t="shared" ca="1" si="4"/>
        <v>-609.60078244417821</v>
      </c>
      <c r="S231" s="199" t="str">
        <f>IF(F231&lt;&gt;"","",IF(G231="","",-G231*(SUMIF('bench Comparison'!$A:$A,"RESINV1USD",'bench Comparison'!$G:$G)+SUMIF('bench Comparison'!$A:$A,"RESSWAPORUSD",'bench Comparison'!$G:$G))/(36500*J231)))</f>
        <v/>
      </c>
      <c r="T231" s="210" t="str">
        <f>IF(G231&lt;&gt;"","",IF(F231="","",-36500*J231*F231/(SUMIF('bench Comparison'!$A:$A,"RESINV1USD",'bench Comparison'!$G:$G)+SUMIF('bench Comparison'!$A:$A,"RESSWAPORUSD",'bench Comparison'!$G:$G))))</f>
        <v/>
      </c>
      <c r="U231" s="125">
        <f>SUMIF('bench Comparison'!$E:$E,A231,'bench Comparison'!$N:$N)</f>
        <v>0</v>
      </c>
      <c r="V231" s="126">
        <f ca="1">VALUE(_xll.BDP($A231 &amp; " Corp",V$1))</f>
        <v>40133</v>
      </c>
      <c r="W231" s="127">
        <f ca="1">VALUE(_xll.BDP($A231 &amp; " Corp",W$1))</f>
        <v>40132</v>
      </c>
      <c r="X231" s="127">
        <f ca="1">VALUE(_xll.BDP($A231 &amp; " Corp",X$1))</f>
        <v>40313</v>
      </c>
      <c r="Y231" s="127">
        <f ca="1">VALUE(_xll.BDP($A231 &amp; " Corp",Y$1))</f>
        <v>43600</v>
      </c>
      <c r="Z231" s="127">
        <f ca="1">VALUE(_xll.BDP($A231 &amp; " Corp",Z$1))</f>
        <v>43784</v>
      </c>
      <c r="AA231" s="128">
        <f ca="1">_xll.BDP($A231 &amp; " Corp",AA$1)/100</f>
        <v>3.3750000000000002E-2</v>
      </c>
      <c r="AB231" s="129">
        <f ca="1">_xll.BDP($A231 &amp; " Corp",AB$1)</f>
        <v>71037000000</v>
      </c>
      <c r="AC231" s="130" t="str">
        <f ca="1">IF(LEFT(B231,1)="B",_xll.INSTANCE.TBILL(A231,V231,Z231,TODAY()),_xll.INSTANCE.TNOTE(A231,V231,W231,X231,Y231,Z231,AA231,TODAY()))</f>
        <v>US912828LY45#0028</v>
      </c>
    </row>
    <row r="232" spans="1:29" x14ac:dyDescent="0.2">
      <c r="A232" s="131" t="s">
        <v>549</v>
      </c>
      <c r="B232" s="115" t="str">
        <f ca="1">_xll.BDP($A232 &amp; " Govt",B$1)</f>
        <v>T 8 1/2 02/15/20</v>
      </c>
      <c r="C232" s="372"/>
      <c r="D232" s="116"/>
      <c r="E232" s="117"/>
      <c r="F232" s="118"/>
      <c r="G232" s="377"/>
      <c r="H232" s="120">
        <f ca="1">IF(E232="",_xll.BDP(A232 &amp; " Govt","YLD_YTM_ASK")/100,E232)</f>
        <v>1.1462026E-2</v>
      </c>
      <c r="I232" s="121">
        <f ca="1">_xll.INSTRUMENT.PRIX(AC232,D232,H232,cTreasuries)</f>
        <v>153.51255084923844</v>
      </c>
      <c r="J232" s="122">
        <f ca="1">_xll.INSTRUMENT.DV01(A232,,,I232,cContinuous,I232)</f>
        <v>-9.4754838970368668E-2</v>
      </c>
      <c r="K232" s="123">
        <f ca="1">_xll.INSTRUMENT.CONVEXITE(A232,,,I232,cContinuous,I232)</f>
        <v>42.294644198776368</v>
      </c>
      <c r="L232" s="123">
        <f ca="1">_xll.INSTRUMENT.Z.SPREAD(A232,swapCurve,I232,cContinuous,D232)</f>
        <v>-20.292368467966924</v>
      </c>
      <c r="M232" s="123">
        <f ca="1">_xll.INSTRUMENT.Z.SPREAD(A232,ustCurve,I232,cContinuous,D232)</f>
        <v>-0.43855122125322588</v>
      </c>
      <c r="N232" s="123">
        <f ca="1">_xll.INSTRUMENT.Z.SPREAD(A232,oisCurve,I232,cContinuous,D232)</f>
        <v>14.581775326344806</v>
      </c>
      <c r="O232" s="124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2.0642639143403092E-2</v>
      </c>
      <c r="P232" s="124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2.0834437037360758E-2</v>
      </c>
      <c r="Q232" s="379">
        <f ca="1">-(O232-curve!$S$3)/J232</f>
        <v>0.19972037409254528</v>
      </c>
      <c r="R232" s="381">
        <f t="shared" ca="1" si="4"/>
        <v>-446.35867316499338</v>
      </c>
      <c r="S232" s="199" t="str">
        <f>IF(F232&lt;&gt;"","",IF(G232="","",-G232*(SUMIF('bench Comparison'!$A:$A,"RESINV1USD",'bench Comparison'!$G:$G)+SUMIF('bench Comparison'!$A:$A,"RESSWAPORUSD",'bench Comparison'!$G:$G))/(36500*J232)))</f>
        <v/>
      </c>
      <c r="T232" s="210" t="str">
        <f>IF(G232&lt;&gt;"","",IF(F232="","",-36500*J232*F232/(SUMIF('bench Comparison'!$A:$A,"RESINV1USD",'bench Comparison'!$G:$G)+SUMIF('bench Comparison'!$A:$A,"RESSWAPORUSD",'bench Comparison'!$G:$G))))</f>
        <v/>
      </c>
      <c r="U232" s="125">
        <f>SUMIF('bench Comparison'!$E:$E,A232,'bench Comparison'!$N:$N)</f>
        <v>0</v>
      </c>
      <c r="V232" s="126">
        <f ca="1">VALUE(_xll.BDP($A232 &amp; " Corp",V$1))</f>
        <v>32919</v>
      </c>
      <c r="W232" s="127">
        <f ca="1">VALUE(_xll.BDP($A232 &amp; " Corp",W$1))</f>
        <v>32919</v>
      </c>
      <c r="X232" s="127">
        <f ca="1">VALUE(_xll.BDP($A232 &amp; " Corp",X$1))</f>
        <v>33100</v>
      </c>
      <c r="Y232" s="127">
        <f ca="1">VALUE(_xll.BDP($A232 &amp; " Corp",Y$1))</f>
        <v>43692</v>
      </c>
      <c r="Z232" s="127">
        <f ca="1">VALUE(_xll.BDP($A232 &amp; " Corp",Z$1))</f>
        <v>43876</v>
      </c>
      <c r="AA232" s="128">
        <f ca="1">_xll.BDP($A232 &amp; " Corp",AA$1)/100</f>
        <v>8.5000000000000006E-2</v>
      </c>
      <c r="AB232" s="129">
        <f ca="1">_xll.BDP($A232 &amp; " Corp",AB$1)</f>
        <v>9476000000</v>
      </c>
      <c r="AC232" s="130" t="str">
        <f ca="1">IF(LEFT(B232,1)="B",_xll.INSTANCE.TBILL(A232,V232,Z232,TODAY()),_xll.INSTANCE.TNOTE(A232,V232,W232,X232,Y232,Z232,AA232,TODAY()))</f>
        <v>US912810EE48#0027</v>
      </c>
    </row>
    <row r="233" spans="1:29" x14ac:dyDescent="0.2">
      <c r="A233" s="131" t="s">
        <v>252</v>
      </c>
      <c r="B233" s="115" t="str">
        <f ca="1">_xll.BDP($A233 &amp; " Govt",B$1)</f>
        <v>T 3 5/8 02/15/20</v>
      </c>
      <c r="C233" s="372"/>
      <c r="D233" s="116"/>
      <c r="E233" s="117"/>
      <c r="F233" s="118"/>
      <c r="G233" s="377"/>
      <c r="H233" s="120">
        <f ca="1">IF(E233="",_xll.BDP(A233 &amp; " Govt","YLD_YTM_ASK")/100,E233)</f>
        <v>1.1706038E-2</v>
      </c>
      <c r="I233" s="121">
        <f ca="1">_xll.INSTRUMENT.PRIX(AC233,D233,H233,cTreasuries)</f>
        <v>117.84092711594427</v>
      </c>
      <c r="J233" s="122">
        <f ca="1">_xll.INSTRUMENT.DV01(A233,,,I233,cContinuous,I233)</f>
        <v>-8.0382300237900162E-2</v>
      </c>
      <c r="K233" s="123">
        <f ca="1">_xll.INSTRUMENT.CONVEXITE(A233,,,I233,cContinuous,I233)</f>
        <v>49.303056044932113</v>
      </c>
      <c r="L233" s="123">
        <f ca="1">_xll.INSTRUMENT.Z.SPREAD(A233,swapCurve,I233,cContinuous,D233)</f>
        <v>-23.582683367043003</v>
      </c>
      <c r="M233" s="123">
        <f ca="1">_xll.INSTRUMENT.Z.SPREAD(A233,ustCurve,I233,cContinuous,D233)</f>
        <v>-3.6770849412807518</v>
      </c>
      <c r="N233" s="123">
        <f ca="1">_xll.INSTRUMENT.Z.SPREAD(A233,oisCurve,I233,cContinuous,D233)</f>
        <v>11.367804486412684</v>
      </c>
      <c r="O233" s="124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2.508159118236386E-2</v>
      </c>
      <c r="P233" s="124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2.2829544232309248E-2</v>
      </c>
      <c r="Q233" s="379">
        <f ca="1">-(O233-curve!$S$3)/J233</f>
        <v>0.29065383618103852</v>
      </c>
      <c r="R233" s="381">
        <f t="shared" ca="1" si="4"/>
        <v>-613.35711840808676</v>
      </c>
      <c r="S233" s="199" t="str">
        <f>IF(F233&lt;&gt;"","",IF(G233="","",-G233*(SUMIF('bench Comparison'!$A:$A,"RESINV1USD",'bench Comparison'!$G:$G)+SUMIF('bench Comparison'!$A:$A,"RESSWAPORUSD",'bench Comparison'!$G:$G))/(36500*J233)))</f>
        <v/>
      </c>
      <c r="T233" s="210" t="str">
        <f>IF(G233&lt;&gt;"","",IF(F233="","",-36500*J233*F233/(SUMIF('bench Comparison'!$A:$A,"RESINV1USD",'bench Comparison'!$G:$G)+SUMIF('bench Comparison'!$A:$A,"RESSWAPORUSD",'bench Comparison'!$G:$G))))</f>
        <v/>
      </c>
      <c r="U233" s="125">
        <f>SUMIF('bench Comparison'!$E:$E,A233,'bench Comparison'!$N:$N)</f>
        <v>0</v>
      </c>
      <c r="V233" s="126">
        <f ca="1">VALUE(_xll.BDP($A233 &amp; " Corp",V$1))</f>
        <v>40225</v>
      </c>
      <c r="W233" s="127">
        <f ca="1">VALUE(_xll.BDP($A233 &amp; " Corp",W$1))</f>
        <v>40224</v>
      </c>
      <c r="X233" s="127">
        <f ca="1">VALUE(_xll.BDP($A233 &amp; " Corp",X$1))</f>
        <v>40405</v>
      </c>
      <c r="Y233" s="127">
        <f ca="1">VALUE(_xll.BDP($A233 &amp; " Corp",Y$1))</f>
        <v>43692</v>
      </c>
      <c r="Z233" s="127">
        <f ca="1">VALUE(_xll.BDP($A233 &amp; " Corp",Z$1))</f>
        <v>43876</v>
      </c>
      <c r="AA233" s="128">
        <f ca="1">_xll.BDP($A233 &amp; " Corp",AA$1)/100</f>
        <v>3.6249999999999998E-2</v>
      </c>
      <c r="AB233" s="129">
        <f ca="1">_xll.BDP($A233 &amp; " Corp",AB$1)</f>
        <v>71595000000</v>
      </c>
      <c r="AC233" s="130" t="str">
        <f ca="1">IF(LEFT(B233,1)="B",_xll.INSTANCE.TBILL(A233,V233,Z233,TODAY()),_xll.INSTANCE.TNOTE(A233,V233,W233,X233,Y233,Z233,AA233,TODAY()))</f>
        <v>US912828MP29#0028</v>
      </c>
    </row>
    <row r="234" spans="1:29" x14ac:dyDescent="0.2">
      <c r="A234" s="131" t="s">
        <v>550</v>
      </c>
      <c r="B234" s="115" t="str">
        <f ca="1">_xll.BDP($A234 &amp; " Govt",B$1)</f>
        <v>T 8 3/4 05/15/20</v>
      </c>
      <c r="C234" s="372"/>
      <c r="D234" s="116"/>
      <c r="E234" s="117"/>
      <c r="F234" s="118"/>
      <c r="G234" s="377"/>
      <c r="H234" s="120">
        <f ca="1">IF(E234="",_xll.BDP(A234 &amp; " Govt","YLD_YTM_ASK")/100,E234)</f>
        <v>1.1841506999999999E-2</v>
      </c>
      <c r="I234" s="121">
        <f ca="1">_xll.INSTRUMENT.PRIX(AC234,D234,H234,cTreasuries)</f>
        <v>156.68771011923511</v>
      </c>
      <c r="J234" s="122">
        <f ca="1">_xll.INSTRUMENT.DV01(A234,,,I234,cContinuous,I234)</f>
        <v>-9.8770400244945697E-2</v>
      </c>
      <c r="K234" s="123">
        <f ca="1">_xll.INSTRUMENT.CONVEXITE(A234,,,I234,cContinuous,I234)</f>
        <v>44.951726512811412</v>
      </c>
      <c r="L234" s="123">
        <f ca="1">_xll.INSTRUMENT.Z.SPREAD(A234,swapCurve,I234,cContinuous,D234)</f>
        <v>-19.331469797049596</v>
      </c>
      <c r="M234" s="123">
        <f ca="1">_xll.INSTRUMENT.Z.SPREAD(A234,ustCurve,I234,cContinuous,D234)</f>
        <v>-0.13684355301003906</v>
      </c>
      <c r="N234" s="123">
        <f ca="1">_xll.INSTRUMENT.Z.SPREAD(A234,oisCurve,I234,cContinuous,D234)</f>
        <v>15.322715998465403</v>
      </c>
      <c r="O234" s="124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1.9892039954923176E-2</v>
      </c>
      <c r="P234" s="124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2.0949724325719024E-2</v>
      </c>
      <c r="Q234" s="379">
        <f ca="1">-(O234-curve!$S$3)/J234</f>
        <v>0.18400120534786432</v>
      </c>
      <c r="R234" s="381">
        <f t="shared" ca="1" si="4"/>
        <v>-455.11333761261835</v>
      </c>
      <c r="S234" s="199" t="str">
        <f>IF(F234&lt;&gt;"","",IF(G234="","",-G234*(SUMIF('bench Comparison'!$A:$A,"RESINV1USD",'bench Comparison'!$G:$G)+SUMIF('bench Comparison'!$A:$A,"RESSWAPORUSD",'bench Comparison'!$G:$G))/(36500*J234)))</f>
        <v/>
      </c>
      <c r="T234" s="210" t="str">
        <f>IF(G234&lt;&gt;"","",IF(F234="","",-36500*J234*F234/(SUMIF('bench Comparison'!$A:$A,"RESINV1USD",'bench Comparison'!$G:$G)+SUMIF('bench Comparison'!$A:$A,"RESSWAPORUSD",'bench Comparison'!$G:$G))))</f>
        <v/>
      </c>
      <c r="U234" s="125">
        <f>SUMIF('bench Comparison'!$E:$E,A234,'bench Comparison'!$N:$N)</f>
        <v>0</v>
      </c>
      <c r="V234" s="126">
        <f ca="1">VALUE(_xll.BDP($A234 &amp; " Corp",V$1))</f>
        <v>33008</v>
      </c>
      <c r="W234" s="127">
        <f ca="1">VALUE(_xll.BDP($A234 &amp; " Corp",W$1))</f>
        <v>33008</v>
      </c>
      <c r="X234" s="127">
        <f ca="1">VALUE(_xll.BDP($A234 &amp; " Corp",X$1))</f>
        <v>33192</v>
      </c>
      <c r="Y234" s="127">
        <f ca="1">VALUE(_xll.BDP($A234 &amp; " Corp",Y$1))</f>
        <v>43784</v>
      </c>
      <c r="Z234" s="127">
        <f ca="1">VALUE(_xll.BDP($A234 &amp; " Corp",Z$1))</f>
        <v>43966</v>
      </c>
      <c r="AA234" s="128">
        <f ca="1">_xll.BDP($A234 &amp; " Corp",AA$1)/100</f>
        <v>8.7499999999999994E-2</v>
      </c>
      <c r="AB234" s="129">
        <f ca="1">_xll.BDP($A234 &amp; " Corp",AB$1)</f>
        <v>7582000000</v>
      </c>
      <c r="AC234" s="130" t="str">
        <f ca="1">IF(LEFT(B234,1)="B",_xll.INSTANCE.TBILL(A234,V234,Z234,TODAY()),_xll.INSTANCE.TNOTE(A234,V234,W234,X234,Y234,Z234,AA234,TODAY()))</f>
        <v>US912810EF13#0028</v>
      </c>
    </row>
    <row r="235" spans="1:29" x14ac:dyDescent="0.2">
      <c r="A235" s="131" t="s">
        <v>254</v>
      </c>
      <c r="B235" s="115" t="str">
        <f ca="1">_xll.BDP($A235 &amp; " Govt",B$1)</f>
        <v>T 3 1/2 05/15/20</v>
      </c>
      <c r="C235" s="372"/>
      <c r="D235" s="116"/>
      <c r="E235" s="117"/>
      <c r="F235" s="118"/>
      <c r="G235" s="377"/>
      <c r="H235" s="120">
        <f ca="1">IF(E235="",_xll.BDP(A235 &amp; " Govt","YLD_YTM_ASK")/100,E235)</f>
        <v>1.2213175999999999E-2</v>
      </c>
      <c r="I235" s="121">
        <f ca="1">_xll.INSTRUMENT.PRIX(AC235,D235,H235,cTreasuries)</f>
        <v>117.0471729029106</v>
      </c>
      <c r="J235" s="122">
        <f ca="1">_xll.INSTRUMENT.DV01(A235,,,I235,cContinuous,I235)</f>
        <v>-8.2302594517791774E-2</v>
      </c>
      <c r="K235" s="123">
        <f ca="1">_xll.INSTRUMENT.CONVEXITE(A235,,,I235,cContinuous,I235)</f>
        <v>52.812878794479296</v>
      </c>
      <c r="L235" s="123">
        <f ca="1">_xll.INSTRUMENT.Z.SPREAD(A235,swapCurve,I235,cContinuous,D235)</f>
        <v>-21.99851850303401</v>
      </c>
      <c r="M235" s="123">
        <f ca="1">_xll.INSTRUMENT.Z.SPREAD(A235,ustCurve,I235,cContinuous,D235)</f>
        <v>-2.8791599524735054</v>
      </c>
      <c r="N235" s="123">
        <f ca="1">_xll.INSTRUMENT.Z.SPREAD(A235,oisCurve,I235,cContinuous,D235)</f>
        <v>12.684690996375178</v>
      </c>
      <c r="O235" s="124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2.4033961362285645E-2</v>
      </c>
      <c r="P235" s="124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2.2951107229276714E-2</v>
      </c>
      <c r="Q235" s="379">
        <f ca="1">-(O235-curve!$S$3)/J235</f>
        <v>0.27114326390159366</v>
      </c>
      <c r="R235" s="381">
        <f t="shared" ca="1" si="4"/>
        <v>-641.69154209424664</v>
      </c>
      <c r="S235" s="199" t="str">
        <f>IF(F235&lt;&gt;"","",IF(G235="","",-G235*(SUMIF('bench Comparison'!$A:$A,"RESINV1USD",'bench Comparison'!$G:$G)+SUMIF('bench Comparison'!$A:$A,"RESSWAPORUSD",'bench Comparison'!$G:$G))/(36500*J235)))</f>
        <v/>
      </c>
      <c r="T235" s="210" t="str">
        <f>IF(G235&lt;&gt;"","",IF(F235="","",-36500*J235*F235/(SUMIF('bench Comparison'!$A:$A,"RESINV1USD",'bench Comparison'!$G:$G)+SUMIF('bench Comparison'!$A:$A,"RESSWAPORUSD",'bench Comparison'!$G:$G))))</f>
        <v/>
      </c>
      <c r="U235" s="125">
        <f>SUMIF('bench Comparison'!$E:$E,A235,'bench Comparison'!$N:$N)</f>
        <v>0</v>
      </c>
      <c r="V235" s="126">
        <f ca="1">VALUE(_xll.BDP($A235 &amp; " Corp",V$1))</f>
        <v>40315</v>
      </c>
      <c r="W235" s="127">
        <f ca="1">VALUE(_xll.BDP($A235 &amp; " Corp",W$1))</f>
        <v>40313</v>
      </c>
      <c r="X235" s="127">
        <f ca="1">VALUE(_xll.BDP($A235 &amp; " Corp",X$1))</f>
        <v>40497</v>
      </c>
      <c r="Y235" s="127">
        <f ca="1">VALUE(_xll.BDP($A235 &amp; " Corp",Y$1))</f>
        <v>43784</v>
      </c>
      <c r="Z235" s="127">
        <f ca="1">VALUE(_xll.BDP($A235 &amp; " Corp",Z$1))</f>
        <v>43966</v>
      </c>
      <c r="AA235" s="128">
        <f ca="1">_xll.BDP($A235 &amp; " Corp",AA$1)/100</f>
        <v>3.5000000000000003E-2</v>
      </c>
      <c r="AB235" s="129">
        <f ca="1">_xll.BDP($A235 &amp; " Corp",AB$1)</f>
        <v>68219000000.000015</v>
      </c>
      <c r="AC235" s="130" t="str">
        <f ca="1">IF(LEFT(B235,1)="B",_xll.INSTANCE.TBILL(A235,V235,Z235,TODAY()),_xll.INSTANCE.TNOTE(A235,V235,W235,X235,Y235,Z235,AA235,TODAY()))</f>
        <v>US912828ND89#0029</v>
      </c>
    </row>
    <row r="236" spans="1:29" x14ac:dyDescent="0.2">
      <c r="A236" s="131" t="s">
        <v>551</v>
      </c>
      <c r="B236" s="115" t="str">
        <f ca="1">_xll.BDP($A236 &amp; " Govt",B$1)</f>
        <v>T 8 3/4 08/15/20</v>
      </c>
      <c r="C236" s="372"/>
      <c r="D236" s="116"/>
      <c r="E236" s="117"/>
      <c r="F236" s="118"/>
      <c r="G236" s="377"/>
      <c r="H236" s="120">
        <f ca="1">IF(E236="",_xll.BDP(A236 &amp; " Govt","YLD_YTM_ASK")/100,E236)</f>
        <v>1.2277941000000001E-2</v>
      </c>
      <c r="I236" s="121">
        <f ca="1">_xll.INSTRUMENT.PRIX(AC236,D236,H236,cTreasuries)</f>
        <v>157.96846346288123</v>
      </c>
      <c r="J236" s="122">
        <f ca="1">_xll.INSTRUMENT.DV01(A236,,,I236,cContinuous,I236)</f>
        <v>-0.10222021347713493</v>
      </c>
      <c r="K236" s="123">
        <f ca="1">_xll.INSTRUMENT.CONVEXITE(A236,,,I236,cContinuous,I236)</f>
        <v>46.889980599913102</v>
      </c>
      <c r="L236" s="123">
        <f ca="1">_xll.INSTRUMENT.Z.SPREAD(A236,swapCurve,I236,cContinuous,D236)</f>
        <v>-18.360647463561193</v>
      </c>
      <c r="M236" s="123">
        <f ca="1">_xll.INSTRUMENT.Z.SPREAD(A236,ustCurve,I236,cContinuous,D236)</f>
        <v>6.6569692864354893E-2</v>
      </c>
      <c r="N236" s="123">
        <f ca="1">_xll.INSTRUMENT.Z.SPREAD(A236,oisCurve,I236,cContinuous,D236)</f>
        <v>16.046791911034386</v>
      </c>
      <c r="O236" s="124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2.1004546024622827E-2</v>
      </c>
      <c r="P236" s="124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2.1448162494464042E-2</v>
      </c>
      <c r="Q236" s="379">
        <f ca="1">-(O236-curve!$S$3)/J236</f>
        <v>0.18867480424284885</v>
      </c>
      <c r="R236" s="381">
        <f t="shared" ca="1" si="4"/>
        <v>-458.71534606412905</v>
      </c>
      <c r="S236" s="199" t="str">
        <f>IF(F236&lt;&gt;"","",IF(G236="","",-G236*(SUMIF('bench Comparison'!$A:$A,"RESINV1USD",'bench Comparison'!$G:$G)+SUMIF('bench Comparison'!$A:$A,"RESSWAPORUSD",'bench Comparison'!$G:$G))/(36500*J236)))</f>
        <v/>
      </c>
      <c r="T236" s="210" t="str">
        <f>IF(G236&lt;&gt;"","",IF(F236="","",-36500*J236*F236/(SUMIF('bench Comparison'!$A:$A,"RESINV1USD",'bench Comparison'!$G:$G)+SUMIF('bench Comparison'!$A:$A,"RESSWAPORUSD",'bench Comparison'!$G:$G))))</f>
        <v/>
      </c>
      <c r="U236" s="125">
        <f>SUMIF('bench Comparison'!$E:$E,A236,'bench Comparison'!$N:$N)</f>
        <v>0</v>
      </c>
      <c r="V236" s="126">
        <f ca="1">VALUE(_xll.BDP($A236 &amp; " Corp",V$1))</f>
        <v>33100</v>
      </c>
      <c r="W236" s="127">
        <f ca="1">VALUE(_xll.BDP($A236 &amp; " Corp",W$1))</f>
        <v>33100</v>
      </c>
      <c r="X236" s="127">
        <f ca="1">VALUE(_xll.BDP($A236 &amp; " Corp",X$1))</f>
        <v>33284</v>
      </c>
      <c r="Y236" s="127">
        <f ca="1">VALUE(_xll.BDP($A236 &amp; " Corp",Y$1))</f>
        <v>43876</v>
      </c>
      <c r="Z236" s="127">
        <f ca="1">VALUE(_xll.BDP($A236 &amp; " Corp",Z$1))</f>
        <v>44058</v>
      </c>
      <c r="AA236" s="128">
        <f ca="1">_xll.BDP($A236 &amp; " Corp",AA$1)/100</f>
        <v>8.7499999999999994E-2</v>
      </c>
      <c r="AB236" s="129">
        <f ca="1">_xll.BDP($A236 &amp; " Corp",AB$1)</f>
        <v>17059000000</v>
      </c>
      <c r="AC236" s="130" t="str">
        <f ca="1">IF(LEFT(B236,1)="B",_xll.INSTANCE.TBILL(A236,V236,Z236,TODAY()),_xll.INSTANCE.TNOTE(A236,V236,W236,X236,Y236,Z236,AA236,TODAY()))</f>
        <v>US912810EG95#0028</v>
      </c>
    </row>
    <row r="237" spans="1:29" x14ac:dyDescent="0.2">
      <c r="A237" s="131" t="s">
        <v>256</v>
      </c>
      <c r="B237" s="115" t="str">
        <f ca="1">_xll.BDP($A237 &amp; " Govt",B$1)</f>
        <v>T 2 5/8 08/15/20</v>
      </c>
      <c r="C237" s="372"/>
      <c r="D237" s="116"/>
      <c r="E237" s="117"/>
      <c r="F237" s="118"/>
      <c r="G237" s="377"/>
      <c r="H237" s="120">
        <f ca="1">IF(E237="",_xll.BDP(A237 &amp; " Govt","YLD_YTM_ASK")/100,E237)</f>
        <v>1.289393E-2</v>
      </c>
      <c r="I237" s="121">
        <f ca="1">_xll.INSTRUMENT.PRIX(AC237,D237,H237,cTreasuries)</f>
        <v>110.26574406172574</v>
      </c>
      <c r="J237" s="122">
        <f ca="1">_xll.INSTRUMENT.DV01(A237,,,I237,cContinuous,I237)</f>
        <v>-8.1769873539528498E-2</v>
      </c>
      <c r="K237" s="123">
        <f ca="1">_xll.INSTRUMENT.CONVEXITE(A237,,,I237,cContinuous,I237)</f>
        <v>57.719296593630183</v>
      </c>
      <c r="L237" s="123">
        <f ca="1">_xll.INSTRUMENT.Z.SPREAD(A237,swapCurve,I237,cContinuous,D237)</f>
        <v>-20.271524198738792</v>
      </c>
      <c r="M237" s="123">
        <f ca="1">_xll.INSTRUMENT.Z.SPREAD(A237,ustCurve,I237,cContinuous,D237)</f>
        <v>-2.0856219000912657</v>
      </c>
      <c r="N237" s="123">
        <f ca="1">_xll.INSTRUMENT.Z.SPREAD(A237,oisCurve,I237,cContinuous,D237)</f>
        <v>14.126942791498113</v>
      </c>
      <c r="O237" s="124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2.704401285538087E-2</v>
      </c>
      <c r="P237" s="124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2.4421931599370197E-2</v>
      </c>
      <c r="Q237" s="379">
        <f ca="1">-(O237-curve!$S$3)/J237</f>
        <v>0.30972098282597799</v>
      </c>
      <c r="R237" s="381">
        <f t="shared" ca="1" si="4"/>
        <v>-705.87484234921817</v>
      </c>
      <c r="S237" s="199" t="str">
        <f>IF(F237&lt;&gt;"","",IF(G237="","",-G237*(SUMIF('bench Comparison'!$A:$A,"RESINV1USD",'bench Comparison'!$G:$G)+SUMIF('bench Comparison'!$A:$A,"RESSWAPORUSD",'bench Comparison'!$G:$G))/(36500*J237)))</f>
        <v/>
      </c>
      <c r="T237" s="210" t="str">
        <f>IF(G237&lt;&gt;"","",IF(F237="","",-36500*J237*F237/(SUMIF('bench Comparison'!$A:$A,"RESINV1USD",'bench Comparison'!$G:$G)+SUMIF('bench Comparison'!$A:$A,"RESSWAPORUSD",'bench Comparison'!$G:$G))))</f>
        <v/>
      </c>
      <c r="U237" s="125">
        <f>SUMIF('bench Comparison'!$E:$E,A237,'bench Comparison'!$N:$N)</f>
        <v>0</v>
      </c>
      <c r="V237" s="126">
        <f ca="1">VALUE(_xll.BDP($A237 &amp; " Corp",V$1))</f>
        <v>40406</v>
      </c>
      <c r="W237" s="127">
        <f ca="1">VALUE(_xll.BDP($A237 &amp; " Corp",W$1))</f>
        <v>40405</v>
      </c>
      <c r="X237" s="127">
        <f ca="1">VALUE(_xll.BDP($A237 &amp; " Corp",X$1))</f>
        <v>40589</v>
      </c>
      <c r="Y237" s="127">
        <f ca="1">VALUE(_xll.BDP($A237 &amp; " Corp",Y$1))</f>
        <v>43876</v>
      </c>
      <c r="Z237" s="127">
        <f ca="1">VALUE(_xll.BDP($A237 &amp; " Corp",Z$1))</f>
        <v>44058</v>
      </c>
      <c r="AA237" s="128">
        <f ca="1">_xll.BDP($A237 &amp; " Corp",AA$1)/100</f>
        <v>2.6249999999999999E-2</v>
      </c>
      <c r="AB237" s="129">
        <f ca="1">_xll.BDP($A237 &amp; " Corp",AB$1)</f>
        <v>67850000000</v>
      </c>
      <c r="AC237" s="130" t="str">
        <f ca="1">IF(LEFT(B237,1)="B",_xll.INSTANCE.TBILL(A237,V237,Z237,TODAY()),_xll.INSTANCE.TNOTE(A237,V237,W237,X237,Y237,Z237,AA237,TODAY()))</f>
        <v>US912828NT32#0028</v>
      </c>
    </row>
    <row r="238" spans="1:29" x14ac:dyDescent="0.2">
      <c r="A238" s="131" t="s">
        <v>258</v>
      </c>
      <c r="B238" s="115" t="str">
        <f ca="1">_xll.BDP($A238 &amp; " Govt",B$1)</f>
        <v>T 2 5/8 11/15/20</v>
      </c>
      <c r="C238" s="372"/>
      <c r="D238" s="116"/>
      <c r="E238" s="117"/>
      <c r="F238" s="118"/>
      <c r="G238" s="377"/>
      <c r="H238" s="120">
        <f ca="1">IF(E238="",_xll.BDP(A238 &amp; " Govt","YLD_YTM_ASK")/100,E238)</f>
        <v>1.341898E-2</v>
      </c>
      <c r="I238" s="121">
        <f ca="1">_xll.INSTRUMENT.PRIX(AC238,D238,H238,cTreasuries)</f>
        <v>110.12198141420978</v>
      </c>
      <c r="J238" s="122">
        <f ca="1">_xll.INSTRUMENT.DV01(A238,,,I238,cContinuous,I238)</f>
        <v>-8.390588737452559E-2</v>
      </c>
      <c r="K238" s="123">
        <f ca="1">_xll.INSTRUMENT.CONVEXITE(A238,,,I238,cContinuous,I238)</f>
        <v>61.412359128932337</v>
      </c>
      <c r="L238" s="123">
        <f ca="1">_xll.INSTRUMENT.Z.SPREAD(A238,swapCurve,I238,cContinuous,D238)</f>
        <v>-18.505109216107563</v>
      </c>
      <c r="M238" s="123">
        <f ca="1">_xll.INSTRUMENT.Z.SPREAD(A238,ustCurve,I238,cContinuous,D238)</f>
        <v>-1.1773828819471253</v>
      </c>
      <c r="N238" s="123">
        <f ca="1">_xll.INSTRUMENT.Z.SPREAD(A238,oisCurve,I238,cContinuous,D238)</f>
        <v>15.680521702219998</v>
      </c>
      <c r="O238" s="124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2.7111090265933457E-2</v>
      </c>
      <c r="P238" s="124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2.4855193984720941E-2</v>
      </c>
      <c r="Q238" s="379">
        <f ca="1">-(O238-curve!$S$3)/J238</f>
        <v>0.30263577209339843</v>
      </c>
      <c r="R238" s="381">
        <f t="shared" ca="1" si="4"/>
        <v>-731.91954760945123</v>
      </c>
      <c r="S238" s="199" t="str">
        <f>IF(F238&lt;&gt;"","",IF(G238="","",-G238*(SUMIF('bench Comparison'!$A:$A,"RESINV1USD",'bench Comparison'!$G:$G)+SUMIF('bench Comparison'!$A:$A,"RESSWAPORUSD",'bench Comparison'!$G:$G))/(36500*J238)))</f>
        <v/>
      </c>
      <c r="T238" s="210" t="str">
        <f>IF(G238&lt;&gt;"","",IF(F238="","",-36500*J238*F238/(SUMIF('bench Comparison'!$A:$A,"RESINV1USD",'bench Comparison'!$G:$G)+SUMIF('bench Comparison'!$A:$A,"RESSWAPORUSD",'bench Comparison'!$G:$G))))</f>
        <v/>
      </c>
      <c r="U238" s="125">
        <f>SUMIF('bench Comparison'!$E:$E,A238,'bench Comparison'!$N:$N)</f>
        <v>0</v>
      </c>
      <c r="V238" s="126">
        <f ca="1">VALUE(_xll.BDP($A238 &amp; " Corp",V$1))</f>
        <v>40497</v>
      </c>
      <c r="W238" s="127">
        <f ca="1">VALUE(_xll.BDP($A238 &amp; " Corp",W$1))</f>
        <v>40497</v>
      </c>
      <c r="X238" s="127">
        <f ca="1">VALUE(_xll.BDP($A238 &amp; " Corp",X$1))</f>
        <v>40678</v>
      </c>
      <c r="Y238" s="127">
        <f ca="1">VALUE(_xll.BDP($A238 &amp; " Corp",Y$1))</f>
        <v>43966</v>
      </c>
      <c r="Z238" s="127">
        <f ca="1">VALUE(_xll.BDP($A238 &amp; " Corp",Z$1))</f>
        <v>44150</v>
      </c>
      <c r="AA238" s="128">
        <f ca="1">_xll.BDP($A238 &amp; " Corp",AA$1)/100</f>
        <v>2.6249999999999999E-2</v>
      </c>
      <c r="AB238" s="129">
        <f ca="1">_xll.BDP($A238 &amp; " Corp",AB$1)</f>
        <v>67410000000</v>
      </c>
      <c r="AC238" s="130" t="str">
        <f ca="1">IF(LEFT(B238,1)="B",_xll.INSTANCE.TBILL(A238,V238,Z238,TODAY()),_xll.INSTANCE.TNOTE(A238,V238,W238,X238,Y238,Z238,AA238,TODAY()))</f>
        <v>US912828PC88#0028</v>
      </c>
    </row>
    <row r="239" spans="1:29" x14ac:dyDescent="0.2">
      <c r="A239" s="131" t="s">
        <v>260</v>
      </c>
      <c r="B239" s="115" t="str">
        <f ca="1">_xll.BDP($A239 &amp; " Govt",B$1)</f>
        <v>T 3 5/8 02/15/21</v>
      </c>
      <c r="C239" s="372"/>
      <c r="D239" s="116"/>
      <c r="E239" s="117"/>
      <c r="F239" s="118"/>
      <c r="G239" s="377"/>
      <c r="H239" s="120">
        <f ca="1">IF(E239="",_xll.BDP(A239 &amp; " Govt","YLD_YTM_ASK")/100,E239)</f>
        <v>1.3694041000000001E-2</v>
      </c>
      <c r="I239" s="121">
        <f ca="1">_xll.INSTRUMENT.PRIX(AC239,D239,H239,cTreasuries)</f>
        <v>118.27747048264632</v>
      </c>
      <c r="J239" s="122">
        <f ca="1">_xll.INSTRUMENT.DV01(A239,,,I239,cContinuous,I239)</f>
        <v>-8.9850749606816285E-2</v>
      </c>
      <c r="K239" s="123">
        <f ca="1">_xll.INSTRUMENT.CONVEXITE(A239,,,I239,cContinuous,I239)</f>
        <v>61.724057111016116</v>
      </c>
      <c r="L239" s="123">
        <f ca="1">_xll.INSTRUMENT.Z.SPREAD(A239,swapCurve,I239,cContinuous,D239)</f>
        <v>-17.535986425219765</v>
      </c>
      <c r="M239" s="123">
        <f ca="1">_xll.INSTRUMENT.Z.SPREAD(A239,ustCurve,I239,cContinuous,D239)</f>
        <v>-0.9613443291073186</v>
      </c>
      <c r="N239" s="123">
        <f ca="1">_xll.INSTRUMENT.Z.SPREAD(A239,oisCurve,I239,cContinuous,D239)</f>
        <v>16.492548507745717</v>
      </c>
      <c r="O239" s="124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2.6077364095765165E-2</v>
      </c>
      <c r="P239" s="124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2.4492270308283461E-2</v>
      </c>
      <c r="Q239" s="379">
        <f ca="1">-(O239-curve!$S$3)/J239</f>
        <v>0.27110733015804522</v>
      </c>
      <c r="R239" s="381">
        <f t="shared" ca="1" si="4"/>
        <v>-686.96207189276015</v>
      </c>
      <c r="S239" s="199" t="str">
        <f>IF(F239&lt;&gt;"","",IF(G239="","",-G239*(SUMIF('bench Comparison'!$A:$A,"RESINV1USD",'bench Comparison'!$G:$G)+SUMIF('bench Comparison'!$A:$A,"RESSWAPORUSD",'bench Comparison'!$G:$G))/(36500*J239)))</f>
        <v/>
      </c>
      <c r="T239" s="210" t="str">
        <f>IF(G239&lt;&gt;"","",IF(F239="","",-36500*J239*F239/(SUMIF('bench Comparison'!$A:$A,"RESINV1USD",'bench Comparison'!$G:$G)+SUMIF('bench Comparison'!$A:$A,"RESSWAPORUSD",'bench Comparison'!$G:$G))))</f>
        <v/>
      </c>
      <c r="U239" s="125">
        <f>SUMIF('bench Comparison'!$E:$E,A239,'bench Comparison'!$N:$N)</f>
        <v>0</v>
      </c>
      <c r="V239" s="126">
        <f ca="1">VALUE(_xll.BDP($A239 &amp; " Corp",V$1))</f>
        <v>40589</v>
      </c>
      <c r="W239" s="127">
        <f ca="1">VALUE(_xll.BDP($A239 &amp; " Corp",W$1))</f>
        <v>40589</v>
      </c>
      <c r="X239" s="127">
        <f ca="1">VALUE(_xll.BDP($A239 &amp; " Corp",X$1))</f>
        <v>40770</v>
      </c>
      <c r="Y239" s="127">
        <f ca="1">VALUE(_xll.BDP($A239 &amp; " Corp",Y$1))</f>
        <v>44058</v>
      </c>
      <c r="Z239" s="127">
        <f ca="1">VALUE(_xll.BDP($A239 &amp; " Corp",Z$1))</f>
        <v>44242</v>
      </c>
      <c r="AA239" s="128">
        <f ca="1">_xll.BDP($A239 &amp; " Corp",AA$1)/100</f>
        <v>3.6249999999999998E-2</v>
      </c>
      <c r="AB239" s="129">
        <f ca="1">_xll.BDP($A239 &amp; " Corp",AB$1)</f>
        <v>67585000000</v>
      </c>
      <c r="AC239" s="130" t="str">
        <f ca="1">IF(LEFT(B239,1)="B",_xll.INSTANCE.TBILL(A239,V239,Z239,TODAY()),_xll.INSTANCE.TNOTE(A239,V239,W239,X239,Y239,Z239,AA239,TODAY()))</f>
        <v>US912828PX26#0028</v>
      </c>
    </row>
    <row r="240" spans="1:29" x14ac:dyDescent="0.2">
      <c r="A240" s="131" t="s">
        <v>552</v>
      </c>
      <c r="B240" s="115" t="str">
        <f ca="1">_xll.BDP($A240 &amp; " Govt",B$1)</f>
        <v>T 7 7/8 02/15/21</v>
      </c>
      <c r="C240" s="372"/>
      <c r="D240" s="116"/>
      <c r="E240" s="117"/>
      <c r="F240" s="118"/>
      <c r="G240" s="377"/>
      <c r="H240" s="120">
        <f ca="1">IF(E240="",_xll.BDP(A240 &amp; " Govt","YLD_YTM_ASK")/100,E240)</f>
        <v>1.3195277E-2</v>
      </c>
      <c r="I240" s="121">
        <f ca="1">_xll.INSTRUMENT.PRIX(AC240,D240,H240,cTreasuries)</f>
        <v>153.24596883112565</v>
      </c>
      <c r="J240" s="122">
        <f ca="1">_xll.INSTRUMENT.DV01(A240,,,I240,cContinuous,I240)</f>
        <v>-0.10570072626280222</v>
      </c>
      <c r="K240" s="123">
        <f ca="1">_xll.INSTRUMENT.CONVEXITE(A240,,,I240,cContinuous,I240)</f>
        <v>53.272172818216454</v>
      </c>
      <c r="L240" s="123">
        <f ca="1">_xll.INSTRUMENT.Z.SPREAD(A240,swapCurve,I240,cContinuous,D240)</f>
        <v>-16.53314482690153</v>
      </c>
      <c r="M240" s="123">
        <f ca="1">_xll.INSTRUMENT.Z.SPREAD(A240,ustCurve,I240,cContinuous,D240)</f>
        <v>0.41226620018294152</v>
      </c>
      <c r="N240" s="123">
        <f ca="1">_xll.INSTRUMENT.Z.SPREAD(A240,oisCurve,I240,cContinuous,D240)</f>
        <v>17.549844597263068</v>
      </c>
      <c r="O240" s="124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2.2062842159743624E-2</v>
      </c>
      <c r="P240" s="124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2.2409882740221859E-2</v>
      </c>
      <c r="Q240" s="379">
        <f ca="1">-(O240-curve!$S$3)/J240</f>
        <v>0.19247431519059552</v>
      </c>
      <c r="R240" s="381">
        <f t="shared" ca="1" si="4"/>
        <v>-503.99060348711896</v>
      </c>
      <c r="S240" s="199" t="str">
        <f>IF(F240&lt;&gt;"","",IF(G240="","",-G240*(SUMIF('bench Comparison'!$A:$A,"RESINV1USD",'bench Comparison'!$G:$G)+SUMIF('bench Comparison'!$A:$A,"RESSWAPORUSD",'bench Comparison'!$G:$G))/(36500*J240)))</f>
        <v/>
      </c>
      <c r="T240" s="210" t="str">
        <f>IF(G240&lt;&gt;"","",IF(F240="","",-36500*J240*F240/(SUMIF('bench Comparison'!$A:$A,"RESINV1USD",'bench Comparison'!$G:$G)+SUMIF('bench Comparison'!$A:$A,"RESSWAPORUSD",'bench Comparison'!$G:$G))))</f>
        <v/>
      </c>
      <c r="U240" s="125">
        <f>SUMIF('bench Comparison'!$E:$E,A240,'bench Comparison'!$N:$N)</f>
        <v>0</v>
      </c>
      <c r="V240" s="126">
        <f ca="1">VALUE(_xll.BDP($A240 &amp; " Corp",V$1))</f>
        <v>33284</v>
      </c>
      <c r="W240" s="127">
        <f ca="1">VALUE(_xll.BDP($A240 &amp; " Corp",W$1))</f>
        <v>33284</v>
      </c>
      <c r="X240" s="127">
        <f ca="1">VALUE(_xll.BDP($A240 &amp; " Corp",X$1))</f>
        <v>33465</v>
      </c>
      <c r="Y240" s="127">
        <f ca="1">VALUE(_xll.BDP($A240 &amp; " Corp",Y$1))</f>
        <v>44058</v>
      </c>
      <c r="Z240" s="127">
        <f ca="1">VALUE(_xll.BDP($A240 &amp; " Corp",Z$1))</f>
        <v>44242</v>
      </c>
      <c r="AA240" s="128">
        <f ca="1">_xll.BDP($A240 &amp; " Corp",AA$1)/100</f>
        <v>7.8750000000000001E-2</v>
      </c>
      <c r="AB240" s="129">
        <f ca="1">_xll.BDP($A240 &amp; " Corp",AB$1)</f>
        <v>10076000000</v>
      </c>
      <c r="AC240" s="130" t="str">
        <f ca="1">IF(LEFT(B240,1)="B",_xll.INSTANCE.TBILL(A240,V240,Z240,TODAY()),_xll.INSTANCE.TNOTE(A240,V240,W240,X240,Y240,Z240,AA240,TODAY()))</f>
        <v>US912810EH78#0028</v>
      </c>
    </row>
    <row r="241" spans="1:29" x14ac:dyDescent="0.2">
      <c r="A241" s="131" t="s">
        <v>262</v>
      </c>
      <c r="B241" s="115" t="str">
        <f ca="1">_xll.BDP($A241 &amp; " Govt",B$1)</f>
        <v>T 3 1/8 05/15/21</v>
      </c>
      <c r="C241" s="372"/>
      <c r="D241" s="116"/>
      <c r="E241" s="117"/>
      <c r="F241" s="118"/>
      <c r="G241" s="377"/>
      <c r="H241" s="120">
        <f ca="1">IF(E241="",_xll.BDP(A241 &amp; " Govt","YLD_YTM_ASK")/100,E241)</f>
        <v>1.4309907E-2</v>
      </c>
      <c r="I241" s="121">
        <f ca="1">_xll.INSTRUMENT.PRIX(AC241,D241,H241,cTreasuries)</f>
        <v>114.06488703858932</v>
      </c>
      <c r="J241" s="122">
        <f ca="1">_xll.INSTRUMENT.DV01(A241,,,I241,cContinuous,I241)</f>
        <v>-9.0109255025022303E-2</v>
      </c>
      <c r="K241" s="123">
        <f ca="1">_xll.INSTRUMENT.CONVEXITE(A241,,,I241,cContinuous,I241)</f>
        <v>66.862131259380845</v>
      </c>
      <c r="L241" s="123">
        <f ca="1">_xll.INSTRUMENT.Z.SPREAD(A241,swapCurve,I241,cContinuous,D241)</f>
        <v>-15.609193503574369</v>
      </c>
      <c r="M241" s="123">
        <f ca="1">_xll.INSTRUMENT.Z.SPREAD(A241,ustCurve,I241,cContinuous,D241)</f>
        <v>0.11984349624967065</v>
      </c>
      <c r="N241" s="123">
        <f ca="1">_xll.INSTRUMENT.Z.SPREAD(A241,oisCurve,I241,cContinuous,D241)</f>
        <v>18.301776236030875</v>
      </c>
      <c r="O241" s="124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2.8333363051434111E-2</v>
      </c>
      <c r="P241" s="124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2.5728087713271761E-2</v>
      </c>
      <c r="Q241" s="379">
        <f ca="1">-(O241-curve!$S$3)/J241</f>
        <v>0.29536583991157406</v>
      </c>
      <c r="R241" s="381">
        <f t="shared" ca="1" si="4"/>
        <v>-742.01180823006473</v>
      </c>
      <c r="S241" s="199" t="str">
        <f>IF(F241&lt;&gt;"","",IF(G241="","",-G241*(SUMIF('bench Comparison'!$A:$A,"RESINV1USD",'bench Comparison'!$G:$G)+SUMIF('bench Comparison'!$A:$A,"RESSWAPORUSD",'bench Comparison'!$G:$G))/(36500*J241)))</f>
        <v/>
      </c>
      <c r="T241" s="210" t="str">
        <f>IF(G241&lt;&gt;"","",IF(F241="","",-36500*J241*F241/(SUMIF('bench Comparison'!$A:$A,"RESINV1USD",'bench Comparison'!$G:$G)+SUMIF('bench Comparison'!$A:$A,"RESSWAPORUSD",'bench Comparison'!$G:$G))))</f>
        <v/>
      </c>
      <c r="U241" s="125">
        <f>SUMIF('bench Comparison'!$E:$E,A241,'bench Comparison'!$N:$N)</f>
        <v>0</v>
      </c>
      <c r="V241" s="126">
        <f ca="1">VALUE(_xll.BDP($A241 &amp; " Corp",V$1))</f>
        <v>40679</v>
      </c>
      <c r="W241" s="127">
        <f ca="1">VALUE(_xll.BDP($A241 &amp; " Corp",W$1))</f>
        <v>40678</v>
      </c>
      <c r="X241" s="127">
        <f ca="1">VALUE(_xll.BDP($A241 &amp; " Corp",X$1))</f>
        <v>40862</v>
      </c>
      <c r="Y241" s="127">
        <f ca="1">VALUE(_xll.BDP($A241 &amp; " Corp",Y$1))</f>
        <v>44150</v>
      </c>
      <c r="Z241" s="127">
        <f ca="1">VALUE(_xll.BDP($A241 &amp; " Corp",Z$1))</f>
        <v>44331</v>
      </c>
      <c r="AA241" s="128">
        <f ca="1">_xll.BDP($A241 &amp; " Corp",AA$1)/100</f>
        <v>3.125E-2</v>
      </c>
      <c r="AB241" s="129">
        <f ca="1">_xll.BDP($A241 &amp; " Corp",AB$1)</f>
        <v>66000000000</v>
      </c>
      <c r="AC241" s="130" t="str">
        <f ca="1">IF(LEFT(B241,1)="B",_xll.INSTANCE.TBILL(A241,V241,Z241,TODAY()),_xll.INSTANCE.TNOTE(A241,V241,W241,X241,Y241,Z241,AA241,TODAY()))</f>
        <v>US912828QN35#0028</v>
      </c>
    </row>
    <row r="242" spans="1:29" x14ac:dyDescent="0.2">
      <c r="A242" s="131" t="s">
        <v>553</v>
      </c>
      <c r="B242" s="115" t="str">
        <f ca="1">_xll.BDP($A242 &amp; " Govt",B$1)</f>
        <v>T 8 1/8 05/15/21</v>
      </c>
      <c r="C242" s="372"/>
      <c r="D242" s="116"/>
      <c r="E242" s="117"/>
      <c r="F242" s="118"/>
      <c r="G242" s="377"/>
      <c r="H242" s="120">
        <f ca="1">IF(E242="",_xll.BDP(A242 &amp; " Govt","YLD_YTM_ASK")/100,E242)</f>
        <v>1.3655911999999999E-2</v>
      </c>
      <c r="I242" s="121">
        <f ca="1">_xll.INSTRUMENT.PRIX(AC242,D242,H242,cTreasuries)</f>
        <v>156.28342988285303</v>
      </c>
      <c r="J242" s="122">
        <f ca="1">_xll.INSTRUMENT.DV01(A242,,,I242,cContinuous,I242)</f>
        <v>-0.10975747074380245</v>
      </c>
      <c r="K242" s="123">
        <f ca="1">_xll.INSTRUMENT.CONVEXITE(A242,,,I242,cContinuous,I242)</f>
        <v>56.238570643814484</v>
      </c>
      <c r="L242" s="123">
        <f ca="1">_xll.INSTRUMENT.Z.SPREAD(A242,swapCurve,I242,cContinuous,D242)</f>
        <v>-14.735256630607012</v>
      </c>
      <c r="M242" s="123">
        <f ca="1">_xll.INSTRUMENT.Z.SPREAD(A242,ustCurve,I242,cContinuous,D242)</f>
        <v>1.5571463754386914</v>
      </c>
      <c r="N242" s="123">
        <f ca="1">_xll.INSTRUMENT.Z.SPREAD(A242,oisCurve,I242,cContinuous,D242)</f>
        <v>19.263864811590054</v>
      </c>
      <c r="O242" s="124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2.3453128858404039E-2</v>
      </c>
      <c r="P242" s="124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2.3195224784967994E-2</v>
      </c>
      <c r="Q242" s="379">
        <f ca="1">-(O242-curve!$S$3)/J242</f>
        <v>0.19802717258286631</v>
      </c>
      <c r="R242" s="381">
        <f t="shared" ca="1" si="4"/>
        <v>-512.38945524799317</v>
      </c>
      <c r="S242" s="199" t="str">
        <f>IF(F242&lt;&gt;"","",IF(G242="","",-G242*(SUMIF('bench Comparison'!$A:$A,"RESINV1USD",'bench Comparison'!$G:$G)+SUMIF('bench Comparison'!$A:$A,"RESSWAPORUSD",'bench Comparison'!$G:$G))/(36500*J242)))</f>
        <v/>
      </c>
      <c r="T242" s="210" t="str">
        <f>IF(G242&lt;&gt;"","",IF(F242="","",-36500*J242*F242/(SUMIF('bench Comparison'!$A:$A,"RESINV1USD",'bench Comparison'!$G:$G)+SUMIF('bench Comparison'!$A:$A,"RESSWAPORUSD",'bench Comparison'!$G:$G))))</f>
        <v/>
      </c>
      <c r="U242" s="125">
        <f>SUMIF('bench Comparison'!$E:$E,A242,'bench Comparison'!$N:$N)</f>
        <v>0</v>
      </c>
      <c r="V242" s="126">
        <f ca="1">VALUE(_xll.BDP($A242 &amp; " Corp",V$1))</f>
        <v>33373</v>
      </c>
      <c r="W242" s="127">
        <f ca="1">VALUE(_xll.BDP($A242 &amp; " Corp",W$1))</f>
        <v>33373</v>
      </c>
      <c r="X242" s="127">
        <f ca="1">VALUE(_xll.BDP($A242 &amp; " Corp",X$1))</f>
        <v>33557</v>
      </c>
      <c r="Y242" s="127">
        <f ca="1">VALUE(_xll.BDP($A242 &amp; " Corp",Y$1))</f>
        <v>44150</v>
      </c>
      <c r="Z242" s="127">
        <f ca="1">VALUE(_xll.BDP($A242 &amp; " Corp",Z$1))</f>
        <v>44331</v>
      </c>
      <c r="AA242" s="128">
        <f ca="1">_xll.BDP($A242 &amp; " Corp",AA$1)/100</f>
        <v>8.1250000000000003E-2</v>
      </c>
      <c r="AB242" s="129">
        <f ca="1">_xll.BDP($A242 &amp; " Corp",AB$1)</f>
        <v>10067000000</v>
      </c>
      <c r="AC242" s="130" t="str">
        <f ca="1">IF(LEFT(B242,1)="B",_xll.INSTANCE.TBILL(A242,V242,Z242,TODAY()),_xll.INSTANCE.TNOTE(A242,V242,W242,X242,Y242,Z242,AA242,TODAY()))</f>
        <v>US912810EJ35#0028</v>
      </c>
    </row>
    <row r="243" spans="1:29" x14ac:dyDescent="0.2">
      <c r="A243" s="131" t="s">
        <v>264</v>
      </c>
      <c r="B243" s="115" t="str">
        <f ca="1">_xll.BDP($A243 &amp; " Govt",B$1)</f>
        <v>T 2 1/8 08/15/21</v>
      </c>
      <c r="C243" s="372"/>
      <c r="D243" s="116"/>
      <c r="E243" s="117"/>
      <c r="F243" s="118"/>
      <c r="G243" s="377"/>
      <c r="H243" s="120">
        <f ca="1">IF(E243="",_xll.BDP(A243 &amp; " Govt","YLD_YTM_ASK")/100,E243)</f>
        <v>1.4941830999999999E-2</v>
      </c>
      <c r="I243" s="121">
        <f ca="1">_xll.INSTRUMENT.PRIX(AC243,D243,H243,cTreasuries)</f>
        <v>105.36076169171335</v>
      </c>
      <c r="J243" s="122">
        <f ca="1">_xll.INSTRUMENT.DV01(A243,,,I243,cContinuous,I243)</f>
        <v>-8.8148673293404853E-2</v>
      </c>
      <c r="K243" s="123">
        <f ca="1">_xll.INSTRUMENT.CONVEXITE(A243,,,I243,cContinuous,I243)</f>
        <v>73.374735152228084</v>
      </c>
      <c r="L243" s="123">
        <f ca="1">_xll.INSTRUMENT.Z.SPREAD(A243,swapCurve,I243,cContinuous,D243)</f>
        <v>-14.542820823814244</v>
      </c>
      <c r="M243" s="123">
        <f ca="1">_xll.INSTRUMENT.Z.SPREAD(A243,ustCurve,I243,cContinuous,D243)</f>
        <v>0.21874832517892603</v>
      </c>
      <c r="N243" s="123">
        <f ca="1">_xll.INSTRUMENT.Z.SPREAD(A243,oisCurve,I243,cContinuous,D243)</f>
        <v>19.261284424547064</v>
      </c>
      <c r="O243" s="124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2.9295268826030039E-2</v>
      </c>
      <c r="P243" s="124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2.6600557753584341E-2</v>
      </c>
      <c r="Q243" s="379">
        <f ca="1">-(O243-curve!$S$3)/J243</f>
        <v>0.31284760778051485</v>
      </c>
      <c r="R243" s="381">
        <f t="shared" ca="1" si="4"/>
        <v>-832.39749857605477</v>
      </c>
      <c r="S243" s="199" t="str">
        <f>IF(F243&lt;&gt;"","",IF(G243="","",-G243*(SUMIF('bench Comparison'!$A:$A,"RESINV1USD",'bench Comparison'!$G:$G)+SUMIF('bench Comparison'!$A:$A,"RESSWAPORUSD",'bench Comparison'!$G:$G))/(36500*J243)))</f>
        <v/>
      </c>
      <c r="T243" s="210" t="str">
        <f>IF(G243&lt;&gt;"","",IF(F243="","",-36500*J243*F243/(SUMIF('bench Comparison'!$A:$A,"RESINV1USD",'bench Comparison'!$G:$G)+SUMIF('bench Comparison'!$A:$A,"RESSWAPORUSD",'bench Comparison'!$G:$G))))</f>
        <v/>
      </c>
      <c r="U243" s="125">
        <f>SUMIF('bench Comparison'!$E:$E,A243,'bench Comparison'!$N:$N)</f>
        <v>0</v>
      </c>
      <c r="V243" s="126">
        <f ca="1">VALUE(_xll.BDP($A243 &amp; " Corp",V$1))</f>
        <v>40770</v>
      </c>
      <c r="W243" s="127">
        <f ca="1">VALUE(_xll.BDP($A243 &amp; " Corp",W$1))</f>
        <v>40770</v>
      </c>
      <c r="X243" s="127">
        <f ca="1">VALUE(_xll.BDP($A243 &amp; " Corp",X$1))</f>
        <v>40954</v>
      </c>
      <c r="Y243" s="127">
        <f ca="1">VALUE(_xll.BDP($A243 &amp; " Corp",Y$1))</f>
        <v>44242</v>
      </c>
      <c r="Z243" s="127">
        <f ca="1">VALUE(_xll.BDP($A243 &amp; " Corp",Z$1))</f>
        <v>44423</v>
      </c>
      <c r="AA243" s="128">
        <f ca="1">_xll.BDP($A243 &amp; " Corp",AA$1)/100</f>
        <v>2.1250000000000002E-2</v>
      </c>
      <c r="AB243" s="129">
        <f ca="1">_xll.BDP($A243 &amp; " Corp",AB$1)</f>
        <v>66735000000</v>
      </c>
      <c r="AC243" s="130" t="str">
        <f ca="1">IF(LEFT(B243,1)="B",_xll.INSTANCE.TBILL(A243,V243,Z243,TODAY()),_xll.INSTANCE.TNOTE(A243,V243,W243,X243,Y243,Z243,AA243,TODAY()))</f>
        <v>US912828RC60#0028</v>
      </c>
    </row>
    <row r="244" spans="1:29" x14ac:dyDescent="0.2">
      <c r="A244" s="131" t="s">
        <v>554</v>
      </c>
      <c r="B244" s="115" t="str">
        <f ca="1">_xll.BDP($A244 &amp; " Govt",B$1)</f>
        <v>T 8 1/8 08/15/21</v>
      </c>
      <c r="C244" s="372"/>
      <c r="D244" s="116"/>
      <c r="E244" s="117"/>
      <c r="F244" s="118"/>
      <c r="G244" s="377"/>
      <c r="H244" s="120">
        <f ca="1">IF(E244="",_xll.BDP(A244 &amp; " Govt","YLD_YTM_ASK")/100,E244)</f>
        <v>1.4001682E-2</v>
      </c>
      <c r="I244" s="121">
        <f ca="1">_xll.INSTRUMENT.PRIX(AC244,D244,H244,cTreasuries)</f>
        <v>157.39141893080316</v>
      </c>
      <c r="J244" s="122">
        <f ca="1">_xll.INSTRUMENT.DV01(A244,,,I244,cContinuous,I244)</f>
        <v>-0.11304501565929424</v>
      </c>
      <c r="K244" s="123">
        <f ca="1">_xll.INSTRUMENT.CONVEXITE(A244,,,I244,cContinuous,I244)</f>
        <v>58.255436841333484</v>
      </c>
      <c r="L244" s="123">
        <f ca="1">_xll.INSTRUMENT.Z.SPREAD(A244,swapCurve,I244,cContinuous,D244)</f>
        <v>-14.301254373434535</v>
      </c>
      <c r="M244" s="123">
        <f ca="1">_xll.INSTRUMENT.Z.SPREAD(A244,ustCurve,I244,cContinuous,D244)</f>
        <v>1.2975187518035503</v>
      </c>
      <c r="N244" s="123">
        <f ca="1">_xll.INSTRUMENT.Z.SPREAD(A244,oisCurve,I244,cContinuous,D244)</f>
        <v>19.617596341933446</v>
      </c>
      <c r="O244" s="124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2.2815801627958657E-2</v>
      </c>
      <c r="P244" s="124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2.3093452724977502E-2</v>
      </c>
      <c r="Q244" s="379">
        <f ca="1">-(O244-curve!$S$3)/J244</f>
        <v>0.18663038124902853</v>
      </c>
      <c r="R244" s="381">
        <f t="shared" ca="1" si="4"/>
        <v>-515.32954815902042</v>
      </c>
      <c r="S244" s="199" t="str">
        <f>IF(F244&lt;&gt;"","",IF(G244="","",-G244*(SUMIF('bench Comparison'!$A:$A,"RESINV1USD",'bench Comparison'!$G:$G)+SUMIF('bench Comparison'!$A:$A,"RESSWAPORUSD",'bench Comparison'!$G:$G))/(36500*J244)))</f>
        <v/>
      </c>
      <c r="T244" s="210" t="str">
        <f>IF(G244&lt;&gt;"","",IF(F244="","",-36500*J244*F244/(SUMIF('bench Comparison'!$A:$A,"RESINV1USD",'bench Comparison'!$G:$G)+SUMIF('bench Comparison'!$A:$A,"RESSWAPORUSD",'bench Comparison'!$G:$G))))</f>
        <v/>
      </c>
      <c r="U244" s="125">
        <f>SUMIF('bench Comparison'!$E:$E,A244,'bench Comparison'!$N:$N)</f>
        <v>0</v>
      </c>
      <c r="V244" s="126">
        <f ca="1">VALUE(_xll.BDP($A244 &amp; " Corp",V$1))</f>
        <v>33465</v>
      </c>
      <c r="W244" s="127">
        <f ca="1">VALUE(_xll.BDP($A244 &amp; " Corp",W$1))</f>
        <v>33465</v>
      </c>
      <c r="X244" s="127">
        <f ca="1">VALUE(_xll.BDP($A244 &amp; " Corp",X$1))</f>
        <v>33649</v>
      </c>
      <c r="Y244" s="127">
        <f ca="1">VALUE(_xll.BDP($A244 &amp; " Corp",Y$1))</f>
        <v>44242</v>
      </c>
      <c r="Z244" s="127">
        <f ca="1">VALUE(_xll.BDP($A244 &amp; " Corp",Z$1))</f>
        <v>44423</v>
      </c>
      <c r="AA244" s="128">
        <f ca="1">_xll.BDP($A244 &amp; " Corp",AA$1)/100</f>
        <v>8.1250000000000003E-2</v>
      </c>
      <c r="AB244" s="129">
        <f ca="1">_xll.BDP($A244 &amp; " Corp",AB$1)</f>
        <v>9506000000</v>
      </c>
      <c r="AC244" s="130" t="str">
        <f ca="1">IF(LEFT(B244,1)="B",_xll.INSTANCE.TBILL(A244,V244,Z244,TODAY()),_xll.INSTANCE.TNOTE(A244,V244,W244,X244,Y244,Z244,AA244,TODAY()))</f>
        <v>US912810EK08#0028</v>
      </c>
    </row>
    <row r="245" spans="1:29" x14ac:dyDescent="0.2">
      <c r="A245" s="131" t="s">
        <v>555</v>
      </c>
      <c r="B245" s="115" t="str">
        <f ca="1">_xll.BDP($A245 &amp; " Govt",B$1)</f>
        <v>T 8 11/15/21</v>
      </c>
      <c r="C245" s="372"/>
      <c r="D245" s="116"/>
      <c r="E245" s="117"/>
      <c r="F245" s="118"/>
      <c r="G245" s="377"/>
      <c r="H245" s="120">
        <f ca="1">IF(E245="",_xll.BDP(A245 &amp; " Govt","YLD_YTM_ASK")/100,E245)</f>
        <v>1.4364557E-2</v>
      </c>
      <c r="I245" s="121">
        <f ca="1">_xll.INSTRUMENT.PRIX(AC245,D245,H245,cTreasuries)</f>
        <v>157.34071498859214</v>
      </c>
      <c r="J245" s="122">
        <f ca="1">_xll.INSTRUMENT.DV01(A245,,,I245,cContinuous,I245)</f>
        <v>-0.11573711026277055</v>
      </c>
      <c r="K245" s="123">
        <f ca="1">_xll.INSTRUMENT.CONVEXITE(A245,,,I245,cContinuous,I245)</f>
        <v>62.005429830073808</v>
      </c>
      <c r="L245" s="123">
        <f ca="1">_xll.INSTRUMENT.Z.SPREAD(A245,swapCurve,I245,cContinuous,D245)</f>
        <v>-13.787868074735391</v>
      </c>
      <c r="M245" s="123">
        <f ca="1">_xll.INSTRUMENT.Z.SPREAD(A245,ustCurve,I245,cContinuous,D245)</f>
        <v>1.1321172853628856</v>
      </c>
      <c r="N245" s="123">
        <f ca="1">_xll.INSTRUMENT.Z.SPREAD(A245,oisCurve,I245,cContinuous,D245)</f>
        <v>20.089285646068046</v>
      </c>
      <c r="O245" s="124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2.3144085919406102E-2</v>
      </c>
      <c r="P245" s="124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2.3512575225977019E-2</v>
      </c>
      <c r="Q245" s="379">
        <f ca="1">-(O245-curve!$S$3)/J245</f>
        <v>0.18512574414203306</v>
      </c>
      <c r="R245" s="381">
        <f t="shared" ca="1" si="4"/>
        <v>-535.74371858167308</v>
      </c>
      <c r="S245" s="199" t="str">
        <f>IF(F245&lt;&gt;"","",IF(G245="","",-G245*(SUMIF('bench Comparison'!$A:$A,"RESINV1USD",'bench Comparison'!$G:$G)+SUMIF('bench Comparison'!$A:$A,"RESSWAPORUSD",'bench Comparison'!$G:$G))/(36500*J245)))</f>
        <v/>
      </c>
      <c r="T245" s="210" t="str">
        <f>IF(G245&lt;&gt;"","",IF(F245="","",-36500*J245*F245/(SUMIF('bench Comparison'!$A:$A,"RESINV1USD",'bench Comparison'!$G:$G)+SUMIF('bench Comparison'!$A:$A,"RESSWAPORUSD",'bench Comparison'!$G:$G))))</f>
        <v/>
      </c>
      <c r="U245" s="125">
        <f>SUMIF('bench Comparison'!$E:$E,A245,'bench Comparison'!$N:$N)</f>
        <v>0</v>
      </c>
      <c r="V245" s="126">
        <f ca="1">VALUE(_xll.BDP($A245 &amp; " Corp",V$1))</f>
        <v>33557</v>
      </c>
      <c r="W245" s="127">
        <f ca="1">VALUE(_xll.BDP($A245 &amp; " Corp",W$1))</f>
        <v>33557</v>
      </c>
      <c r="X245" s="127">
        <f ca="1">VALUE(_xll.BDP($A245 &amp; " Corp",X$1))</f>
        <v>33739</v>
      </c>
      <c r="Y245" s="127">
        <f ca="1">VALUE(_xll.BDP($A245 &amp; " Corp",Y$1))</f>
        <v>44331</v>
      </c>
      <c r="Z245" s="127">
        <f ca="1">VALUE(_xll.BDP($A245 &amp; " Corp",Z$1))</f>
        <v>44515</v>
      </c>
      <c r="AA245" s="128">
        <f ca="1">_xll.BDP($A245 &amp; " Corp",AA$1)/100</f>
        <v>0.08</v>
      </c>
      <c r="AB245" s="129">
        <f ca="1">_xll.BDP($A245 &amp; " Corp",AB$1)</f>
        <v>30632000000</v>
      </c>
      <c r="AC245" s="130" t="str">
        <f ca="1">IF(LEFT(B245,1)="B",_xll.INSTANCE.TBILL(A245,V245,Z245,TODAY()),_xll.INSTANCE.TNOTE(A245,V245,W245,X245,Y245,Z245,AA245,TODAY()))</f>
        <v>US912810EL80#0028</v>
      </c>
    </row>
    <row r="246" spans="1:29" x14ac:dyDescent="0.2">
      <c r="A246" s="131" t="s">
        <v>65</v>
      </c>
      <c r="B246" s="115" t="str">
        <f ca="1">_xll.BDP($A246 &amp; " Govt",B$1)</f>
        <v>T 2 11/15/21</v>
      </c>
      <c r="C246" s="372" t="s">
        <v>935</v>
      </c>
      <c r="D246" s="116"/>
      <c r="E246" s="117"/>
      <c r="F246" s="118"/>
      <c r="G246" s="377"/>
      <c r="H246" s="120">
        <f ca="1">IF(E246="",_xll.BDP(A246 &amp; " Govt","YLD_YTM_ASK")/100,E246)</f>
        <v>1.5486211999999999E-2</v>
      </c>
      <c r="I246" s="121">
        <f ca="1">_xll.INSTRUMENT.PRIX(AC246,D246,H246,cTreasuries)</f>
        <v>103.9188751395636</v>
      </c>
      <c r="J246" s="122">
        <f ca="1">_xll.INSTRUMENT.DV01(A246,,,I246,cContinuous,I246)</f>
        <v>-8.9485358764253467E-2</v>
      </c>
      <c r="K246" s="123">
        <f ca="1">_xll.INSTRUMENT.CONVEXITE(A246,,,I246,cContinuous,I246)</f>
        <v>78.046777908309267</v>
      </c>
      <c r="L246" s="123">
        <f ca="1">_xll.INSTRUMENT.Z.SPREAD(A246,swapCurve,I246,cContinuous,D246)</f>
        <v>-12.669184278725822</v>
      </c>
      <c r="M246" s="123">
        <f ca="1">_xll.INSTRUMENT.Z.SPREAD(A246,ustCurve,I246,cContinuous,D246)</f>
        <v>1.2544838003445926</v>
      </c>
      <c r="N246" s="123">
        <f ca="1">_xll.INSTRUMENT.Z.SPREAD(A246,oisCurve,I246,cContinuous,D246)</f>
        <v>21.075337502103643</v>
      </c>
      <c r="O246" s="124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2.9365430867171128E-2</v>
      </c>
      <c r="P246" s="124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2.7045823020425051E-2</v>
      </c>
      <c r="Q246" s="379">
        <f ca="1">-(O246-curve!$S$3)/J246</f>
        <v>0.30895851558068682</v>
      </c>
      <c r="R246" s="381">
        <f t="shared" ca="1" si="4"/>
        <v>-872.17371630504601</v>
      </c>
      <c r="S246" s="199" t="str">
        <f>IF(F246&lt;&gt;"","",IF(G246="","",-G246*(SUMIF('bench Comparison'!$A:$A,"RESINV1USD",'bench Comparison'!$G:$G)+SUMIF('bench Comparison'!$A:$A,"RESSWAPORUSD",'bench Comparison'!$G:$G))/(36500*J246)))</f>
        <v/>
      </c>
      <c r="T246" s="210" t="str">
        <f>IF(G246&lt;&gt;"","",IF(F246="","",-36500*J246*F246/(SUMIF('bench Comparison'!$A:$A,"RESINV1USD",'bench Comparison'!$G:$G)+SUMIF('bench Comparison'!$A:$A,"RESSWAPORUSD",'bench Comparison'!$G:$G))))</f>
        <v/>
      </c>
      <c r="U246" s="125">
        <f>SUMIF('bench Comparison'!$E:$E,A246,'bench Comparison'!$N:$N)</f>
        <v>-115449142.47516418</v>
      </c>
      <c r="V246" s="126">
        <f ca="1">VALUE(_xll.BDP($A246 &amp; " Corp",V$1))</f>
        <v>40862</v>
      </c>
      <c r="W246" s="127">
        <f ca="1">VALUE(_xll.BDP($A246 &amp; " Corp",W$1))</f>
        <v>40862</v>
      </c>
      <c r="X246" s="127">
        <f ca="1">VALUE(_xll.BDP($A246 &amp; " Corp",X$1))</f>
        <v>41044</v>
      </c>
      <c r="Y246" s="127">
        <f ca="1">VALUE(_xll.BDP($A246 &amp; " Corp",Y$1))</f>
        <v>44331</v>
      </c>
      <c r="Z246" s="127">
        <f ca="1">VALUE(_xll.BDP($A246 &amp; " Corp",Z$1))</f>
        <v>44515</v>
      </c>
      <c r="AA246" s="128">
        <f ca="1">_xll.BDP($A246 &amp; " Corp",AA$1)/100</f>
        <v>0.02</v>
      </c>
      <c r="AB246" s="129">
        <f ca="1">_xll.BDP($A246 &amp; " Corp",AB$1)</f>
        <v>70092000000</v>
      </c>
      <c r="AC246" s="130" t="str">
        <f ca="1">IF(LEFT(B246,1)="B",_xll.INSTANCE.TBILL(A246,V246,Z246,TODAY()),_xll.INSTANCE.TNOTE(A246,V246,W246,X246,Y246,Z246,AA246,TODAY()))</f>
        <v>US912828RR30#0028</v>
      </c>
    </row>
    <row r="247" spans="1:29" x14ac:dyDescent="0.2">
      <c r="A247" s="131" t="s">
        <v>67</v>
      </c>
      <c r="B247" s="115" t="str">
        <f ca="1">_xll.BDP($A247 &amp; " Govt",B$1)</f>
        <v>T 2 02/15/22</v>
      </c>
      <c r="C247" s="372" t="s">
        <v>934</v>
      </c>
      <c r="D247" s="116"/>
      <c r="E247" s="117"/>
      <c r="F247" s="118"/>
      <c r="G247" s="377"/>
      <c r="H247" s="120">
        <f ca="1">IF(E247="",_xll.BDP(A247 &amp; " Govt","YLD_YTM_ASK")/100,E247)</f>
        <v>1.5937702000000002E-2</v>
      </c>
      <c r="I247" s="121">
        <f ca="1">_xll.INSTRUMENT.PRIX(AC247,D247,H247,cTreasuries)</f>
        <v>103.60515099892525</v>
      </c>
      <c r="J247" s="122">
        <f ca="1">_xll.INSTRUMENT.DV01(A247,,,I247,cContinuous,I247)</f>
        <v>-9.1385254338980607E-2</v>
      </c>
      <c r="K247" s="123">
        <f ca="1">_xll.INSTRUMENT.CONVEXITE(A247,,,I247,cContinuous,I247)</f>
        <v>81.630679962984743</v>
      </c>
      <c r="L247" s="123">
        <f ca="1">_xll.INSTRUMENT.Z.SPREAD(A247,swapCurve,I247,cContinuous,D247)</f>
        <v>-11.431818797236932</v>
      </c>
      <c r="M247" s="123">
        <f ca="1">_xll.INSTRUMENT.Z.SPREAD(A247,ustCurve,I247,cContinuous,D247)</f>
        <v>1.6280810373241092</v>
      </c>
      <c r="N247" s="123">
        <f ca="1">_xll.INSTRUMENT.Z.SPREAD(A247,oisCurve,I247,cContinuous,D247)</f>
        <v>22.230861715021533</v>
      </c>
      <c r="O247" s="124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2.9660608533704651E-2</v>
      </c>
      <c r="P247" s="124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2.7377610229006977E-2</v>
      </c>
      <c r="Q247" s="379">
        <f ca="1">-(O247-curve!$S$3)/J247</f>
        <v>0.30576531715821426</v>
      </c>
      <c r="R247" s="381">
        <f t="shared" ca="1" si="4"/>
        <v>-893.25877083175089</v>
      </c>
      <c r="S247" s="199" t="str">
        <f>IF(F247&lt;&gt;"","",IF(G247="","",-G247*(SUMIF('bench Comparison'!$A:$A,"RESINV1USD",'bench Comparison'!$G:$G)+SUMIF('bench Comparison'!$A:$A,"RESSWAPORUSD",'bench Comparison'!$G:$G))/(36500*J247)))</f>
        <v/>
      </c>
      <c r="T247" s="210" t="str">
        <f>IF(G247&lt;&gt;"","",IF(F247="","",-36500*J247*F247/(SUMIF('bench Comparison'!$A:$A,"RESINV1USD",'bench Comparison'!$G:$G)+SUMIF('bench Comparison'!$A:$A,"RESSWAPORUSD",'bench Comparison'!$G:$G))))</f>
        <v/>
      </c>
      <c r="U247" s="125">
        <f>SUMIF('bench Comparison'!$E:$E,A247,'bench Comparison'!$N:$N)</f>
        <v>89589100.189650044</v>
      </c>
      <c r="V247" s="126">
        <f ca="1">VALUE(_xll.BDP($A247 &amp; " Corp",V$1))</f>
        <v>40954</v>
      </c>
      <c r="W247" s="127">
        <f ca="1">VALUE(_xll.BDP($A247 &amp; " Corp",W$1))</f>
        <v>40954</v>
      </c>
      <c r="X247" s="127">
        <f ca="1">VALUE(_xll.BDP($A247 &amp; " Corp",X$1))</f>
        <v>41136</v>
      </c>
      <c r="Y247" s="127">
        <f ca="1">VALUE(_xll.BDP($A247 &amp; " Corp",Y$1))</f>
        <v>44423</v>
      </c>
      <c r="Z247" s="127">
        <f ca="1">VALUE(_xll.BDP($A247 &amp; " Corp",Z$1))</f>
        <v>44607</v>
      </c>
      <c r="AA247" s="128">
        <f ca="1">_xll.BDP($A247 &amp; " Corp",AA$1)/100</f>
        <v>0.02</v>
      </c>
      <c r="AB247" s="129">
        <f ca="1">_xll.BDP($A247 &amp; " Corp",AB$1)</f>
        <v>74200000000</v>
      </c>
      <c r="AC247" s="130" t="str">
        <f ca="1">IF(LEFT(B247,1)="B",_xll.INSTANCE.TBILL(A247,V247,Z247,TODAY()),_xll.INSTANCE.TNOTE(A247,V247,W247,X247,Y247,Z247,AA247,TODAY()))</f>
        <v>US912828SF82#0027</v>
      </c>
    </row>
    <row r="248" spans="1:29" x14ac:dyDescent="0.2">
      <c r="A248" s="131" t="s">
        <v>867</v>
      </c>
      <c r="B248" s="115" t="str">
        <f ca="1">_xll.BDP($A248 &amp; " Govt",B$1)</f>
        <v>T 1 3/4 05/15/22</v>
      </c>
      <c r="C248" s="372" t="s">
        <v>927</v>
      </c>
      <c r="D248" s="116"/>
      <c r="E248" s="117"/>
      <c r="F248" s="118"/>
      <c r="G248" s="377"/>
      <c r="H248" s="120">
        <f ca="1">IF(E248="",_xll.BDP(A248 &amp; " Govt","YLD_YTM_ASK")/100,E248)</f>
        <v>1.6312142999999998E-2</v>
      </c>
      <c r="I248" s="121">
        <f ca="1">_xll.INSTRUMENT.PRIX(AC248,D248,H248,cTreasuries)</f>
        <v>101.08067215602196</v>
      </c>
      <c r="J248" s="122">
        <f ca="1">_xll.INSTRUMENT.DV01(A248,,,I248,cContinuous,I248)</f>
        <v>-9.2116008017672155E-2</v>
      </c>
      <c r="K248" s="123">
        <f ca="1">_xll.INSTRUMENT.CONVEXITE(A248,,,I248,cContinuous,I248)</f>
        <v>87.189241226704112</v>
      </c>
      <c r="L248" s="123">
        <f ca="1">_xll.INSTRUMENT.Z.SPREAD(A248,swapCurve,I248,cContinuous,D248)</f>
        <v>-11.380512431678737</v>
      </c>
      <c r="M248" s="123">
        <f ca="1">_xll.INSTRUMENT.Z.SPREAD(A248,ustCurve,I248,cContinuous,D248)</f>
        <v>0.7107930913799857</v>
      </c>
      <c r="N248" s="123">
        <f ca="1">_xll.INSTRUMENT.Z.SPREAD(A248,oisCurve,I248,cContinuous,D248)</f>
        <v>22.150260627675088</v>
      </c>
      <c r="O248" s="124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3.1436523191511724E-2</v>
      </c>
      <c r="P248" s="124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2.8248803590165704E-2</v>
      </c>
      <c r="Q248" s="379">
        <f ca="1">-(O248-curve!$S$3)/J248</f>
        <v>0.32261879964064638</v>
      </c>
      <c r="R248" s="381">
        <f t="shared" ca="1" si="4"/>
        <v>-946.51562853198266</v>
      </c>
      <c r="S248" s="199" t="str">
        <f>IF(F248&lt;&gt;"","",IF(G248="","",-G248*(SUMIF('bench Comparison'!$A:$A,"RESINV1USD",'bench Comparison'!$G:$G)+SUMIF('bench Comparison'!$A:$A,"RESSWAPORUSD",'bench Comparison'!$G:$G))/(36500*J248)))</f>
        <v/>
      </c>
      <c r="T248" s="210" t="str">
        <f>IF(G248&lt;&gt;"","",IF(F248="","",-36500*J248*F248/(SUMIF('bench Comparison'!$A:$A,"RESINV1USD",'bench Comparison'!$G:$G)+SUMIF('bench Comparison'!$A:$A,"RESSWAPORUSD",'bench Comparison'!$G:$G))))</f>
        <v/>
      </c>
      <c r="U248" s="125">
        <f>SUMIF('bench Comparison'!$E:$E,A248,'bench Comparison'!$N:$N)</f>
        <v>144428807.30045241</v>
      </c>
      <c r="V248" s="126">
        <f ca="1">VALUE(_xll.BDP($A248 &amp; " Corp",V$1))</f>
        <v>41044</v>
      </c>
      <c r="W248" s="127">
        <f ca="1">VALUE(_xll.BDP($A248 &amp; " Corp",W$1))</f>
        <v>41044</v>
      </c>
      <c r="X248" s="127">
        <f ca="1">VALUE(_xll.BDP($A248 &amp; " Corp",X$1))</f>
        <v>41228</v>
      </c>
      <c r="Y248" s="127">
        <f ca="1">VALUE(_xll.BDP($A248 &amp; " Corp",Y$1))</f>
        <v>44515</v>
      </c>
      <c r="Z248" s="127">
        <f ca="1">VALUE(_xll.BDP($A248 &amp; " Corp",Z$1))</f>
        <v>44696</v>
      </c>
      <c r="AA248" s="128">
        <f ca="1">_xll.BDP($A248 &amp; " Corp",AA$1)/100</f>
        <v>1.7500000000000002E-2</v>
      </c>
      <c r="AB248" s="129">
        <f ca="1">_xll.BDP($A248 &amp; " Corp",AB$1)</f>
        <v>46501000000</v>
      </c>
      <c r="AC248" s="130" t="str">
        <f ca="1">IF(LEFT(B248,1)="B",_xll.INSTANCE.TBILL(A248,V248,Z248,TODAY()),_xll.INSTANCE.TNOTE(A248,V248,W248,X248,Y248,Z248,AA248,TODAY()))</f>
        <v>US912828SV33#0028</v>
      </c>
    </row>
    <row r="249" spans="1:29" x14ac:dyDescent="0.2">
      <c r="A249" s="131" t="s">
        <v>556</v>
      </c>
      <c r="B249" s="115" t="str">
        <f ca="1">_xll.BDP($A249 &amp; " Govt",B$1)</f>
        <v>T 7 1/4 08/15/22</v>
      </c>
      <c r="C249" s="372"/>
      <c r="D249" s="116"/>
      <c r="E249" s="117"/>
      <c r="F249" s="118"/>
      <c r="G249" s="377"/>
      <c r="H249" s="120">
        <f ca="1">IF(E249="",_xll.BDP(A249 &amp; " Govt","YLD_YTM_ASK")/100,E249)</f>
        <v>1.5496546E-2</v>
      </c>
      <c r="I249" s="121">
        <f ca="1">_xll.INSTRUMENT.PRIX(AC249,D249,H249,cTreasuries)</f>
        <v>153.20384652313632</v>
      </c>
      <c r="J249" s="122">
        <f ca="1">_xll.INSTRUMENT.DV01(A249,,,I249,cContinuous,I249)</f>
        <v>-0.12163621335613799</v>
      </c>
      <c r="K249" s="123">
        <f ca="1">_xll.INSTRUMENT.CONVEXITE(A249,,,I249,cContinuous,I249)</f>
        <v>71.503290635132757</v>
      </c>
      <c r="L249" s="123">
        <f ca="1">_xll.INSTRUMENT.Z.SPREAD(A249,swapCurve,I249,cContinuous,D249)</f>
        <v>-11.85517451732326</v>
      </c>
      <c r="M249" s="123">
        <f ca="1">_xll.INSTRUMENT.Z.SPREAD(A249,ustCurve,I249,cContinuous,D249)</f>
        <v>0.637588542553988</v>
      </c>
      <c r="N249" s="123">
        <f ca="1">_xll.INSTRUMENT.Z.SPREAD(A249,oisCurve,I249,cContinuous,D249)</f>
        <v>21.654590291167523</v>
      </c>
      <c r="O249" s="124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2.4258272736570843E-2</v>
      </c>
      <c r="P249" s="124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2.4434302107499868E-2</v>
      </c>
      <c r="Q249" s="379">
        <f ca="1">-(O249-curve!$S$3)/J249</f>
        <v>0.18530752361892114</v>
      </c>
      <c r="R249" s="381">
        <f t="shared" ca="1" si="4"/>
        <v>-587.84541759598085</v>
      </c>
      <c r="S249" s="199" t="str">
        <f>IF(F249&lt;&gt;"","",IF(G249="","",-G249*(SUMIF('bench Comparison'!$A:$A,"RESINV1USD",'bench Comparison'!$G:$G)+SUMIF('bench Comparison'!$A:$A,"RESSWAPORUSD",'bench Comparison'!$G:$G))/(36500*J249)))</f>
        <v/>
      </c>
      <c r="T249" s="210" t="str">
        <f>IF(G249&lt;&gt;"","",IF(F249="","",-36500*J249*F249/(SUMIF('bench Comparison'!$A:$A,"RESINV1USD",'bench Comparison'!$G:$G)+SUMIF('bench Comparison'!$A:$A,"RESSWAPORUSD",'bench Comparison'!$G:$G))))</f>
        <v/>
      </c>
      <c r="U249" s="125">
        <f>SUMIF('bench Comparison'!$E:$E,A249,'bench Comparison'!$N:$N)</f>
        <v>0</v>
      </c>
      <c r="V249" s="126">
        <f ca="1">VALUE(_xll.BDP($A249 &amp; " Corp",V$1))</f>
        <v>33833</v>
      </c>
      <c r="W249" s="127">
        <f ca="1">VALUE(_xll.BDP($A249 &amp; " Corp",W$1))</f>
        <v>33831</v>
      </c>
      <c r="X249" s="127">
        <f ca="1">VALUE(_xll.BDP($A249 &amp; " Corp",X$1))</f>
        <v>34015</v>
      </c>
      <c r="Y249" s="127">
        <f ca="1">VALUE(_xll.BDP($A249 &amp; " Corp",Y$1))</f>
        <v>44607</v>
      </c>
      <c r="Z249" s="127">
        <f ca="1">VALUE(_xll.BDP($A249 &amp; " Corp",Z$1))</f>
        <v>44788</v>
      </c>
      <c r="AA249" s="128">
        <f ca="1">_xll.BDP($A249 &amp; " Corp",AA$1)/100</f>
        <v>7.2499999999999995E-2</v>
      </c>
      <c r="AB249" s="129">
        <f ca="1">_xll.BDP($A249 &amp; " Corp",AB$1)</f>
        <v>10128000000</v>
      </c>
      <c r="AC249" s="130" t="str">
        <f ca="1">IF(LEFT(B249,1)="B",_xll.INSTANCE.TBILL(A249,V249,Z249,TODAY()),_xll.INSTANCE.TNOTE(A249,V249,W249,X249,Y249,Z249,AA249,TODAY()))</f>
        <v>US912810EM63#0028</v>
      </c>
    </row>
    <row r="250" spans="1:29" x14ac:dyDescent="0.2">
      <c r="A250" s="131" t="s">
        <v>557</v>
      </c>
      <c r="B250" s="115" t="str">
        <f ca="1">_xll.BDP($A250 &amp; " Govt",B$1)</f>
        <v>T 7 5/8 11/15/22</v>
      </c>
      <c r="C250" s="372"/>
      <c r="D250" s="116"/>
      <c r="E250" s="117"/>
      <c r="F250" s="118"/>
      <c r="G250" s="377"/>
      <c r="H250" s="120">
        <f ca="1">IF(E250="",_xll.BDP(A250 &amp; " Govt","YLD_YTM_ASK")/100,E250)</f>
        <v>1.5859742999999999E-2</v>
      </c>
      <c r="I250" s="121">
        <f ca="1">_xll.INSTRUMENT.PRIX(AC250,D250,H250,cTreasuries)</f>
        <v>157.52786476793031</v>
      </c>
      <c r="J250" s="122">
        <f ca="1">_xll.INSTRUMENT.DV01(A250,,,I250,cContinuous,I250)</f>
        <v>-0.12651843524969555</v>
      </c>
      <c r="K250" s="123">
        <f ca="1">_xll.INSTRUMENT.CONVEXITE(A250,,,I250,cContinuous,I250)</f>
        <v>74.536931324511514</v>
      </c>
      <c r="L250" s="123">
        <f ca="1">_xll.INSTRUMENT.Z.SPREAD(A250,swapCurve,I250,cContinuous,D250)</f>
        <v>-10.20892249295788</v>
      </c>
      <c r="M250" s="123">
        <f ca="1">_xll.INSTRUMENT.Z.SPREAD(A250,ustCurve,I250,cContinuous,D250)</f>
        <v>1.4813112028404576</v>
      </c>
      <c r="N250" s="123">
        <f ca="1">_xll.INSTRUMENT.Z.SPREAD(A250,oisCurve,I250,cContinuous,D250)</f>
        <v>23.099332560964601</v>
      </c>
      <c r="O250" s="124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2.480670526989311E-2</v>
      </c>
      <c r="P250" s="124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2.4846942533971843E-2</v>
      </c>
      <c r="Q250" s="379">
        <f ca="1">-(O250-curve!$S$3)/J250</f>
        <v>0.18249149198821202</v>
      </c>
      <c r="R250" s="381">
        <f t="shared" ca="1" si="4"/>
        <v>-589.13889645731194</v>
      </c>
      <c r="S250" s="199" t="str">
        <f>IF(F250&lt;&gt;"","",IF(G250="","",-G250*(SUMIF('bench Comparison'!$A:$A,"RESINV1USD",'bench Comparison'!$G:$G)+SUMIF('bench Comparison'!$A:$A,"RESSWAPORUSD",'bench Comparison'!$G:$G))/(36500*J250)))</f>
        <v/>
      </c>
      <c r="T250" s="210" t="str">
        <f>IF(G250&lt;&gt;"","",IF(F250="","",-36500*J250*F250/(SUMIF('bench Comparison'!$A:$A,"RESINV1USD",'bench Comparison'!$G:$G)+SUMIF('bench Comparison'!$A:$A,"RESSWAPORUSD",'bench Comparison'!$G:$G))))</f>
        <v/>
      </c>
      <c r="U250" s="125">
        <f>SUMIF('bench Comparison'!$E:$E,A250,'bench Comparison'!$N:$N)</f>
        <v>0</v>
      </c>
      <c r="V250" s="126">
        <f ca="1">VALUE(_xll.BDP($A250 &amp; " Corp",V$1))</f>
        <v>33924</v>
      </c>
      <c r="W250" s="127">
        <f ca="1">VALUE(_xll.BDP($A250 &amp; " Corp",W$1))</f>
        <v>33923</v>
      </c>
      <c r="X250" s="127">
        <f ca="1">VALUE(_xll.BDP($A250 &amp; " Corp",X$1))</f>
        <v>34104</v>
      </c>
      <c r="Y250" s="127">
        <f ca="1">VALUE(_xll.BDP($A250 &amp; " Corp",Y$1))</f>
        <v>44696</v>
      </c>
      <c r="Z250" s="127">
        <f ca="1">VALUE(_xll.BDP($A250 &amp; " Corp",Z$1))</f>
        <v>44880</v>
      </c>
      <c r="AA250" s="128">
        <f ca="1">_xll.BDP($A250 &amp; " Corp",AA$1)/100</f>
        <v>7.6249999999999998E-2</v>
      </c>
      <c r="AB250" s="129">
        <f ca="1">_xll.BDP($A250 &amp; " Corp",AB$1)</f>
        <v>7424000000</v>
      </c>
      <c r="AC250" s="130" t="str">
        <f ca="1">IF(LEFT(B250,1)="B",_xll.INSTANCE.TBILL(A250,V250,Z250,TODAY()),_xll.INSTANCE.TNOTE(A250,V250,W250,X250,Y250,Z250,AA250,TODAY()))</f>
        <v>US912810EN47#0028</v>
      </c>
    </row>
    <row r="251" spans="1:29" x14ac:dyDescent="0.2">
      <c r="A251" s="131" t="s">
        <v>558</v>
      </c>
      <c r="B251" s="115" t="str">
        <f ca="1">_xll.BDP($A251 &amp; " Govt",B$1)</f>
        <v>T 7 1/8 02/15/23</v>
      </c>
      <c r="C251" s="372"/>
      <c r="D251" s="116"/>
      <c r="E251" s="117"/>
      <c r="F251" s="118"/>
      <c r="G251" s="377"/>
      <c r="H251" s="120">
        <f ca="1">IF(E251="",_xll.BDP(A251 &amp; " Govt","YLD_YTM_ASK")/100,E251)</f>
        <v>1.6372133000000001E-2</v>
      </c>
      <c r="I251" s="121">
        <f ca="1">_xll.INSTRUMENT.PRIX(AC251,D251,H251,cTreasuries)</f>
        <v>153.2917852778663</v>
      </c>
      <c r="J251" s="122">
        <f ca="1">_xll.INSTRUMENT.DV01(A251,,,I251,cContinuous,I251)</f>
        <v>-0.1267899014259557</v>
      </c>
      <c r="K251" s="123">
        <f ca="1">_xll.INSTRUMENT.CONVEXITE(A251,,,I251,cContinuous,I251)</f>
        <v>77.97717279579048</v>
      </c>
      <c r="L251" s="123">
        <f ca="1">_xll.INSTRUMENT.Z.SPREAD(A251,swapCurve,I251,cContinuous,D251)</f>
        <v>-8.3094803034034186</v>
      </c>
      <c r="M251" s="123">
        <f ca="1">_xll.INSTRUMENT.Z.SPREAD(A251,ustCurve,I251,cContinuous,D251)</f>
        <v>2.3504711571154866</v>
      </c>
      <c r="N251" s="123">
        <f ca="1">_xll.INSTRUMENT.Z.SPREAD(A251,oisCurve,I251,cContinuous,D251)</f>
        <v>24.740880631354159</v>
      </c>
      <c r="O251" s="124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2.5141027760524223E-2</v>
      </c>
      <c r="P251" s="124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2.5179614068254648E-2</v>
      </c>
      <c r="Q251" s="379">
        <f ca="1">-(O251-curve!$S$3)/J251</f>
        <v>0.18473758745715893</v>
      </c>
      <c r="R251" s="381">
        <f t="shared" ca="1" si="4"/>
        <v>-615.01091111210098</v>
      </c>
      <c r="S251" s="199" t="str">
        <f>IF(F251&lt;&gt;"","",IF(G251="","",-G251*(SUMIF('bench Comparison'!$A:$A,"RESINV1USD",'bench Comparison'!$G:$G)+SUMIF('bench Comparison'!$A:$A,"RESSWAPORUSD",'bench Comparison'!$G:$G))/(36500*J251)))</f>
        <v/>
      </c>
      <c r="T251" s="210" t="str">
        <f>IF(G251&lt;&gt;"","",IF(F251="","",-36500*J251*F251/(SUMIF('bench Comparison'!$A:$A,"RESINV1USD",'bench Comparison'!$G:$G)+SUMIF('bench Comparison'!$A:$A,"RESSWAPORUSD",'bench Comparison'!$G:$G))))</f>
        <v/>
      </c>
      <c r="U251" s="125">
        <f>SUMIF('bench Comparison'!$E:$E,A251,'bench Comparison'!$N:$N)</f>
        <v>0</v>
      </c>
      <c r="V251" s="126">
        <f ca="1">VALUE(_xll.BDP($A251 &amp; " Corp",V$1))</f>
        <v>34016</v>
      </c>
      <c r="W251" s="127">
        <f ca="1">VALUE(_xll.BDP($A251 &amp; " Corp",W$1))</f>
        <v>34015</v>
      </c>
      <c r="X251" s="127">
        <f ca="1">VALUE(_xll.BDP($A251 &amp; " Corp",X$1))</f>
        <v>34196</v>
      </c>
      <c r="Y251" s="127">
        <f ca="1">VALUE(_xll.BDP($A251 &amp; " Corp",Y$1))</f>
        <v>44788</v>
      </c>
      <c r="Z251" s="127">
        <f ca="1">VALUE(_xll.BDP($A251 &amp; " Corp",Z$1))</f>
        <v>44972</v>
      </c>
      <c r="AA251" s="128">
        <f ca="1">_xll.BDP($A251 &amp; " Corp",AA$1)/100</f>
        <v>7.1249999999999994E-2</v>
      </c>
      <c r="AB251" s="129">
        <f ca="1">_xll.BDP($A251 &amp; " Corp",AB$1)</f>
        <v>15782000000</v>
      </c>
      <c r="AC251" s="130" t="str">
        <f ca="1">IF(LEFT(B251,1)="B",_xll.INSTANCE.TBILL(A251,V251,Z251,TODAY()),_xll.INSTANCE.TNOTE(A251,V251,W251,X251,Y251,Z251,AA251,TODAY()))</f>
        <v>US912810EP94#0028</v>
      </c>
    </row>
    <row r="252" spans="1:29" x14ac:dyDescent="0.2">
      <c r="A252" s="131" t="s">
        <v>559</v>
      </c>
      <c r="B252" s="115" t="str">
        <f ca="1">_xll.BDP($A252 &amp; " Govt",B$1)</f>
        <v>T 6 1/4 08/15/23</v>
      </c>
      <c r="C252" s="372"/>
      <c r="D252" s="116"/>
      <c r="E252" s="117"/>
      <c r="F252" s="118"/>
      <c r="G252" s="377"/>
      <c r="H252" s="120">
        <f ca="1">IF(E252="",_xll.BDP(A252 &amp; " Govt","YLD_YTM_ASK")/100,E252)</f>
        <v>1.7224936E-2</v>
      </c>
      <c r="I252" s="121">
        <f ca="1">_xll.INSTRUMENT.PRIX(AC252,D252,H252,cTreasuries)</f>
        <v>145.64127241821595</v>
      </c>
      <c r="J252" s="122">
        <f ca="1">_xll.INSTRUMENT.DV01(A252,,,I252,cContinuous,I252)</f>
        <v>-0.12741304971488179</v>
      </c>
      <c r="K252" s="123">
        <f ca="1">_xll.INSTRUMENT.CONVEXITE(A252,,,I252,cContinuous,I252)</f>
        <v>86.921687948918944</v>
      </c>
      <c r="L252" s="123">
        <f ca="1">_xll.INSTRUMENT.Z.SPREAD(A252,swapCurve,I252,cContinuous,D252)</f>
        <v>-6.0470594941355316</v>
      </c>
      <c r="M252" s="123">
        <f ca="1">_xll.INSTRUMENT.Z.SPREAD(A252,ustCurve,I252,cContinuous,D252)</f>
        <v>2.7047441189193173</v>
      </c>
      <c r="N252" s="123">
        <f ca="1">_xll.INSTRUMENT.Z.SPREAD(A252,oisCurve,I252,cContinuous,D252)</f>
        <v>26.654651040253778</v>
      </c>
      <c r="O252" s="124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2.6429484986748172E-2</v>
      </c>
      <c r="P252" s="124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2.6103015124379042E-2</v>
      </c>
      <c r="Q252" s="379">
        <f ca="1">-(O252-curve!$S$3)/J252</f>
        <v>0.19394652105795823</v>
      </c>
      <c r="R252" s="381">
        <f t="shared" ca="1" si="4"/>
        <v>-682.20396688900951</v>
      </c>
      <c r="S252" s="199" t="str">
        <f>IF(F252&lt;&gt;"","",IF(G252="","",-G252*(SUMIF('bench Comparison'!$A:$A,"RESINV1USD",'bench Comparison'!$G:$G)+SUMIF('bench Comparison'!$A:$A,"RESSWAPORUSD",'bench Comparison'!$G:$G))/(36500*J252)))</f>
        <v/>
      </c>
      <c r="T252" s="210" t="str">
        <f>IF(G252&lt;&gt;"","",IF(F252="","",-36500*J252*F252/(SUMIF('bench Comparison'!$A:$A,"RESINV1USD",'bench Comparison'!$G:$G)+SUMIF('bench Comparison'!$A:$A,"RESSWAPORUSD",'bench Comparison'!$G:$G))))</f>
        <v/>
      </c>
      <c r="U252" s="125">
        <f>SUMIF('bench Comparison'!$E:$E,A252,'bench Comparison'!$N:$N)</f>
        <v>0</v>
      </c>
      <c r="V252" s="126">
        <f ca="1">VALUE(_xll.BDP($A252 &amp; " Corp",V$1))</f>
        <v>34197</v>
      </c>
      <c r="W252" s="127">
        <f ca="1">VALUE(_xll.BDP($A252 &amp; " Corp",W$1))</f>
        <v>34196</v>
      </c>
      <c r="X252" s="127">
        <f ca="1">VALUE(_xll.BDP($A252 &amp; " Corp",X$1))</f>
        <v>34380</v>
      </c>
      <c r="Y252" s="127">
        <f ca="1">VALUE(_xll.BDP($A252 &amp; " Corp",Y$1))</f>
        <v>44972</v>
      </c>
      <c r="Z252" s="127">
        <f ca="1">VALUE(_xll.BDP($A252 &amp; " Corp",Z$1))</f>
        <v>45153</v>
      </c>
      <c r="AA252" s="128">
        <f ca="1">_xll.BDP($A252 &amp; " Corp",AA$1)/100</f>
        <v>6.25E-2</v>
      </c>
      <c r="AB252" s="129">
        <f ca="1">_xll.BDP($A252 &amp; " Corp",AB$1)</f>
        <v>22659000000</v>
      </c>
      <c r="AC252" s="130" t="str">
        <f ca="1">IF(LEFT(B252,1)="B",_xll.INSTANCE.TBILL(A252,V252,Z252,TODAY()),_xll.INSTANCE.TNOTE(A252,V252,W252,X252,Y252,Z252,AA252,TODAY()))</f>
        <v>US912810EQ77#0028</v>
      </c>
    </row>
    <row r="253" spans="1:29" x14ac:dyDescent="0.2">
      <c r="A253" s="131" t="s">
        <v>560</v>
      </c>
      <c r="B253" s="115" t="str">
        <f ca="1">_xll.BDP($A253 &amp; " Govt",B$1)</f>
        <v>T 7 1/2 11/15/24</v>
      </c>
      <c r="C253" s="372"/>
      <c r="D253" s="116"/>
      <c r="E253" s="117"/>
      <c r="F253" s="118"/>
      <c r="G253" s="377"/>
      <c r="H253" s="120">
        <f ca="1">IF(E253="",_xll.BDP(A253 &amp; " Govt","YLD_YTM_ASK")/100,E253)</f>
        <v>1.8535673999999999E-2</v>
      </c>
      <c r="I253" s="121">
        <f ca="1">_xll.INSTRUMENT.PRIX(AC253,D253,H253,cTreasuries)</f>
        <v>162.15156675342627</v>
      </c>
      <c r="J253" s="122">
        <f ca="1">_xll.INSTRUMENT.DV01(A253,,,I253,cContinuous,I253)</f>
        <v>-0.14968176748029341</v>
      </c>
      <c r="K253" s="123">
        <f ca="1">_xll.INSTRUMENT.CONVEXITE(A253,,,I253,cContinuous,I253)</f>
        <v>100.56382895176429</v>
      </c>
      <c r="L253" s="123">
        <f ca="1">_xll.INSTRUMENT.Z.SPREAD(A253,swapCurve,I253,cContinuous,D253)</f>
        <v>-2.1591215548076326</v>
      </c>
      <c r="M253" s="123">
        <f ca="1">_xll.INSTRUMENT.Z.SPREAD(A253,ustCurve,I253,cContinuous,D253)</f>
        <v>3.4947976610251215</v>
      </c>
      <c r="N253" s="123">
        <f ca="1">_xll.INSTRUMENT.Z.SPREAD(A253,oisCurve,I253,cContinuous,D253)</f>
        <v>30.44342873716073</v>
      </c>
      <c r="O253" s="124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2.6922759654663203E-2</v>
      </c>
      <c r="P253" s="124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2.6654847313382E-2</v>
      </c>
      <c r="Q253" s="379">
        <f ca="1">-(O253-curve!$S$3)/J253</f>
        <v>0.16838785926829319</v>
      </c>
      <c r="R253" s="381">
        <f t="shared" ca="1" si="4"/>
        <v>-671.85089169263176</v>
      </c>
      <c r="S253" s="199" t="str">
        <f>IF(F253&lt;&gt;"","",IF(G253="","",-G253*(SUMIF('bench Comparison'!$A:$A,"RESINV1USD",'bench Comparison'!$G:$G)+SUMIF('bench Comparison'!$A:$A,"RESSWAPORUSD",'bench Comparison'!$G:$G))/(36500*J253)))</f>
        <v/>
      </c>
      <c r="T253" s="210" t="str">
        <f>IF(G253&lt;&gt;"","",IF(F253="","",-36500*J253*F253/(SUMIF('bench Comparison'!$A:$A,"RESINV1USD",'bench Comparison'!$G:$G)+SUMIF('bench Comparison'!$A:$A,"RESSWAPORUSD",'bench Comparison'!$G:$G))))</f>
        <v/>
      </c>
      <c r="U253" s="125">
        <f>SUMIF('bench Comparison'!$E:$E,A253,'bench Comparison'!$N:$N)</f>
        <v>0</v>
      </c>
      <c r="V253" s="126">
        <f ca="1">VALUE(_xll.BDP($A253 &amp; " Corp",V$1))</f>
        <v>34561</v>
      </c>
      <c r="W253" s="127">
        <f ca="1">VALUE(_xll.BDP($A253 &amp; " Corp",W$1))</f>
        <v>34561</v>
      </c>
      <c r="X253" s="127">
        <f ca="1">VALUE(_xll.BDP($A253 &amp; " Corp",X$1))</f>
        <v>34653</v>
      </c>
      <c r="Y253" s="127">
        <f ca="1">VALUE(_xll.BDP($A253 &amp; " Corp",Y$1))</f>
        <v>45427</v>
      </c>
      <c r="Z253" s="127">
        <f ca="1">VALUE(_xll.BDP($A253 &amp; " Corp",Z$1))</f>
        <v>45611</v>
      </c>
      <c r="AA253" s="128">
        <f ca="1">_xll.BDP($A253 &amp; " Corp",AA$1)/100</f>
        <v>7.4999999999999997E-2</v>
      </c>
      <c r="AB253" s="129">
        <f ca="1">_xll.BDP($A253 &amp; " Corp",AB$1)</f>
        <v>9604000000</v>
      </c>
      <c r="AC253" s="130" t="str">
        <f ca="1">IF(LEFT(B253,1)="B",_xll.INSTANCE.TBILL(A253,V253,Z253,TODAY()),_xll.INSTANCE.TNOTE(A253,V253,W253,X253,Y253,Z253,AA253,TODAY()))</f>
        <v>US912810ES34#0028</v>
      </c>
    </row>
    <row r="254" spans="1:29" x14ac:dyDescent="0.2">
      <c r="A254" s="131" t="s">
        <v>561</v>
      </c>
      <c r="B254" s="115" t="str">
        <f ca="1">_xll.BDP($A254 &amp; " Govt",B$1)</f>
        <v>T 7 5/8 02/15/25</v>
      </c>
      <c r="C254" s="372"/>
      <c r="D254" s="116"/>
      <c r="E254" s="117"/>
      <c r="F254" s="118"/>
      <c r="G254" s="377"/>
      <c r="H254" s="120">
        <f ca="1">IF(E254="",_xll.BDP(A254 &amp; " Govt","YLD_YTM_ASK")/100,E254)</f>
        <v>1.8817271999999999E-2</v>
      </c>
      <c r="I254" s="121">
        <f ca="1">_xll.INSTRUMENT.PRIX(AC254,D254,H254,cTreasuries)</f>
        <v>164.24384876536402</v>
      </c>
      <c r="J254" s="122">
        <f ca="1">_xll.INSTRUMENT.DV01(A254,,,I254,cContinuous,I254)</f>
        <v>-0.15360196733012507</v>
      </c>
      <c r="K254" s="123">
        <f ca="1">_xll.INSTRUMENT.CONVEXITE(A254,,,I254,cContinuous,I254)</f>
        <v>102.46089063268569</v>
      </c>
      <c r="L254" s="123">
        <f ca="1">_xll.INSTRUMENT.Z.SPREAD(A254,swapCurve,I254,cContinuous,D254)</f>
        <v>-1.2290440163169616</v>
      </c>
      <c r="M254" s="123">
        <f ca="1">_xll.INSTRUMENT.Z.SPREAD(A254,ustCurve,I254,cContinuous,D254)</f>
        <v>3.6607478257398878</v>
      </c>
      <c r="N254" s="123">
        <f ca="1">_xll.INSTRUMENT.Z.SPREAD(A254,oisCurve,I254,cContinuous,D254)</f>
        <v>31.24731280926478</v>
      </c>
      <c r="O254" s="124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2.8328740912116852E-2</v>
      </c>
      <c r="P254" s="124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2.7061500873403064E-2</v>
      </c>
      <c r="Q254" s="379">
        <f ca="1">-(O254-curve!$S$3)/J254</f>
        <v>0.17324370330337363</v>
      </c>
      <c r="R254" s="381">
        <f t="shared" ca="1" si="4"/>
        <v>-667.05454632930753</v>
      </c>
      <c r="S254" s="199" t="str">
        <f>IF(F254&lt;&gt;"","",IF(G254="","",-G254*(SUMIF('bench Comparison'!$A:$A,"RESINV1USD",'bench Comparison'!$G:$G)+SUMIF('bench Comparison'!$A:$A,"RESSWAPORUSD",'bench Comparison'!$G:$G))/(36500*J254)))</f>
        <v/>
      </c>
      <c r="T254" s="210" t="str">
        <f>IF(G254&lt;&gt;"","",IF(F254="","",-36500*J254*F254/(SUMIF('bench Comparison'!$A:$A,"RESINV1USD",'bench Comparison'!$G:$G)+SUMIF('bench Comparison'!$A:$A,"RESSWAPORUSD",'bench Comparison'!$G:$G))))</f>
        <v/>
      </c>
      <c r="U254" s="125">
        <f>SUMIF('bench Comparison'!$E:$E,A254,'bench Comparison'!$N:$N)</f>
        <v>0</v>
      </c>
      <c r="V254" s="126">
        <f ca="1">VALUE(_xll.BDP($A254 &amp; " Corp",V$1))</f>
        <v>34745</v>
      </c>
      <c r="W254" s="127">
        <f ca="1">VALUE(_xll.BDP($A254 &amp; " Corp",W$1))</f>
        <v>34745</v>
      </c>
      <c r="X254" s="127">
        <f ca="1">VALUE(_xll.BDP($A254 &amp; " Corp",X$1))</f>
        <v>34926</v>
      </c>
      <c r="Y254" s="127">
        <f ca="1">VALUE(_xll.BDP($A254 &amp; " Corp",Y$1))</f>
        <v>45519</v>
      </c>
      <c r="Z254" s="127">
        <f ca="1">VALUE(_xll.BDP($A254 &amp; " Corp",Z$1))</f>
        <v>45703</v>
      </c>
      <c r="AA254" s="128">
        <f ca="1">_xll.BDP($A254 &amp; " Corp",AA$1)/100</f>
        <v>7.6249999999999998E-2</v>
      </c>
      <c r="AB254" s="129">
        <f ca="1">_xll.BDP($A254 &amp; " Corp",AB$1)</f>
        <v>9509000000</v>
      </c>
      <c r="AC254" s="130" t="str">
        <f ca="1">IF(LEFT(B254,1)="B",_xll.INSTANCE.TBILL(A254,V254,Z254,TODAY()),_xll.INSTANCE.TNOTE(A254,V254,W254,X254,Y254,Z254,AA254,TODAY()))</f>
        <v>US912810ET17#0028</v>
      </c>
    </row>
    <row r="255" spans="1:29" x14ac:dyDescent="0.2">
      <c r="A255" s="131" t="s">
        <v>562</v>
      </c>
      <c r="B255" s="115" t="str">
        <f ca="1">_xll.BDP($A255 &amp; " Govt",B$1)</f>
        <v>T 6 7/8 08/15/25</v>
      </c>
      <c r="C255" s="372"/>
      <c r="D255" s="116"/>
      <c r="E255" s="117"/>
      <c r="F255" s="118"/>
      <c r="G255" s="377"/>
      <c r="H255" s="120">
        <f ca="1">IF(E255="",_xll.BDP(A255 &amp; " Govt","YLD_YTM_ASK")/100,E255)</f>
        <v>1.9482424000000002E-2</v>
      </c>
      <c r="I255" s="121">
        <f ca="1">_xll.INSTRUMENT.PRIX(AC255,D255,H255,cTreasuries)</f>
        <v>156.79690384785357</v>
      </c>
      <c r="J255" s="122">
        <f ca="1">_xll.INSTRUMENT.DV01(A255,,,I255,cContinuous,I255)</f>
        <v>-0.1535413898308137</v>
      </c>
      <c r="K255" s="123">
        <f ca="1">_xll.INSTRUMENT.CONVEXITE(A255,,,I255,cContinuous,I255)</f>
        <v>112.0598523573513</v>
      </c>
      <c r="L255" s="123">
        <f ca="1">_xll.INSTRUMENT.Z.SPREAD(A255,swapCurve,I255,cContinuous,D255)</f>
        <v>0.62648177256353343</v>
      </c>
      <c r="M255" s="123">
        <f ca="1">_xll.INSTRUMENT.Z.SPREAD(A255,ustCurve,I255,cContinuous,D255)</f>
        <v>3.6016956150169004</v>
      </c>
      <c r="N255" s="123">
        <f ca="1">_xll.INSTRUMENT.Z.SPREAD(A255,oisCurve,I255,cContinuous,D255)</f>
        <v>32.746589978799449</v>
      </c>
      <c r="O255" s="124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2.7462984167243038E-2</v>
      </c>
      <c r="P255" s="124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2.7099771504200607E-2</v>
      </c>
      <c r="Q255" s="379">
        <f ca="1">-(O255-curve!$S$3)/J255</f>
        <v>0.1676734653662372</v>
      </c>
      <c r="R255" s="381">
        <f t="shared" ref="R255:R286" ca="1" si="6">K255/J255</f>
        <v>-729.83481835633609</v>
      </c>
      <c r="S255" s="199" t="str">
        <f>IF(F255&lt;&gt;"","",IF(G255="","",-G255*(SUMIF('bench Comparison'!$A:$A,"RESINV1USD",'bench Comparison'!$G:$G)+SUMIF('bench Comparison'!$A:$A,"RESSWAPORUSD",'bench Comparison'!$G:$G))/(36500*J255)))</f>
        <v/>
      </c>
      <c r="T255" s="210" t="str">
        <f>IF(G255&lt;&gt;"","",IF(F255="","",-36500*J255*F255/(SUMIF('bench Comparison'!$A:$A,"RESINV1USD",'bench Comparison'!$G:$G)+SUMIF('bench Comparison'!$A:$A,"RESSWAPORUSD",'bench Comparison'!$G:$G))))</f>
        <v/>
      </c>
      <c r="U255" s="125">
        <f>SUMIF('bench Comparison'!$E:$E,A255,'bench Comparison'!$N:$N)</f>
        <v>0</v>
      </c>
      <c r="V255" s="126">
        <f ca="1">VALUE(_xll.BDP($A255 &amp; " Corp",V$1))</f>
        <v>34926</v>
      </c>
      <c r="W255" s="127">
        <f ca="1">VALUE(_xll.BDP($A255 &amp; " Corp",W$1))</f>
        <v>34926</v>
      </c>
      <c r="X255" s="127">
        <f ca="1">VALUE(_xll.BDP($A255 &amp; " Corp",X$1))</f>
        <v>35110</v>
      </c>
      <c r="Y255" s="127">
        <f ca="1">VALUE(_xll.BDP($A255 &amp; " Corp",Y$1))</f>
        <v>45703</v>
      </c>
      <c r="Z255" s="127">
        <f ca="1">VALUE(_xll.BDP($A255 &amp; " Corp",Z$1))</f>
        <v>45884</v>
      </c>
      <c r="AA255" s="128">
        <f ca="1">_xll.BDP($A255 &amp; " Corp",AA$1)/100</f>
        <v>6.8750000000000006E-2</v>
      </c>
      <c r="AB255" s="129">
        <f ca="1">_xll.BDP($A255 &amp; " Corp",AB$1)</f>
        <v>11187000000</v>
      </c>
      <c r="AC255" s="130" t="str">
        <f ca="1">IF(LEFT(B255,1)="B",_xll.INSTANCE.TBILL(A255,V255,Z255,TODAY()),_xll.INSTANCE.TNOTE(A255,V255,W255,X255,Y255,Z255,AA255,TODAY()))</f>
        <v>US912810EV62#0028</v>
      </c>
    </row>
    <row r="256" spans="1:29" x14ac:dyDescent="0.2">
      <c r="A256" s="131" t="s">
        <v>563</v>
      </c>
      <c r="B256" s="115" t="str">
        <f ca="1">_xll.BDP($A256 &amp; " Govt",B$1)</f>
        <v>T 6 02/15/26</v>
      </c>
      <c r="C256" s="372"/>
      <c r="D256" s="116"/>
      <c r="E256" s="117"/>
      <c r="F256" s="118"/>
      <c r="G256" s="377"/>
      <c r="H256" s="120">
        <f ca="1">IF(E256="",_xll.BDP(A256 &amp; " Govt","YLD_YTM_ASK")/100,E256)</f>
        <v>2.0197143999999997E-2</v>
      </c>
      <c r="I256" s="121">
        <f ca="1">_xll.INSTRUMENT.PRIX(AC256,D256,H256,cTreasuries)</f>
        <v>147.18121332081003</v>
      </c>
      <c r="J256" s="122">
        <f ca="1">_xll.INSTRUMENT.DV01(A256,,,I256,cContinuous,I256)</f>
        <v>-0.15169628777327099</v>
      </c>
      <c r="K256" s="123">
        <f ca="1">_xll.INSTRUMENT.CONVEXITE(A256,,,I256,cContinuous,I256)</f>
        <v>123.54042521221994</v>
      </c>
      <c r="L256" s="123">
        <f ca="1">_xll.INSTRUMENT.Z.SPREAD(A256,swapCurve,I256,cContinuous,D256)</f>
        <v>2.6483003472266504</v>
      </c>
      <c r="M256" s="123">
        <f ca="1">_xll.INSTRUMENT.Z.SPREAD(A256,ustCurve,I256,cContinuous,D256)</f>
        <v>3.4124899471831132</v>
      </c>
      <c r="N256" s="123">
        <f ca="1">_xll.INSTRUMENT.Z.SPREAD(A256,oisCurve,I256,cContinuous,D256)</f>
        <v>34.2988866075329</v>
      </c>
      <c r="O256" s="124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2.9553750441037311E-2</v>
      </c>
      <c r="P256" s="124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2.8059656373568494E-2</v>
      </c>
      <c r="Q256" s="379">
        <f ca="1">-(O256-curve!$S$3)/J256</f>
        <v>0.183495480294672</v>
      </c>
      <c r="R256" s="381">
        <f t="shared" ca="1" si="6"/>
        <v>-814.39319989732712</v>
      </c>
      <c r="S256" s="199" t="str">
        <f>IF(F256&lt;&gt;"","",IF(G256="","",-G256*(SUMIF('bench Comparison'!$A:$A,"RESINV1USD",'bench Comparison'!$G:$G)+SUMIF('bench Comparison'!$A:$A,"RESSWAPORUSD",'bench Comparison'!$G:$G))/(36500*J256)))</f>
        <v/>
      </c>
      <c r="T256" s="210" t="str">
        <f>IF(G256&lt;&gt;"","",IF(F256="","",-36500*J256*F256/(SUMIF('bench Comparison'!$A:$A,"RESINV1USD",'bench Comparison'!$G:$G)+SUMIF('bench Comparison'!$A:$A,"RESSWAPORUSD",'bench Comparison'!$G:$G))))</f>
        <v/>
      </c>
      <c r="U256" s="125">
        <f>SUMIF('bench Comparison'!$E:$E,A256,'bench Comparison'!$N:$N)</f>
        <v>0</v>
      </c>
      <c r="V256" s="126">
        <f ca="1">VALUE(_xll.BDP($A256 &amp; " Corp",V$1))</f>
        <v>35110</v>
      </c>
      <c r="W256" s="127">
        <f ca="1">VALUE(_xll.BDP($A256 &amp; " Corp",W$1))</f>
        <v>35110</v>
      </c>
      <c r="X256" s="127">
        <f ca="1">VALUE(_xll.BDP($A256 &amp; " Corp",X$1))</f>
        <v>35292</v>
      </c>
      <c r="Y256" s="127">
        <f ca="1">VALUE(_xll.BDP($A256 &amp; " Corp",Y$1))</f>
        <v>45884</v>
      </c>
      <c r="Z256" s="127">
        <f ca="1">VALUE(_xll.BDP($A256 &amp; " Corp",Z$1))</f>
        <v>46068</v>
      </c>
      <c r="AA256" s="128">
        <f ca="1">_xll.BDP($A256 &amp; " Corp",AA$1)/100</f>
        <v>0.06</v>
      </c>
      <c r="AB256" s="129">
        <f ca="1">_xll.BDP($A256 &amp; " Corp",AB$1)</f>
        <v>12838000000</v>
      </c>
      <c r="AC256" s="130" t="str">
        <f ca="1">IF(LEFT(B256,1)="B",_xll.INSTANCE.TBILL(A256,V256,Z256,TODAY()),_xll.INSTANCE.TNOTE(A256,V256,W256,X256,Y256,Z256,AA256,TODAY()))</f>
        <v>US912810EW46#0028</v>
      </c>
    </row>
    <row r="257" spans="1:29" x14ac:dyDescent="0.2">
      <c r="A257" s="131" t="s">
        <v>564</v>
      </c>
      <c r="B257" s="115" t="str">
        <f ca="1">_xll.BDP($A257 &amp; " Govt",B$1)</f>
        <v>T 6 3/4 08/15/26</v>
      </c>
      <c r="C257" s="372"/>
      <c r="D257" s="116"/>
      <c r="E257" s="117"/>
      <c r="F257" s="118"/>
      <c r="G257" s="377"/>
      <c r="H257" s="120">
        <f ca="1">IF(E257="",_xll.BDP(A257 &amp; " Govt","YLD_YTM_ASK")/100,E257)</f>
        <v>2.0409581E-2</v>
      </c>
      <c r="I257" s="121">
        <f ca="1">_xll.INSTRUMENT.PRIX(AC257,D257,H257,cTreasuries)</f>
        <v>157.51540631036627</v>
      </c>
      <c r="J257" s="122">
        <f ca="1">_xll.INSTRUMENT.DV01(A257,,,I257,cContinuous,I257)</f>
        <v>-0.16356950197509934</v>
      </c>
      <c r="K257" s="123">
        <f ca="1">_xll.INSTRUMENT.CONVEXITE(A257,,,I257,cContinuous,I257)</f>
        <v>127.14544439700538</v>
      </c>
      <c r="L257" s="123">
        <f ca="1">_xll.INSTRUMENT.Z.SPREAD(A257,swapCurve,I257,cContinuous,D257)</f>
        <v>3.3253261532644824</v>
      </c>
      <c r="M257" s="123">
        <f ca="1">_xll.INSTRUMENT.Z.SPREAD(A257,ustCurve,I257,cContinuous,D257)</f>
        <v>2.7789760834945647</v>
      </c>
      <c r="N257" s="123">
        <f ca="1">_xll.INSTRUMENT.Z.SPREAD(A257,oisCurve,I257,cContinuous,D257)</f>
        <v>34.629524300499867</v>
      </c>
      <c r="O257" s="124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2.8967441649243291E-2</v>
      </c>
      <c r="P257" s="124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2.7717803728217784E-2</v>
      </c>
      <c r="Q257" s="379">
        <f ca="1">-(O257-curve!$S$3)/J257</f>
        <v>0.16659141259859894</v>
      </c>
      <c r="R257" s="381">
        <f t="shared" ca="1" si="6"/>
        <v>-777.31754918689603</v>
      </c>
      <c r="S257" s="199" t="str">
        <f>IF(F257&lt;&gt;"","",IF(G257="","",-G257*(SUMIF('bench Comparison'!$A:$A,"RESINV1USD",'bench Comparison'!$G:$G)+SUMIF('bench Comparison'!$A:$A,"RESSWAPORUSD",'bench Comparison'!$G:$G))/(36500*J257)))</f>
        <v/>
      </c>
      <c r="T257" s="210" t="str">
        <f>IF(G257&lt;&gt;"","",IF(F257="","",-36500*J257*F257/(SUMIF('bench Comparison'!$A:$A,"RESINV1USD",'bench Comparison'!$G:$G)+SUMIF('bench Comparison'!$A:$A,"RESSWAPORUSD",'bench Comparison'!$G:$G))))</f>
        <v/>
      </c>
      <c r="U257" s="125">
        <f>SUMIF('bench Comparison'!$E:$E,A257,'bench Comparison'!$N:$N)</f>
        <v>0</v>
      </c>
      <c r="V257" s="126">
        <f ca="1">VALUE(_xll.BDP($A257 &amp; " Corp",V$1))</f>
        <v>35292</v>
      </c>
      <c r="W257" s="127">
        <f ca="1">VALUE(_xll.BDP($A257 &amp; " Corp",W$1))</f>
        <v>35292</v>
      </c>
      <c r="X257" s="127">
        <f ca="1">VALUE(_xll.BDP($A257 &amp; " Corp",X$1))</f>
        <v>35476</v>
      </c>
      <c r="Y257" s="127">
        <f ca="1">VALUE(_xll.BDP($A257 &amp; " Corp",Y$1))</f>
        <v>46068</v>
      </c>
      <c r="Z257" s="127">
        <f ca="1">VALUE(_xll.BDP($A257 &amp; " Corp",Z$1))</f>
        <v>46249</v>
      </c>
      <c r="AA257" s="128">
        <f ca="1">_xll.BDP($A257 &amp; " Corp",AA$1)/100</f>
        <v>6.7500000000000004E-2</v>
      </c>
      <c r="AB257" s="129">
        <f ca="1">_xll.BDP($A257 &amp; " Corp",AB$1)</f>
        <v>8810000000</v>
      </c>
      <c r="AC257" s="130" t="str">
        <f ca="1">IF(LEFT(B257,1)="B",_xll.INSTANCE.TBILL(A257,V257,Z257,TODAY()),_xll.INSTANCE.TNOTE(A257,V257,W257,X257,Y257,Z257,AA257,TODAY()))</f>
        <v>US912810EX29#0027</v>
      </c>
    </row>
    <row r="258" spans="1:29" x14ac:dyDescent="0.2">
      <c r="A258" s="131" t="s">
        <v>565</v>
      </c>
      <c r="B258" s="115" t="str">
        <f ca="1">_xll.BDP($A258 &amp; " Govt",B$1)</f>
        <v>T 6 1/2 11/15/26</v>
      </c>
      <c r="C258" s="372"/>
      <c r="D258" s="116"/>
      <c r="E258" s="117"/>
      <c r="F258" s="118"/>
      <c r="G258" s="377"/>
      <c r="H258" s="120">
        <f ca="1">IF(E258="",_xll.BDP(A258 &amp; " Govt","YLD_YTM_ASK")/100,E258)</f>
        <v>2.0683018000000001E-2</v>
      </c>
      <c r="I258" s="121">
        <f ca="1">_xll.INSTRUMENT.PRIX(AC258,D258,H258,cTreasuries)</f>
        <v>154.83913025246346</v>
      </c>
      <c r="J258" s="122">
        <f ca="1">_xll.INSTRUMENT.DV01(A258,,,I258,cContinuous,I258)</f>
        <v>-0.16393000824291812</v>
      </c>
      <c r="K258" s="123">
        <f ca="1">_xll.INSTRUMENT.CONVEXITE(A258,,,I258,cContinuous,I258)</f>
        <v>133.49534861748137</v>
      </c>
      <c r="L258" s="123">
        <f ca="1">_xll.INSTRUMENT.Z.SPREAD(A258,swapCurve,I258,cContinuous,D258)</f>
        <v>4.212250976439571</v>
      </c>
      <c r="M258" s="123">
        <f ca="1">_xll.INSTRUMENT.Z.SPREAD(A258,ustCurve,I258,cContinuous,D258)</f>
        <v>2.6652215643127097</v>
      </c>
      <c r="N258" s="123">
        <f ca="1">_xll.INSTRUMENT.Z.SPREAD(A258,oisCurve,I258,cContinuous,D258)</f>
        <v>35.296820781732698</v>
      </c>
      <c r="O258" s="124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2.8914059837478551E-2</v>
      </c>
      <c r="P258" s="124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2.7864509707772107E-2</v>
      </c>
      <c r="Q258" s="379">
        <f ca="1">-(O258-curve!$S$3)/J258</f>
        <v>0.16589941568243199</v>
      </c>
      <c r="R258" s="381">
        <f t="shared" ca="1" si="6"/>
        <v>-814.34357289644345</v>
      </c>
      <c r="S258" s="199" t="str">
        <f>IF(F258&lt;&gt;"","",IF(G258="","",-G258*(SUMIF('bench Comparison'!$A:$A,"RESINV1USD",'bench Comparison'!$G:$G)+SUMIF('bench Comparison'!$A:$A,"RESSWAPORUSD",'bench Comparison'!$G:$G))/(36500*J258)))</f>
        <v/>
      </c>
      <c r="T258" s="210" t="str">
        <f>IF(G258&lt;&gt;"","",IF(F258="","",-36500*J258*F258/(SUMIF('bench Comparison'!$A:$A,"RESINV1USD",'bench Comparison'!$G:$G)+SUMIF('bench Comparison'!$A:$A,"RESSWAPORUSD",'bench Comparison'!$G:$G))))</f>
        <v/>
      </c>
      <c r="U258" s="125">
        <f>SUMIF('bench Comparison'!$E:$E,A258,'bench Comparison'!$N:$N)</f>
        <v>0</v>
      </c>
      <c r="V258" s="126">
        <f ca="1">VALUE(_xll.BDP($A258 &amp; " Corp",V$1))</f>
        <v>35384</v>
      </c>
      <c r="W258" s="127">
        <f ca="1">VALUE(_xll.BDP($A258 &amp; " Corp",W$1))</f>
        <v>35384</v>
      </c>
      <c r="X258" s="127">
        <f ca="1">VALUE(_xll.BDP($A258 &amp; " Corp",X$1))</f>
        <v>35565</v>
      </c>
      <c r="Y258" s="127">
        <f ca="1">VALUE(_xll.BDP($A258 &amp; " Corp",Y$1))</f>
        <v>46157</v>
      </c>
      <c r="Z258" s="127">
        <f ca="1">VALUE(_xll.BDP($A258 &amp; " Corp",Z$1))</f>
        <v>46341</v>
      </c>
      <c r="AA258" s="128">
        <f ca="1">_xll.BDP($A258 &amp; " Corp",AA$1)/100</f>
        <v>6.5000000000000002E-2</v>
      </c>
      <c r="AB258" s="129">
        <f ca="1">_xll.BDP($A258 &amp; " Corp",AB$1)</f>
        <v>10860000000</v>
      </c>
      <c r="AC258" s="130" t="str">
        <f ca="1">IF(LEFT(B258,1)="B",_xll.INSTANCE.TBILL(A258,V258,Z258,TODAY()),_xll.INSTANCE.TNOTE(A258,V258,W258,X258,Y258,Z258,AA258,TODAY()))</f>
        <v>US912810EY02#0028</v>
      </c>
    </row>
    <row r="259" spans="1:29" x14ac:dyDescent="0.2">
      <c r="A259" s="131" t="s">
        <v>566</v>
      </c>
      <c r="B259" s="115" t="str">
        <f ca="1">_xll.BDP($A259 &amp; " Govt",B$1)</f>
        <v>T 6 5/8 02/15/27</v>
      </c>
      <c r="C259" s="372"/>
      <c r="D259" s="116"/>
      <c r="E259" s="117"/>
      <c r="F259" s="118"/>
      <c r="G259" s="377"/>
      <c r="H259" s="120">
        <f ca="1">IF(E259="",_xll.BDP(A259 &amp; " Govt","YLD_YTM_ASK")/100,E259)</f>
        <v>2.0843994000000001E-2</v>
      </c>
      <c r="I259" s="121">
        <f ca="1">_xll.INSTRUMENT.PRIX(AC259,D259,H259,cTreasuries)</f>
        <v>156.96204125246481</v>
      </c>
      <c r="J259" s="122">
        <f ca="1">_xll.INSTRUMENT.DV01(A259,,,I259,cContinuous,I259)</f>
        <v>-0.16782033613460881</v>
      </c>
      <c r="K259" s="123">
        <f ca="1">_xll.INSTRUMENT.CONVEXITE(A259,,,I259,cContinuous,I259)</f>
        <v>135.2669819595894</v>
      </c>
      <c r="L259" s="123">
        <f ca="1">_xll.INSTRUMENT.Z.SPREAD(A259,swapCurve,I259,cContinuous,D259)</f>
        <v>4.7203427362813501</v>
      </c>
      <c r="M259" s="123">
        <f ca="1">_xll.INSTRUMENT.Z.SPREAD(A259,ustCurve,I259,cContinuous,D259)</f>
        <v>2.3792299437368367</v>
      </c>
      <c r="N259" s="123">
        <f ca="1">_xll.INSTRUMENT.Z.SPREAD(A259,oisCurve,I259,cContinuous,D259)</f>
        <v>35.615930335254149</v>
      </c>
      <c r="O259" s="124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2.8547336344851643E-2</v>
      </c>
      <c r="P259" s="124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2.7630214403790904E-2</v>
      </c>
      <c r="Q259" s="379">
        <f ca="1">-(O259-curve!$S$3)/J259</f>
        <v>0.15986840275525235</v>
      </c>
      <c r="R259" s="381">
        <f t="shared" ca="1" si="6"/>
        <v>-806.02258984329319</v>
      </c>
      <c r="S259" s="199" t="str">
        <f>IF(F259&lt;&gt;"","",IF(G259="","",-G259*(SUMIF('bench Comparison'!$A:$A,"RESINV1USD",'bench Comparison'!$G:$G)+SUMIF('bench Comparison'!$A:$A,"RESSWAPORUSD",'bench Comparison'!$G:$G))/(36500*J259)))</f>
        <v/>
      </c>
      <c r="T259" s="210" t="str">
        <f>IF(G259&lt;&gt;"","",IF(F259="","",-36500*J259*F259/(SUMIF('bench Comparison'!$A:$A,"RESINV1USD",'bench Comparison'!$G:$G)+SUMIF('bench Comparison'!$A:$A,"RESSWAPORUSD",'bench Comparison'!$G:$G))))</f>
        <v/>
      </c>
      <c r="U259" s="125">
        <f>SUMIF('bench Comparison'!$E:$E,A259,'bench Comparison'!$N:$N)</f>
        <v>0</v>
      </c>
      <c r="V259" s="126">
        <f ca="1">VALUE(_xll.BDP($A259 &amp; " Corp",V$1))</f>
        <v>35479</v>
      </c>
      <c r="W259" s="127">
        <f ca="1">VALUE(_xll.BDP($A259 &amp; " Corp",W$1))</f>
        <v>35476</v>
      </c>
      <c r="X259" s="127">
        <f ca="1">VALUE(_xll.BDP($A259 &amp; " Corp",X$1))</f>
        <v>35657</v>
      </c>
      <c r="Y259" s="127">
        <f ca="1">VALUE(_xll.BDP($A259 &amp; " Corp",Y$1))</f>
        <v>46249</v>
      </c>
      <c r="Z259" s="127">
        <f ca="1">VALUE(_xll.BDP($A259 &amp; " Corp",Z$1))</f>
        <v>46433</v>
      </c>
      <c r="AA259" s="128">
        <f ca="1">_xll.BDP($A259 &amp; " Corp",AA$1)/100</f>
        <v>6.6250000000000003E-2</v>
      </c>
      <c r="AB259" s="129">
        <f ca="1">_xll.BDP($A259 &amp; " Corp",AB$1)</f>
        <v>9522000000</v>
      </c>
      <c r="AC259" s="130" t="str">
        <f ca="1">IF(LEFT(B259,1)="B",_xll.INSTANCE.TBILL(A259,V259,Z259,TODAY()),_xll.INSTANCE.TNOTE(A259,V259,W259,X259,Y259,Z259,AA259,TODAY()))</f>
        <v>US912810EZ76#0028</v>
      </c>
    </row>
    <row r="260" spans="1:29" x14ac:dyDescent="0.2">
      <c r="A260" s="131" t="s">
        <v>567</v>
      </c>
      <c r="B260" s="115" t="str">
        <f ca="1">_xll.BDP($A260 &amp; " Govt",B$1)</f>
        <v>T 6 3/8 08/15/27</v>
      </c>
      <c r="C260" s="372"/>
      <c r="D260" s="116"/>
      <c r="E260" s="117"/>
      <c r="F260" s="118"/>
      <c r="G260" s="377"/>
      <c r="H260" s="120">
        <f ca="1">IF(E260="",_xll.BDP(A260 &amp; " Govt","YLD_YTM_ASK")/100,E260)</f>
        <v>2.1200014999999999E-2</v>
      </c>
      <c r="I260" s="121">
        <f ca="1">_xll.INSTRUMENT.PRIX(AC260,D260,H260,cTreasuries)</f>
        <v>154.79648052017578</v>
      </c>
      <c r="J260" s="122">
        <f ca="1">_xll.INSTRUMENT.DV01(A260,,,I260,cContinuous,I260)</f>
        <v>-0.17080386903137562</v>
      </c>
      <c r="K260" s="123">
        <f ca="1">_xll.INSTRUMENT.CONVEXITE(A260,,,I260,cContinuous,I260)</f>
        <v>144.32489670727983</v>
      </c>
      <c r="L260" s="123">
        <f ca="1">_xll.INSTRUMENT.Z.SPREAD(A260,swapCurve,I260,cContinuous,D260)</f>
        <v>5.2848056924187725</v>
      </c>
      <c r="M260" s="123">
        <f ca="1">_xll.INSTRUMENT.Z.SPREAD(A260,ustCurve,I260,cContinuous,D260)</f>
        <v>1.1094266396184078</v>
      </c>
      <c r="N260" s="123">
        <f ca="1">_xll.INSTRUMENT.Z.SPREAD(A260,oisCurve,I260,cContinuous,D260)</f>
        <v>35.806630745578993</v>
      </c>
      <c r="O260" s="124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2.8620977737483327E-2</v>
      </c>
      <c r="P260" s="124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2.763553623424439E-2</v>
      </c>
      <c r="Q260" s="379">
        <f ca="1">-(O260-curve!$S$3)/J260</f>
        <v>0.15750703208824429</v>
      </c>
      <c r="R260" s="381">
        <f t="shared" ca="1" si="6"/>
        <v>-844.97439973545465</v>
      </c>
      <c r="S260" s="199" t="str">
        <f>IF(F260&lt;&gt;"","",IF(G260="","",-G260*(SUMIF('bench Comparison'!$A:$A,"RESINV1USD",'bench Comparison'!$G:$G)+SUMIF('bench Comparison'!$A:$A,"RESSWAPORUSD",'bench Comparison'!$G:$G))/(36500*J260)))</f>
        <v/>
      </c>
      <c r="T260" s="210" t="str">
        <f>IF(G260&lt;&gt;"","",IF(F260="","",-36500*J260*F260/(SUMIF('bench Comparison'!$A:$A,"RESINV1USD",'bench Comparison'!$G:$G)+SUMIF('bench Comparison'!$A:$A,"RESSWAPORUSD",'bench Comparison'!$G:$G))))</f>
        <v/>
      </c>
      <c r="U260" s="125">
        <f>SUMIF('bench Comparison'!$E:$E,A260,'bench Comparison'!$N:$N)</f>
        <v>0</v>
      </c>
      <c r="V260" s="126">
        <f ca="1">VALUE(_xll.BDP($A260 &amp; " Corp",V$1))</f>
        <v>35657</v>
      </c>
      <c r="W260" s="127">
        <f ca="1">VALUE(_xll.BDP($A260 &amp; " Corp",W$1))</f>
        <v>35657</v>
      </c>
      <c r="X260" s="127">
        <f ca="1">VALUE(_xll.BDP($A260 &amp; " Corp",X$1))</f>
        <v>35841</v>
      </c>
      <c r="Y260" s="127">
        <f ca="1">VALUE(_xll.BDP($A260 &amp; " Corp",Y$1))</f>
        <v>46433</v>
      </c>
      <c r="Z260" s="127">
        <f ca="1">VALUE(_xll.BDP($A260 &amp; " Corp",Z$1))</f>
        <v>46614</v>
      </c>
      <c r="AA260" s="128">
        <f ca="1">_xll.BDP($A260 &amp; " Corp",AA$1)/100</f>
        <v>6.3750000000000001E-2</v>
      </c>
      <c r="AB260" s="129">
        <f ca="1">_xll.BDP($A260 &amp; " Corp",AB$1)</f>
        <v>9197000000</v>
      </c>
      <c r="AC260" s="130" t="str">
        <f ca="1">IF(LEFT(B260,1)="B",_xll.INSTANCE.TBILL(A260,V260,Z260,TODAY()),_xll.INSTANCE.TNOTE(A260,V260,W260,X260,Y260,Z260,AA260,TODAY()))</f>
        <v>US912810FA17#0028</v>
      </c>
    </row>
    <row r="261" spans="1:29" x14ac:dyDescent="0.2">
      <c r="A261" s="131" t="s">
        <v>568</v>
      </c>
      <c r="B261" s="115" t="str">
        <f ca="1">_xll.BDP($A261 &amp; " Govt",B$1)</f>
        <v>T 6 1/8 11/15/27</v>
      </c>
      <c r="C261" s="372"/>
      <c r="D261" s="116"/>
      <c r="E261" s="117"/>
      <c r="F261" s="118"/>
      <c r="G261" s="377"/>
      <c r="H261" s="120">
        <f ca="1">IF(E261="",_xll.BDP(A261 &amp; " Govt","YLD_YTM_ASK")/100,E261)</f>
        <v>2.1439227000000002E-2</v>
      </c>
      <c r="I261" s="121">
        <f ca="1">_xll.INSTRUMENT.PRIX(AC261,D261,H261,cTreasuries)</f>
        <v>151.88586704644467</v>
      </c>
      <c r="J261" s="122">
        <f ca="1">_xll.INSTRUMENT.DV01(A261,,,I261,cContinuous,I261)</f>
        <v>-0.17078039235009107</v>
      </c>
      <c r="K261" s="123">
        <f ca="1">_xll.INSTRUMENT.CONVEXITE(A261,,,I261,cContinuous,I261)</f>
        <v>151.27283842957806</v>
      </c>
      <c r="L261" s="123">
        <f ca="1">_xll.INSTRUMENT.Z.SPREAD(A261,swapCurve,I261,cContinuous,D261)</f>
        <v>6.0107577365913549</v>
      </c>
      <c r="M261" s="123">
        <f ca="1">_xll.INSTRUMENT.Z.SPREAD(A261,ustCurve,I261,cContinuous,D261)</f>
        <v>0.84413235925946317</v>
      </c>
      <c r="N261" s="123">
        <f ca="1">_xll.INSTRUMENT.Z.SPREAD(A261,oisCurve,I261,cContinuous,D261)</f>
        <v>36.357770722203007</v>
      </c>
      <c r="O261" s="124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2.8505407490329048E-2</v>
      </c>
      <c r="P261" s="124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2.7720134976990593E-2</v>
      </c>
      <c r="Q261" s="379">
        <f ca="1">-(O261-curve!$S$3)/J261</f>
        <v>0.1568519656416669</v>
      </c>
      <c r="R261" s="381">
        <f t="shared" ca="1" si="6"/>
        <v>-885.77404201927629</v>
      </c>
      <c r="S261" s="199" t="str">
        <f>IF(F261&lt;&gt;"","",IF(G261="","",-G261*(SUMIF('bench Comparison'!$A:$A,"RESINV1USD",'bench Comparison'!$G:$G)+SUMIF('bench Comparison'!$A:$A,"RESSWAPORUSD",'bench Comparison'!$G:$G))/(36500*J261)))</f>
        <v/>
      </c>
      <c r="T261" s="210" t="str">
        <f>IF(G261&lt;&gt;"","",IF(F261="","",-36500*J261*F261/(SUMIF('bench Comparison'!$A:$A,"RESINV1USD",'bench Comparison'!$G:$G)+SUMIF('bench Comparison'!$A:$A,"RESSWAPORUSD",'bench Comparison'!$G:$G))))</f>
        <v/>
      </c>
      <c r="U261" s="125">
        <f>SUMIF('bench Comparison'!$E:$E,A261,'bench Comparison'!$N:$N)</f>
        <v>0</v>
      </c>
      <c r="V261" s="126">
        <f ca="1">VALUE(_xll.BDP($A261 &amp; " Corp",V$1))</f>
        <v>35751</v>
      </c>
      <c r="W261" s="127">
        <f ca="1">VALUE(_xll.BDP($A261 &amp; " Corp",W$1))</f>
        <v>35749</v>
      </c>
      <c r="X261" s="127">
        <f ca="1">VALUE(_xll.BDP($A261 &amp; " Corp",X$1))</f>
        <v>35930</v>
      </c>
      <c r="Y261" s="127">
        <f ca="1">VALUE(_xll.BDP($A261 &amp; " Corp",Y$1))</f>
        <v>46522</v>
      </c>
      <c r="Z261" s="127">
        <f ca="1">VALUE(_xll.BDP($A261 &amp; " Corp",Z$1))</f>
        <v>46706</v>
      </c>
      <c r="AA261" s="128">
        <f ca="1">_xll.BDP($A261 &amp; " Corp",AA$1)/100</f>
        <v>6.1249999999999999E-2</v>
      </c>
      <c r="AB261" s="129">
        <f ca="1">_xll.BDP($A261 &amp; " Corp",AB$1)</f>
        <v>22021000000</v>
      </c>
      <c r="AC261" s="130" t="str">
        <f ca="1">IF(LEFT(B261,1)="B",_xll.INSTANCE.TBILL(A261,V261,Z261,TODAY()),_xll.INSTANCE.TNOTE(A261,V261,W261,X261,Y261,Z261,AA261,TODAY()))</f>
        <v>US912810FB99#0028</v>
      </c>
    </row>
    <row r="262" spans="1:29" x14ac:dyDescent="0.2">
      <c r="A262" s="131" t="s">
        <v>569</v>
      </c>
      <c r="B262" s="115" t="str">
        <f ca="1">_xll.BDP($A262 &amp; " Govt",B$1)</f>
        <v>T 5 1/2 08/15/28</v>
      </c>
      <c r="C262" s="372"/>
      <c r="D262" s="116"/>
      <c r="E262" s="117"/>
      <c r="F262" s="118"/>
      <c r="G262" s="377"/>
      <c r="H262" s="120">
        <f ca="1">IF(E262="",_xll.BDP(A262 &amp; " Govt","YLD_YTM_ASK")/100,E262)</f>
        <v>2.1919133999999996E-2</v>
      </c>
      <c r="I262" s="121">
        <f ca="1">_xll.INSTRUMENT.PRIX(AC262,D262,H262,cTreasuries)</f>
        <v>144.7167374248416</v>
      </c>
      <c r="J262" s="122">
        <f ca="1">_xll.INSTRUMENT.DV01(A262,,,I262,cContinuous,I262)</f>
        <v>-0.17175545624959324</v>
      </c>
      <c r="K262" s="123">
        <f ca="1">_xll.INSTRUMENT.CONVEXITE(A262,,,I262,cContinuous,I262)</f>
        <v>166.60267929274235</v>
      </c>
      <c r="L262" s="123">
        <f ca="1">_xll.INSTRUMENT.Z.SPREAD(A262,swapCurve,I262,cContinuous,D262)</f>
        <v>6.1277373189112652</v>
      </c>
      <c r="M262" s="123">
        <f ca="1">_xll.INSTRUMENT.Z.SPREAD(A262,ustCurve,I262,cContinuous,D262)</f>
        <v>-1.9453222338255467</v>
      </c>
      <c r="N262" s="123">
        <f ca="1">_xll.INSTRUMENT.Z.SPREAD(A262,oisCurve,I262,cContinuous,D262)</f>
        <v>36.011522131156589</v>
      </c>
      <c r="O262" s="124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2.841515969673657E-2</v>
      </c>
      <c r="P262" s="124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2.7563735525613534E-2</v>
      </c>
      <c r="Q262" s="379">
        <f ca="1">-(O262-curve!$S$3)/J262</f>
        <v>0.15543606603553023</v>
      </c>
      <c r="R262" s="381">
        <f t="shared" ca="1" si="6"/>
        <v>-969.9993405195645</v>
      </c>
      <c r="S262" s="199" t="str">
        <f>IF(F262&lt;&gt;"","",IF(G262="","",-G262*(SUMIF('bench Comparison'!$A:$A,"RESINV1USD",'bench Comparison'!$G:$G)+SUMIF('bench Comparison'!$A:$A,"RESSWAPORUSD",'bench Comparison'!$G:$G))/(36500*J262)))</f>
        <v/>
      </c>
      <c r="T262" s="210" t="str">
        <f>IF(G262&lt;&gt;"","",IF(F262="","",-36500*J262*F262/(SUMIF('bench Comparison'!$A:$A,"RESINV1USD",'bench Comparison'!$G:$G)+SUMIF('bench Comparison'!$A:$A,"RESSWAPORUSD",'bench Comparison'!$G:$G))))</f>
        <v/>
      </c>
      <c r="U262" s="125">
        <f>SUMIF('bench Comparison'!$E:$E,A262,'bench Comparison'!$N:$N)</f>
        <v>0</v>
      </c>
      <c r="V262" s="126">
        <f ca="1">VALUE(_xll.BDP($A262 &amp; " Corp",V$1))</f>
        <v>36024</v>
      </c>
      <c r="W262" s="127">
        <f ca="1">VALUE(_xll.BDP($A262 &amp; " Corp",W$1))</f>
        <v>36022</v>
      </c>
      <c r="X262" s="127">
        <f ca="1">VALUE(_xll.BDP($A262 &amp; " Corp",X$1))</f>
        <v>36206</v>
      </c>
      <c r="Y262" s="127">
        <f ca="1">VALUE(_xll.BDP($A262 &amp; " Corp",Y$1))</f>
        <v>46798</v>
      </c>
      <c r="Z262" s="127">
        <f ca="1">VALUE(_xll.BDP($A262 &amp; " Corp",Z$1))</f>
        <v>46980</v>
      </c>
      <c r="AA262" s="128">
        <f ca="1">_xll.BDP($A262 &amp; " Corp",AA$1)/100</f>
        <v>5.5E-2</v>
      </c>
      <c r="AB262" s="129">
        <f ca="1">_xll.BDP($A262 &amp; " Corp",AB$1)</f>
        <v>11776000000</v>
      </c>
      <c r="AC262" s="130" t="str">
        <f ca="1">IF(LEFT(B262,1)="B",_xll.INSTANCE.TBILL(A262,V262,Z262,TODAY()),_xll.INSTANCE.TNOTE(A262,V262,W262,X262,Y262,Z262,AA262,TODAY()))</f>
        <v>US912810FE39#0028</v>
      </c>
    </row>
    <row r="263" spans="1:29" x14ac:dyDescent="0.2">
      <c r="A263" s="131" t="s">
        <v>570</v>
      </c>
      <c r="B263" s="115" t="str">
        <f ca="1">_xll.BDP($A263 &amp; " Govt",B$1)</f>
        <v>T 5 1/4 11/15/28</v>
      </c>
      <c r="C263" s="372"/>
      <c r="D263" s="116"/>
      <c r="E263" s="117"/>
      <c r="F263" s="118"/>
      <c r="G263" s="377"/>
      <c r="H263" s="120">
        <f ca="1">IF(E263="",_xll.BDP(A263 &amp; " Govt","YLD_YTM_ASK")/100,E263)</f>
        <v>2.2146439E-2</v>
      </c>
      <c r="I263" s="121">
        <f ca="1">_xll.INSTRUMENT.PRIX(AC263,D263,H263,cTreasuries)</f>
        <v>141.47897815496876</v>
      </c>
      <c r="J263" s="122">
        <f ca="1">_xll.INSTRUMENT.DV01(A263,,,I263,cContinuous,I263)</f>
        <v>-0.17117774706360994</v>
      </c>
      <c r="K263" s="123">
        <f ca="1">_xll.INSTRUMENT.CONVEXITE(A263,,,I263,cContinuous,I263)</f>
        <v>174.51203500815012</v>
      </c>
      <c r="L263" s="123">
        <f ca="1">_xll.INSTRUMENT.Z.SPREAD(A263,swapCurve,I263,cContinuous,D263)</f>
        <v>6.802130918272244</v>
      </c>
      <c r="M263" s="123">
        <f ca="1">_xll.INSTRUMENT.Z.SPREAD(A263,ustCurve,I263,cContinuous,D263)</f>
        <v>-2.260566093215858</v>
      </c>
      <c r="N263" s="123">
        <f ca="1">_xll.INSTRUMENT.Z.SPREAD(A263,oisCurve,I263,cContinuous,D263)</f>
        <v>36.552511644532018</v>
      </c>
      <c r="O263" s="124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2.8822900523851676E-2</v>
      </c>
      <c r="P263" s="124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2.7808431987011991E-2</v>
      </c>
      <c r="Q263" s="379">
        <f ca="1">-(O263-curve!$S$3)/J263</f>
        <v>0.15834262181647557</v>
      </c>
      <c r="R263" s="381">
        <f t="shared" ca="1" si="6"/>
        <v>-1019.4785128425668</v>
      </c>
      <c r="S263" s="199" t="str">
        <f>IF(F263&lt;&gt;"","",IF(G263="","",-G263*(SUMIF('bench Comparison'!$A:$A,"RESINV1USD",'bench Comparison'!$G:$G)+SUMIF('bench Comparison'!$A:$A,"RESSWAPORUSD",'bench Comparison'!$G:$G))/(36500*J263)))</f>
        <v/>
      </c>
      <c r="T263" s="210" t="str">
        <f>IF(G263&lt;&gt;"","",IF(F263="","",-36500*J263*F263/(SUMIF('bench Comparison'!$A:$A,"RESINV1USD",'bench Comparison'!$G:$G)+SUMIF('bench Comparison'!$A:$A,"RESSWAPORUSD",'bench Comparison'!$G:$G))))</f>
        <v/>
      </c>
      <c r="U263" s="125">
        <f>SUMIF('bench Comparison'!$E:$E,A263,'bench Comparison'!$N:$N)</f>
        <v>0</v>
      </c>
      <c r="V263" s="126">
        <f ca="1">VALUE(_xll.BDP($A263 &amp; " Corp",V$1))</f>
        <v>36115</v>
      </c>
      <c r="W263" s="127">
        <f ca="1">VALUE(_xll.BDP($A263 &amp; " Corp",W$1))</f>
        <v>36114</v>
      </c>
      <c r="X263" s="127">
        <f ca="1">VALUE(_xll.BDP($A263 &amp; " Corp",X$1))</f>
        <v>36295</v>
      </c>
      <c r="Y263" s="127">
        <f ca="1">VALUE(_xll.BDP($A263 &amp; " Corp",Y$1))</f>
        <v>46888</v>
      </c>
      <c r="Z263" s="127">
        <f ca="1">VALUE(_xll.BDP($A263 &amp; " Corp",Z$1))</f>
        <v>47072</v>
      </c>
      <c r="AA263" s="128">
        <f ca="1">_xll.BDP($A263 &amp; " Corp",AA$1)/100</f>
        <v>5.2499999999999998E-2</v>
      </c>
      <c r="AB263" s="129">
        <f ca="1">_xll.BDP($A263 &amp; " Corp",AB$1)</f>
        <v>10947000000</v>
      </c>
      <c r="AC263" s="130" t="str">
        <f ca="1">IF(LEFT(B263,1)="B",_xll.INSTANCE.TBILL(A263,V263,Z263,TODAY()),_xll.INSTANCE.TNOTE(A263,V263,W263,X263,Y263,Z263,AA263,TODAY()))</f>
        <v>US912810FF04#0028</v>
      </c>
    </row>
    <row r="264" spans="1:29" x14ac:dyDescent="0.2">
      <c r="A264" s="131" t="s">
        <v>571</v>
      </c>
      <c r="B264" s="115" t="str">
        <f ca="1">_xll.BDP($A264 &amp; " Govt",B$1)</f>
        <v>T 5 1/4 02/15/29</v>
      </c>
      <c r="C264" s="372"/>
      <c r="D264" s="116"/>
      <c r="E264" s="117"/>
      <c r="F264" s="118"/>
      <c r="G264" s="377"/>
      <c r="H264" s="120">
        <f ca="1">IF(E264="",_xll.BDP(A264 &amp; " Govt","YLD_YTM_ASK")/100,E264)</f>
        <v>2.2244413000000001E-2</v>
      </c>
      <c r="I264" s="121">
        <f ca="1">_xll.INSTRUMENT.PRIX(AC264,D264,H264,cTreasuries)</f>
        <v>141.83693379276482</v>
      </c>
      <c r="J264" s="122">
        <f ca="1">_xll.INSTRUMENT.DV01(A264,,,I264,cContinuous,I264)</f>
        <v>-0.17358321788743028</v>
      </c>
      <c r="K264" s="123">
        <f ca="1">_xll.INSTRUMENT.CONVEXITE(A264,,,I264,cContinuous,I264)</f>
        <v>177.30222962273476</v>
      </c>
      <c r="L264" s="123">
        <f ca="1">_xll.INSTRUMENT.Z.SPREAD(A264,swapCurve,I264,cContinuous,D264)</f>
        <v>6.7860759149399508</v>
      </c>
      <c r="M264" s="123">
        <f ca="1">_xll.INSTRUMENT.Z.SPREAD(A264,ustCurve,I264,cContinuous,D264)</f>
        <v>-3.0362630142476625</v>
      </c>
      <c r="N264" s="123">
        <f ca="1">_xll.INSTRUMENT.Z.SPREAD(A264,oisCurve,I264,cContinuous,D264)</f>
        <v>36.440533757630448</v>
      </c>
      <c r="O264" s="124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2.8504859344396578E-2</v>
      </c>
      <c r="P264" s="124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2.7582750458547012E-2</v>
      </c>
      <c r="Q264" s="379">
        <f ca="1">-(O264-curve!$S$3)/J264</f>
        <v>0.1543161396201661</v>
      </c>
      <c r="R264" s="381">
        <f t="shared" ca="1" si="6"/>
        <v>-1021.4249498342419</v>
      </c>
      <c r="S264" s="199" t="str">
        <f>IF(F264&lt;&gt;"","",IF(G264="","",-G264*(SUMIF('bench Comparison'!$A:$A,"RESINV1USD",'bench Comparison'!$G:$G)+SUMIF('bench Comparison'!$A:$A,"RESSWAPORUSD",'bench Comparison'!$G:$G))/(36500*J264)))</f>
        <v/>
      </c>
      <c r="T264" s="210" t="str">
        <f>IF(G264&lt;&gt;"","",IF(F264="","",-36500*J264*F264/(SUMIF('bench Comparison'!$A:$A,"RESINV1USD",'bench Comparison'!$G:$G)+SUMIF('bench Comparison'!$A:$A,"RESSWAPORUSD",'bench Comparison'!$G:$G))))</f>
        <v/>
      </c>
      <c r="U264" s="125">
        <f>SUMIF('bench Comparison'!$E:$E,A264,'bench Comparison'!$N:$N)</f>
        <v>0</v>
      </c>
      <c r="V264" s="126">
        <f ca="1">VALUE(_xll.BDP($A264 &amp; " Corp",V$1))</f>
        <v>36207</v>
      </c>
      <c r="W264" s="127">
        <f ca="1">VALUE(_xll.BDP($A264 &amp; " Corp",W$1))</f>
        <v>36206</v>
      </c>
      <c r="X264" s="127">
        <f ca="1">VALUE(_xll.BDP($A264 &amp; " Corp",X$1))</f>
        <v>36387</v>
      </c>
      <c r="Y264" s="127">
        <f ca="1">VALUE(_xll.BDP($A264 &amp; " Corp",Y$1))</f>
        <v>46980</v>
      </c>
      <c r="Z264" s="127">
        <f ca="1">VALUE(_xll.BDP($A264 &amp; " Corp",Z$1))</f>
        <v>47164</v>
      </c>
      <c r="AA264" s="128">
        <f ca="1">_xll.BDP($A264 &amp; " Corp",AA$1)/100</f>
        <v>5.2499999999999998E-2</v>
      </c>
      <c r="AB264" s="129">
        <f ca="1">_xll.BDP($A264 &amp; " Corp",AB$1)</f>
        <v>11350000000</v>
      </c>
      <c r="AC264" s="130" t="str">
        <f ca="1">IF(LEFT(B264,1)="B",_xll.INSTANCE.TBILL(A264,V264,Z264,TODAY()),_xll.INSTANCE.TNOTE(A264,V264,W264,X264,Y264,Z264,AA264,TODAY()))</f>
        <v>US912810FG86#0028</v>
      </c>
    </row>
    <row r="265" spans="1:29" x14ac:dyDescent="0.2">
      <c r="A265" s="131" t="s">
        <v>572</v>
      </c>
      <c r="B265" s="115" t="str">
        <f ca="1">_xll.BDP($A265 &amp; " Govt",B$1)</f>
        <v>T 6 1/8 08/15/29</v>
      </c>
      <c r="C265" s="372"/>
      <c r="D265" s="116"/>
      <c r="E265" s="117"/>
      <c r="F265" s="118"/>
      <c r="G265" s="377"/>
      <c r="H265" s="120">
        <f ca="1">IF(E265="",_xll.BDP(A265 &amp; " Govt","YLD_YTM_ASK")/100,E265)</f>
        <v>2.2227464999999998E-2</v>
      </c>
      <c r="I265" s="121">
        <f ca="1">_xll.INSTRUMENT.PRIX(AC265,D265,H265,cTreasuries)</f>
        <v>155.31166109517568</v>
      </c>
      <c r="J265" s="122">
        <f ca="1">_xll.INSTRUMENT.DV01(A265,,,I265,cContinuous,I265)</f>
        <v>-0.18911067970305656</v>
      </c>
      <c r="K265" s="123">
        <f ca="1">_xll.INSTRUMENT.CONVEXITE(A265,,,I265,cContinuous,I265)</f>
        <v>178.39933658858141</v>
      </c>
      <c r="L265" s="123">
        <f ca="1">_xll.INSTRUMENT.Z.SPREAD(A265,swapCurve,I265,cContinuous,D265)</f>
        <v>6.6943878547464344</v>
      </c>
      <c r="M265" s="123">
        <f ca="1">_xll.INSTRUMENT.Z.SPREAD(A265,ustCurve,I265,cContinuous,D265)</f>
        <v>-3.7184832708035715</v>
      </c>
      <c r="N265" s="123">
        <f ca="1">_xll.INSTRUMENT.Z.SPREAD(A265,oisCurve,I265,cContinuous,D265)</f>
        <v>36.328825242291586</v>
      </c>
      <c r="O265" s="124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2.7878311594088434E-2</v>
      </c>
      <c r="P265" s="124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2.7173594529088477E-2</v>
      </c>
      <c r="Q265" s="379">
        <f ca="1">-(O265-curve!$S$3)/J265</f>
        <v>0.13833245366154454</v>
      </c>
      <c r="R265" s="381">
        <f t="shared" ca="1" si="6"/>
        <v>-943.35939603572785</v>
      </c>
      <c r="S265" s="199" t="str">
        <f>IF(F265&lt;&gt;"","",IF(G265="","",-G265*(SUMIF('bench Comparison'!$A:$A,"RESINV1USD",'bench Comparison'!$G:$G)+SUMIF('bench Comparison'!$A:$A,"RESSWAPORUSD",'bench Comparison'!$G:$G))/(36500*J265)))</f>
        <v/>
      </c>
      <c r="T265" s="210" t="str">
        <f>IF(G265&lt;&gt;"","",IF(F265="","",-36500*J265*F265/(SUMIF('bench Comparison'!$A:$A,"RESINV1USD",'bench Comparison'!$G:$G)+SUMIF('bench Comparison'!$A:$A,"RESSWAPORUSD",'bench Comparison'!$G:$G))))</f>
        <v/>
      </c>
      <c r="U265" s="125">
        <f>SUMIF('bench Comparison'!$E:$E,A265,'bench Comparison'!$N:$N)</f>
        <v>0</v>
      </c>
      <c r="V265" s="126">
        <f ca="1">VALUE(_xll.BDP($A265 &amp; " Corp",V$1))</f>
        <v>36388</v>
      </c>
      <c r="W265" s="127">
        <f ca="1">VALUE(_xll.BDP($A265 &amp; " Corp",W$1))</f>
        <v>36387</v>
      </c>
      <c r="X265" s="127">
        <f ca="1">VALUE(_xll.BDP($A265 &amp; " Corp",X$1))</f>
        <v>36571</v>
      </c>
      <c r="Y265" s="127">
        <f ca="1">VALUE(_xll.BDP($A265 &amp; " Corp",Y$1))</f>
        <v>47164</v>
      </c>
      <c r="Z265" s="127">
        <f ca="1">VALUE(_xll.BDP($A265 &amp; " Corp",Z$1))</f>
        <v>47345</v>
      </c>
      <c r="AA265" s="128">
        <f ca="1">_xll.BDP($A265 &amp; " Corp",AA$1)/100</f>
        <v>6.1249999999999999E-2</v>
      </c>
      <c r="AB265" s="129">
        <f ca="1">_xll.BDP($A265 &amp; " Corp",AB$1)</f>
        <v>11179000000</v>
      </c>
      <c r="AC265" s="130" t="str">
        <f ca="1">IF(LEFT(B265,1)="B",_xll.INSTANCE.TBILL(A265,V265,Z265,TODAY()),_xll.INSTANCE.TNOTE(A265,V265,W265,X265,Y265,Z265,AA265,TODAY()))</f>
        <v>US912810FJ26#0028</v>
      </c>
    </row>
    <row r="266" spans="1:29" x14ac:dyDescent="0.2">
      <c r="A266" s="131" t="s">
        <v>573</v>
      </c>
      <c r="B266" s="115" t="str">
        <f ca="1">_xll.BDP($A266 &amp; " Govt",B$1)</f>
        <v>T 6 1/4 05/15/30</v>
      </c>
      <c r="C266" s="372"/>
      <c r="D266" s="116"/>
      <c r="E266" s="117"/>
      <c r="F266" s="118"/>
      <c r="G266" s="377"/>
      <c r="H266" s="120">
        <f ca="1">IF(E266="",_xll.BDP(A266 &amp; " Govt","YLD_YTM_ASK")/100,E266)</f>
        <v>2.2439841000000002E-2</v>
      </c>
      <c r="I266" s="121">
        <f ca="1">_xll.INSTRUMENT.PRIX(AC266,D266,H266,cTreasuries)</f>
        <v>158.70423740778443</v>
      </c>
      <c r="J266" s="122">
        <f ca="1">_xll.INSTRUMENT.DV01(A266,,,I266,cContinuous,I266)</f>
        <v>-0.19864541946600017</v>
      </c>
      <c r="K266" s="123">
        <f ca="1">_xll.INSTRUMENT.CONVEXITE(A266,,,I266,cContinuous,I266)</f>
        <v>191.86868930752831</v>
      </c>
      <c r="L266" s="123">
        <f ca="1">_xll.INSTRUMENT.Z.SPREAD(A266,swapCurve,I266,cContinuous,D266)</f>
        <v>6.5270699178450879</v>
      </c>
      <c r="M266" s="123">
        <f ca="1">_xll.INSTRUMENT.Z.SPREAD(A266,ustCurve,I266,cContinuous,D266)</f>
        <v>-5.6920143142603203</v>
      </c>
      <c r="N266" s="123">
        <f ca="1">_xll.INSTRUMENT.Z.SPREAD(A266,oisCurve,I266,cContinuous,D266)</f>
        <v>35.99169315060611</v>
      </c>
      <c r="O266" s="124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2.7960762381466577E-2</v>
      </c>
      <c r="P266" s="124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2.7171733102134738E-2</v>
      </c>
      <c r="Q266" s="379">
        <f ca="1">-(O266-curve!$S$3)/J266</f>
        <v>0.13210772840798399</v>
      </c>
      <c r="R266" s="381">
        <f t="shared" ca="1" si="6"/>
        <v>-965.88529362172505</v>
      </c>
      <c r="S266" s="199" t="str">
        <f>IF(F266&lt;&gt;"","",IF(G266="","",-G266*(SUMIF('bench Comparison'!$A:$A,"RESINV1USD",'bench Comparison'!$G:$G)+SUMIF('bench Comparison'!$A:$A,"RESSWAPORUSD",'bench Comparison'!$G:$G))/(36500*J266)))</f>
        <v/>
      </c>
      <c r="T266" s="210" t="str">
        <f>IF(G266&lt;&gt;"","",IF(F266="","",-36500*J266*F266/(SUMIF('bench Comparison'!$A:$A,"RESINV1USD",'bench Comparison'!$G:$G)+SUMIF('bench Comparison'!$A:$A,"RESSWAPORUSD",'bench Comparison'!$G:$G))))</f>
        <v/>
      </c>
      <c r="U266" s="125">
        <f>SUMIF('bench Comparison'!$E:$E,A266,'bench Comparison'!$N:$N)</f>
        <v>0</v>
      </c>
      <c r="V266" s="126">
        <f ca="1">VALUE(_xll.BDP($A266 &amp; " Corp",V$1))</f>
        <v>36571</v>
      </c>
      <c r="W266" s="127">
        <f ca="1">VALUE(_xll.BDP($A266 &amp; " Corp",W$1))</f>
        <v>36479</v>
      </c>
      <c r="X266" s="127">
        <f ca="1">VALUE(_xll.BDP($A266 &amp; " Corp",X$1))</f>
        <v>36661</v>
      </c>
      <c r="Y266" s="127">
        <f ca="1">VALUE(_xll.BDP($A266 &amp; " Corp",Y$1))</f>
        <v>47437</v>
      </c>
      <c r="Z266" s="127">
        <f ca="1">VALUE(_xll.BDP($A266 &amp; " Corp",Z$1))</f>
        <v>47618</v>
      </c>
      <c r="AA266" s="128">
        <f ca="1">_xll.BDP($A266 &amp; " Corp",AA$1)/100</f>
        <v>6.25E-2</v>
      </c>
      <c r="AB266" s="129">
        <f ca="1">_xll.BDP($A266 &amp; " Corp",AB$1)</f>
        <v>17043000000</v>
      </c>
      <c r="AC266" s="130" t="str">
        <f ca="1">IF(LEFT(B266,1)="B",_xll.INSTANCE.TBILL(A266,V266,Z266,TODAY()),_xll.INSTANCE.TNOTE(A266,V266,W266,X266,Y266,Z266,AA266,TODAY()))</f>
        <v>US912810FM54#0028</v>
      </c>
    </row>
    <row r="267" spans="1:29" x14ac:dyDescent="0.2">
      <c r="A267" s="131" t="s">
        <v>574</v>
      </c>
      <c r="B267" s="115" t="str">
        <f ca="1">_xll.BDP($A267 &amp; " Govt",B$1)</f>
        <v>T 5 3/8 02/15/31</v>
      </c>
      <c r="C267" s="372"/>
      <c r="D267" s="116"/>
      <c r="E267" s="117"/>
      <c r="F267" s="118"/>
      <c r="G267" s="377"/>
      <c r="H267" s="120">
        <f ca="1">IF(E267="",_xll.BDP(A267 &amp; " Govt","YLD_YTM_ASK")/100,E267)</f>
        <v>2.2894253E-2</v>
      </c>
      <c r="I267" s="121">
        <f ca="1">_xll.INSTRUMENT.PRIX(AC267,D267,H267,cTreasuries)</f>
        <v>146.55539026105839</v>
      </c>
      <c r="J267" s="122">
        <f ca="1">_xll.INSTRUMENT.DV01(A267,,,I267,cContinuous,I267)</f>
        <v>-0.19419547595181932</v>
      </c>
      <c r="K267" s="123">
        <f ca="1">_xll.INSTRUMENT.CONVEXITE(A267,,,I267,cContinuous,I267)</f>
        <v>211.81825372748048</v>
      </c>
      <c r="L267" s="123">
        <f ca="1">_xll.INSTRUMENT.Z.SPREAD(A267,swapCurve,I267,cContinuous,D267)</f>
        <v>6.8191441258610368</v>
      </c>
      <c r="M267" s="123">
        <f ca="1">_xll.INSTRUMENT.Z.SPREAD(A267,ustCurve,I267,cContinuous,D267)</f>
        <v>-8.0584147445978314</v>
      </c>
      <c r="N267" s="123">
        <f ca="1">_xll.INSTRUMENT.Z.SPREAD(A267,oisCurve,I267,cContinuous,D267)</f>
        <v>35.972938357425619</v>
      </c>
      <c r="O267" s="124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2.9555860801878497E-2</v>
      </c>
      <c r="P267" s="124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2.7639641661253878E-2</v>
      </c>
      <c r="Q267" s="379">
        <f ca="1">-(O267-curve!$S$3)/J267</f>
        <v>0.14334882627040688</v>
      </c>
      <c r="R267" s="381">
        <f t="shared" ca="1" si="6"/>
        <v>-1090.7476226687868</v>
      </c>
      <c r="S267" s="199" t="str">
        <f>IF(F267&lt;&gt;"","",IF(G267="","",-G267*(SUMIF('bench Comparison'!$A:$A,"RESINV1USD",'bench Comparison'!$G:$G)+SUMIF('bench Comparison'!$A:$A,"RESSWAPORUSD",'bench Comparison'!$G:$G))/(36500*J267)))</f>
        <v/>
      </c>
      <c r="T267" s="210" t="str">
        <f>IF(G267&lt;&gt;"","",IF(F267="","",-36500*J267*F267/(SUMIF('bench Comparison'!$A:$A,"RESINV1USD",'bench Comparison'!$G:$G)+SUMIF('bench Comparison'!$A:$A,"RESSWAPORUSD",'bench Comparison'!$G:$G))))</f>
        <v/>
      </c>
      <c r="U267" s="125">
        <f>SUMIF('bench Comparison'!$E:$E,A267,'bench Comparison'!$N:$N)</f>
        <v>0</v>
      </c>
      <c r="V267" s="126">
        <f ca="1">VALUE(_xll.BDP($A267 &amp; " Corp",V$1))</f>
        <v>36937</v>
      </c>
      <c r="W267" s="127">
        <f ca="1">VALUE(_xll.BDP($A267 &amp; " Corp",W$1))</f>
        <v>36937</v>
      </c>
      <c r="X267" s="127">
        <f ca="1">VALUE(_xll.BDP($A267 &amp; " Corp",X$1))</f>
        <v>37118</v>
      </c>
      <c r="Y267" s="127">
        <f ca="1">VALUE(_xll.BDP($A267 &amp; " Corp",Y$1))</f>
        <v>47710</v>
      </c>
      <c r="Z267" s="127">
        <f ca="1">VALUE(_xll.BDP($A267 &amp; " Corp",Z$1))</f>
        <v>47894</v>
      </c>
      <c r="AA267" s="128">
        <f ca="1">_xll.BDP($A267 &amp; " Corp",AA$1)/100</f>
        <v>5.3749999999999999E-2</v>
      </c>
      <c r="AB267" s="129">
        <f ca="1">_xll.BDP($A267 &amp; " Corp",AB$1)</f>
        <v>16428000000</v>
      </c>
      <c r="AC267" s="130" t="str">
        <f ca="1">IF(LEFT(B267,1)="B",_xll.INSTANCE.TBILL(A267,V267,Z267,TODAY()),_xll.INSTANCE.TNOTE(A267,V267,W267,X267,Y267,Z267,AA267,TODAY()))</f>
        <v>US912810FP85#0028</v>
      </c>
    </row>
    <row r="268" spans="1:29" x14ac:dyDescent="0.2">
      <c r="A268" s="131" t="s">
        <v>575</v>
      </c>
      <c r="B268" s="115" t="str">
        <f ca="1">_xll.BDP($A268 &amp; " Govt",B$1)</f>
        <v>T 4 1/2 02/15/36</v>
      </c>
      <c r="C268" s="372"/>
      <c r="D268" s="116"/>
      <c r="E268" s="117"/>
      <c r="F268" s="118"/>
      <c r="G268" s="377"/>
      <c r="H268" s="120">
        <f ca="1">IF(E268="",_xll.BDP(A268 &amp; " Govt","YLD_YTM_ASK")/100,E268)</f>
        <v>2.5186815000000001E-2</v>
      </c>
      <c r="I268" s="121">
        <f ca="1">_xll.INSTRUMENT.PRIX(AC268,D268,H268,cTreasuries)</f>
        <v>135.10240781021071</v>
      </c>
      <c r="J268" s="122">
        <f ca="1">_xll.INSTRUMENT.DV01(A268,,,I268,cContinuous,I268)</f>
        <v>-0.21775979558279446</v>
      </c>
      <c r="K268" s="123">
        <f ca="1">_xll.INSTRUMENT.CONVEXITE(A268,,,I268,cContinuous,I268)</f>
        <v>321.77478032032434</v>
      </c>
      <c r="L268" s="123">
        <f ca="1">_xll.INSTRUMENT.Z.SPREAD(A268,swapCurve,I268,cContinuous,D268)</f>
        <v>17.500789181202219</v>
      </c>
      <c r="M268" s="123">
        <f ca="1">_xll.INSTRUMENT.Z.SPREAD(A268,ustCurve,I268,cContinuous,D268)</f>
        <v>-5.0152986993981443</v>
      </c>
      <c r="N268" s="123">
        <f ca="1">_xll.INSTRUMENT.Z.SPREAD(A268,oisCurve,I268,cContinuous,D268)</f>
        <v>45.089705806713035</v>
      </c>
      <c r="O268" s="124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2.9551911178265437E-2</v>
      </c>
      <c r="P268" s="124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2.8265714632308654E-2</v>
      </c>
      <c r="Q268" s="379">
        <f ca="1">-(O268-curve!$S$3)/J268</f>
        <v>0.12781856194625513</v>
      </c>
      <c r="R268" s="381">
        <f t="shared" ca="1" si="6"/>
        <v>-1477.6592688248659</v>
      </c>
      <c r="S268" s="199" t="str">
        <f>IF(F268&lt;&gt;"","",IF(G268="","",-G268*(SUMIF('bench Comparison'!$A:$A,"RESINV1USD",'bench Comparison'!$G:$G)+SUMIF('bench Comparison'!$A:$A,"RESSWAPORUSD",'bench Comparison'!$G:$G))/(36500*J268)))</f>
        <v/>
      </c>
      <c r="T268" s="210" t="str">
        <f>IF(G268&lt;&gt;"","",IF(F268="","",-36500*J268*F268/(SUMIF('bench Comparison'!$A:$A,"RESINV1USD",'bench Comparison'!$G:$G)+SUMIF('bench Comparison'!$A:$A,"RESSWAPORUSD",'bench Comparison'!$G:$G))))</f>
        <v/>
      </c>
      <c r="U268" s="125">
        <f>SUMIF('bench Comparison'!$E:$E,A268,'bench Comparison'!$N:$N)</f>
        <v>0</v>
      </c>
      <c r="V268" s="126">
        <f ca="1">VALUE(_xll.BDP($A268 &amp; " Corp",V$1))</f>
        <v>38763</v>
      </c>
      <c r="W268" s="127">
        <f ca="1">VALUE(_xll.BDP($A268 &amp; " Corp",W$1))</f>
        <v>38763</v>
      </c>
      <c r="X268" s="127">
        <f ca="1">VALUE(_xll.BDP($A268 &amp; " Corp",X$1))</f>
        <v>38944</v>
      </c>
      <c r="Y268" s="127">
        <f ca="1">VALUE(_xll.BDP($A268 &amp; " Corp",Y$1))</f>
        <v>49536</v>
      </c>
      <c r="Z268" s="127">
        <f ca="1">VALUE(_xll.BDP($A268 &amp; " Corp",Z$1))</f>
        <v>49720</v>
      </c>
      <c r="AA268" s="128">
        <f ca="1">_xll.BDP($A268 &amp; " Corp",AA$1)/100</f>
        <v>4.4999999999999998E-2</v>
      </c>
      <c r="AB268" s="129">
        <f ca="1">_xll.BDP($A268 &amp; " Corp",AB$1)</f>
        <v>26397000000</v>
      </c>
      <c r="AC268" s="130" t="str">
        <f ca="1">IF(LEFT(B268,1)="B",_xll.INSTANCE.TBILL(A268,V268,Z268,TODAY()),_xll.INSTANCE.TNOTE(A268,V268,W268,X268,Y268,Z268,AA268,TODAY()))</f>
        <v>US912810FT08#0027</v>
      </c>
    </row>
    <row r="269" spans="1:29" x14ac:dyDescent="0.2">
      <c r="A269" s="131" t="s">
        <v>576</v>
      </c>
      <c r="B269" s="115" t="str">
        <f ca="1">_xll.BDP($A269 &amp; " Govt",B$1)</f>
        <v>T 4 3/4 02/15/37</v>
      </c>
      <c r="C269" s="372"/>
      <c r="D269" s="116"/>
      <c r="E269" s="117"/>
      <c r="F269" s="118"/>
      <c r="G269" s="377"/>
      <c r="H269" s="120">
        <f ca="1">IF(E269="",_xll.BDP(A269 &amp; " Govt","YLD_YTM_ASK")/100,E269)</f>
        <v>2.5428009000000001E-2</v>
      </c>
      <c r="I269" s="121">
        <f ca="1">_xll.INSTRUMENT.PRIX(AC269,D269,H269,cTreasuries)</f>
        <v>140.19544921597134</v>
      </c>
      <c r="J269" s="122">
        <f ca="1">_xll.INSTRUMENT.DV01(A269,,,I269,cContinuous,I269)</f>
        <v>-0.22993295212916171</v>
      </c>
      <c r="K269" s="123">
        <f ca="1">_xll.INSTRUMENT.CONVEXITE(A269,,,I269,cContinuous,I269)</f>
        <v>337.20663228995051</v>
      </c>
      <c r="L269" s="123">
        <f ca="1">_xll.INSTRUMENT.Z.SPREAD(A269,swapCurve,I269,cContinuous,D269)</f>
        <v>18.962122843140367</v>
      </c>
      <c r="M269" s="123">
        <f ca="1">_xll.INSTRUMENT.Z.SPREAD(A269,ustCurve,I269,cContinuous,D269)</f>
        <v>-3.4849931137634762</v>
      </c>
      <c r="N269" s="123">
        <f ca="1">_xll.INSTRUMENT.Z.SPREAD(A269,oisCurve,I269,cContinuous,D269)</f>
        <v>46.359338224087352</v>
      </c>
      <c r="O269" s="124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3.0403401247888106E-2</v>
      </c>
      <c r="P269" s="124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2.8576240989747433E-2</v>
      </c>
      <c r="Q269" s="379">
        <f ca="1">-(O269-curve!$S$3)/J269</f>
        <v>0.12475477622977847</v>
      </c>
      <c r="R269" s="381">
        <f t="shared" ca="1" si="6"/>
        <v>-1466.5433082446107</v>
      </c>
      <c r="S269" s="199" t="str">
        <f>IF(F269&lt;&gt;"","",IF(G269="","",-G269*(SUMIF('bench Comparison'!$A:$A,"RESINV1USD",'bench Comparison'!$G:$G)+SUMIF('bench Comparison'!$A:$A,"RESSWAPORUSD",'bench Comparison'!$G:$G))/(36500*J269)))</f>
        <v/>
      </c>
      <c r="T269" s="210" t="str">
        <f>IF(G269&lt;&gt;"","",IF(F269="","",-36500*J269*F269/(SUMIF('bench Comparison'!$A:$A,"RESINV1USD",'bench Comparison'!$G:$G)+SUMIF('bench Comparison'!$A:$A,"RESSWAPORUSD",'bench Comparison'!$G:$G))))</f>
        <v/>
      </c>
      <c r="U269" s="125">
        <f>SUMIF('bench Comparison'!$E:$E,A269,'bench Comparison'!$N:$N)</f>
        <v>0</v>
      </c>
      <c r="V269" s="126">
        <f ca="1">VALUE(_xll.BDP($A269 &amp; " Corp",V$1))</f>
        <v>39128</v>
      </c>
      <c r="W269" s="127">
        <f ca="1">VALUE(_xll.BDP($A269 &amp; " Corp",W$1))</f>
        <v>39128</v>
      </c>
      <c r="X269" s="127">
        <f ca="1">VALUE(_xll.BDP($A269 &amp; " Corp",X$1))</f>
        <v>39309</v>
      </c>
      <c r="Y269" s="127">
        <f ca="1">VALUE(_xll.BDP($A269 &amp; " Corp",Y$1))</f>
        <v>49902</v>
      </c>
      <c r="Z269" s="127">
        <f ca="1">VALUE(_xll.BDP($A269 &amp; " Corp",Z$1))</f>
        <v>50086</v>
      </c>
      <c r="AA269" s="128">
        <f ca="1">_xll.BDP($A269 &amp; " Corp",AA$1)/100</f>
        <v>4.7500000000000001E-2</v>
      </c>
      <c r="AB269" s="129">
        <f ca="1">_xll.BDP($A269 &amp; " Corp",AB$1)</f>
        <v>16589000000</v>
      </c>
      <c r="AC269" s="130" t="str">
        <f ca="1">IF(LEFT(B269,1)="B",_xll.INSTANCE.TBILL(A269,V269,Z269,TODAY()),_xll.INSTANCE.TNOTE(A269,V269,W269,X269,Y269,Z269,AA269,TODAY()))</f>
        <v>US912810PT97#0028</v>
      </c>
    </row>
    <row r="270" spans="1:29" x14ac:dyDescent="0.2">
      <c r="A270" s="131" t="s">
        <v>577</v>
      </c>
      <c r="B270" s="115" t="str">
        <f ca="1">_xll.BDP($A270 &amp; " Govt",B$1)</f>
        <v>T 5 05/15/37</v>
      </c>
      <c r="C270" s="372"/>
      <c r="D270" s="116"/>
      <c r="E270" s="117"/>
      <c r="F270" s="118"/>
      <c r="G270" s="377"/>
      <c r="H270" s="120">
        <f ca="1">IF(E270="",_xll.BDP(A270 &amp; " Govt","YLD_YTM_ASK")/100,E270)</f>
        <v>2.5416202999999998E-2</v>
      </c>
      <c r="I270" s="121">
        <f ca="1">_xll.INSTRUMENT.PRIX(AC270,D270,H270,cTreasuries)</f>
        <v>145.10932014553956</v>
      </c>
      <c r="J270" s="122">
        <f ca="1">_xll.INSTRUMENT.DV01(A270,,,I270,cContinuous,I270)</f>
        <v>-0.23723748847077245</v>
      </c>
      <c r="K270" s="123">
        <f ca="1">_xll.INSTRUMENT.CONVEXITE(A270,,,I270,cContinuous,I270)</f>
        <v>339.88719480935498</v>
      </c>
      <c r="L270" s="123">
        <f ca="1">_xll.INSTRUMENT.Z.SPREAD(A270,swapCurve,I270,cContinuous,D270)</f>
        <v>19.070251373145478</v>
      </c>
      <c r="M270" s="123">
        <f ca="1">_xll.INSTRUMENT.Z.SPREAD(A270,ustCurve,I270,cContinuous,D270)</f>
        <v>-3.1112505440483393</v>
      </c>
      <c r="N270" s="123">
        <f ca="1">_xll.INSTRUMENT.Z.SPREAD(A270,oisCurve,I270,cContinuous,D270)</f>
        <v>46.473342793427975</v>
      </c>
      <c r="O270" s="124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2.9692787144290574E-2</v>
      </c>
      <c r="P270" s="124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2.8414018375301584E-2</v>
      </c>
      <c r="Q270" s="379">
        <f ca="1">-(O270-curve!$S$3)/J270</f>
        <v>0.11791820958589713</v>
      </c>
      <c r="R270" s="381">
        <f t="shared" ca="1" si="6"/>
        <v>-1432.6875444528614</v>
      </c>
      <c r="S270" s="199" t="str">
        <f>IF(F270&lt;&gt;"","",IF(G270="","",-G270*(SUMIF('bench Comparison'!$A:$A,"RESINV1USD",'bench Comparison'!$G:$G)+SUMIF('bench Comparison'!$A:$A,"RESSWAPORUSD",'bench Comparison'!$G:$G))/(36500*J270)))</f>
        <v/>
      </c>
      <c r="T270" s="210" t="str">
        <f>IF(G270&lt;&gt;"","",IF(F270="","",-36500*J270*F270/(SUMIF('bench Comparison'!$A:$A,"RESINV1USD",'bench Comparison'!$G:$G)+SUMIF('bench Comparison'!$A:$A,"RESSWAPORUSD",'bench Comparison'!$G:$G))))</f>
        <v/>
      </c>
      <c r="U270" s="125">
        <f>SUMIF('bench Comparison'!$E:$E,A270,'bench Comparison'!$N:$N)</f>
        <v>0</v>
      </c>
      <c r="V270" s="126">
        <f ca="1">VALUE(_xll.BDP($A270 &amp; " Corp",V$1))</f>
        <v>39309</v>
      </c>
      <c r="W270" s="127">
        <f ca="1">VALUE(_xll.BDP($A270 &amp; " Corp",W$1))</f>
        <v>39217</v>
      </c>
      <c r="X270" s="127">
        <f ca="1">VALUE(_xll.BDP($A270 &amp; " Corp",X$1))</f>
        <v>39401</v>
      </c>
      <c r="Y270" s="127">
        <f ca="1">VALUE(_xll.BDP($A270 &amp; " Corp",Y$1))</f>
        <v>49994</v>
      </c>
      <c r="Z270" s="127">
        <f ca="1">VALUE(_xll.BDP($A270 &amp; " Corp",Z$1))</f>
        <v>50175</v>
      </c>
      <c r="AA270" s="128">
        <f ca="1">_xll.BDP($A270 &amp; " Corp",AA$1)/100</f>
        <v>0.05</v>
      </c>
      <c r="AB270" s="129">
        <f ca="1">_xll.BDP($A270 &amp; " Corp",AB$1)</f>
        <v>21413000000</v>
      </c>
      <c r="AC270" s="130" t="str">
        <f ca="1">IF(LEFT(B270,1)="B",_xll.INSTANCE.TBILL(A270,V270,Z270,TODAY()),_xll.INSTANCE.TNOTE(A270,V270,W270,X270,Y270,Z270,AA270,TODAY()))</f>
        <v>US912810PU60#0028</v>
      </c>
    </row>
    <row r="271" spans="1:29" x14ac:dyDescent="0.2">
      <c r="A271" s="131" t="s">
        <v>578</v>
      </c>
      <c r="B271" s="115" t="str">
        <f ca="1">_xll.BDP($A271 &amp; " Govt",B$1)</f>
        <v>T 4 3/8 02/15/38</v>
      </c>
      <c r="C271" s="372"/>
      <c r="D271" s="116"/>
      <c r="E271" s="117"/>
      <c r="F271" s="118"/>
      <c r="G271" s="377"/>
      <c r="H271" s="120">
        <f ca="1">IF(E271="",_xll.BDP(A271 &amp; " Govt","YLD_YTM_ASK")/100,E271)</f>
        <v>2.5784473999999998E-2</v>
      </c>
      <c r="I271" s="121">
        <f ca="1">_xll.INSTRUMENT.PRIX(AC271,D271,H271,cTreasuries)</f>
        <v>133.52370513073234</v>
      </c>
      <c r="J271" s="122">
        <f ca="1">_xll.INSTRUMENT.DV01(A271,,,I271,cContinuous,I271)</f>
        <v>-0.22823463351928128</v>
      </c>
      <c r="K271" s="123">
        <f ca="1">_xll.INSTRUMENT.CONVEXITE(A271,,,I271,cContinuous,I271)</f>
        <v>366.58719996260658</v>
      </c>
      <c r="L271" s="123">
        <f ca="1">_xll.INSTRUMENT.Z.SPREAD(A271,swapCurve,I271,cContinuous,D271)</f>
        <v>20.33709400669925</v>
      </c>
      <c r="M271" s="123">
        <f ca="1">_xll.INSTRUMENT.Z.SPREAD(A271,ustCurve,I271,cContinuous,D271)</f>
        <v>-2.4027740091086449</v>
      </c>
      <c r="N271" s="123">
        <f ca="1">_xll.INSTRUMENT.Z.SPREAD(A271,oisCurve,I271,cContinuous,D271)</f>
        <v>47.466913414643784</v>
      </c>
      <c r="O271" s="124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3.0318922248643361E-2</v>
      </c>
      <c r="P271" s="124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2.8655874019278948E-2</v>
      </c>
      <c r="Q271" s="379">
        <f ca="1">-(O271-curve!$S$3)/J271</f>
        <v>0.12531294900545842</v>
      </c>
      <c r="R271" s="381">
        <f t="shared" ca="1" si="6"/>
        <v>-1606.1856796665229</v>
      </c>
      <c r="S271" s="199" t="str">
        <f>IF(F271&lt;&gt;"","",IF(G271="","",-G271*(SUMIF('bench Comparison'!$A:$A,"RESINV1USD",'bench Comparison'!$G:$G)+SUMIF('bench Comparison'!$A:$A,"RESSWAPORUSD",'bench Comparison'!$G:$G))/(36500*J271)))</f>
        <v/>
      </c>
      <c r="T271" s="210" t="str">
        <f>IF(G271&lt;&gt;"","",IF(F271="","",-36500*J271*F271/(SUMIF('bench Comparison'!$A:$A,"RESINV1USD",'bench Comparison'!$G:$G)+SUMIF('bench Comparison'!$A:$A,"RESSWAPORUSD",'bench Comparison'!$G:$G))))</f>
        <v/>
      </c>
      <c r="U271" s="125">
        <f>SUMIF('bench Comparison'!$E:$E,A271,'bench Comparison'!$N:$N)</f>
        <v>0</v>
      </c>
      <c r="V271" s="126">
        <f ca="1">VALUE(_xll.BDP($A271 &amp; " Corp",V$1))</f>
        <v>39493</v>
      </c>
      <c r="W271" s="127">
        <f ca="1">VALUE(_xll.BDP($A271 &amp; " Corp",W$1))</f>
        <v>39493</v>
      </c>
      <c r="X271" s="127">
        <f ca="1">VALUE(_xll.BDP($A271 &amp; " Corp",X$1))</f>
        <v>39675</v>
      </c>
      <c r="Y271" s="127">
        <f ca="1">VALUE(_xll.BDP($A271 &amp; " Corp",Y$1))</f>
        <v>50267</v>
      </c>
      <c r="Z271" s="127">
        <f ca="1">VALUE(_xll.BDP($A271 &amp; " Corp",Z$1))</f>
        <v>50451</v>
      </c>
      <c r="AA271" s="128">
        <f ca="1">_xll.BDP($A271 &amp; " Corp",AA$1)/100</f>
        <v>4.3749999999999997E-2</v>
      </c>
      <c r="AB271" s="129">
        <f ca="1">_xll.BDP($A271 &amp; " Corp",AB$1)</f>
        <v>22525000000</v>
      </c>
      <c r="AC271" s="130" t="str">
        <f ca="1">IF(LEFT(B271,1)="B",_xll.INSTANCE.TBILL(A271,V271,Z271,TODAY()),_xll.INSTANCE.TNOTE(A271,V271,W271,X271,Y271,Z271,AA271,TODAY()))</f>
        <v>US912810PW27#0028</v>
      </c>
    </row>
    <row r="272" spans="1:29" x14ac:dyDescent="0.2">
      <c r="A272" s="131" t="s">
        <v>579</v>
      </c>
      <c r="B272" s="115" t="str">
        <f ca="1">_xll.BDP($A272 &amp; " Govt",B$1)</f>
        <v>T 4 1/2 05/15/38</v>
      </c>
      <c r="C272" s="372"/>
      <c r="D272" s="116"/>
      <c r="E272" s="117"/>
      <c r="F272" s="118"/>
      <c r="G272" s="377"/>
      <c r="H272" s="120">
        <f ca="1">IF(E272="",_xll.BDP(A272 &amp; " Govt","YLD_YTM_ASK")/100,E272)</f>
        <v>2.5771051E-2</v>
      </c>
      <c r="I272" s="121">
        <f ca="1">_xll.INSTRUMENT.PRIX(AC272,D272,H272,cTreasuries)</f>
        <v>136.14056172212975</v>
      </c>
      <c r="J272" s="122">
        <f ca="1">_xll.INSTRUMENT.DV01(A272,,,I272,cContinuous,I272)</f>
        <v>-0.23295035597399355</v>
      </c>
      <c r="K272" s="123">
        <f ca="1">_xll.INSTRUMENT.CONVEXITE(A272,,,I272,cContinuous,I272)</f>
        <v>371.85303544893389</v>
      </c>
      <c r="L272" s="123">
        <f ca="1">_xll.INSTRUMENT.Z.SPREAD(A272,swapCurve,I272,cContinuous,D272)</f>
        <v>20.146864537504452</v>
      </c>
      <c r="M272" s="123">
        <f ca="1">_xll.INSTRUMENT.Z.SPREAD(A272,ustCurve,I272,cContinuous,D272)</f>
        <v>-2.3746126812276387</v>
      </c>
      <c r="N272" s="123">
        <f ca="1">_xll.INSTRUMENT.Z.SPREAD(A272,oisCurve,I272,cContinuous,D272)</f>
        <v>47.269933904548537</v>
      </c>
      <c r="O272" s="124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3.0828422583305679E-2</v>
      </c>
      <c r="P272" s="124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2.8859255335225639E-2</v>
      </c>
      <c r="Q272" s="379">
        <f ca="1">-(O272-curve!$S$3)/J272</f>
        <v>0.1249633433888951</v>
      </c>
      <c r="R272" s="381">
        <f t="shared" ca="1" si="6"/>
        <v>-1596.2758841649822</v>
      </c>
      <c r="S272" s="199" t="str">
        <f>IF(F272&lt;&gt;"","",IF(G272="","",-G272*(SUMIF('bench Comparison'!$A:$A,"RESINV1USD",'bench Comparison'!$G:$G)+SUMIF('bench Comparison'!$A:$A,"RESSWAPORUSD",'bench Comparison'!$G:$G))/(36500*J272)))</f>
        <v/>
      </c>
      <c r="T272" s="210" t="str">
        <f>IF(G272&lt;&gt;"","",IF(F272="","",-36500*J272*F272/(SUMIF('bench Comparison'!$A:$A,"RESINV1USD",'bench Comparison'!$G:$G)+SUMIF('bench Comparison'!$A:$A,"RESSWAPORUSD",'bench Comparison'!$G:$G))))</f>
        <v/>
      </c>
      <c r="U272" s="125">
        <f>SUMIF('bench Comparison'!$E:$E,A272,'bench Comparison'!$N:$N)</f>
        <v>0</v>
      </c>
      <c r="V272" s="126">
        <f ca="1">VALUE(_xll.BDP($A272 &amp; " Corp",V$1))</f>
        <v>39675</v>
      </c>
      <c r="W272" s="127">
        <f ca="1">VALUE(_xll.BDP($A272 &amp; " Corp",W$1))</f>
        <v>39583</v>
      </c>
      <c r="X272" s="127">
        <f ca="1">VALUE(_xll.BDP($A272 &amp; " Corp",X$1))</f>
        <v>39767</v>
      </c>
      <c r="Y272" s="127">
        <f ca="1">VALUE(_xll.BDP($A272 &amp; " Corp",Y$1))</f>
        <v>50359</v>
      </c>
      <c r="Z272" s="127">
        <f ca="1">VALUE(_xll.BDP($A272 &amp; " Corp",Z$1))</f>
        <v>50540</v>
      </c>
      <c r="AA272" s="128">
        <f ca="1">_xll.BDP($A272 &amp; " Corp",AA$1)/100</f>
        <v>4.4999999999999998E-2</v>
      </c>
      <c r="AB272" s="129">
        <f ca="1">_xll.BDP($A272 &amp; " Corp",AB$1)</f>
        <v>25500000000</v>
      </c>
      <c r="AC272" s="130" t="str">
        <f ca="1">IF(LEFT(B272,1)="B",_xll.INSTANCE.TBILL(A272,V272,Z272,TODAY()),_xll.INSTANCE.TNOTE(A272,V272,W272,X272,Y272,Z272,AA272,TODAY()))</f>
        <v>US912810PX00#0027</v>
      </c>
    </row>
    <row r="273" spans="1:29" x14ac:dyDescent="0.2">
      <c r="A273" s="131" t="s">
        <v>580</v>
      </c>
      <c r="B273" s="115" t="str">
        <f ca="1">_xll.BDP($A273 &amp; " Govt",B$1)</f>
        <v>T 3 1/2 02/15/39</v>
      </c>
      <c r="C273" s="372"/>
      <c r="D273" s="116"/>
      <c r="E273" s="117"/>
      <c r="F273" s="118"/>
      <c r="G273" s="377"/>
      <c r="H273" s="120">
        <f ca="1">IF(E273="",_xll.BDP(A273 &amp; " Govt","YLD_YTM_ASK")/100,E273)</f>
        <v>2.6351884000000003E-2</v>
      </c>
      <c r="I273" s="121">
        <f ca="1">_xll.INSTRUMENT.PRIX(AC273,D273,H273,cTreasuries)</f>
        <v>116.46164234781658</v>
      </c>
      <c r="J273" s="122">
        <f ca="1">_xll.INSTRUMENT.DV01(A273,,,I273,cContinuous,I273)</f>
        <v>-0.21279565868559472</v>
      </c>
      <c r="K273" s="123">
        <f ca="1">_xll.INSTRUMENT.CONVEXITE(A273,,,I273,cContinuous,I273)</f>
        <v>414.22521592309141</v>
      </c>
      <c r="L273" s="123">
        <f ca="1">_xll.INSTRUMENT.Z.SPREAD(A273,swapCurve,I273,cContinuous,D273)</f>
        <v>22.601686868496824</v>
      </c>
      <c r="M273" s="123">
        <f ca="1">_xll.INSTRUMENT.Z.SPREAD(A273,ustCurve,I273,cContinuous,D273)</f>
        <v>-0.63124867857136013</v>
      </c>
      <c r="N273" s="123">
        <f ca="1">_xll.INSTRUMENT.Z.SPREAD(A273,oisCurve,I273,cContinuous,D273)</f>
        <v>49.369679456772474</v>
      </c>
      <c r="O273" s="124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3.0563116026336566E-2</v>
      </c>
      <c r="P273" s="124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2.8955214525918444E-2</v>
      </c>
      <c r="Q273" s="379">
        <f ca="1">-(O273-curve!$S$3)/J273</f>
        <v>0.13555233667521743</v>
      </c>
      <c r="R273" s="381">
        <f t="shared" ca="1" si="6"/>
        <v>-1946.5867794563826</v>
      </c>
      <c r="S273" s="199" t="str">
        <f>IF(F273&lt;&gt;"","",IF(G273="","",-G273*(SUMIF('bench Comparison'!$A:$A,"RESINV1USD",'bench Comparison'!$G:$G)+SUMIF('bench Comparison'!$A:$A,"RESSWAPORUSD",'bench Comparison'!$G:$G))/(36500*J273)))</f>
        <v/>
      </c>
      <c r="T273" s="210" t="str">
        <f>IF(G273&lt;&gt;"","",IF(F273="","",-36500*J273*F273/(SUMIF('bench Comparison'!$A:$A,"RESINV1USD",'bench Comparison'!$G:$G)+SUMIF('bench Comparison'!$A:$A,"RESSWAPORUSD",'bench Comparison'!$G:$G))))</f>
        <v/>
      </c>
      <c r="U273" s="125">
        <f>SUMIF('bench Comparison'!$E:$E,A273,'bench Comparison'!$N:$N)</f>
        <v>0</v>
      </c>
      <c r="V273" s="126">
        <f ca="1">VALUE(_xll.BDP($A273 &amp; " Corp",V$1))</f>
        <v>39861</v>
      </c>
      <c r="W273" s="127">
        <f ca="1">VALUE(_xll.BDP($A273 &amp; " Corp",W$1))</f>
        <v>39859</v>
      </c>
      <c r="X273" s="127">
        <f ca="1">VALUE(_xll.BDP($A273 &amp; " Corp",X$1))</f>
        <v>40040</v>
      </c>
      <c r="Y273" s="127">
        <f ca="1">VALUE(_xll.BDP($A273 &amp; " Corp",Y$1))</f>
        <v>50632</v>
      </c>
      <c r="Z273" s="127">
        <f ca="1">VALUE(_xll.BDP($A273 &amp; " Corp",Z$1))</f>
        <v>50816</v>
      </c>
      <c r="AA273" s="128">
        <f ca="1">_xll.BDP($A273 &amp; " Corp",AA$1)/100</f>
        <v>3.5000000000000003E-2</v>
      </c>
      <c r="AB273" s="129">
        <f ca="1">_xll.BDP($A273 &amp; " Corp",AB$1)</f>
        <v>25909000000</v>
      </c>
      <c r="AC273" s="130" t="str">
        <f ca="1">IF(LEFT(B273,1)="B",_xll.INSTANCE.TBILL(A273,V273,Z273,TODAY()),_xll.INSTANCE.TNOTE(A273,V273,W273,X273,Y273,Z273,AA273,TODAY()))</f>
        <v>US912810QA97#0029</v>
      </c>
    </row>
    <row r="274" spans="1:29" x14ac:dyDescent="0.2">
      <c r="A274" s="131" t="s">
        <v>581</v>
      </c>
      <c r="B274" s="115" t="str">
        <f ca="1">_xll.BDP($A274 &amp; " Govt",B$1)</f>
        <v>T 4 1/4 05/15/39</v>
      </c>
      <c r="C274" s="372"/>
      <c r="D274" s="116"/>
      <c r="E274" s="117"/>
      <c r="F274" s="118"/>
      <c r="G274" s="377"/>
      <c r="H274" s="120">
        <f ca="1">IF(E274="",_xll.BDP(A274 &amp; " Govt","YLD_YTM_ASK")/100,E274)</f>
        <v>2.6125869000000003E-2</v>
      </c>
      <c r="I274" s="121">
        <f ca="1">_xll.INSTRUMENT.PRIX(AC274,D274,H274,cTreasuries)</f>
        <v>131.46860158010196</v>
      </c>
      <c r="J274" s="122">
        <f ca="1">_xll.INSTRUMENT.DV01(A274,,,I274,cContinuous,I274)</f>
        <v>-0.23292590775257874</v>
      </c>
      <c r="K274" s="123">
        <f ca="1">_xll.INSTRUMENT.CONVEXITE(A274,,,I274,cContinuous,I274)</f>
        <v>399.73602223001734</v>
      </c>
      <c r="L274" s="123">
        <f ca="1">_xll.INSTRUMENT.Z.SPREAD(A274,swapCurve,I274,cContinuous,D274)</f>
        <v>21.907239244221199</v>
      </c>
      <c r="M274" s="123">
        <f ca="1">_xll.INSTRUMENT.Z.SPREAD(A274,ustCurve,I274,cContinuous,D274)</f>
        <v>-0.34623715325395615</v>
      </c>
      <c r="N274" s="123">
        <f ca="1">_xll.INSTRUMENT.Z.SPREAD(A274,oisCurve,I274,cContinuous,D274)</f>
        <v>48.833728573409168</v>
      </c>
      <c r="O274" s="124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3.0705264209957613E-2</v>
      </c>
      <c r="P274" s="124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2.8943887393988999E-2</v>
      </c>
      <c r="Q274" s="379">
        <f ca="1">-(O274-curve!$S$3)/J274</f>
        <v>0.12444771486556339</v>
      </c>
      <c r="R274" s="381">
        <f t="shared" ca="1" si="6"/>
        <v>-1716.1509687219061</v>
      </c>
      <c r="S274" s="199" t="str">
        <f>IF(F274&lt;&gt;"","",IF(G274="","",-G274*(SUMIF('bench Comparison'!$A:$A,"RESINV1USD",'bench Comparison'!$G:$G)+SUMIF('bench Comparison'!$A:$A,"RESSWAPORUSD",'bench Comparison'!$G:$G))/(36500*J274)))</f>
        <v/>
      </c>
      <c r="T274" s="210" t="str">
        <f>IF(G274&lt;&gt;"","",IF(F274="","",-36500*J274*F274/(SUMIF('bench Comparison'!$A:$A,"RESINV1USD",'bench Comparison'!$G:$G)+SUMIF('bench Comparison'!$A:$A,"RESSWAPORUSD",'bench Comparison'!$G:$G))))</f>
        <v/>
      </c>
      <c r="U274" s="125">
        <f>SUMIF('bench Comparison'!$E:$E,A274,'bench Comparison'!$N:$N)</f>
        <v>0</v>
      </c>
      <c r="V274" s="126">
        <f ca="1">VALUE(_xll.BDP($A274 &amp; " Corp",V$1))</f>
        <v>39948</v>
      </c>
      <c r="W274" s="127">
        <f ca="1">VALUE(_xll.BDP($A274 &amp; " Corp",W$1))</f>
        <v>39948</v>
      </c>
      <c r="X274" s="127">
        <f ca="1">VALUE(_xll.BDP($A274 &amp; " Corp",X$1))</f>
        <v>40132</v>
      </c>
      <c r="Y274" s="127">
        <f ca="1">VALUE(_xll.BDP($A274 &amp; " Corp",Y$1))</f>
        <v>50724</v>
      </c>
      <c r="Z274" s="127">
        <f ca="1">VALUE(_xll.BDP($A274 &amp; " Corp",Z$1))</f>
        <v>50905</v>
      </c>
      <c r="AA274" s="128">
        <f ca="1">_xll.BDP($A274 &amp; " Corp",AA$1)/100</f>
        <v>4.2500000000000003E-2</v>
      </c>
      <c r="AB274" s="129">
        <f ca="1">_xll.BDP($A274 &amp; " Corp",AB$1)</f>
        <v>38779000000</v>
      </c>
      <c r="AC274" s="130" t="str">
        <f ca="1">IF(LEFT(B274,1)="B",_xll.INSTANCE.TBILL(A274,V274,Z274,TODAY()),_xll.INSTANCE.TNOTE(A274,V274,W274,X274,Y274,Z274,AA274,TODAY()))</f>
        <v>US912810QB70#0029</v>
      </c>
    </row>
    <row r="275" spans="1:29" x14ac:dyDescent="0.2">
      <c r="A275" s="131" t="s">
        <v>582</v>
      </c>
      <c r="B275" s="115" t="str">
        <f ca="1">_xll.BDP($A275 &amp; " Govt",B$1)</f>
        <v>T 4 1/2 08/15/39</v>
      </c>
      <c r="C275" s="372"/>
      <c r="D275" s="116"/>
      <c r="E275" s="117"/>
      <c r="F275" s="118"/>
      <c r="G275" s="377"/>
      <c r="H275" s="120">
        <f ca="1">IF(E275="",_xll.BDP(A275 &amp; " Govt","YLD_YTM_ASK")/100,E275)</f>
        <v>2.6102777000000001E-2</v>
      </c>
      <c r="I275" s="121">
        <f ca="1">_xll.INSTRUMENT.PRIX(AC275,D275,H275,cTreasuries)</f>
        <v>136.56010144425764</v>
      </c>
      <c r="J275" s="122">
        <f ca="1">_xll.INSTRUMENT.DV01(A275,,,I275,cContinuous,I275)</f>
        <v>-0.24077571531552663</v>
      </c>
      <c r="K275" s="123">
        <f ca="1">_xll.INSTRUMENT.CONVEXITE(A275,,,I275,cContinuous,I275)</f>
        <v>395.20498892738374</v>
      </c>
      <c r="L275" s="123">
        <f ca="1">_xll.INSTRUMENT.Z.SPREAD(A275,swapCurve,I275,cContinuous,D275)</f>
        <v>21.952153863042906</v>
      </c>
      <c r="M275" s="123">
        <f ca="1">_xll.INSTRUMENT.Z.SPREAD(A275,ustCurve,I275,cContinuous,D275)</f>
        <v>9.6568317947339333E-2</v>
      </c>
      <c r="N275" s="123">
        <f ca="1">_xll.INSTRUMENT.Z.SPREAD(A275,oisCurve,I275,cContinuous,D275)</f>
        <v>48.897121479431291</v>
      </c>
      <c r="O275" s="124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3.0010446383048665E-2</v>
      </c>
      <c r="P275" s="124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2.8634153981900699E-2</v>
      </c>
      <c r="Q275" s="379">
        <f ca="1">-(O275-curve!$S$3)/J275</f>
        <v>0.11750470386438527</v>
      </c>
      <c r="R275" s="381">
        <f t="shared" ca="1" si="6"/>
        <v>-1641.3822648579153</v>
      </c>
      <c r="S275" s="199" t="str">
        <f>IF(F275&lt;&gt;"","",IF(G275="","",-G275*(SUMIF('bench Comparison'!$A:$A,"RESINV1USD",'bench Comparison'!$G:$G)+SUMIF('bench Comparison'!$A:$A,"RESSWAPORUSD",'bench Comparison'!$G:$G))/(36500*J275)))</f>
        <v/>
      </c>
      <c r="T275" s="210" t="str">
        <f>IF(G275&lt;&gt;"","",IF(F275="","",-36500*J275*F275/(SUMIF('bench Comparison'!$A:$A,"RESINV1USD",'bench Comparison'!$G:$G)+SUMIF('bench Comparison'!$A:$A,"RESSWAPORUSD",'bench Comparison'!$G:$G))))</f>
        <v/>
      </c>
      <c r="U275" s="125">
        <f>SUMIF('bench Comparison'!$E:$E,A275,'bench Comparison'!$N:$N)</f>
        <v>0</v>
      </c>
      <c r="V275" s="126">
        <f ca="1">VALUE(_xll.BDP($A275 &amp; " Corp",V$1))</f>
        <v>40042</v>
      </c>
      <c r="W275" s="127">
        <f ca="1">VALUE(_xll.BDP($A275 &amp; " Corp",W$1))</f>
        <v>40040</v>
      </c>
      <c r="X275" s="127">
        <f ca="1">VALUE(_xll.BDP($A275 &amp; " Corp",X$1))</f>
        <v>40224</v>
      </c>
      <c r="Y275" s="127">
        <f ca="1">VALUE(_xll.BDP($A275 &amp; " Corp",Y$1))</f>
        <v>50816</v>
      </c>
      <c r="Z275" s="127">
        <f ca="1">VALUE(_xll.BDP($A275 &amp; " Corp",Z$1))</f>
        <v>50997</v>
      </c>
      <c r="AA275" s="128">
        <f ca="1">_xll.BDP($A275 &amp; " Corp",AA$1)/100</f>
        <v>4.4999999999999998E-2</v>
      </c>
      <c r="AB275" s="129">
        <f ca="1">_xll.BDP($A275 &amp; " Corp",AB$1)</f>
        <v>41431000000</v>
      </c>
      <c r="AC275" s="130" t="str">
        <f ca="1">IF(LEFT(B275,1)="B",_xll.INSTANCE.TBILL(A275,V275,Z275,TODAY()),_xll.INSTANCE.TNOTE(A275,V275,W275,X275,Y275,Z275,AA275,TODAY()))</f>
        <v>US912810QC53#0029</v>
      </c>
    </row>
    <row r="276" spans="1:29" x14ac:dyDescent="0.2">
      <c r="A276" s="131" t="s">
        <v>583</v>
      </c>
      <c r="B276" s="115" t="str">
        <f ca="1">_xll.BDP($A276 &amp; " Govt",B$1)</f>
        <v>T 4 3/8 11/15/39</v>
      </c>
      <c r="C276" s="372"/>
      <c r="D276" s="116"/>
      <c r="E276" s="117"/>
      <c r="F276" s="118"/>
      <c r="G276" s="377"/>
      <c r="H276" s="120">
        <f ca="1">IF(E276="",_xll.BDP(A276 &amp; " Govt","YLD_YTM_ASK")/100,E276)</f>
        <v>2.6221622E-2</v>
      </c>
      <c r="I276" s="121">
        <f ca="1">_xll.INSTRUMENT.PRIX(AC276,D276,H276,cTreasuries)</f>
        <v>134.07256320208839</v>
      </c>
      <c r="J276" s="122">
        <f ca="1">_xll.INSTRUMENT.DV01(A276,,,I276,cContinuous,I276)</f>
        <v>-0.23899175255957686</v>
      </c>
      <c r="K276" s="123">
        <f ca="1">_xll.INSTRUMENT.CONVEXITE(A276,,,I276,cContinuous,I276)</f>
        <v>407.11344936981288</v>
      </c>
      <c r="L276" s="123">
        <f ca="1">_xll.INSTRUMENT.Z.SPREAD(A276,swapCurve,I276,cContinuous,D276)</f>
        <v>22.585559486603493</v>
      </c>
      <c r="M276" s="123">
        <f ca="1">_xll.INSTRUMENT.Z.SPREAD(A276,ustCurve,I276,cContinuous,D276)</f>
        <v>0.80638791253088238</v>
      </c>
      <c r="N276" s="123">
        <f ca="1">_xll.INSTRUMENT.Z.SPREAD(A276,oisCurve,I276,cContinuous,D276)</f>
        <v>49.470109333493845</v>
      </c>
      <c r="O276" s="124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3.0311278453585076E-2</v>
      </c>
      <c r="P276" s="124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2.8849914357048048E-2</v>
      </c>
      <c r="Q276" s="379">
        <f ca="1">-(O276-curve!$S$3)/J276</f>
        <v>0.11964057709186049</v>
      </c>
      <c r="R276" s="381">
        <f t="shared" ca="1" si="6"/>
        <v>-1703.4623371295038</v>
      </c>
      <c r="S276" s="199" t="str">
        <f>IF(F276&lt;&gt;"","",IF(G276="","",-G276*(SUMIF('bench Comparison'!$A:$A,"RESINV1USD",'bench Comparison'!$G:$G)+SUMIF('bench Comparison'!$A:$A,"RESSWAPORUSD",'bench Comparison'!$G:$G))/(36500*J276)))</f>
        <v/>
      </c>
      <c r="T276" s="210" t="str">
        <f>IF(G276&lt;&gt;"","",IF(F276="","",-36500*J276*F276/(SUMIF('bench Comparison'!$A:$A,"RESINV1USD",'bench Comparison'!$G:$G)+SUMIF('bench Comparison'!$A:$A,"RESSWAPORUSD",'bench Comparison'!$G:$G))))</f>
        <v/>
      </c>
      <c r="U276" s="125">
        <f>SUMIF('bench Comparison'!$E:$E,A276,'bench Comparison'!$N:$N)</f>
        <v>0</v>
      </c>
      <c r="V276" s="126">
        <f ca="1">VALUE(_xll.BDP($A276 &amp; " Corp",V$1))</f>
        <v>40133</v>
      </c>
      <c r="W276" s="127">
        <f ca="1">VALUE(_xll.BDP($A276 &amp; " Corp",W$1))</f>
        <v>40132</v>
      </c>
      <c r="X276" s="127">
        <f ca="1">VALUE(_xll.BDP($A276 &amp; " Corp",X$1))</f>
        <v>40313</v>
      </c>
      <c r="Y276" s="127">
        <f ca="1">VALUE(_xll.BDP($A276 &amp; " Corp",Y$1))</f>
        <v>50905</v>
      </c>
      <c r="Z276" s="127">
        <f ca="1">VALUE(_xll.BDP($A276 &amp; " Corp",Z$1))</f>
        <v>51089</v>
      </c>
      <c r="AA276" s="128">
        <f ca="1">_xll.BDP($A276 &amp; " Corp",AA$1)/100</f>
        <v>4.3749999999999997E-2</v>
      </c>
      <c r="AB276" s="129">
        <f ca="1">_xll.BDP($A276 &amp; " Corp",AB$1)</f>
        <v>44564000000</v>
      </c>
      <c r="AC276" s="130" t="str">
        <f ca="1">IF(LEFT(B276,1)="B",_xll.INSTANCE.TBILL(A276,V276,Z276,TODAY()),_xll.INSTANCE.TNOTE(A276,V276,W276,X276,Y276,Z276,AA276,TODAY()))</f>
        <v>US912810QD37#0029</v>
      </c>
    </row>
    <row r="277" spans="1:29" x14ac:dyDescent="0.2">
      <c r="A277" s="131" t="s">
        <v>584</v>
      </c>
      <c r="B277" s="115" t="str">
        <f ca="1">_xll.BDP($A277 &amp; " Govt",B$1)</f>
        <v>T 4 5/8 02/15/40</v>
      </c>
      <c r="C277" s="372"/>
      <c r="D277" s="116"/>
      <c r="E277" s="117"/>
      <c r="F277" s="118"/>
      <c r="G277" s="377"/>
      <c r="H277" s="120">
        <f ca="1">IF(E277="",_xll.BDP(A277 &amp; " Govt","YLD_YTM_ASK")/100,E277)</f>
        <v>2.6181421999999999E-2</v>
      </c>
      <c r="I277" s="121">
        <f ca="1">_xll.INSTRUMENT.PRIX(AC277,D277,H277,cTreasuries)</f>
        <v>139.27386113417367</v>
      </c>
      <c r="J277" s="122">
        <f ca="1">_xll.INSTRUMENT.DV01(A277,,,I277,cContinuous,I277)</f>
        <v>-0.24713370999876086</v>
      </c>
      <c r="K277" s="123">
        <f ca="1">_xll.INSTRUMENT.CONVEXITE(A277,,,I277,cContinuous,I277)</f>
        <v>402.59266596133386</v>
      </c>
      <c r="L277" s="123">
        <f ca="1">_xll.INSTRUMENT.Z.SPREAD(A277,swapCurve,I277,cContinuous,D277)</f>
        <v>22.432933881567351</v>
      </c>
      <c r="M277" s="123">
        <f ca="1">_xll.INSTRUMENT.Z.SPREAD(A277,ustCurve,I277,cContinuous,D277)</f>
        <v>1.0514272393962356</v>
      </c>
      <c r="N277" s="123">
        <f ca="1">_xll.INSTRUMENT.Z.SPREAD(A277,oisCurve,I277,cContinuous,D277)</f>
        <v>49.33102683298555</v>
      </c>
      <c r="O277" s="124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3.0008751950366334E-2</v>
      </c>
      <c r="P277" s="124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2.8649380111020837E-2</v>
      </c>
      <c r="Q277" s="379">
        <f ca="1">-(O277-curve!$S$3)/J277</f>
        <v>0.11447481079511983</v>
      </c>
      <c r="R277" s="381">
        <f t="shared" ca="1" si="6"/>
        <v>-1629.0479593550895</v>
      </c>
      <c r="S277" s="199" t="str">
        <f>IF(F277&lt;&gt;"","",IF(G277="","",-G277*(SUMIF('bench Comparison'!$A:$A,"RESINV1USD",'bench Comparison'!$G:$G)+SUMIF('bench Comparison'!$A:$A,"RESSWAPORUSD",'bench Comparison'!$G:$G))/(36500*J277)))</f>
        <v/>
      </c>
      <c r="T277" s="210" t="str">
        <f>IF(G277&lt;&gt;"","",IF(F277="","",-36500*J277*F277/(SUMIF('bench Comparison'!$A:$A,"RESINV1USD",'bench Comparison'!$G:$G)+SUMIF('bench Comparison'!$A:$A,"RESSWAPORUSD",'bench Comparison'!$G:$G))))</f>
        <v/>
      </c>
      <c r="U277" s="125">
        <f>SUMIF('bench Comparison'!$E:$E,A277,'bench Comparison'!$N:$N)</f>
        <v>0</v>
      </c>
      <c r="V277" s="126">
        <f ca="1">VALUE(_xll.BDP($A277 &amp; " Corp",V$1))</f>
        <v>40225</v>
      </c>
      <c r="W277" s="127">
        <f ca="1">VALUE(_xll.BDP($A277 &amp; " Corp",W$1))</f>
        <v>40224</v>
      </c>
      <c r="X277" s="127">
        <f ca="1">VALUE(_xll.BDP($A277 &amp; " Corp",X$1))</f>
        <v>40405</v>
      </c>
      <c r="Y277" s="127">
        <f ca="1">VALUE(_xll.BDP($A277 &amp; " Corp",Y$1))</f>
        <v>50997</v>
      </c>
      <c r="Z277" s="127">
        <f ca="1">VALUE(_xll.BDP($A277 &amp; " Corp",Z$1))</f>
        <v>51181</v>
      </c>
      <c r="AA277" s="128">
        <f ca="1">_xll.BDP($A277 &amp; " Corp",AA$1)/100</f>
        <v>4.6249999999999999E-2</v>
      </c>
      <c r="AB277" s="129">
        <f ca="1">_xll.BDP($A277 &amp; " Corp",AB$1)</f>
        <v>44902000000</v>
      </c>
      <c r="AC277" s="130" t="str">
        <f ca="1">IF(LEFT(B277,1)="B",_xll.INSTANCE.TBILL(A277,V277,Z277,TODAY()),_xll.INSTANCE.TNOTE(A277,V277,W277,X277,Y277,Z277,AA277,TODAY()))</f>
        <v>US912810QE10#0029</v>
      </c>
    </row>
    <row r="278" spans="1:29" x14ac:dyDescent="0.2">
      <c r="A278" s="131" t="s">
        <v>585</v>
      </c>
      <c r="B278" s="115" t="str">
        <f ca="1">_xll.BDP($A278 &amp; " Govt",B$1)</f>
        <v>T 4 3/8 05/15/40</v>
      </c>
      <c r="C278" s="372"/>
      <c r="D278" s="116"/>
      <c r="E278" s="117"/>
      <c r="F278" s="118"/>
      <c r="G278" s="377"/>
      <c r="H278" s="120">
        <f ca="1">IF(E278="",_xll.BDP(A278 &amp; " Govt","YLD_YTM_ASK")/100,E278)</f>
        <v>2.6359761000000002E-2</v>
      </c>
      <c r="I278" s="121">
        <f ca="1">_xll.INSTRUMENT.PRIX(AC278,D278,H278,cTreasuries)</f>
        <v>134.16929969731876</v>
      </c>
      <c r="J278" s="122">
        <f ca="1">_xll.INSTRUMENT.DV01(A278,,,I278,cContinuous,I278)</f>
        <v>-0.24185181465479921</v>
      </c>
      <c r="K278" s="123">
        <f ca="1">_xll.INSTRUMENT.CONVEXITE(A278,,,I278,cContinuous,I278)</f>
        <v>417.83692645341699</v>
      </c>
      <c r="L278" s="123">
        <f ca="1">_xll.INSTRUMENT.Z.SPREAD(A278,swapCurve,I278,cContinuous,D278)</f>
        <v>23.418087570525394</v>
      </c>
      <c r="M278" s="123">
        <f ca="1">_xll.INSTRUMENT.Z.SPREAD(A278,ustCurve,I278,cContinuous,D278)</f>
        <v>2.0409401232482538</v>
      </c>
      <c r="N278" s="123">
        <f ca="1">_xll.INSTRUMENT.Z.SPREAD(A278,oisCurve,I278,cContinuous,D278)</f>
        <v>50.226130943265296</v>
      </c>
      <c r="O278" s="124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3.0391721048462921E-2</v>
      </c>
      <c r="P278" s="124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2.8923676695674038E-2</v>
      </c>
      <c r="Q278" s="379">
        <f ca="1">-(O278-curve!$S$3)/J278</f>
        <v>0.11855835703456344</v>
      </c>
      <c r="R278" s="381">
        <f t="shared" ca="1" si="6"/>
        <v>-1727.656776319026</v>
      </c>
      <c r="S278" s="199" t="str">
        <f>IF(F278&lt;&gt;"","",IF(G278="","",-G278*(SUMIF('bench Comparison'!$A:$A,"RESINV1USD",'bench Comparison'!$G:$G)+SUMIF('bench Comparison'!$A:$A,"RESSWAPORUSD",'bench Comparison'!$G:$G))/(36500*J278)))</f>
        <v/>
      </c>
      <c r="T278" s="210" t="str">
        <f>IF(G278&lt;&gt;"","",IF(F278="","",-36500*J278*F278/(SUMIF('bench Comparison'!$A:$A,"RESINV1USD",'bench Comparison'!$G:$G)+SUMIF('bench Comparison'!$A:$A,"RESSWAPORUSD",'bench Comparison'!$G:$G))))</f>
        <v/>
      </c>
      <c r="U278" s="125">
        <f>SUMIF('bench Comparison'!$E:$E,A278,'bench Comparison'!$N:$N)</f>
        <v>0</v>
      </c>
      <c r="V278" s="126">
        <f ca="1">VALUE(_xll.BDP($A278 &amp; " Corp",V$1))</f>
        <v>40315</v>
      </c>
      <c r="W278" s="127">
        <f ca="1">VALUE(_xll.BDP($A278 &amp; " Corp",W$1))</f>
        <v>40313</v>
      </c>
      <c r="X278" s="127">
        <f ca="1">VALUE(_xll.BDP($A278 &amp; " Corp",X$1))</f>
        <v>40497</v>
      </c>
      <c r="Y278" s="127">
        <f ca="1">VALUE(_xll.BDP($A278 &amp; " Corp",Y$1))</f>
        <v>51089</v>
      </c>
      <c r="Z278" s="127">
        <f ca="1">VALUE(_xll.BDP($A278 &amp; " Corp",Z$1))</f>
        <v>51271</v>
      </c>
      <c r="AA278" s="128">
        <f ca="1">_xll.BDP($A278 &amp; " Corp",AA$1)/100</f>
        <v>4.3749999999999997E-2</v>
      </c>
      <c r="AB278" s="129">
        <f ca="1">_xll.BDP($A278 &amp; " Corp",AB$1)</f>
        <v>43473000000</v>
      </c>
      <c r="AC278" s="130" t="str">
        <f ca="1">IF(LEFT(B278,1)="B",_xll.INSTANCE.TBILL(A278,V278,Z278,TODAY()),_xll.INSTANCE.TNOTE(A278,V278,W278,X278,Y278,Z278,AA278,TODAY()))</f>
        <v>US912810QH41#0029</v>
      </c>
    </row>
    <row r="279" spans="1:29" x14ac:dyDescent="0.2">
      <c r="A279" s="131" t="s">
        <v>586</v>
      </c>
      <c r="B279" s="115" t="str">
        <f ca="1">_xll.BDP($A279 &amp; " Govt",B$1)</f>
        <v>T 3 7/8 08/15/40</v>
      </c>
      <c r="C279" s="372"/>
      <c r="D279" s="116"/>
      <c r="E279" s="117"/>
      <c r="F279" s="118"/>
      <c r="G279" s="377"/>
      <c r="H279" s="120">
        <f ca="1">IF(E279="",_xll.BDP(A279 &amp; " Govt","YLD_YTM_ASK")/100,E279)</f>
        <v>2.6604839999999998E-2</v>
      </c>
      <c r="I279" s="121">
        <f ca="1">_xll.INSTRUMENT.PRIX(AC279,D279,H279,cTreasuries)</f>
        <v>123.93397716593219</v>
      </c>
      <c r="J279" s="122">
        <f ca="1">_xll.INSTRUMENT.DV01(A279,,,I279,cContinuous,I279)</f>
        <v>-0.2298827634887084</v>
      </c>
      <c r="K279" s="123">
        <f ca="1">_xll.INSTRUMENT.CONVEXITE(A279,,,I279,cContinuous,I279)</f>
        <v>435.42693499712078</v>
      </c>
      <c r="L279" s="123">
        <f ca="1">_xll.INSTRUMENT.Z.SPREAD(A279,swapCurve,I279,cContinuous,D279)</f>
        <v>24.449324371419443</v>
      </c>
      <c r="M279" s="123">
        <f ca="1">_xll.INSTRUMENT.Z.SPREAD(A279,ustCurve,I279,cContinuous,D279)</f>
        <v>2.8782788071048548</v>
      </c>
      <c r="N279" s="123">
        <f ca="1">_xll.INSTRUMENT.Z.SPREAD(A279,oisCurve,I279,cContinuous,D279)</f>
        <v>51.092669854634494</v>
      </c>
      <c r="O279" s="124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3.0525798369668004E-2</v>
      </c>
      <c r="P279" s="124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2.9000513985809079E-2</v>
      </c>
      <c r="Q279" s="379">
        <f ca="1">-(O279-curve!$S$3)/J279</f>
        <v>0.12531444583021481</v>
      </c>
      <c r="R279" s="381">
        <f t="shared" ca="1" si="6"/>
        <v>-1894.12606838837</v>
      </c>
      <c r="S279" s="199" t="str">
        <f>IF(F279&lt;&gt;"","",IF(G279="","",-G279*(SUMIF('bench Comparison'!$A:$A,"RESINV1USD",'bench Comparison'!$G:$G)+SUMIF('bench Comparison'!$A:$A,"RESSWAPORUSD",'bench Comparison'!$G:$G))/(36500*J279)))</f>
        <v/>
      </c>
      <c r="T279" s="210" t="str">
        <f>IF(G279&lt;&gt;"","",IF(F279="","",-36500*J279*F279/(SUMIF('bench Comparison'!$A:$A,"RESINV1USD",'bench Comparison'!$G:$G)+SUMIF('bench Comparison'!$A:$A,"RESSWAPORUSD",'bench Comparison'!$G:$G))))</f>
        <v/>
      </c>
      <c r="U279" s="125">
        <f>SUMIF('bench Comparison'!$E:$E,A279,'bench Comparison'!$N:$N)</f>
        <v>0</v>
      </c>
      <c r="V279" s="126">
        <f ca="1">VALUE(_xll.BDP($A279 &amp; " Corp",V$1))</f>
        <v>40406</v>
      </c>
      <c r="W279" s="127">
        <f ca="1">VALUE(_xll.BDP($A279 &amp; " Corp",W$1))</f>
        <v>40405</v>
      </c>
      <c r="X279" s="127">
        <f ca="1">VALUE(_xll.BDP($A279 &amp; " Corp",X$1))</f>
        <v>40589</v>
      </c>
      <c r="Y279" s="127">
        <f ca="1">VALUE(_xll.BDP($A279 &amp; " Corp",Y$1))</f>
        <v>51181</v>
      </c>
      <c r="Z279" s="127">
        <f ca="1">VALUE(_xll.BDP($A279 &amp; " Corp",Z$1))</f>
        <v>51363</v>
      </c>
      <c r="AA279" s="128">
        <f ca="1">_xll.BDP($A279 &amp; " Corp",AA$1)/100</f>
        <v>3.875E-2</v>
      </c>
      <c r="AB279" s="129">
        <f ca="1">_xll.BDP($A279 &amp; " Corp",AB$1)</f>
        <v>43213000000</v>
      </c>
      <c r="AC279" s="130" t="str">
        <f ca="1">IF(LEFT(B279,1)="B",_xll.INSTANCE.TBILL(A279,V279,Z279,TODAY()),_xll.INSTANCE.TNOTE(A279,V279,W279,X279,Y279,Z279,AA279,TODAY()))</f>
        <v>US912810QK79#0029</v>
      </c>
    </row>
    <row r="280" spans="1:29" x14ac:dyDescent="0.2">
      <c r="A280" s="131" t="s">
        <v>587</v>
      </c>
      <c r="B280" s="115" t="str">
        <f ca="1">_xll.BDP($A280 &amp; " Govt",B$1)</f>
        <v>T 4 1/4 11/15/40</v>
      </c>
      <c r="C280" s="372"/>
      <c r="D280" s="116"/>
      <c r="E280" s="117"/>
      <c r="F280" s="118"/>
      <c r="G280" s="377"/>
      <c r="H280" s="120">
        <f ca="1">IF(E280="",_xll.BDP(A280 &amp; " Govt","YLD_YTM_ASK")/100,E280)</f>
        <v>2.6519252E-2</v>
      </c>
      <c r="I280" s="121">
        <f ca="1">_xll.INSTRUMENT.PRIX(AC280,D280,H280,cTreasuries)</f>
        <v>131.71270913656014</v>
      </c>
      <c r="J280" s="122">
        <f ca="1">_xll.INSTRUMENT.DV01(A280,,,I280,cContinuous,I280)</f>
        <v>-0.24137965691299129</v>
      </c>
      <c r="K280" s="123">
        <f ca="1">_xll.INSTRUMENT.CONVEXITE(A280,,,I280,cContinuous,I280)</f>
        <v>432.43347504059409</v>
      </c>
      <c r="L280" s="123">
        <f ca="1">_xll.INSTRUMENT.Z.SPREAD(A280,swapCurve,I280,cContinuous,D280)</f>
        <v>24.216497156243417</v>
      </c>
      <c r="M280" s="123">
        <f ca="1">_xll.INSTRUMENT.Z.SPREAD(A280,ustCurve,I280,cContinuous,D280)</f>
        <v>3.1953840843433157</v>
      </c>
      <c r="N280" s="123">
        <f ca="1">_xll.INSTRUMENT.Z.SPREAD(A280,oisCurve,I280,cContinuous,D280)</f>
        <v>50.908183279124884</v>
      </c>
      <c r="O280" s="124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3.0517063786790213E-2</v>
      </c>
      <c r="P280" s="124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2.9018469023604266E-2</v>
      </c>
      <c r="Q280" s="379">
        <f ca="1">-(O280-curve!$S$3)/J280</f>
        <v>0.11930954289163237</v>
      </c>
      <c r="R280" s="381">
        <f t="shared" ca="1" si="6"/>
        <v>-1791.5075386674812</v>
      </c>
      <c r="S280" s="199" t="str">
        <f>IF(F280&lt;&gt;"","",IF(G280="","",-G280*(SUMIF('bench Comparison'!$A:$A,"RESINV1USD",'bench Comparison'!$G:$G)+SUMIF('bench Comparison'!$A:$A,"RESSWAPORUSD",'bench Comparison'!$G:$G))/(36500*J280)))</f>
        <v/>
      </c>
      <c r="T280" s="210" t="str">
        <f>IF(G280&lt;&gt;"","",IF(F280="","",-36500*J280*F280/(SUMIF('bench Comparison'!$A:$A,"RESINV1USD",'bench Comparison'!$G:$G)+SUMIF('bench Comparison'!$A:$A,"RESSWAPORUSD",'bench Comparison'!$G:$G))))</f>
        <v/>
      </c>
      <c r="U280" s="125">
        <f>SUMIF('bench Comparison'!$E:$E,A280,'bench Comparison'!$N:$N)</f>
        <v>0</v>
      </c>
      <c r="V280" s="126">
        <f ca="1">VALUE(_xll.BDP($A280 &amp; " Corp",V$1))</f>
        <v>40497</v>
      </c>
      <c r="W280" s="127">
        <f ca="1">VALUE(_xll.BDP($A280 &amp; " Corp",W$1))</f>
        <v>40497</v>
      </c>
      <c r="X280" s="127">
        <f ca="1">VALUE(_xll.BDP($A280 &amp; " Corp",X$1))</f>
        <v>40678</v>
      </c>
      <c r="Y280" s="127">
        <f ca="1">VALUE(_xll.BDP($A280 &amp; " Corp",Y$1))</f>
        <v>51271</v>
      </c>
      <c r="Z280" s="127">
        <f ca="1">VALUE(_xll.BDP($A280 &amp; " Corp",Z$1))</f>
        <v>51455</v>
      </c>
      <c r="AA280" s="128">
        <f ca="1">_xll.BDP($A280 &amp; " Corp",AA$1)/100</f>
        <v>4.2500000000000003E-2</v>
      </c>
      <c r="AB280" s="129">
        <f ca="1">_xll.BDP($A280 &amp; " Corp",AB$1)</f>
        <v>42903000000</v>
      </c>
      <c r="AC280" s="130" t="str">
        <f ca="1">IF(LEFT(B280,1)="B",_xll.INSTANCE.TBILL(A280,V280,Z280,TODAY()),_xll.INSTANCE.TNOTE(A280,V280,W280,X280,Y280,Z280,AA280,TODAY()))</f>
        <v>US912810QL52#0029</v>
      </c>
    </row>
    <row r="281" spans="1:29" x14ac:dyDescent="0.2">
      <c r="A281" s="131" t="s">
        <v>588</v>
      </c>
      <c r="B281" s="115" t="str">
        <f ca="1">_xll.BDP($A281 &amp; " Govt",B$1)</f>
        <v>T 4 3/4 02/15/41</v>
      </c>
      <c r="C281" s="372"/>
      <c r="D281" s="116"/>
      <c r="E281" s="117"/>
      <c r="F281" s="118"/>
      <c r="G281" s="377"/>
      <c r="H281" s="120">
        <f ca="1">IF(E281="",_xll.BDP(A281 &amp; " Govt","YLD_YTM_ASK")/100,E281)</f>
        <v>2.6389553999999999E-2</v>
      </c>
      <c r="I281" s="121">
        <f ca="1">_xll.INSTRUMENT.PRIX(AC281,D281,H281,cTreasuries)</f>
        <v>142.21076438188197</v>
      </c>
      <c r="J281" s="122">
        <f ca="1">_xll.INSTRUMENT.DV01(A281,,,I281,cContinuous,I281)</f>
        <v>-0.25666184942858639</v>
      </c>
      <c r="K281" s="123">
        <f ca="1">_xll.INSTRUMENT.CONVEXITE(A281,,,I281,cContinuous,I281)</f>
        <v>420.30667803827214</v>
      </c>
      <c r="L281" s="123">
        <f ca="1">_xll.INSTRUMENT.Z.SPREAD(A281,swapCurve,I281,cContinuous,D281)</f>
        <v>23.718155188737299</v>
      </c>
      <c r="M281" s="123">
        <f ca="1">_xll.INSTRUMENT.Z.SPREAD(A281,ustCurve,I281,cContinuous,D281)</f>
        <v>3.2779122286818767</v>
      </c>
      <c r="N281" s="123">
        <f ca="1">_xll.INSTRUMENT.Z.SPREAD(A281,oisCurve,I281,cContinuous,D281)</f>
        <v>50.46843455398826</v>
      </c>
      <c r="O281" s="124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3.0092973608942277E-2</v>
      </c>
      <c r="P281" s="124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2.8739845871886126E-2</v>
      </c>
      <c r="Q281" s="379">
        <f ca="1">-(O281-curve!$S$3)/J281</f>
        <v>0.11055326849296748</v>
      </c>
      <c r="R281" s="381">
        <f t="shared" ca="1" si="6"/>
        <v>-1637.5892208912735</v>
      </c>
      <c r="S281" s="199" t="str">
        <f>IF(F281&lt;&gt;"","",IF(G281="","",-G281*(SUMIF('bench Comparison'!$A:$A,"RESINV1USD",'bench Comparison'!$G:$G)+SUMIF('bench Comparison'!$A:$A,"RESSWAPORUSD",'bench Comparison'!$G:$G))/(36500*J281)))</f>
        <v/>
      </c>
      <c r="T281" s="210" t="str">
        <f>IF(G281&lt;&gt;"","",IF(F281="","",-36500*J281*F281/(SUMIF('bench Comparison'!$A:$A,"RESINV1USD",'bench Comparison'!$G:$G)+SUMIF('bench Comparison'!$A:$A,"RESSWAPORUSD",'bench Comparison'!$G:$G))))</f>
        <v/>
      </c>
      <c r="U281" s="125">
        <f>SUMIF('bench Comparison'!$E:$E,A281,'bench Comparison'!$N:$N)</f>
        <v>0</v>
      </c>
      <c r="V281" s="126">
        <f ca="1">VALUE(_xll.BDP($A281 &amp; " Corp",V$1))</f>
        <v>40589</v>
      </c>
      <c r="W281" s="127">
        <f ca="1">VALUE(_xll.BDP($A281 &amp; " Corp",W$1))</f>
        <v>40589</v>
      </c>
      <c r="X281" s="127">
        <f ca="1">VALUE(_xll.BDP($A281 &amp; " Corp",X$1))</f>
        <v>40770</v>
      </c>
      <c r="Y281" s="127">
        <f ca="1">VALUE(_xll.BDP($A281 &amp; " Corp",Y$1))</f>
        <v>51363</v>
      </c>
      <c r="Z281" s="127">
        <f ca="1">VALUE(_xll.BDP($A281 &amp; " Corp",Z$1))</f>
        <v>51547</v>
      </c>
      <c r="AA281" s="128">
        <f ca="1">_xll.BDP($A281 &amp; " Corp",AA$1)/100</f>
        <v>4.7500000000000001E-2</v>
      </c>
      <c r="AB281" s="129">
        <f ca="1">_xll.BDP($A281 &amp; " Corp",AB$1)</f>
        <v>43005000000</v>
      </c>
      <c r="AC281" s="130" t="str">
        <f ca="1">IF(LEFT(B281,1)="B",_xll.INSTANCE.TBILL(A281,V281,Z281,TODAY()),_xll.INSTANCE.TNOTE(A281,V281,W281,X281,Y281,Z281,AA281,TODAY()))</f>
        <v>US912810QN19#0029</v>
      </c>
    </row>
    <row r="282" spans="1:29" x14ac:dyDescent="0.2">
      <c r="A282" s="131" t="s">
        <v>589</v>
      </c>
      <c r="B282" s="115" t="str">
        <f ca="1">_xll.BDP($A282 &amp; " Govt",B$1)</f>
        <v>T 4 3/8 05/15/41</v>
      </c>
      <c r="C282" s="372"/>
      <c r="D282" s="116"/>
      <c r="E282" s="117"/>
      <c r="F282" s="118"/>
      <c r="G282" s="377"/>
      <c r="H282" s="120">
        <f ca="1">IF(E282="",_xll.BDP(A282 &amp; " Govt","YLD_YTM_ASK")/100,E282)</f>
        <v>2.6567563000000002E-2</v>
      </c>
      <c r="I282" s="121">
        <f ca="1">_xll.INSTRUMENT.PRIX(AC282,D282,H282,cTreasuries)</f>
        <v>134.4838135939238</v>
      </c>
      <c r="J282" s="122">
        <f ca="1">_xll.INSTRUMENT.DV01(A282,,,I282,cContinuous,I282)</f>
        <v>-0.2477693406623267</v>
      </c>
      <c r="K282" s="123">
        <f ca="1">_xll.INSTRUMENT.CONVEXITE(A282,,,I282,cContinuous,I282)</f>
        <v>439.57963876679406</v>
      </c>
      <c r="L282" s="123">
        <f ca="1">_xll.INSTRUMENT.Z.SPREAD(A282,swapCurve,I282,cContinuous,D282)</f>
        <v>24.496292261965976</v>
      </c>
      <c r="M282" s="123">
        <f ca="1">_xll.INSTRUMENT.Z.SPREAD(A282,ustCurve,I282,cContinuous,D282)</f>
        <v>4.0461391340612147</v>
      </c>
      <c r="N282" s="123">
        <f ca="1">_xll.INSTRUMENT.Z.SPREAD(A282,oisCurve,I282,cContinuous,D282)</f>
        <v>51.116554725638437</v>
      </c>
      <c r="O282" s="124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3.0493408691967521E-2</v>
      </c>
      <c r="P282" s="124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2.9013760482606416E-2</v>
      </c>
      <c r="Q282" s="379">
        <f ca="1">-(O282-curve!$S$3)/J282</f>
        <v>0.11613721600051309</v>
      </c>
      <c r="R282" s="381">
        <f t="shared" ca="1" si="6"/>
        <v>-1774.1486399880148</v>
      </c>
      <c r="S282" s="199" t="str">
        <f>IF(F282&lt;&gt;"","",IF(G282="","",-G282*(SUMIF('bench Comparison'!$A:$A,"RESINV1USD",'bench Comparison'!$G:$G)+SUMIF('bench Comparison'!$A:$A,"RESSWAPORUSD",'bench Comparison'!$G:$G))/(36500*J282)))</f>
        <v/>
      </c>
      <c r="T282" s="210" t="str">
        <f>IF(G282&lt;&gt;"","",IF(F282="","",-36500*J282*F282/(SUMIF('bench Comparison'!$A:$A,"RESINV1USD",'bench Comparison'!$G:$G)+SUMIF('bench Comparison'!$A:$A,"RESSWAPORUSD",'bench Comparison'!$G:$G))))</f>
        <v/>
      </c>
      <c r="U282" s="125">
        <f>SUMIF('bench Comparison'!$E:$E,A282,'bench Comparison'!$N:$N)</f>
        <v>0</v>
      </c>
      <c r="V282" s="126">
        <f ca="1">VALUE(_xll.BDP($A282 &amp; " Corp",V$1))</f>
        <v>40679</v>
      </c>
      <c r="W282" s="127">
        <f ca="1">VALUE(_xll.BDP($A282 &amp; " Corp",W$1))</f>
        <v>40678</v>
      </c>
      <c r="X282" s="127">
        <f ca="1">VALUE(_xll.BDP($A282 &amp; " Corp",X$1))</f>
        <v>40862</v>
      </c>
      <c r="Y282" s="127">
        <f ca="1">VALUE(_xll.BDP($A282 &amp; " Corp",Y$1))</f>
        <v>51455</v>
      </c>
      <c r="Z282" s="127">
        <f ca="1">VALUE(_xll.BDP($A282 &amp; " Corp",Z$1))</f>
        <v>51636</v>
      </c>
      <c r="AA282" s="128">
        <f ca="1">_xll.BDP($A282 &amp; " Corp",AA$1)/100</f>
        <v>4.3749999999999997E-2</v>
      </c>
      <c r="AB282" s="129">
        <f ca="1">_xll.BDP($A282 &amp; " Corp",AB$1)</f>
        <v>42000000000</v>
      </c>
      <c r="AC282" s="130" t="str">
        <f ca="1">IF(LEFT(B282,1)="B",_xll.INSTANCE.TBILL(A282,V282,Z282,TODAY()),_xll.INSTANCE.TNOTE(A282,V282,W282,X282,Y282,Z282,AA282,TODAY()))</f>
        <v>US912810QQ40#0029</v>
      </c>
    </row>
    <row r="283" spans="1:29" x14ac:dyDescent="0.2">
      <c r="A283" s="131" t="s">
        <v>590</v>
      </c>
      <c r="B283" s="115" t="str">
        <f ca="1">_xll.BDP($A283 &amp; " Govt",B$1)</f>
        <v>T 3 3/4 08/15/41</v>
      </c>
      <c r="C283" s="372"/>
      <c r="D283" s="116"/>
      <c r="E283" s="117"/>
      <c r="F283" s="118"/>
      <c r="G283" s="377"/>
      <c r="H283" s="120">
        <f ca="1">IF(E283="",_xll.BDP(A283 &amp; " Govt","YLD_YTM_ASK")/100,E283)</f>
        <v>2.6842214999999999E-2</v>
      </c>
      <c r="I283" s="121">
        <f ca="1">_xll.INSTRUMENT.PRIX(AC283,D283,H283,cTreasuries)</f>
        <v>121.435204209351</v>
      </c>
      <c r="J283" s="122">
        <f ca="1">_xll.INSTRUMENT.DV01(A283,,,I283,cContinuous,I283)</f>
        <v>-0.2316355910972063</v>
      </c>
      <c r="K283" s="123">
        <f ca="1">_xll.INSTRUMENT.CONVEXITE(A283,,,I283,cContinuous,I283)</f>
        <v>462.53960664789685</v>
      </c>
      <c r="L283" s="123">
        <f ca="1">_xll.INSTRUMENT.Z.SPREAD(A283,swapCurve,I283,cContinuous,D283)</f>
        <v>25.586258006798563</v>
      </c>
      <c r="M283" s="123" t="e">
        <f ca="1">_xll.INSTRUMENT.Z.SPREAD(A283,ustCurve,I283,cContinuous,D283)</f>
        <v>#VALUE!</v>
      </c>
      <c r="N283" s="123">
        <f ca="1">_xll.INSTRUMENT.Z.SPREAD(A283,oisCurve,I283,cContinuous,D283)</f>
        <v>51.991478370407989</v>
      </c>
      <c r="O283" s="124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3.0682817512690187E-2</v>
      </c>
      <c r="P283" s="124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2.9120403596836583E-2</v>
      </c>
      <c r="Q283" s="379">
        <f ca="1">-(O283-curve!$S$3)/J283</f>
        <v>0.1250440405912101</v>
      </c>
      <c r="R283" s="381">
        <f t="shared" ca="1" si="6"/>
        <v>-1996.8416962909264</v>
      </c>
      <c r="S283" s="199" t="str">
        <f>IF(F283&lt;&gt;"","",IF(G283="","",-G283*(SUMIF('bench Comparison'!$A:$A,"RESINV1USD",'bench Comparison'!$G:$G)+SUMIF('bench Comparison'!$A:$A,"RESSWAPORUSD",'bench Comparison'!$G:$G))/(36500*J283)))</f>
        <v/>
      </c>
      <c r="T283" s="210" t="str">
        <f>IF(G283&lt;&gt;"","",IF(F283="","",-36500*J283*F283/(SUMIF('bench Comparison'!$A:$A,"RESINV1USD",'bench Comparison'!$G:$G)+SUMIF('bench Comparison'!$A:$A,"RESSWAPORUSD",'bench Comparison'!$G:$G))))</f>
        <v/>
      </c>
      <c r="U283" s="125">
        <f>SUMIF('bench Comparison'!$E:$E,A283,'bench Comparison'!$N:$N)</f>
        <v>0</v>
      </c>
      <c r="V283" s="126">
        <f ca="1">VALUE(_xll.BDP($A283 &amp; " Corp",V$1))</f>
        <v>40770</v>
      </c>
      <c r="W283" s="127">
        <f ca="1">VALUE(_xll.BDP($A283 &amp; " Corp",W$1))</f>
        <v>40770</v>
      </c>
      <c r="X283" s="127">
        <f ca="1">VALUE(_xll.BDP($A283 &amp; " Corp",X$1))</f>
        <v>40954</v>
      </c>
      <c r="Y283" s="127">
        <f ca="1">VALUE(_xll.BDP($A283 &amp; " Corp",Y$1))</f>
        <v>51547</v>
      </c>
      <c r="Z283" s="127">
        <f ca="1">VALUE(_xll.BDP($A283 &amp; " Corp",Z$1))</f>
        <v>51728</v>
      </c>
      <c r="AA283" s="128">
        <f ca="1">_xll.BDP($A283 &amp; " Corp",AA$1)/100</f>
        <v>3.7499999999999999E-2</v>
      </c>
      <c r="AB283" s="129">
        <f ca="1">_xll.BDP($A283 &amp; " Corp",AB$1)</f>
        <v>42490000000</v>
      </c>
      <c r="AC283" s="130" t="str">
        <f ca="1">IF(LEFT(B283,1)="B",_xll.INSTANCE.TBILL(A283,V283,Z283,TODAY()),_xll.INSTANCE.TNOTE(A283,V283,W283,X283,Y283,Z283,AA283,TODAY()))</f>
        <v>US912810QS06#0029</v>
      </c>
    </row>
    <row r="284" spans="1:29" x14ac:dyDescent="0.2">
      <c r="A284" s="131" t="s">
        <v>591</v>
      </c>
      <c r="B284" s="115" t="str">
        <f ca="1">_xll.BDP($A284 &amp; " Govt",B$1)</f>
        <v>T 3 1/8 11/15/41</v>
      </c>
      <c r="C284" s="372"/>
      <c r="D284" s="116"/>
      <c r="E284" s="117"/>
      <c r="F284" s="118"/>
      <c r="G284" s="377"/>
      <c r="H284" s="120">
        <f ca="1">IF(E284="",_xll.BDP(A284 &amp; " Govt","YLD_YTM_ASK")/100,E284)</f>
        <v>2.7139723000000001E-2</v>
      </c>
      <c r="I284" s="121">
        <f ca="1">_xll.INSTRUMENT.PRIX(AC284,D284,H284,cTreasuries)</f>
        <v>108.27605899179316</v>
      </c>
      <c r="J284" s="122">
        <f ca="1">_xll.INSTRUMENT.DV01(A284,,,I284,cContinuous,I284)</f>
        <v>-0.21505021061773652</v>
      </c>
      <c r="K284" s="123">
        <f ca="1">_xll.INSTRUMENT.CONVEXITE(A284,,,I284,cContinuous,I284)</f>
        <v>498.16122431051616</v>
      </c>
      <c r="L284" s="123">
        <f ca="1">_xll.INSTRUMENT.Z.SPREAD(A284,swapCurve,I284,cContinuous,D284)</f>
        <v>26.714114753972645</v>
      </c>
      <c r="M284" s="123" t="e">
        <f ca="1">_xll.INSTRUMENT.Z.SPREAD(A284,ustCurve,I284,cContinuous,D284)</f>
        <v>#VALUE!</v>
      </c>
      <c r="N284" s="123">
        <f ca="1">_xll.INSTRUMENT.Z.SPREAD(A284,oisCurve,I284,cContinuous,D284)</f>
        <v>52.876720865530331</v>
      </c>
      <c r="O284" s="124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3.1280248494919345E-2</v>
      </c>
      <c r="P284" s="124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2.9507560089590507E-2</v>
      </c>
      <c r="Q284" s="379">
        <f ca="1">-(O284-curve!$S$3)/J284</f>
        <v>0.13746594877930804</v>
      </c>
      <c r="R284" s="381">
        <f t="shared" ca="1" si="6"/>
        <v>-2316.4879628787016</v>
      </c>
      <c r="S284" s="199" t="str">
        <f>IF(F284&lt;&gt;"","",IF(G284="","",-G284*(SUMIF('bench Comparison'!$A:$A,"RESINV1USD",'bench Comparison'!$G:$G)+SUMIF('bench Comparison'!$A:$A,"RESSWAPORUSD",'bench Comparison'!$G:$G))/(36500*J284)))</f>
        <v/>
      </c>
      <c r="T284" s="210" t="str">
        <f>IF(G284&lt;&gt;"","",IF(F284="","",-36500*J284*F284/(SUMIF('bench Comparison'!$A:$A,"RESINV1USD",'bench Comparison'!$G:$G)+SUMIF('bench Comparison'!$A:$A,"RESSWAPORUSD",'bench Comparison'!$G:$G))))</f>
        <v/>
      </c>
      <c r="U284" s="125">
        <f>SUMIF('bench Comparison'!$E:$E,A284,'bench Comparison'!$N:$N)</f>
        <v>0</v>
      </c>
      <c r="V284" s="126">
        <f ca="1">VALUE(_xll.BDP($A284 &amp; " Corp",V$1))</f>
        <v>40862</v>
      </c>
      <c r="W284" s="127">
        <f ca="1">VALUE(_xll.BDP($A284 &amp; " Corp",W$1))</f>
        <v>40862</v>
      </c>
      <c r="X284" s="127">
        <f ca="1">VALUE(_xll.BDP($A284 &amp; " Corp",X$1))</f>
        <v>41044</v>
      </c>
      <c r="Y284" s="127">
        <f ca="1">VALUE(_xll.BDP($A284 &amp; " Corp",Y$1))</f>
        <v>51636</v>
      </c>
      <c r="Z284" s="127">
        <f ca="1">VALUE(_xll.BDP($A284 &amp; " Corp",Z$1))</f>
        <v>51820</v>
      </c>
      <c r="AA284" s="128">
        <f ca="1">_xll.BDP($A284 &amp; " Corp",AA$1)/100</f>
        <v>3.125E-2</v>
      </c>
      <c r="AB284" s="129">
        <f ca="1">_xll.BDP($A284 &amp; " Corp",AB$1)</f>
        <v>44622000000</v>
      </c>
      <c r="AC284" s="130" t="str">
        <f ca="1">IF(LEFT(B284,1)="B",_xll.INSTANCE.TBILL(A284,V284,Z284,TODAY()),_xll.INSTANCE.TNOTE(A284,V284,W284,X284,Y284,Z284,AA284,TODAY()))</f>
        <v>US912810QT88#0029</v>
      </c>
    </row>
    <row r="285" spans="1:29" x14ac:dyDescent="0.2">
      <c r="A285" s="131" t="s">
        <v>592</v>
      </c>
      <c r="B285" s="115" t="str">
        <f ca="1">_xll.BDP($A285 &amp; " Govt",B$1)</f>
        <v>T 3 1/8 02/15/42</v>
      </c>
      <c r="C285" s="372"/>
      <c r="D285" s="116"/>
      <c r="E285" s="117"/>
      <c r="F285" s="118"/>
      <c r="G285" s="377"/>
      <c r="H285" s="120">
        <f ca="1">IF(E285="",_xll.BDP(A285 &amp; " Govt","YLD_YTM_ASK")/100,E285)</f>
        <v>2.7212787000000002E-2</v>
      </c>
      <c r="I285" s="121">
        <f ca="1">_xll.INSTRUMENT.PRIX(AC285,D285,H285,cTreasuries)</f>
        <v>108.16491188510318</v>
      </c>
      <c r="J285" s="122">
        <f ca="1">_xll.INSTRUMENT.DV01(A285,,,I285,cContinuous,I285)</f>
        <v>-0.21597736743426249</v>
      </c>
      <c r="K285" s="123">
        <f ca="1">_xll.INSTRUMENT.CONVEXITE(A285,,,I285,cContinuous,I285)</f>
        <v>500.89310144773395</v>
      </c>
      <c r="L285" s="123">
        <f ca="1">_xll.INSTRUMENT.Z.SPREAD(A285,swapCurve,I285,cContinuous,D285)</f>
        <v>27.20340740831298</v>
      </c>
      <c r="M285" s="123" t="e">
        <f ca="1">_xll.INSTRUMENT.Z.SPREAD(A285,ustCurve,I285,cContinuous,D285)</f>
        <v>#VALUE!</v>
      </c>
      <c r="N285" s="123">
        <f ca="1">_xll.INSTRUMENT.Z.SPREAD(A285,oisCurve,I285,cContinuous,D285)</f>
        <v>53.290808054331244</v>
      </c>
      <c r="O285" s="124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3.2536854561095715E-2</v>
      </c>
      <c r="P285" s="124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2.9856778257055322E-2</v>
      </c>
      <c r="Q285" s="379">
        <f ca="1">-(O285-curve!$S$3)/J285</f>
        <v>0.14269405942876812</v>
      </c>
      <c r="R285" s="381">
        <f t="shared" ca="1" si="6"/>
        <v>-2319.1925496554259</v>
      </c>
      <c r="S285" s="199" t="str">
        <f>IF(F285&lt;&gt;"","",IF(G285="","",-G285*(SUMIF('bench Comparison'!$A:$A,"RESINV1USD",'bench Comparison'!$G:$G)+SUMIF('bench Comparison'!$A:$A,"RESSWAPORUSD",'bench Comparison'!$G:$G))/(36500*J285)))</f>
        <v/>
      </c>
      <c r="T285" s="210" t="str">
        <f>IF(G285&lt;&gt;"","",IF(F285="","",-36500*J285*F285/(SUMIF('bench Comparison'!$A:$A,"RESINV1USD",'bench Comparison'!$G:$G)+SUMIF('bench Comparison'!$A:$A,"RESSWAPORUSD",'bench Comparison'!$G:$G))))</f>
        <v/>
      </c>
      <c r="U285" s="125">
        <f>SUMIF('bench Comparison'!$E:$E,A285,'bench Comparison'!$N:$N)</f>
        <v>0</v>
      </c>
      <c r="V285" s="126">
        <f ca="1">VALUE(_xll.BDP($A285 &amp; " Corp",V$1))</f>
        <v>40954</v>
      </c>
      <c r="W285" s="127">
        <f ca="1">VALUE(_xll.BDP($A285 &amp; " Corp",W$1))</f>
        <v>40954</v>
      </c>
      <c r="X285" s="127">
        <f ca="1">VALUE(_xll.BDP($A285 &amp; " Corp",X$1))</f>
        <v>41136</v>
      </c>
      <c r="Y285" s="127">
        <f ca="1">VALUE(_xll.BDP($A285 &amp; " Corp",Y$1))</f>
        <v>51728</v>
      </c>
      <c r="Z285" s="127">
        <f ca="1">VALUE(_xll.BDP($A285 &amp; " Corp",Z$1))</f>
        <v>51912</v>
      </c>
      <c r="AA285" s="128">
        <f ca="1">_xll.BDP($A285 &amp; " Corp",AA$1)/100</f>
        <v>3.125E-2</v>
      </c>
      <c r="AB285" s="129">
        <f ca="1">_xll.BDP($A285 &amp; " Corp",AB$1)</f>
        <v>47219000000</v>
      </c>
      <c r="AC285" s="130" t="str">
        <f ca="1">IF(LEFT(B285,1)="B",_xll.INSTANCE.TBILL(A285,V285,Z285,TODAY()),_xll.INSTANCE.TNOTE(A285,V285,W285,X285,Y285,Z285,AA285,TODAY()))</f>
        <v>US912810QU51#0029</v>
      </c>
    </row>
    <row r="286" spans="1:29" x14ac:dyDescent="0.2">
      <c r="A286" s="131" t="s">
        <v>908</v>
      </c>
      <c r="B286" s="115" t="str">
        <f ca="1">_xll.BDP($A286 &amp; " Govt",B$1)</f>
        <v>T 3 05/15/42</v>
      </c>
      <c r="C286" s="372"/>
      <c r="D286" s="116"/>
      <c r="E286" s="117"/>
      <c r="F286" s="118"/>
      <c r="G286" s="377"/>
      <c r="H286" s="120">
        <f ca="1">IF(E286="",_xll.BDP(A286 &amp; " Govt","YLD_YTM_ASK")/100,E286)</f>
        <v>2.7257264E-2</v>
      </c>
      <c r="I286" s="121">
        <f ca="1">_xll.INSTRUMENT.PRIX(AC286,D286,H286,cTreasuries)</f>
        <v>105.57796312224592</v>
      </c>
      <c r="J286" s="122">
        <f ca="1">_xll.INSTRUMENT.DV01(A286,,,I286,cContinuous,I286)</f>
        <v>-0.21358672499925244</v>
      </c>
      <c r="K286" s="123">
        <f ca="1">_xll.INSTRUMENT.CONVEXITE(A286,,,I286,cContinuous,I286)</f>
        <v>516.71861630102001</v>
      </c>
      <c r="L286" s="123">
        <f ca="1">_xll.INSTRUMENT.Z.SPREAD(A286,swapCurve,I286,cContinuous,D286)</f>
        <v>27.168430610077618</v>
      </c>
      <c r="M286" s="123" t="e">
        <f ca="1">_xll.INSTRUMENT.Z.SPREAD(A286,ustCurve,I286,cContinuous,D286)</f>
        <v>#VALUE!</v>
      </c>
      <c r="N286" s="123">
        <f ca="1">_xll.INSTRUMENT.Z.SPREAD(A286,oisCurve,I286,cContinuous,D286)</f>
        <v>53.143602267347994</v>
      </c>
      <c r="O286" s="124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3.1379866325205515E-2</v>
      </c>
      <c r="P286" s="124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2.9571718320575736E-2</v>
      </c>
      <c r="Q286" s="379">
        <f ca="1">-(O286-curve!$S$3)/J286</f>
        <v>0.1388742632209336</v>
      </c>
      <c r="R286" s="381">
        <f t="shared" ca="1" si="6"/>
        <v>-2419.2449989709266</v>
      </c>
      <c r="S286" s="199" t="str">
        <f>IF(F286&lt;&gt;"","",IF(G286="","",-G286*(SUMIF('bench Comparison'!$A:$A,"RESINV1USD",'bench Comparison'!$G:$G)+SUMIF('bench Comparison'!$A:$A,"RESSWAPORUSD",'bench Comparison'!$G:$G))/(36500*J286)))</f>
        <v/>
      </c>
      <c r="T286" s="210" t="str">
        <f>IF(G286&lt;&gt;"","",IF(F286="","",-36500*J286*F286/(SUMIF('bench Comparison'!$A:$A,"RESINV1USD",'bench Comparison'!$G:$G)+SUMIF('bench Comparison'!$A:$A,"RESSWAPORUSD",'bench Comparison'!$G:$G))))</f>
        <v/>
      </c>
      <c r="U286" s="125">
        <f>SUMIF('bench Comparison'!$E:$E,A286,'bench Comparison'!$N:$N)</f>
        <v>0</v>
      </c>
      <c r="V286" s="126">
        <f ca="1">VALUE(_xll.BDP($A286 &amp; " Corp",V$1))</f>
        <v>41044</v>
      </c>
      <c r="W286" s="127">
        <f ca="1">VALUE(_xll.BDP($A286 &amp; " Corp",W$1))</f>
        <v>41044</v>
      </c>
      <c r="X286" s="127">
        <f ca="1">VALUE(_xll.BDP($A286 &amp; " Corp",X$1))</f>
        <v>41228</v>
      </c>
      <c r="Y286" s="127">
        <f ca="1">VALUE(_xll.BDP($A286 &amp; " Corp",Y$1))</f>
        <v>51820</v>
      </c>
      <c r="Z286" s="127">
        <f ca="1">VALUE(_xll.BDP($A286 &amp; " Corp",Z$1))</f>
        <v>52001</v>
      </c>
      <c r="AA286" s="128">
        <f ca="1">_xll.BDP($A286 &amp; " Corp",AA$1)/100</f>
        <v>0.03</v>
      </c>
      <c r="AB286" s="129">
        <f ca="1">_xll.BDP($A286 &amp; " Corp",AB$1)</f>
        <v>30001000000</v>
      </c>
      <c r="AC286" s="130" t="str">
        <f ca="1">IF(LEFT(B286,1)="B",_xll.INSTANCE.TBILL(A286,V286,Z286,TODAY()),_xll.INSTANCE.TNOTE(A286,V286,W286,X286,Y286,Z286,AA286,TODAY()))</f>
        <v>US912810QW18#0029</v>
      </c>
    </row>
    <row r="287" spans="1:29" x14ac:dyDescent="0.2">
      <c r="A287" s="131"/>
      <c r="B287" s="115"/>
      <c r="C287" s="372"/>
      <c r="D287" s="116"/>
      <c r="E287" s="117"/>
      <c r="F287" s="118"/>
      <c r="G287" s="377"/>
      <c r="H287" s="120"/>
      <c r="I287" s="121"/>
      <c r="J287" s="122"/>
      <c r="K287" s="123"/>
      <c r="L287" s="123"/>
      <c r="M287" s="123"/>
      <c r="N287" s="123"/>
      <c r="O287" s="124"/>
      <c r="P287" s="124"/>
      <c r="Q287" s="379"/>
      <c r="R287" s="381"/>
      <c r="S287" s="199"/>
      <c r="T287" s="210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72"/>
      <c r="D288" s="116"/>
      <c r="E288" s="117"/>
      <c r="F288" s="118"/>
      <c r="G288" s="377"/>
      <c r="H288" s="120"/>
      <c r="I288" s="121"/>
      <c r="J288" s="122"/>
      <c r="K288" s="123"/>
      <c r="L288" s="123"/>
      <c r="M288" s="123"/>
      <c r="N288" s="123"/>
      <c r="O288" s="124"/>
      <c r="P288" s="124"/>
      <c r="Q288" s="379"/>
      <c r="R288" s="381"/>
      <c r="S288" s="199"/>
      <c r="T288" s="210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72"/>
      <c r="D289" s="116"/>
      <c r="E289" s="117"/>
      <c r="F289" s="118"/>
      <c r="G289" s="377"/>
      <c r="H289" s="120"/>
      <c r="I289" s="121"/>
      <c r="J289" s="122"/>
      <c r="K289" s="123"/>
      <c r="L289" s="123"/>
      <c r="M289" s="123"/>
      <c r="N289" s="123"/>
      <c r="O289" s="124"/>
      <c r="P289" s="124"/>
      <c r="Q289" s="379"/>
      <c r="R289" s="381"/>
      <c r="S289" s="199"/>
      <c r="T289" s="210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72"/>
      <c r="D290" s="116"/>
      <c r="E290" s="117"/>
      <c r="F290" s="118"/>
      <c r="G290" s="377"/>
      <c r="H290" s="120"/>
      <c r="I290" s="121"/>
      <c r="J290" s="122"/>
      <c r="K290" s="123"/>
      <c r="L290" s="123"/>
      <c r="M290" s="123"/>
      <c r="N290" s="123"/>
      <c r="O290" s="124"/>
      <c r="P290" s="124"/>
      <c r="Q290" s="379"/>
      <c r="R290" s="381"/>
      <c r="S290" s="199"/>
      <c r="T290" s="210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72"/>
      <c r="D291" s="116"/>
      <c r="E291" s="117"/>
      <c r="F291" s="118"/>
      <c r="G291" s="377"/>
      <c r="H291" s="120"/>
      <c r="I291" s="121"/>
      <c r="J291" s="122"/>
      <c r="K291" s="123"/>
      <c r="L291" s="123"/>
      <c r="M291" s="123"/>
      <c r="N291" s="123"/>
      <c r="O291" s="124"/>
      <c r="P291" s="124"/>
      <c r="Q291" s="379"/>
      <c r="R291" s="381"/>
      <c r="S291" s="199"/>
      <c r="T291" s="210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72"/>
      <c r="D292" s="116"/>
      <c r="E292" s="117"/>
      <c r="F292" s="118"/>
      <c r="G292" s="377"/>
      <c r="H292" s="120"/>
      <c r="I292" s="121"/>
      <c r="J292" s="122"/>
      <c r="K292" s="123"/>
      <c r="L292" s="123"/>
      <c r="M292" s="123"/>
      <c r="N292" s="123"/>
      <c r="O292" s="124"/>
      <c r="P292" s="124"/>
      <c r="Q292" s="379"/>
      <c r="R292" s="381"/>
      <c r="S292" s="199"/>
      <c r="T292" s="210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72"/>
      <c r="D293" s="116"/>
      <c r="E293" s="117"/>
      <c r="F293" s="118"/>
      <c r="G293" s="377"/>
      <c r="H293" s="120"/>
      <c r="I293" s="121"/>
      <c r="J293" s="122"/>
      <c r="K293" s="123"/>
      <c r="L293" s="123"/>
      <c r="M293" s="123"/>
      <c r="N293" s="123"/>
      <c r="O293" s="124"/>
      <c r="P293" s="124"/>
      <c r="Q293" s="379"/>
      <c r="R293" s="381"/>
      <c r="S293" s="199"/>
      <c r="T293" s="210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72"/>
      <c r="D294" s="116"/>
      <c r="E294" s="117"/>
      <c r="F294" s="118"/>
      <c r="G294" s="377"/>
      <c r="H294" s="120"/>
      <c r="I294" s="121"/>
      <c r="J294" s="122"/>
      <c r="K294" s="123"/>
      <c r="L294" s="123"/>
      <c r="M294" s="123"/>
      <c r="N294" s="123"/>
      <c r="O294" s="124"/>
      <c r="P294" s="124"/>
      <c r="Q294" s="379"/>
      <c r="R294" s="381"/>
      <c r="S294" s="199"/>
      <c r="T294" s="210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72"/>
      <c r="D295" s="116"/>
      <c r="E295" s="117"/>
      <c r="F295" s="118"/>
      <c r="G295" s="377"/>
      <c r="H295" s="120"/>
      <c r="I295" s="121"/>
      <c r="J295" s="122"/>
      <c r="K295" s="123"/>
      <c r="L295" s="123"/>
      <c r="M295" s="123"/>
      <c r="N295" s="123"/>
      <c r="O295" s="124"/>
      <c r="P295" s="124"/>
      <c r="Q295" s="379"/>
      <c r="R295" s="381"/>
      <c r="S295" s="199"/>
      <c r="T295" s="210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72"/>
      <c r="D296" s="116"/>
      <c r="E296" s="117"/>
      <c r="F296" s="118"/>
      <c r="G296" s="377"/>
      <c r="H296" s="120"/>
      <c r="I296" s="121"/>
      <c r="J296" s="122"/>
      <c r="K296" s="123"/>
      <c r="L296" s="123"/>
      <c r="M296" s="123"/>
      <c r="N296" s="123"/>
      <c r="O296" s="124"/>
      <c r="P296" s="124"/>
      <c r="Q296" s="379"/>
      <c r="R296" s="381"/>
      <c r="S296" s="199"/>
      <c r="T296" s="210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72"/>
      <c r="D297" s="116"/>
      <c r="E297" s="117"/>
      <c r="F297" s="118"/>
      <c r="G297" s="377"/>
      <c r="H297" s="120"/>
      <c r="I297" s="121"/>
      <c r="J297" s="122"/>
      <c r="K297" s="123"/>
      <c r="L297" s="123"/>
      <c r="M297" s="123"/>
      <c r="N297" s="123"/>
      <c r="O297" s="124"/>
      <c r="P297" s="124"/>
      <c r="Q297" s="379"/>
      <c r="R297" s="381"/>
      <c r="S297" s="199"/>
      <c r="T297" s="210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72"/>
      <c r="D298" s="116"/>
      <c r="E298" s="117"/>
      <c r="F298" s="118"/>
      <c r="G298" s="377"/>
      <c r="H298" s="120"/>
      <c r="I298" s="121"/>
      <c r="J298" s="122"/>
      <c r="K298" s="123"/>
      <c r="L298" s="123"/>
      <c r="M298" s="123"/>
      <c r="N298" s="123"/>
      <c r="O298" s="124"/>
      <c r="P298" s="124"/>
      <c r="Q298" s="379"/>
      <c r="R298" s="381"/>
      <c r="S298" s="199"/>
      <c r="T298" s="210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72"/>
      <c r="D299" s="116"/>
      <c r="E299" s="117"/>
      <c r="F299" s="118"/>
      <c r="G299" s="377"/>
      <c r="H299" s="120"/>
      <c r="I299" s="121"/>
      <c r="J299" s="122"/>
      <c r="K299" s="123"/>
      <c r="L299" s="123"/>
      <c r="M299" s="123"/>
      <c r="N299" s="123"/>
      <c r="O299" s="124"/>
      <c r="P299" s="124"/>
      <c r="Q299" s="379"/>
      <c r="R299" s="381"/>
      <c r="S299" s="199"/>
      <c r="T299" s="210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72"/>
      <c r="D300" s="116"/>
      <c r="E300" s="117"/>
      <c r="F300" s="118"/>
      <c r="G300" s="377"/>
      <c r="H300" s="120"/>
      <c r="I300" s="121"/>
      <c r="J300" s="122"/>
      <c r="K300" s="123"/>
      <c r="L300" s="123"/>
      <c r="M300" s="123"/>
      <c r="N300" s="123"/>
      <c r="O300" s="124"/>
      <c r="P300" s="124"/>
      <c r="Q300" s="379"/>
      <c r="R300" s="381"/>
      <c r="S300" s="199"/>
      <c r="T300" s="210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72"/>
      <c r="D301" s="116"/>
      <c r="E301" s="117"/>
      <c r="F301" s="118"/>
      <c r="G301" s="377"/>
      <c r="H301" s="120"/>
      <c r="I301" s="121"/>
      <c r="J301" s="122"/>
      <c r="K301" s="123"/>
      <c r="L301" s="123"/>
      <c r="M301" s="123"/>
      <c r="N301" s="123"/>
      <c r="O301" s="124"/>
      <c r="P301" s="124"/>
      <c r="Q301" s="379"/>
      <c r="R301" s="381"/>
      <c r="S301" s="199"/>
      <c r="T301" s="210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72"/>
      <c r="D302" s="116"/>
      <c r="E302" s="117"/>
      <c r="F302" s="118"/>
      <c r="G302" s="377"/>
      <c r="H302" s="120"/>
      <c r="I302" s="121"/>
      <c r="J302" s="122"/>
      <c r="K302" s="123"/>
      <c r="L302" s="123"/>
      <c r="M302" s="123"/>
      <c r="N302" s="123"/>
      <c r="O302" s="124"/>
      <c r="P302" s="124"/>
      <c r="Q302" s="379"/>
      <c r="R302" s="381"/>
      <c r="S302" s="199"/>
      <c r="T302" s="210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72"/>
      <c r="D303" s="116"/>
      <c r="E303" s="117"/>
      <c r="F303" s="118"/>
      <c r="G303" s="377"/>
      <c r="H303" s="120"/>
      <c r="I303" s="121"/>
      <c r="J303" s="122"/>
      <c r="K303" s="123"/>
      <c r="L303" s="123"/>
      <c r="M303" s="123"/>
      <c r="N303" s="123"/>
      <c r="O303" s="124"/>
      <c r="P303" s="124"/>
      <c r="Q303" s="379"/>
      <c r="R303" s="381"/>
      <c r="S303" s="199"/>
      <c r="T303" s="210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72"/>
      <c r="D304" s="116"/>
      <c r="E304" s="117"/>
      <c r="F304" s="118"/>
      <c r="G304" s="377"/>
      <c r="H304" s="120"/>
      <c r="I304" s="121"/>
      <c r="J304" s="122"/>
      <c r="K304" s="123"/>
      <c r="L304" s="123"/>
      <c r="M304" s="123"/>
      <c r="N304" s="123"/>
      <c r="O304" s="124"/>
      <c r="P304" s="124"/>
      <c r="Q304" s="379"/>
      <c r="R304" s="381"/>
      <c r="S304" s="199"/>
      <c r="T304" s="210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72"/>
      <c r="D305" s="116"/>
      <c r="E305" s="117"/>
      <c r="F305" s="118"/>
      <c r="G305" s="377"/>
      <c r="H305" s="120"/>
      <c r="I305" s="121"/>
      <c r="J305" s="122"/>
      <c r="K305" s="123"/>
      <c r="L305" s="123"/>
      <c r="M305" s="123"/>
      <c r="N305" s="123"/>
      <c r="O305" s="124"/>
      <c r="P305" s="124"/>
      <c r="Q305" s="379"/>
      <c r="R305" s="381"/>
      <c r="S305" s="199"/>
      <c r="T305" s="210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72"/>
      <c r="D306" s="116"/>
      <c r="E306" s="117"/>
      <c r="F306" s="118"/>
      <c r="G306" s="377"/>
      <c r="H306" s="120"/>
      <c r="I306" s="121"/>
      <c r="J306" s="122"/>
      <c r="K306" s="123"/>
      <c r="L306" s="123"/>
      <c r="M306" s="123"/>
      <c r="N306" s="123"/>
      <c r="O306" s="124"/>
      <c r="P306" s="124"/>
      <c r="Q306" s="379"/>
      <c r="R306" s="381"/>
      <c r="S306" s="199"/>
      <c r="T306" s="210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72"/>
      <c r="D307" s="116"/>
      <c r="E307" s="117"/>
      <c r="F307" s="118"/>
      <c r="G307" s="377"/>
      <c r="H307" s="120"/>
      <c r="I307" s="121"/>
      <c r="J307" s="122"/>
      <c r="K307" s="123"/>
      <c r="L307" s="123"/>
      <c r="M307" s="123"/>
      <c r="N307" s="123"/>
      <c r="O307" s="124"/>
      <c r="P307" s="124"/>
      <c r="Q307" s="379"/>
      <c r="R307" s="381"/>
      <c r="S307" s="199"/>
      <c r="T307" s="210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72"/>
      <c r="D308" s="116"/>
      <c r="E308" s="117"/>
      <c r="F308" s="118"/>
      <c r="G308" s="377"/>
      <c r="H308" s="120"/>
      <c r="I308" s="121"/>
      <c r="J308" s="122"/>
      <c r="K308" s="123"/>
      <c r="L308" s="123"/>
      <c r="M308" s="123"/>
      <c r="N308" s="123"/>
      <c r="O308" s="124"/>
      <c r="P308" s="124"/>
      <c r="Q308" s="379"/>
      <c r="R308" s="381"/>
      <c r="S308" s="199"/>
      <c r="T308" s="210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72"/>
      <c r="D309" s="116"/>
      <c r="E309" s="117"/>
      <c r="F309" s="118"/>
      <c r="G309" s="377"/>
      <c r="H309" s="120"/>
      <c r="I309" s="121"/>
      <c r="J309" s="122"/>
      <c r="K309" s="123"/>
      <c r="L309" s="123"/>
      <c r="M309" s="123"/>
      <c r="N309" s="123"/>
      <c r="O309" s="124"/>
      <c r="P309" s="124"/>
      <c r="Q309" s="379"/>
      <c r="R309" s="381"/>
      <c r="S309" s="199"/>
      <c r="T309" s="210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72"/>
      <c r="D310" s="116"/>
      <c r="E310" s="117"/>
      <c r="F310" s="118"/>
      <c r="G310" s="377"/>
      <c r="H310" s="120"/>
      <c r="I310" s="121"/>
      <c r="J310" s="122"/>
      <c r="K310" s="123"/>
      <c r="L310" s="123"/>
      <c r="M310" s="123"/>
      <c r="N310" s="123"/>
      <c r="O310" s="124"/>
      <c r="P310" s="124"/>
      <c r="Q310" s="379"/>
      <c r="R310" s="381"/>
      <c r="S310" s="199"/>
      <c r="T310" s="210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72"/>
      <c r="D311" s="116"/>
      <c r="E311" s="117"/>
      <c r="F311" s="118"/>
      <c r="G311" s="377"/>
      <c r="H311" s="120"/>
      <c r="I311" s="121"/>
      <c r="J311" s="122"/>
      <c r="K311" s="123"/>
      <c r="L311" s="123"/>
      <c r="M311" s="123"/>
      <c r="N311" s="123"/>
      <c r="O311" s="124"/>
      <c r="P311" s="124"/>
      <c r="Q311" s="379"/>
      <c r="R311" s="381"/>
      <c r="S311" s="199"/>
      <c r="T311" s="210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72"/>
      <c r="D312" s="116"/>
      <c r="E312" s="117"/>
      <c r="F312" s="118"/>
      <c r="G312" s="377"/>
      <c r="H312" s="120"/>
      <c r="I312" s="121"/>
      <c r="J312" s="122"/>
      <c r="K312" s="123"/>
      <c r="L312" s="123"/>
      <c r="M312" s="123"/>
      <c r="N312" s="123"/>
      <c r="O312" s="124"/>
      <c r="P312" s="124"/>
      <c r="Q312" s="379"/>
      <c r="R312" s="381"/>
      <c r="S312" s="199"/>
      <c r="T312" s="210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72"/>
      <c r="D313" s="116"/>
      <c r="E313" s="117"/>
      <c r="F313" s="118"/>
      <c r="G313" s="377"/>
      <c r="H313" s="120"/>
      <c r="I313" s="121"/>
      <c r="J313" s="122"/>
      <c r="K313" s="123"/>
      <c r="L313" s="123"/>
      <c r="M313" s="123"/>
      <c r="N313" s="123"/>
      <c r="O313" s="124"/>
      <c r="P313" s="124"/>
      <c r="Q313" s="379"/>
      <c r="R313" s="381"/>
      <c r="S313" s="199"/>
      <c r="T313" s="210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72"/>
      <c r="D314" s="116"/>
      <c r="E314" s="117"/>
      <c r="F314" s="118"/>
      <c r="G314" s="377"/>
      <c r="H314" s="120"/>
      <c r="I314" s="121"/>
      <c r="J314" s="122"/>
      <c r="K314" s="123"/>
      <c r="L314" s="123"/>
      <c r="M314" s="123"/>
      <c r="N314" s="123"/>
      <c r="O314" s="124"/>
      <c r="P314" s="124"/>
      <c r="Q314" s="379"/>
      <c r="R314" s="381"/>
      <c r="S314" s="199"/>
      <c r="T314" s="210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72"/>
      <c r="D315" s="116"/>
      <c r="E315" s="117"/>
      <c r="F315" s="118"/>
      <c r="G315" s="377"/>
      <c r="H315" s="120"/>
      <c r="I315" s="121"/>
      <c r="J315" s="122"/>
      <c r="K315" s="123"/>
      <c r="L315" s="123"/>
      <c r="M315" s="123"/>
      <c r="N315" s="123"/>
      <c r="O315" s="124"/>
      <c r="P315" s="124"/>
      <c r="Q315" s="379"/>
      <c r="R315" s="381"/>
      <c r="S315" s="199"/>
      <c r="T315" s="210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72"/>
      <c r="D316" s="116"/>
      <c r="E316" s="117"/>
      <c r="F316" s="118"/>
      <c r="G316" s="377"/>
      <c r="H316" s="120"/>
      <c r="I316" s="121"/>
      <c r="J316" s="122"/>
      <c r="K316" s="123"/>
      <c r="L316" s="123"/>
      <c r="M316" s="123"/>
      <c r="N316" s="123"/>
      <c r="O316" s="124"/>
      <c r="P316" s="124"/>
      <c r="Q316" s="379"/>
      <c r="R316" s="381"/>
      <c r="S316" s="199"/>
      <c r="T316" s="210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72"/>
      <c r="D317" s="116"/>
      <c r="E317" s="117"/>
      <c r="F317" s="118"/>
      <c r="G317" s="377"/>
      <c r="H317" s="120"/>
      <c r="I317" s="121"/>
      <c r="J317" s="122"/>
      <c r="K317" s="123"/>
      <c r="L317" s="123"/>
      <c r="M317" s="123"/>
      <c r="N317" s="123"/>
      <c r="O317" s="124"/>
      <c r="P317" s="124"/>
      <c r="Q317" s="379"/>
      <c r="R317" s="381"/>
      <c r="S317" s="199"/>
      <c r="T317" s="210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72"/>
      <c r="D318" s="116"/>
      <c r="E318" s="117"/>
      <c r="F318" s="118"/>
      <c r="G318" s="377"/>
      <c r="H318" s="120"/>
      <c r="I318" s="121"/>
      <c r="J318" s="122"/>
      <c r="K318" s="123"/>
      <c r="L318" s="123"/>
      <c r="M318" s="123"/>
      <c r="N318" s="123"/>
      <c r="O318" s="124"/>
      <c r="P318" s="124"/>
      <c r="Q318" s="379"/>
      <c r="R318" s="381"/>
      <c r="S318" s="199"/>
      <c r="T318" s="210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200" customWidth="1"/>
    <col min="19" max="19" width="7.140625" style="213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653</v>
      </c>
      <c r="B1" s="100" t="s">
        <v>384</v>
      </c>
      <c r="C1" s="208" t="s">
        <v>687</v>
      </c>
      <c r="D1" s="101" t="s">
        <v>385</v>
      </c>
      <c r="E1" s="102" t="s">
        <v>386</v>
      </c>
      <c r="F1" s="100" t="s">
        <v>387</v>
      </c>
      <c r="G1" s="103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9" t="s">
        <v>396</v>
      </c>
      <c r="R1" s="99" t="s">
        <v>387</v>
      </c>
      <c r="S1" s="212" t="s">
        <v>388</v>
      </c>
      <c r="T1" s="110" t="s">
        <v>650</v>
      </c>
      <c r="U1" s="111" t="s">
        <v>397</v>
      </c>
      <c r="V1" s="112" t="s">
        <v>398</v>
      </c>
      <c r="W1" s="112" t="s">
        <v>399</v>
      </c>
      <c r="X1" s="112" t="s">
        <v>400</v>
      </c>
      <c r="Y1" s="112" t="s">
        <v>401</v>
      </c>
      <c r="Z1" s="112" t="s">
        <v>402</v>
      </c>
      <c r="AA1" s="113" t="s">
        <v>654</v>
      </c>
      <c r="AB1" s="112" t="s">
        <v>403</v>
      </c>
      <c r="AC1" s="112" t="s">
        <v>655</v>
      </c>
      <c r="AD1" s="112" t="s">
        <v>656</v>
      </c>
      <c r="AE1" s="112" t="s">
        <v>681</v>
      </c>
    </row>
    <row r="2" spans="1:31" x14ac:dyDescent="0.2">
      <c r="A2" s="131" t="s">
        <v>702</v>
      </c>
      <c r="B2" s="115" t="str">
        <f ca="1">_xll.BDP($A2 &amp; " Govt",B$1)</f>
        <v>NEDWBK 2 10/20/12</v>
      </c>
      <c r="C2" s="209" t="str">
        <f t="shared" ref="C2:C32" ca="1" si="0">LEFT(B2,SEARCH(" ",B2)-1)</f>
        <v>NEDWBK</v>
      </c>
      <c r="D2" s="116"/>
      <c r="E2" s="117"/>
      <c r="F2" s="118"/>
      <c r="G2" s="119"/>
      <c r="H2" s="120">
        <f ca="1">IF(E2="",_xll.BDP(A2 &amp; " Corp","YLD_YTM_BID")/100,E2)</f>
        <v>6.3759808121887874E-3</v>
      </c>
      <c r="I2" s="121">
        <f ca="1">_xll.INSTRUMENT.PRIX(AD2,D2,H2,AE2)</f>
        <v>100.39083035793753</v>
      </c>
      <c r="J2" s="122">
        <f ca="1">_xll.INSTRUMENT.DV01(AD2,,,I2,cContinuous,I2)</f>
        <v>-3.0319714565052885E-3</v>
      </c>
      <c r="K2" s="123">
        <f ca="1">_xll.INSTRUMENT.CONVEXITE(AD2,,,I2,cContinuous,I2)</f>
        <v>8.8693302278360059E-2</v>
      </c>
      <c r="L2" s="123">
        <f ca="1">_xll.INSTRUMENT.Z.SPREAD(AD2,swapCurve,I2,,D2)</f>
        <v>14.012911440984427</v>
      </c>
      <c r="M2" s="123">
        <f ca="1">_xll.INSTRUMENT.Z.SPREAD(AD2,ustCurve,I2,,D2)</f>
        <v>51.321582144254052</v>
      </c>
      <c r="N2" s="123">
        <f ca="1">_xll.INSTRUMENT.Z.SPREAD(AD2,oisCurve,I2,,D2)</f>
        <v>45.31536288638776</v>
      </c>
      <c r="O2" s="124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8.0643742851801859E-3</v>
      </c>
      <c r="P2" s="124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7.1445944241329499E-3</v>
      </c>
      <c r="Q2" s="143">
        <f t="shared" ref="Q2:Q32" ca="1" si="1">K2/J2</f>
        <v>-29.252683790298523</v>
      </c>
      <c r="R2" s="199" t="str">
        <f>IF(F2&lt;&gt;"","",IF(G2="","",-G2*(SUMIF('bench Comparison'!$A:$A,"RESINV1USD",'bench Comparison'!$G:$G)+SUMIF('bench Comparison'!$A:$A,"RESSWAPORUSD",'bench Comparison'!$G:$G))/(36500*J2)))</f>
        <v/>
      </c>
      <c r="S2" s="210" t="str">
        <f>IF(G2&lt;&gt;"","",IF(F2="","",-36500*J2*F2/(SUMIF('bench Comparison'!$A:$A,"RESINV1USD",'bench Comparison'!$G:$G)+SUMIF('bench Comparison'!$A:$A,"RESSWAPORUSD",'bench Comparison'!$G:$G))))</f>
        <v/>
      </c>
      <c r="T2" s="125">
        <f>SUMIF('bench Comparison'!$E:$E,A2,'bench Comparison'!$N:$N)</f>
        <v>0</v>
      </c>
      <c r="U2" s="126">
        <f ca="1">VALUE(_xll.BDP($A2 &amp; " Corp",U$1))</f>
        <v>40106</v>
      </c>
      <c r="V2" s="127">
        <f ca="1">VALUE(_xll.BDP($A2 &amp; " Corp",V$1))</f>
        <v>40106</v>
      </c>
      <c r="W2" s="127">
        <f ca="1">VALUE(_xll.BDP($A2 &amp; " Corp",W$1))</f>
        <v>40471</v>
      </c>
      <c r="X2" s="127">
        <f ca="1">VALUE(_xll.BDP($A2 &amp; " Corp",X$1))</f>
        <v>40836</v>
      </c>
      <c r="Y2" s="127">
        <f ca="1">VALUE(_xll.BDP($A2 &amp; " Corp",Y$1))</f>
        <v>41202</v>
      </c>
      <c r="Z2" s="128">
        <f ca="1">_xll.BDP($A2 &amp; " Corp",Z$1)/100</f>
        <v>0.02</v>
      </c>
      <c r="AA2" s="129">
        <f ca="1">_xll.BDP($A2 &amp; " Corp",AA$1)</f>
        <v>1</v>
      </c>
      <c r="AB2" s="129">
        <f ca="1">_xll.BDP($A2 &amp; " Corp",AB$1)</f>
        <v>1100000000</v>
      </c>
      <c r="AC2" s="129" t="str">
        <f ca="1">_xll.BDP($A2 &amp; " Corp",AC$1)</f>
        <v>ISMA-30/360</v>
      </c>
      <c r="AD2" s="130" t="str">
        <f ca="1">_xll.INSTANCE.YANKEE(A2,U2,V2,W2,X2,Y2,Z2,AA2,LEFT(AC2,11),3,IF(RIGHT(AC2,6)="NONEOM",FALSE,TRUE),TODAY())</f>
        <v>XS0458548921#0027</v>
      </c>
      <c r="AE2" s="130" t="str">
        <f ca="1">_xll.INSTANCE.CONVENTION.TAUX("conv_" &amp; A2,LEFT(AC2,11),"Compounded",IF(AA2=1,"Annual",IF(AA2=2,"Semi-Annual","")),"Unadjusted",TODAY())</f>
        <v>conv_XS0458548921#0026</v>
      </c>
    </row>
    <row r="3" spans="1:31" x14ac:dyDescent="0.2">
      <c r="A3" s="131" t="s">
        <v>700</v>
      </c>
      <c r="B3" s="115" t="str">
        <f ca="1">_xll.BDP($A3 &amp; " Govt",B$1)</f>
        <v>NEDWBK 1 3/8 05/16/14</v>
      </c>
      <c r="C3" s="209" t="str">
        <f t="shared" ca="1" si="0"/>
        <v>NEDWBK</v>
      </c>
      <c r="D3" s="116"/>
      <c r="E3" s="117"/>
      <c r="F3" s="118"/>
      <c r="G3" s="119"/>
      <c r="H3" s="120">
        <f ca="1">IF(E3="",_xll.BDP(A3 &amp; " Corp","YLD_YTM_BID")/100,E3)</f>
        <v>1.1084514E-2</v>
      </c>
      <c r="I3" s="121">
        <f ca="1">_xll.INSTRUMENT.PRIX(AD3,D3,H3,AE3)</f>
        <v>100.48995844431957</v>
      </c>
      <c r="J3" s="122">
        <f ca="1">_xll.INSTRUMENT.DV01(AD3,,,I3,cContinuous,I3)</f>
        <v>-1.8538992850684746E-2</v>
      </c>
      <c r="K3" s="123">
        <f ca="1">_xll.INSTRUMENT.CONVEXITE(AD3,,,I3,cContinuous,I3)</f>
        <v>3.4140574467317242</v>
      </c>
      <c r="L3" s="123">
        <f ca="1">_xll.INSTRUMENT.Z.SPREAD(AD3,swapCurve,I3,,D3)</f>
        <v>57.585319129331872</v>
      </c>
      <c r="M3" s="123">
        <f ca="1">_xll.INSTRUMENT.Z.SPREAD(AD3,ustCurve,I3,,D3)</f>
        <v>77.665544503908123</v>
      </c>
      <c r="N3" s="123">
        <f ca="1">_xll.INSTRUMENT.Z.SPREAD(AD3,oisCurve,I3,,D3)</f>
        <v>90.184366487883224</v>
      </c>
      <c r="O3" s="124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1.2641523771274773E-2</v>
      </c>
      <c r="P3" s="124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1.2080995464151161E-2</v>
      </c>
      <c r="Q3" s="143">
        <f t="shared" ca="1" si="1"/>
        <v>-184.15549723919466</v>
      </c>
      <c r="R3" s="199" t="str">
        <f>IF(F3&lt;&gt;"","",IF(G3="","",-G3*(SUMIF('bench Comparison'!$A:$A,"RESINV1USD",'bench Comparison'!$G:$G)+SUMIF('bench Comparison'!$A:$A,"RESSWAPORUSD",'bench Comparison'!$G:$G))/(36500*J3)))</f>
        <v/>
      </c>
      <c r="S3" s="210" t="str">
        <f>IF(G3&lt;&gt;"","",IF(F3="","",-36500*J3*F3/(SUMIF('bench Comparison'!$A:$A,"RESINV1USD",'bench Comparison'!$G:$G)+SUMIF('bench Comparison'!$A:$A,"RESSWAPORUSD",'bench Comparison'!$G:$G))))</f>
        <v/>
      </c>
      <c r="T3" s="125">
        <f>SUMIF('bench Comparison'!$E:$E,A3,'bench Comparison'!$N:$N)</f>
        <v>0</v>
      </c>
      <c r="U3" s="126">
        <f ca="1">VALUE(_xll.BDP($A3 &amp; " Corp",U$1))</f>
        <v>40679</v>
      </c>
      <c r="V3" s="127">
        <f ca="1">VALUE(_xll.BDP($A3 &amp; " Corp",V$1))</f>
        <v>40679</v>
      </c>
      <c r="W3" s="127">
        <f ca="1">VALUE(_xll.BDP($A3 &amp; " Corp",W$1))</f>
        <v>40863</v>
      </c>
      <c r="X3" s="127">
        <f ca="1">VALUE(_xll.BDP($A3 &amp; " Corp",X$1))</f>
        <v>41594</v>
      </c>
      <c r="Y3" s="127">
        <f ca="1">VALUE(_xll.BDP($A3 &amp; " Corp",Y$1))</f>
        <v>41775</v>
      </c>
      <c r="Z3" s="128">
        <f ca="1">_xll.BDP($A3 &amp; " Corp",Z$1)/100</f>
        <v>1.375E-2</v>
      </c>
      <c r="AA3" s="129">
        <f ca="1">_xll.BDP($A3 &amp; " Corp",AA$1)</f>
        <v>2</v>
      </c>
      <c r="AB3" s="129">
        <f ca="1">_xll.BDP($A3 &amp; " Corp",AB$1)</f>
        <v>2000000000</v>
      </c>
      <c r="AC3" s="129" t="str">
        <f ca="1">_xll.BDP($A3 &amp; " Corp",AC$1)</f>
        <v>30/360</v>
      </c>
      <c r="AD3" s="130" t="str">
        <f ca="1">_xll.INSTANCE.YANKEE(A3,U3,V3,W3,X3,Y3,Z3,AA3,LEFT(AC3,11),3,IF(RIGHT(AC3,6)="NONEOM",FALSE,TRUE),TODAY())</f>
        <v>US63983TAA34#0027</v>
      </c>
      <c r="AE3" s="130" t="str">
        <f ca="1">_xll.INSTANCE.CONVENTION.TAUX("conv_" &amp; A3,LEFT(AC3,11),"Compounded",IF(AA3=1,"Annual",IF(AA3=2,"Semi-Annual","")),"Unadjusted",TODAY())</f>
        <v>conv_US63983TAA34#0027</v>
      </c>
    </row>
    <row r="4" spans="1:31" x14ac:dyDescent="0.2">
      <c r="A4" s="131" t="s">
        <v>701</v>
      </c>
      <c r="B4" s="115" t="str">
        <f ca="1">_xll.BDP($A4 &amp; " Govt",B$1)</f>
        <v>NEDWBK 1 3/8 05/16/14</v>
      </c>
      <c r="C4" s="209" t="str">
        <f t="shared" ca="1" si="0"/>
        <v>NEDWBK</v>
      </c>
      <c r="D4" s="116"/>
      <c r="E4" s="117"/>
      <c r="F4" s="118"/>
      <c r="G4" s="119"/>
      <c r="H4" s="120">
        <f ca="1">IF(E4="",_xll.BDP(A4 &amp; " Corp","YLD_YTM_BID")/100,E4)</f>
        <v>1.0981590999999999E-2</v>
      </c>
      <c r="I4" s="121">
        <f ca="1">_xll.INSTRUMENT.PRIX(AD4,D4,H4,AE4)</f>
        <v>100.5089587806538</v>
      </c>
      <c r="J4" s="122">
        <f ca="1">_xll.INSTRUMENT.DV01(AD4,,,I4,cContinuous,I4)</f>
        <v>-1.854251560044555E-2</v>
      </c>
      <c r="K4" s="123">
        <f ca="1">_xll.INSTRUMENT.CONVEXITE(AD4,,,I4,cContinuous,I4)</f>
        <v>3.4140632356590959</v>
      </c>
      <c r="L4" s="123">
        <f ca="1">_xll.INSTRUMENT.Z.SPREAD(AD4,swapCurve,I4,,D4)</f>
        <v>56.561277257326864</v>
      </c>
      <c r="M4" s="123">
        <f ca="1">_xll.INSTRUMENT.Z.SPREAD(AD4,ustCurve,I4,,D4)</f>
        <v>76.640011698326788</v>
      </c>
      <c r="N4" s="123">
        <f ca="1">_xll.INSTRUMENT.Z.SPREAD(AD4,oisCurve,I4,,D4)</f>
        <v>89.160326304065592</v>
      </c>
      <c r="O4" s="124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1.2531352734731799E-2</v>
      </c>
      <c r="P4" s="124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1.1978074451007084E-2</v>
      </c>
      <c r="Q4" s="143">
        <f t="shared" ca="1" si="1"/>
        <v>-184.12082315179828</v>
      </c>
      <c r="R4" s="199" t="str">
        <f>IF(F4&lt;&gt;"","",IF(G4="","",-G4*(SUMIF('bench Comparison'!$A:$A,"RESINV1USD",'bench Comparison'!$G:$G)+SUMIF('bench Comparison'!$A:$A,"RESSWAPORUSD",'bench Comparison'!$G:$G))/(36500*J4)))</f>
        <v/>
      </c>
      <c r="S4" s="210" t="str">
        <f>IF(G4&lt;&gt;"","",IF(F4="","",-36500*J4*F4/(SUMIF('bench Comparison'!$A:$A,"RESINV1USD",'bench Comparison'!$G:$G)+SUMIF('bench Comparison'!$A:$A,"RESSWAPORUSD",'bench Comparison'!$G:$G))))</f>
        <v/>
      </c>
      <c r="T4" s="125">
        <f>SUMIF('bench Comparison'!$E:$E,A4,'bench Comparison'!$N:$N)</f>
        <v>0</v>
      </c>
      <c r="U4" s="126">
        <f ca="1">VALUE(_xll.BDP($A4 &amp; " Corp",U$1))</f>
        <v>40679</v>
      </c>
      <c r="V4" s="127">
        <f ca="1">VALUE(_xll.BDP($A4 &amp; " Corp",V$1))</f>
        <v>40679</v>
      </c>
      <c r="W4" s="127">
        <f ca="1">VALUE(_xll.BDP($A4 &amp; " Corp",W$1))</f>
        <v>40863</v>
      </c>
      <c r="X4" s="127">
        <f ca="1">VALUE(_xll.BDP($A4 &amp; " Corp",X$1))</f>
        <v>41594</v>
      </c>
      <c r="Y4" s="127">
        <f ca="1">VALUE(_xll.BDP($A4 &amp; " Corp",Y$1))</f>
        <v>41775</v>
      </c>
      <c r="Z4" s="128">
        <f ca="1">_xll.BDP($A4 &amp; " Corp",Z$1)/100</f>
        <v>1.375E-2</v>
      </c>
      <c r="AA4" s="129">
        <f ca="1">_xll.BDP($A4 &amp; " Corp",AA$1)</f>
        <v>2</v>
      </c>
      <c r="AB4" s="129">
        <f ca="1">_xll.BDP($A4 &amp; " Corp",AB$1)</f>
        <v>2000000000</v>
      </c>
      <c r="AC4" s="129" t="str">
        <f ca="1">_xll.BDP($A4 &amp; " Corp",AC$1)</f>
        <v>ISMA-30/360</v>
      </c>
      <c r="AD4" s="130" t="str">
        <f ca="1">_xll.INSTANCE.YANKEE(A4,U4,V4,W4,X4,Y4,Z4,AA4,LEFT(AC4,11),3,IF(RIGHT(AC4,6)="NONEOM",FALSE,TRUE),TODAY())</f>
        <v>US63983UAA07#0027</v>
      </c>
      <c r="AE4" s="130" t="str">
        <f ca="1">_xll.INSTANCE.CONVENTION.TAUX("conv_" &amp; A4,LEFT(AC4,11),"Compounded",IF(AA4=1,"Annual",IF(AA4=2,"Semi-Annual","")),"Unadjusted",TODAY())</f>
        <v>conv_US63983UAA07#0026</v>
      </c>
    </row>
    <row r="5" spans="1:31" x14ac:dyDescent="0.2">
      <c r="A5" s="131" t="s">
        <v>699</v>
      </c>
      <c r="B5" s="115" t="str">
        <f ca="1">_xll.BDP($A5 &amp; " Govt",B$1)</f>
        <v>NEDWBK 1 1/4 10/20/14</v>
      </c>
      <c r="C5" s="209" t="str">
        <f t="shared" ca="1" si="0"/>
        <v>NEDWBK</v>
      </c>
      <c r="D5" s="116"/>
      <c r="E5" s="117"/>
      <c r="F5" s="118"/>
      <c r="G5" s="119"/>
      <c r="H5" s="120">
        <f ca="1">IF(E5="",_xll.BDP(A5 &amp; " Corp","YLD_YTM_BID")/100,E5)</f>
        <v>1.1845912E-2</v>
      </c>
      <c r="I5" s="121">
        <f ca="1">_xll.INSTRUMENT.PRIX(AD5,D5,H5,AE5)</f>
        <v>100.14687827734953</v>
      </c>
      <c r="J5" s="122">
        <f ca="1">_xll.INSTRUMENT.DV01(AD5,,,I5,cContinuous,I5)</f>
        <v>-2.2702651146424353E-2</v>
      </c>
      <c r="K5" s="123">
        <f ca="1">_xll.INSTRUMENT.CONVEXITE(AD5,,,I5,cContinuous,I5)</f>
        <v>5.1575131238784211</v>
      </c>
      <c r="L5" s="123">
        <f ca="1">_xll.INSTRUMENT.Z.SPREAD(AD5,swapCurve,I5,,D5)</f>
        <v>62.524634357349193</v>
      </c>
      <c r="M5" s="123">
        <f ca="1">_xll.INSTRUMENT.Z.SPREAD(AD5,ustCurve,I5,,D5)</f>
        <v>81.468707352458594</v>
      </c>
      <c r="N5" s="123">
        <f ca="1">_xll.INSTRUMENT.Z.SPREAD(AD5,oisCurve,I5,,D5)</f>
        <v>96.45683205901355</v>
      </c>
      <c r="O5" s="124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1.4172045464521178E-2</v>
      </c>
      <c r="P5" s="124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1.3263212759612106E-2</v>
      </c>
      <c r="Q5" s="143">
        <f t="shared" ca="1" si="1"/>
        <v>-227.17668921634842</v>
      </c>
      <c r="R5" s="199" t="str">
        <f>IF(F5&lt;&gt;"","",IF(G5="","",-G5*(SUMIF('bench Comparison'!$A:$A,"RESINV1USD",'bench Comparison'!$G:$G)+SUMIF('bench Comparison'!$A:$A,"RESSWAPORUSD",'bench Comparison'!$G:$G))/(36500*J5)))</f>
        <v/>
      </c>
      <c r="S5" s="210" t="str">
        <f>IF(G5&lt;&gt;"","",IF(F5="","",-36500*J5*F5/(SUMIF('bench Comparison'!$A:$A,"RESINV1USD",'bench Comparison'!$G:$G)+SUMIF('bench Comparison'!$A:$A,"RESSWAPORUSD",'bench Comparison'!$G:$G))))</f>
        <v/>
      </c>
      <c r="T5" s="125">
        <f>SUMIF('bench Comparison'!$E:$E,A5,'bench Comparison'!$N:$N)</f>
        <v>0</v>
      </c>
      <c r="U5" s="126">
        <f ca="1">VALUE(_xll.BDP($A5 &amp; " Corp",U$1))</f>
        <v>40834</v>
      </c>
      <c r="V5" s="127">
        <f ca="1">VALUE(_xll.BDP($A5 &amp; " Corp",V$1))</f>
        <v>40834</v>
      </c>
      <c r="W5" s="127">
        <f ca="1">VALUE(_xll.BDP($A5 &amp; " Corp",W$1))</f>
        <v>41019</v>
      </c>
      <c r="X5" s="127">
        <f ca="1">VALUE(_xll.BDP($A5 &amp; " Corp",X$1))</f>
        <v>41749</v>
      </c>
      <c r="Y5" s="127">
        <f ca="1">VALUE(_xll.BDP($A5 &amp; " Corp",Y$1))</f>
        <v>41932</v>
      </c>
      <c r="Z5" s="128">
        <f ca="1">_xll.BDP($A5 &amp; " Corp",Z$1)/100</f>
        <v>1.2500000000000001E-2</v>
      </c>
      <c r="AA5" s="129">
        <f ca="1">_xll.BDP($A5 &amp; " Corp",AA$1)</f>
        <v>2</v>
      </c>
      <c r="AB5" s="129">
        <f ca="1">_xll.BDP($A5 &amp; " Corp",AB$1)</f>
        <v>1000000000</v>
      </c>
      <c r="AC5" s="129" t="str">
        <f ca="1">_xll.BDP($A5 &amp; " Corp",AC$1)</f>
        <v>30/360</v>
      </c>
      <c r="AD5" s="130" t="str">
        <f ca="1">_xll.INSTANCE.YANKEE(A5,U5,V5,W5,X5,Y5,Z5,AA5,LEFT(AC5,11),3,IF(RIGHT(AC5,6)="NONEOM",FALSE,TRUE),TODAY())</f>
        <v>US639832AD61#0027</v>
      </c>
      <c r="AE5" s="130" t="str">
        <f ca="1">_xll.INSTANCE.CONVENTION.TAUX("conv_" &amp; A5,LEFT(AC5,11),"Compounded",IF(AA5=1,"Annual",IF(AA5=2,"Semi-Annual","")),"Unadjusted",TODAY())</f>
        <v>conv_US639832AD61#0027</v>
      </c>
    </row>
    <row r="6" spans="1:31" x14ac:dyDescent="0.2">
      <c r="A6" s="131" t="s">
        <v>373</v>
      </c>
      <c r="B6" s="115" t="str">
        <f ca="1">_xll.BDP($A6 &amp; " Govt",B$1)</f>
        <v>NEDWBK 2 1/8 06/16/16</v>
      </c>
      <c r="C6" s="209" t="str">
        <f t="shared" ca="1" si="0"/>
        <v>NEDWBK</v>
      </c>
      <c r="D6" s="116"/>
      <c r="E6" s="117"/>
      <c r="F6" s="118"/>
      <c r="G6" s="119"/>
      <c r="H6" s="120">
        <f ca="1">IF(E6="",_xll.BDP(A6 &amp; " Corp","YLD_YTM_BID")/100,E6)</f>
        <v>1.7248903999999999E-2</v>
      </c>
      <c r="I6" s="121">
        <f ca="1">_xll.INSTRUMENT.PRIX(AD6,D6,H6,AE6)</f>
        <v>101.51989981970638</v>
      </c>
      <c r="J6" s="122">
        <f ca="1">_xll.INSTRUMENT.DV01(AD6,,,I6,cContinuous,I6)</f>
        <v>-3.8674112942719968E-2</v>
      </c>
      <c r="K6" s="123">
        <f ca="1">_xll.INSTRUMENT.CONVEXITE(AD6,,,I6,cContinuous,I6)</f>
        <v>14.818637269561933</v>
      </c>
      <c r="L6" s="123">
        <f ca="1">_xll.INSTRUMENT.Z.SPREAD(AD6,swapCurve,I6,,D6)</f>
        <v>95.617460439405107</v>
      </c>
      <c r="M6" s="123">
        <f ca="1">_xll.INSTRUMENT.Z.SPREAD(AD6,ustCurve,I6,,D6)</f>
        <v>114.9451607080447</v>
      </c>
      <c r="N6" s="123">
        <f ca="1">_xll.INSTRUMENT.Z.SPREAD(AD6,oisCurve,I6,,D6)</f>
        <v>130.65984308040584</v>
      </c>
      <c r="O6" s="124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2.598057123313138E-2</v>
      </c>
      <c r="P6" s="124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2.3888673314466147E-2</v>
      </c>
      <c r="Q6" s="143">
        <f t="shared" ca="1" si="1"/>
        <v>-383.16683026472361</v>
      </c>
      <c r="R6" s="199" t="str">
        <f>IF(F6&lt;&gt;"","",IF(G6="","",-G6*(SUMIF('bench Comparison'!$A:$A,"RESINV1USD",'bench Comparison'!$G:$G)+SUMIF('bench Comparison'!$A:$A,"RESSWAPORUSD",'bench Comparison'!$G:$G))/(36500*J6)))</f>
        <v/>
      </c>
      <c r="S6" s="210" t="str">
        <f>IF(G6&lt;&gt;"","",IF(F6="","",-36500*J6*F6/(SUMIF('bench Comparison'!$A:$A,"RESINV1USD",'bench Comparison'!$G:$G)+SUMIF('bench Comparison'!$A:$A,"RESSWAPORUSD",'bench Comparison'!$G:$G))))</f>
        <v/>
      </c>
      <c r="T6" s="125">
        <f>SUMIF('bench Comparison'!$E:$E,A6,'bench Comparison'!$N:$N)</f>
        <v>37000000</v>
      </c>
      <c r="U6" s="126">
        <f ca="1">VALUE(_xll.BDP($A6 &amp; " Corp",U$1))</f>
        <v>40710</v>
      </c>
      <c r="V6" s="127">
        <f ca="1">VALUE(_xll.BDP($A6 &amp; " Corp",V$1))</f>
        <v>40710</v>
      </c>
      <c r="W6" s="127">
        <f ca="1">VALUE(_xll.BDP($A6 &amp; " Corp",W$1))</f>
        <v>40893</v>
      </c>
      <c r="X6" s="127">
        <f ca="1">VALUE(_xll.BDP($A6 &amp; " Corp",X$1))</f>
        <v>42354</v>
      </c>
      <c r="Y6" s="127">
        <f ca="1">VALUE(_xll.BDP($A6 &amp; " Corp",Y$1))</f>
        <v>42537</v>
      </c>
      <c r="Z6" s="128">
        <f ca="1">_xll.BDP($A6 &amp; " Corp",Z$1)/100</f>
        <v>2.1250000000000002E-2</v>
      </c>
      <c r="AA6" s="129">
        <f ca="1">_xll.BDP($A6 &amp; " Corp",AA$1)</f>
        <v>2</v>
      </c>
      <c r="AB6" s="129">
        <f ca="1">_xll.BDP($A6 &amp; " Corp",AB$1)</f>
        <v>1000000000</v>
      </c>
      <c r="AC6" s="129" t="str">
        <f ca="1">_xll.BDP($A6 &amp; " Corp",AC$1)</f>
        <v>ISMA-30/360</v>
      </c>
      <c r="AD6" s="130" t="str">
        <f ca="1">_xll.INSTANCE.YANKEE(A6,U6,V6,W6,X6,Y6,Z6,AA6,LEFT(AC6,11),3,IF(RIGHT(AC6,6)="NONEOM",FALSE,TRUE),TODAY())</f>
        <v>US63983UAB89#0026</v>
      </c>
      <c r="AE6" s="130" t="str">
        <f ca="1">_xll.INSTANCE.CONVENTION.TAUX("conv_" &amp; A6,LEFT(AC6,11),"Compounded",IF(AA6=1,"Annual",IF(AA6=2,"Semi-Annual","")),"Unadjusted",TODAY())</f>
        <v>conv_US63983UAB89#0027</v>
      </c>
    </row>
    <row r="7" spans="1:31" x14ac:dyDescent="0.2">
      <c r="A7" s="131" t="s">
        <v>707</v>
      </c>
      <c r="B7" s="115" t="str">
        <f ca="1">_xll.BDP($A7 &amp; " Govt",B$1)</f>
        <v>NEDWBK 3 03/17/15</v>
      </c>
      <c r="C7" s="209" t="str">
        <f t="shared" ca="1" si="0"/>
        <v>NEDWBK</v>
      </c>
      <c r="D7" s="116"/>
      <c r="E7" s="117"/>
      <c r="F7" s="118"/>
      <c r="G7" s="119"/>
      <c r="H7" s="120">
        <f ca="1">IF(E7="",_xll.BDP(A7 &amp; " Corp","YLD_YTM_BID")/100,E7)</f>
        <v>1.4628269999999999E-2</v>
      </c>
      <c r="I7" s="121">
        <f ca="1">_xll.INSTRUMENT.PRIX(AD7,D7,H7,AE7)</f>
        <v>104.03588019570479</v>
      </c>
      <c r="J7" s="122">
        <f ca="1">_xll.INSTRUMENT.DV01(AD7,,,I7,cContinuous,I7)</f>
        <v>-2.741833764378325E-2</v>
      </c>
      <c r="K7" s="123">
        <f ca="1">_xll.INSTRUMENT.CONVEXITE(AD7,,,I7,cContinuous,I7)</f>
        <v>6.9607402376922369</v>
      </c>
      <c r="L7" s="123">
        <f ca="1">_xll.INSTRUMENT.Z.SPREAD(AD7,swapCurve,I7,,D7)</f>
        <v>86.645452107273201</v>
      </c>
      <c r="M7" s="123">
        <f ca="1">_xll.INSTRUMENT.Z.SPREAD(AD7,ustCurve,I7,,D7)</f>
        <v>104.7984579195887</v>
      </c>
      <c r="N7" s="123">
        <f ca="1">_xll.INSTRUMENT.Z.SPREAD(AD7,oisCurve,I7,,D7)</f>
        <v>121.88061786435101</v>
      </c>
      <c r="O7" s="124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1.7435473845035042E-2</v>
      </c>
      <c r="P7" s="124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1.7033146765564063E-2</v>
      </c>
      <c r="Q7" s="143">
        <f t="shared" ca="1" si="1"/>
        <v>-253.87170907753753</v>
      </c>
      <c r="R7" s="199" t="str">
        <f>IF(F7&lt;&gt;"","",IF(G7="","",-G7*(SUMIF('bench Comparison'!$A:$A,"RESINV1USD",'bench Comparison'!$G:$G)+SUMIF('bench Comparison'!$A:$A,"RESSWAPORUSD",'bench Comparison'!$G:$G))/(36500*J7)))</f>
        <v/>
      </c>
      <c r="S7" s="210" t="str">
        <f>IF(G7&lt;&gt;"","",IF(F7="","",-36500*J7*F7/(SUMIF('bench Comparison'!$A:$A,"RESINV1USD",'bench Comparison'!$G:$G)+SUMIF('bench Comparison'!$A:$A,"RESSWAPORUSD",'bench Comparison'!$G:$G))))</f>
        <v/>
      </c>
      <c r="T7" s="125">
        <f>SUMIF('bench Comparison'!$E:$E,A7,'bench Comparison'!$N:$N)</f>
        <v>0</v>
      </c>
      <c r="U7" s="126">
        <f ca="1">VALUE(_xll.BDP($A7 &amp; " Corp",U$1))</f>
        <v>40254</v>
      </c>
      <c r="V7" s="127">
        <f ca="1">VALUE(_xll.BDP($A7 &amp; " Corp",V$1))</f>
        <v>40254</v>
      </c>
      <c r="W7" s="127">
        <f ca="1">VALUE(_xll.BDP($A7 &amp; " Corp",W$1))</f>
        <v>40619</v>
      </c>
      <c r="X7" s="127">
        <f ca="1">VALUE(_xll.BDP($A7 &amp; " Corp",X$1))</f>
        <v>41715</v>
      </c>
      <c r="Y7" s="127">
        <f ca="1">VALUE(_xll.BDP($A7 &amp; " Corp",Y$1))</f>
        <v>42080</v>
      </c>
      <c r="Z7" s="128">
        <f ca="1">_xll.BDP($A7 &amp; " Corp",Z$1)/100</f>
        <v>0.03</v>
      </c>
      <c r="AA7" s="129">
        <f ca="1">_xll.BDP($A7 &amp; " Corp",AA$1)</f>
        <v>1</v>
      </c>
      <c r="AB7" s="129">
        <f ca="1">_xll.BDP($A7 &amp; " Corp",AB$1)</f>
        <v>1650000000</v>
      </c>
      <c r="AC7" s="129" t="str">
        <f ca="1">_xll.BDP($A7 &amp; " Corp",AC$1)</f>
        <v>ISMA-30/360</v>
      </c>
      <c r="AD7" s="130" t="str">
        <f ca="1">_xll.INSTANCE.YANKEE(A7,U7,V7,W7,X7,Y7,Z7,AA7,LEFT(AC7,11),3,IF(RIGHT(AC7,6)="NONEOM",FALSE,TRUE),TODAY())</f>
        <v>XS0495091620#0026</v>
      </c>
      <c r="AE7" s="130" t="str">
        <f ca="1">_xll.INSTANCE.CONVENTION.TAUX("conv_" &amp; A7,LEFT(AC7,11),"Compounded",IF(AA7=1,"Annual",IF(AA7=2,"Semi-Annual","")),"Unadjusted",TODAY())</f>
        <v>conv_XS0495091620#0026</v>
      </c>
    </row>
    <row r="8" spans="1:31" x14ac:dyDescent="0.2">
      <c r="A8" s="131" t="s">
        <v>703</v>
      </c>
      <c r="B8" s="115" t="str">
        <f ca="1">_xll.BDP($A8 &amp; " Govt",B$1)</f>
        <v>NEDWBK 2 09/09/15</v>
      </c>
      <c r="C8" s="209" t="str">
        <f t="shared" ca="1" si="0"/>
        <v>NEDWBK</v>
      </c>
      <c r="D8" s="116"/>
      <c r="E8" s="117"/>
      <c r="F8" s="118"/>
      <c r="G8" s="119"/>
      <c r="H8" s="120">
        <f ca="1">IF(E8="",_xll.BDP(A8 &amp; " Corp","YLD_YTM_BID")/100,E8)</f>
        <v>1.5315531E-2</v>
      </c>
      <c r="I8" s="121">
        <f ca="1">_xll.INSTRUMENT.PRIX(AD8,D8,H8,AE8)</f>
        <v>101.43991572479759</v>
      </c>
      <c r="J8" s="122">
        <f ca="1">_xll.INSTRUMENT.DV01(AD8,,,I8,cContinuous,I8)</f>
        <v>-3.1591357946076121E-2</v>
      </c>
      <c r="K8" s="123">
        <f ca="1">_xll.INSTRUMENT.CONVEXITE(AD8,,,I8,cContinuous,I8)</f>
        <v>9.6473958311577643</v>
      </c>
      <c r="L8" s="123">
        <f ca="1">_xll.INSTRUMENT.Z.SPREAD(AD8,swapCurve,I8,,D8)</f>
        <v>88.181009017506227</v>
      </c>
      <c r="M8" s="123">
        <f ca="1">_xll.INSTRUMENT.Z.SPREAD(AD8,ustCurve,I8,,D8)</f>
        <v>105.82383111015908</v>
      </c>
      <c r="N8" s="123">
        <f ca="1">_xll.INSTRUMENT.Z.SPREAD(AD8,oisCurve,I8,,D8)</f>
        <v>123.45084631956053</v>
      </c>
      <c r="O8" s="124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2.0297154539377388E-2</v>
      </c>
      <c r="P8" s="124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1.8767821371792261E-2</v>
      </c>
      <c r="Q8" s="143">
        <f t="shared" ca="1" si="1"/>
        <v>-305.38085281503521</v>
      </c>
      <c r="R8" s="199" t="str">
        <f>IF(F8&lt;&gt;"","",IF(G8="","",-G8*(SUMIF('bench Comparison'!$A:$A,"RESINV1USD",'bench Comparison'!$G:$G)+SUMIF('bench Comparison'!$A:$A,"RESSWAPORUSD",'bench Comparison'!$G:$G))/(36500*J8)))</f>
        <v/>
      </c>
      <c r="S8" s="210" t="str">
        <f>IF(G8&lt;&gt;"","",IF(F8="","",-36500*J8*F8/(SUMIF('bench Comparison'!$A:$A,"RESINV1USD",'bench Comparison'!$G:$G)+SUMIF('bench Comparison'!$A:$A,"RESSWAPORUSD",'bench Comparison'!$G:$G))))</f>
        <v/>
      </c>
      <c r="T8" s="125">
        <f>SUMIF('bench Comparison'!$E:$E,A8,'bench Comparison'!$N:$N)</f>
        <v>0</v>
      </c>
      <c r="U8" s="126">
        <f ca="1">VALUE(_xll.BDP($A8 &amp; " Corp",U$1))</f>
        <v>40430</v>
      </c>
      <c r="V8" s="127">
        <f ca="1">VALUE(_xll.BDP($A8 &amp; " Corp",V$1))</f>
        <v>40430</v>
      </c>
      <c r="W8" s="127">
        <f ca="1">VALUE(_xll.BDP($A8 &amp; " Corp",W$1))</f>
        <v>40795</v>
      </c>
      <c r="X8" s="127">
        <f ca="1">VALUE(_xll.BDP($A8 &amp; " Corp",X$1))</f>
        <v>41891</v>
      </c>
      <c r="Y8" s="127">
        <f ca="1">VALUE(_xll.BDP($A8 &amp; " Corp",Y$1))</f>
        <v>42256</v>
      </c>
      <c r="Z8" s="128">
        <f ca="1">_xll.BDP($A8 &amp; " Corp",Z$1)/100</f>
        <v>0.02</v>
      </c>
      <c r="AA8" s="129">
        <f ca="1">_xll.BDP($A8 &amp; " Corp",AA$1)</f>
        <v>1</v>
      </c>
      <c r="AB8" s="129">
        <f ca="1">_xll.BDP($A8 &amp; " Corp",AB$1)</f>
        <v>1400000000</v>
      </c>
      <c r="AC8" s="129" t="str">
        <f ca="1">_xll.BDP($A8 &amp; " Corp",AC$1)</f>
        <v>ISMA-30/360</v>
      </c>
      <c r="AD8" s="130" t="str">
        <f ca="1">_xll.INSTANCE.YANKEE(A8,U8,V8,W8,X8,Y8,Z8,AA8,LEFT(AC8,11),3,IF(RIGHT(AC8,6)="NONEOM",FALSE,TRUE),TODAY())</f>
        <v>XS0540029807#0026</v>
      </c>
      <c r="AE8" s="130" t="str">
        <f ca="1">_xll.INSTANCE.CONVENTION.TAUX("conv_" &amp; A8,LEFT(AC8,11),"Compounded",IF(AA8=1,"Annual",IF(AA8=2,"Semi-Annual","")),"Unadjusted",TODAY())</f>
        <v>conv_XS0540029807#0026</v>
      </c>
    </row>
    <row r="9" spans="1:31" x14ac:dyDescent="0.2">
      <c r="A9" s="131" t="s">
        <v>704</v>
      </c>
      <c r="B9" s="115" t="str">
        <f ca="1">_xll.BDP($A9 &amp; " Govt",B$1)</f>
        <v>NEDWBK 2 1/8 06/16/16</v>
      </c>
      <c r="C9" s="209" t="str">
        <f t="shared" ca="1" si="0"/>
        <v>NEDWBK</v>
      </c>
      <c r="D9" s="116"/>
      <c r="E9" s="117"/>
      <c r="F9" s="118"/>
      <c r="G9" s="119"/>
      <c r="H9" s="120">
        <f ca="1">IF(E9="",_xll.BDP(A9 &amp; " Corp","YLD_YTM_BID")/100,E9)</f>
        <v>1.8410053999999999E-2</v>
      </c>
      <c r="I9" s="121">
        <f ca="1">_xll.INSTRUMENT.PRIX(AD9,D9,H9,AE9)</f>
        <v>101.07589324223838</v>
      </c>
      <c r="J9" s="122">
        <f ca="1">_xll.INSTRUMENT.DV01(AD9,,,I9,cContinuous,I9)</f>
        <v>-3.8501211079091477E-2</v>
      </c>
      <c r="K9" s="123">
        <f ca="1">_xll.INSTRUMENT.CONVEXITE(AD9,,,I9,cContinuous,I9)</f>
        <v>14.816660819908558</v>
      </c>
      <c r="L9" s="123">
        <f ca="1">_xll.INSTRUMENT.Z.SPREAD(AD9,swapCurve,I9,,D9)</f>
        <v>107.1176483304166</v>
      </c>
      <c r="M9" s="123">
        <f ca="1">_xll.INSTRUMENT.Z.SPREAD(AD9,ustCurve,I9,,D9)</f>
        <v>126.45305318274198</v>
      </c>
      <c r="N9" s="123">
        <f ca="1">_xll.INSTRUMENT.Z.SPREAD(AD9,oisCurve,I9,,D9)</f>
        <v>142.15988723287992</v>
      </c>
      <c r="O9" s="124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2.7213404911883971E-2</v>
      </c>
      <c r="P9" s="124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2.5046438908601799E-2</v>
      </c>
      <c r="Q9" s="143">
        <f t="shared" ca="1" si="1"/>
        <v>-384.83622734545395</v>
      </c>
      <c r="R9" s="199" t="str">
        <f>IF(F9&lt;&gt;"","",IF(G9="","",-G9*(SUMIF('bench Comparison'!$A:$A,"RESINV1USD",'bench Comparison'!$G:$G)+SUMIF('bench Comparison'!$A:$A,"RESSWAPORUSD",'bench Comparison'!$G:$G))/(36500*J9)))</f>
        <v/>
      </c>
      <c r="S9" s="210" t="str">
        <f>IF(G9&lt;&gt;"","",IF(F9="","",-36500*J9*F9/(SUMIF('bench Comparison'!$A:$A,"RESINV1USD",'bench Comparison'!$G:$G)+SUMIF('bench Comparison'!$A:$A,"RESSWAPORUSD",'bench Comparison'!$G:$G))))</f>
        <v/>
      </c>
      <c r="T9" s="125">
        <f>SUMIF('bench Comparison'!$E:$E,A9,'bench Comparison'!$N:$N)</f>
        <v>0</v>
      </c>
      <c r="U9" s="126">
        <f ca="1">VALUE(_xll.BDP($A9 &amp; " Corp",U$1))</f>
        <v>40710</v>
      </c>
      <c r="V9" s="127">
        <f ca="1">VALUE(_xll.BDP($A9 &amp; " Corp",V$1))</f>
        <v>40710</v>
      </c>
      <c r="W9" s="127">
        <f ca="1">VALUE(_xll.BDP($A9 &amp; " Corp",W$1))</f>
        <v>40893</v>
      </c>
      <c r="X9" s="127">
        <f ca="1">VALUE(_xll.BDP($A9 &amp; " Corp",X$1))</f>
        <v>42354</v>
      </c>
      <c r="Y9" s="127">
        <f ca="1">VALUE(_xll.BDP($A9 &amp; " Corp",Y$1))</f>
        <v>42537</v>
      </c>
      <c r="Z9" s="128">
        <f ca="1">_xll.BDP($A9 &amp; " Corp",Z$1)/100</f>
        <v>2.1250000000000002E-2</v>
      </c>
      <c r="AA9" s="129">
        <f ca="1">_xll.BDP($A9 &amp; " Corp",AA$1)</f>
        <v>2</v>
      </c>
      <c r="AB9" s="129">
        <f ca="1">_xll.BDP($A9 &amp; " Corp",AB$1)</f>
        <v>1000000000</v>
      </c>
      <c r="AC9" s="129" t="str">
        <f ca="1">_xll.BDP($A9 &amp; " Corp",AC$1)</f>
        <v>30/360</v>
      </c>
      <c r="AD9" s="130" t="str">
        <f ca="1">_xll.INSTANCE.YANKEE(A9,U9,V9,W9,X9,Y9,Z9,AA9,LEFT(AC9,11),3,IF(RIGHT(AC9,6)="NONEOM",FALSE,TRUE),TODAY())</f>
        <v>US63983TAC99#0026</v>
      </c>
      <c r="AE9" s="130" t="str">
        <f ca="1">_xll.INSTANCE.CONVENTION.TAUX("conv_" &amp; A9,LEFT(AC9,11),"Compounded",IF(AA9=1,"Annual",IF(AA9=2,"Semi-Annual","")),"Unadjusted",TODAY())</f>
        <v>conv_US63983TAC99#0027</v>
      </c>
    </row>
    <row r="10" spans="1:31" x14ac:dyDescent="0.2">
      <c r="A10" s="131" t="s">
        <v>705</v>
      </c>
      <c r="B10" s="115" t="str">
        <f ca="1">_xll.BDP($A10 &amp; " Govt",B$1)</f>
        <v>NEDWBK 2 1/8 02/09/17</v>
      </c>
      <c r="C10" s="209" t="str">
        <f t="shared" ca="1" si="0"/>
        <v>NEDWBK</v>
      </c>
      <c r="D10" s="116"/>
      <c r="E10" s="117"/>
      <c r="F10" s="118"/>
      <c r="G10" s="119"/>
      <c r="H10" s="120">
        <f ca="1">IF(E10="",_xll.BDP(A10 &amp; " Corp","YLD_YTM_BID")/100,E10)</f>
        <v>2.0766477999999998E-2</v>
      </c>
      <c r="I10" s="121">
        <f ca="1">_xll.INSTRUMENT.PRIX(AD10,D10,H10,AE10)</f>
        <v>100.20964635677257</v>
      </c>
      <c r="J10" s="122">
        <f ca="1">_xll.INSTRUMENT.DV01(AD10,,,I10,cContinuous,I10)</f>
        <v>-4.4157338880971266E-2</v>
      </c>
      <c r="K10" s="123">
        <f ca="1">_xll.INSTRUMENT.CONVEXITE(AD10,,,I10,cContinuous,I10)</f>
        <v>19.767905670425225</v>
      </c>
      <c r="L10" s="123">
        <f ca="1">_xll.INSTRUMENT.Z.SPREAD(AD10,swapCurve,I10,,D10)</f>
        <v>118.35669883164266</v>
      </c>
      <c r="M10" s="123">
        <f ca="1">_xll.INSTRUMENT.Z.SPREAD(AD10,ustCurve,I10,,D10)</f>
        <v>139.09384670561914</v>
      </c>
      <c r="N10" s="123">
        <f ca="1">_xll.INSTRUMENT.Z.SPREAD(AD10,oisCurve,I10,,D10)</f>
        <v>153.36324817935434</v>
      </c>
      <c r="O10" s="124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3.1350673798001612E-2</v>
      </c>
      <c r="P10" s="124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2.8688571535160825E-2</v>
      </c>
      <c r="Q10" s="143">
        <f t="shared" ca="1" si="1"/>
        <v>-447.66976840952287</v>
      </c>
      <c r="R10" s="199" t="str">
        <f>IF(F10&lt;&gt;"","",IF(G10="","",-G10*(SUMIF('bench Comparison'!$A:$A,"RESINV1USD",'bench Comparison'!$G:$G)+SUMIF('bench Comparison'!$A:$A,"RESSWAPORUSD",'bench Comparison'!$G:$G))/(36500*J10)))</f>
        <v/>
      </c>
      <c r="S10" s="210" t="str">
        <f>IF(G10&lt;&gt;"","",IF(F10="","",-36500*J10*F10/(SUMIF('bench Comparison'!$A:$A,"RESINV1USD",'bench Comparison'!$G:$G)+SUMIF('bench Comparison'!$A:$A,"RESSWAPORUSD",'bench Comparison'!$G:$G))))</f>
        <v/>
      </c>
      <c r="T10" s="125">
        <f>SUMIF('bench Comparison'!$E:$E,A10,'bench Comparison'!$N:$N)</f>
        <v>0</v>
      </c>
      <c r="U10" s="126">
        <f ca="1">VALUE(_xll.BDP($A10 &amp; " Corp",U$1))</f>
        <v>40948</v>
      </c>
      <c r="V10" s="127">
        <f ca="1">VALUE(_xll.BDP($A10 &amp; " Corp",V$1))</f>
        <v>40948</v>
      </c>
      <c r="W10" s="127">
        <f ca="1">VALUE(_xll.BDP($A10 &amp; " Corp",W$1))</f>
        <v>41130</v>
      </c>
      <c r="X10" s="127">
        <f ca="1">VALUE(_xll.BDP($A10 &amp; " Corp",X$1))</f>
        <v>42591</v>
      </c>
      <c r="Y10" s="127">
        <f ca="1">VALUE(_xll.BDP($A10 &amp; " Corp",Y$1))</f>
        <v>42775</v>
      </c>
      <c r="Z10" s="128">
        <f ca="1">_xll.BDP($A10 &amp; " Corp",Z$1)/100</f>
        <v>2.1250000000000002E-2</v>
      </c>
      <c r="AA10" s="129">
        <f ca="1">_xll.BDP($A10 &amp; " Corp",AA$1)</f>
        <v>2</v>
      </c>
      <c r="AB10" s="129">
        <f ca="1">_xll.BDP($A10 &amp; " Corp",AB$1)</f>
        <v>1000000000</v>
      </c>
      <c r="AC10" s="129" t="str">
        <f ca="1">_xll.BDP($A10 &amp; " Corp",AC$1)</f>
        <v>ISMA-30/360</v>
      </c>
      <c r="AD10" s="130" t="str">
        <f ca="1">_xll.INSTANCE.YANKEE(A10,U10,V10,W10,X10,Y10,Z10,AA10,LEFT(AC10,11),3,IF(RIGHT(AC10,6)="NONEOM",FALSE,TRUE),TODAY())</f>
        <v>US63983UAD46#0027</v>
      </c>
      <c r="AE10" s="130" t="str">
        <f ca="1">_xll.INSTANCE.CONVENTION.TAUX("conv_" &amp; A10,LEFT(AC10,11),"Compounded",IF(AA10=1,"Annual",IF(AA10=2,"Semi-Annual","")),"Unadjusted",TODAY())</f>
        <v>conv_US63983UAD46#0026</v>
      </c>
    </row>
    <row r="11" spans="1:31" x14ac:dyDescent="0.2">
      <c r="A11" s="131" t="s">
        <v>706</v>
      </c>
      <c r="B11" s="115" t="str">
        <f ca="1">_xll.BDP($A11 &amp; " Govt",B$1)</f>
        <v>NEDWBK 2 1/8 02/09/17</v>
      </c>
      <c r="C11" s="209" t="str">
        <f t="shared" ca="1" si="0"/>
        <v>NEDWBK</v>
      </c>
      <c r="D11" s="116"/>
      <c r="E11" s="117"/>
      <c r="F11" s="118"/>
      <c r="G11" s="119"/>
      <c r="H11" s="120">
        <f ca="1">IF(E11="",_xll.BDP(A11 &amp; " Corp","YLD_YTM_BID")/100,E11)</f>
        <v>1.9490238E-2</v>
      </c>
      <c r="I11" s="121">
        <f ca="1">_xll.INSTRUMENT.PRIX(AD11,D11,H11,AE11)</f>
        <v>100.76866749002721</v>
      </c>
      <c r="J11" s="122">
        <f ca="1">_xll.INSTRUMENT.DV01(AD11,,,I11,cContinuous,I11)</f>
        <v>-4.441028195190979E-2</v>
      </c>
      <c r="K11" s="123">
        <f ca="1">_xll.INSTRUMENT.CONVEXITE(AD11,,,I11,cContinuous,I11)</f>
        <v>19.772704638234604</v>
      </c>
      <c r="L11" s="123">
        <f ca="1">_xll.INSTRUMENT.Z.SPREAD(AD11,swapCurve,I11,,D11)</f>
        <v>105.74134075692712</v>
      </c>
      <c r="M11" s="123">
        <f ca="1">_xll.INSTRUMENT.Z.SPREAD(AD11,ustCurve,I11,,D11)</f>
        <v>126.47136886042139</v>
      </c>
      <c r="N11" s="123">
        <f ca="1">_xll.INSTRUMENT.Z.SPREAD(AD11,oisCurve,I11,,D11)</f>
        <v>140.74808362966772</v>
      </c>
      <c r="O11" s="124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2.998909873290594E-2</v>
      </c>
      <c r="P11" s="124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2.7416980935559776E-2</v>
      </c>
      <c r="Q11" s="143">
        <f t="shared" ca="1" si="1"/>
        <v>-445.22808163311629</v>
      </c>
      <c r="R11" s="199" t="str">
        <f>IF(F11&lt;&gt;"","",IF(G11="","",-G11*(SUMIF('bench Comparison'!$A:$A,"RESINV1USD",'bench Comparison'!$G:$G)+SUMIF('bench Comparison'!$A:$A,"RESSWAPORUSD",'bench Comparison'!$G:$G))/(36500*J11)))</f>
        <v/>
      </c>
      <c r="S11" s="210" t="str">
        <f>IF(G11&lt;&gt;"","",IF(F11="","",-36500*J11*F11/(SUMIF('bench Comparison'!$A:$A,"RESINV1USD",'bench Comparison'!$G:$G)+SUMIF('bench Comparison'!$A:$A,"RESSWAPORUSD",'bench Comparison'!$G:$G))))</f>
        <v/>
      </c>
      <c r="T11" s="125">
        <f>SUMIF('bench Comparison'!$E:$E,A11,'bench Comparison'!$N:$N)</f>
        <v>0</v>
      </c>
      <c r="U11" s="126">
        <f ca="1">VALUE(_xll.BDP($A11 &amp; " Corp",U$1))</f>
        <v>40948</v>
      </c>
      <c r="V11" s="127">
        <f ca="1">VALUE(_xll.BDP($A11 &amp; " Corp",V$1))</f>
        <v>40948</v>
      </c>
      <c r="W11" s="127">
        <f ca="1">VALUE(_xll.BDP($A11 &amp; " Corp",W$1))</f>
        <v>41130</v>
      </c>
      <c r="X11" s="127">
        <f ca="1">VALUE(_xll.BDP($A11 &amp; " Corp",X$1))</f>
        <v>42591</v>
      </c>
      <c r="Y11" s="127">
        <f ca="1">VALUE(_xll.BDP($A11 &amp; " Corp",Y$1))</f>
        <v>42775</v>
      </c>
      <c r="Z11" s="128">
        <f ca="1">_xll.BDP($A11 &amp; " Corp",Z$1)/100</f>
        <v>2.1250000000000002E-2</v>
      </c>
      <c r="AA11" s="129">
        <f ca="1">_xll.BDP($A11 &amp; " Corp",AA$1)</f>
        <v>2</v>
      </c>
      <c r="AB11" s="129">
        <f ca="1">_xll.BDP($A11 &amp; " Corp",AB$1)</f>
        <v>1000000000</v>
      </c>
      <c r="AC11" s="129" t="str">
        <f ca="1">_xll.BDP($A11 &amp; " Corp",AC$1)</f>
        <v>30/360</v>
      </c>
      <c r="AD11" s="130" t="str">
        <f ca="1">_xll.INSTANCE.YANKEE(A11,U11,V11,W11,X11,Y11,Z11,AA11,LEFT(AC11,11),3,IF(RIGHT(AC11,6)="NONEOM",FALSE,TRUE),TODAY())</f>
        <v>US63983TAE55#0027</v>
      </c>
      <c r="AE11" s="130" t="str">
        <f ca="1">_xll.INSTANCE.CONVENTION.TAUX("conv_" &amp; A11,LEFT(AC11,11),"Compounded",IF(AA11=1,"Annual",IF(AA11=2,"Semi-Annual","")),"Unadjusted",TODAY())</f>
        <v>conv_US63983TAE55#0027</v>
      </c>
    </row>
    <row r="12" spans="1:31" x14ac:dyDescent="0.2">
      <c r="A12" s="131" t="s">
        <v>350</v>
      </c>
      <c r="B12" s="115" t="str">
        <f ca="1">_xll.BDP($A12 &amp; " Govt",B$1)</f>
        <v>NEDWBK 1 1/4 10/20/14</v>
      </c>
      <c r="C12" s="209" t="str">
        <f t="shared" ca="1" si="0"/>
        <v>NEDWBK</v>
      </c>
      <c r="D12" s="116"/>
      <c r="E12" s="117"/>
      <c r="F12" s="118"/>
      <c r="G12" s="119"/>
      <c r="H12" s="120">
        <f ca="1">IF(E12="",_xll.BDP(A12 &amp; " Corp","YLD_YTM_BID")/100,E12)</f>
        <v>1.1792741000000001E-2</v>
      </c>
      <c r="I12" s="121">
        <f ca="1">_xll.INSTRUMENT.PRIX(AD12,D12,H12,AE12)</f>
        <v>100.15887867801227</v>
      </c>
      <c r="J12" s="122">
        <f ca="1">_xll.INSTRUMENT.DV01(AD12,,,I12,cContinuous,I12)</f>
        <v>-2.2705388801637028E-2</v>
      </c>
      <c r="K12" s="123">
        <f ca="1">_xll.INSTRUMENT.CONVEXITE(AD12,,,I12,cContinuous,I12)</f>
        <v>5.1575200808173562</v>
      </c>
      <c r="L12" s="123">
        <f ca="1">_xll.INSTRUMENT.Z.SPREAD(AD12,swapCurve,I12,,D12)</f>
        <v>61.996387449031189</v>
      </c>
      <c r="M12" s="123">
        <f ca="1">_xll.INSTRUMENT.Z.SPREAD(AD12,ustCurve,I12,,D12)</f>
        <v>80.939834650074104</v>
      </c>
      <c r="N12" s="123">
        <f ca="1">_xll.INSTRUMENT.Z.SPREAD(AD12,oisCurve,I12,,D12)</f>
        <v>95.928586744733934</v>
      </c>
      <c r="O12" s="124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1.4115172635342434E-2</v>
      </c>
      <c r="P12" s="124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1.3210064863803444E-2</v>
      </c>
      <c r="Q12" s="143">
        <f t="shared" ca="1" si="1"/>
        <v>-227.14960425806521</v>
      </c>
      <c r="R12" s="199" t="str">
        <f>IF(F12&lt;&gt;"","",IF(G12="","",-G12*(SUMIF('bench Comparison'!$A:$A,"RESINV1USD",'bench Comparison'!$G:$G)+SUMIF('bench Comparison'!$A:$A,"RESSWAPORUSD",'bench Comparison'!$G:$G))/(36500*J12)))</f>
        <v/>
      </c>
      <c r="S12" s="210" t="str">
        <f>IF(G12&lt;&gt;"","",IF(F12="","",-36500*J12*F12/(SUMIF('bench Comparison'!$A:$A,"RESINV1USD",'bench Comparison'!$G:$G)+SUMIF('bench Comparison'!$A:$A,"RESSWAPORUSD",'bench Comparison'!$G:$G))))</f>
        <v/>
      </c>
      <c r="T12" s="125">
        <f>SUMIF('bench Comparison'!$E:$E,A12,'bench Comparison'!$N:$N)</f>
        <v>66000000</v>
      </c>
      <c r="U12" s="126">
        <f ca="1">VALUE(_xll.BDP($A12 &amp; " Corp",U$1))</f>
        <v>40834</v>
      </c>
      <c r="V12" s="127">
        <f ca="1">VALUE(_xll.BDP($A12 &amp; " Corp",V$1))</f>
        <v>40834</v>
      </c>
      <c r="W12" s="127">
        <f ca="1">VALUE(_xll.BDP($A12 &amp; " Corp",W$1))</f>
        <v>41019</v>
      </c>
      <c r="X12" s="127">
        <f ca="1">VALUE(_xll.BDP($A12 &amp; " Corp",X$1))</f>
        <v>41749</v>
      </c>
      <c r="Y12" s="127">
        <f ca="1">VALUE(_xll.BDP($A12 &amp; " Corp",Y$1))</f>
        <v>41932</v>
      </c>
      <c r="Z12" s="128">
        <f ca="1">_xll.BDP($A12 &amp; " Corp",Z$1)/100</f>
        <v>1.2500000000000001E-2</v>
      </c>
      <c r="AA12" s="129">
        <f ca="1">_xll.BDP($A12 &amp; " Corp",AA$1)</f>
        <v>2</v>
      </c>
      <c r="AB12" s="129">
        <f ca="1">_xll.BDP($A12 &amp; " Corp",AB$1)</f>
        <v>1000000000</v>
      </c>
      <c r="AC12" s="129" t="str">
        <f ca="1">_xll.BDP($A12 &amp; " Corp",AC$1)</f>
        <v>ISMA-30/360</v>
      </c>
      <c r="AD12" s="130" t="str">
        <f ca="1">_xll.INSTANCE.YANKEE(A12,U12,V12,W12,X12,Y12,Z12,AA12,LEFT(AC12,11),3,IF(RIGHT(AC12,6)="NONEOM",FALSE,TRUE),TODAY())</f>
        <v>USN9638CAY59#0026</v>
      </c>
      <c r="AE12" s="130" t="str">
        <f ca="1">_xll.INSTANCE.CONVENTION.TAUX("conv_" &amp; A12,LEFT(AC12,11),"Compounded",IF(AA12=1,"Annual",IF(AA12=2,"Semi-Annual","")),"Unadjusted",TODAY())</f>
        <v>conv_USN9638CAY59#0026</v>
      </c>
    </row>
    <row r="13" spans="1:31" x14ac:dyDescent="0.2">
      <c r="A13" s="131" t="s">
        <v>287</v>
      </c>
      <c r="B13" s="115" t="str">
        <f ca="1">_xll.BDP($A13 &amp; " Govt",B$1)</f>
        <v>NEDWBK 5 3/8 09/04/12</v>
      </c>
      <c r="C13" s="209" t="str">
        <f t="shared" ca="1" si="0"/>
        <v>NEDWBK</v>
      </c>
      <c r="D13" s="116"/>
      <c r="E13" s="117"/>
      <c r="F13" s="118"/>
      <c r="G13" s="119"/>
      <c r="H13" s="120">
        <f ca="1">IF(E13="",_xll.BDP(A13 &amp; " Corp","YLD_YTM_BID")/100,E13)</f>
        <v>5.6742909627809819E-3</v>
      </c>
      <c r="I13" s="121">
        <f ca="1">_xll.INSTRUMENT.PRIX(AD13,D13,H13,AE13)</f>
        <v>100.78323122408497</v>
      </c>
      <c r="J13" s="122">
        <f ca="1">_xll.INSTRUMENT.DV01(AD13,,,I13,cContinuous,I13)</f>
        <v>-1.7546219953734638E-3</v>
      </c>
      <c r="K13" s="123">
        <f ca="1">_xll.INSTRUMENT.CONVEXITE(AD13,,,I13,cContinuous,I13)</f>
        <v>2.7777777777777762E-2</v>
      </c>
      <c r="L13" s="123">
        <f ca="1">_xll.INSTRUMENT.Z.SPREAD(AD13,swapCurve,I13,,D13)</f>
        <v>20.204794544595696</v>
      </c>
      <c r="M13" s="123">
        <f ca="1">_xll.INSTRUMENT.Z.SPREAD(AD13,ustCurve,I13,,D13)</f>
        <v>41.702117906936294</v>
      </c>
      <c r="N13" s="123">
        <f ca="1">_xll.INSTRUMENT.Z.SPREAD(AD13,oisCurve,I13,,D13)</f>
        <v>37.814008676794735</v>
      </c>
      <c r="O13" s="124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4.8024536364465352E-3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>
        <f t="shared" ca="1" si="1"/>
        <v>-15.831203444970711</v>
      </c>
      <c r="R13" s="199" t="str">
        <f>IF(F13&lt;&gt;"","",IF(G13="","",-G13*(SUMIF('bench Comparison'!$A:$A,"RESINV1USD",'bench Comparison'!$G:$G)+SUMIF('bench Comparison'!$A:$A,"RESSWAPORUSD",'bench Comparison'!$G:$G))/(36500*J13)))</f>
        <v/>
      </c>
      <c r="S13" s="210" t="str">
        <f>IF(G13&lt;&gt;"","",IF(F13="","",-36500*J13*F13/(SUMIF('bench Comparison'!$A:$A,"RESINV1USD",'bench Comparison'!$G:$G)+SUMIF('bench Comparison'!$A:$A,"RESSWAPORUSD",'bench Comparison'!$G:$G))))</f>
        <v/>
      </c>
      <c r="T13" s="125">
        <f>SUMIF('bench Comparison'!$E:$E,A13,'bench Comparison'!$N:$N)</f>
        <v>50000000</v>
      </c>
      <c r="U13" s="126">
        <f ca="1">VALUE(_xll.BDP($A13 &amp; " Corp",U$1))</f>
        <v>39281</v>
      </c>
      <c r="V13" s="127">
        <f ca="1">VALUE(_xll.BDP($A13 &amp; " Corp",V$1))</f>
        <v>39281</v>
      </c>
      <c r="W13" s="127">
        <f ca="1">VALUE(_xll.BDP($A13 &amp; " Corp",W$1))</f>
        <v>39695</v>
      </c>
      <c r="X13" s="127">
        <f ca="1">VALUE(_xll.BDP($A13 &amp; " Corp",X$1))</f>
        <v>40790</v>
      </c>
      <c r="Y13" s="127">
        <f ca="1">VALUE(_xll.BDP($A13 &amp; " Corp",Y$1))</f>
        <v>41156</v>
      </c>
      <c r="Z13" s="128">
        <f ca="1">_xll.BDP($A13 &amp; " Corp",Z$1)/100</f>
        <v>5.3749999999999999E-2</v>
      </c>
      <c r="AA13" s="129">
        <f ca="1">_xll.BDP($A13 &amp; " Corp",AA$1)</f>
        <v>1</v>
      </c>
      <c r="AB13" s="129">
        <f ca="1">_xll.BDP($A13 &amp; " Corp",AB$1)</f>
        <v>1150000000</v>
      </c>
      <c r="AC13" s="129" t="str">
        <f ca="1">_xll.BDP($A13 &amp; " Corp",AC$1)</f>
        <v>ISMA-30/360</v>
      </c>
      <c r="AD13" s="130" t="str">
        <f ca="1">_xll.INSTANCE.YANKEE(A13,U13,V13,W13,X13,Y13,Z13,AA13,LEFT(AC13,11),3,IF(RIGHT(AC13,6)="NONEOM",FALSE,TRUE),TODAY())</f>
        <v>XS0311512957#0027</v>
      </c>
      <c r="AE13" s="130" t="str">
        <f ca="1">_xll.INSTANCE.CONVENTION.TAUX("conv_" &amp; A13,LEFT(AC13,11),"Compounded",IF(AA13=1,"Annual",IF(AA13=2,"Semi-Annual","")),"Unadjusted",TODAY())</f>
        <v>conv_XS0311512957#0027</v>
      </c>
    </row>
    <row r="14" spans="1:31" x14ac:dyDescent="0.2">
      <c r="A14" s="131" t="s">
        <v>685</v>
      </c>
      <c r="B14" s="115" t="str">
        <f ca="1">_xll.BDP($A14 &amp; " Govt",B$1)</f>
        <v>KBN 2 01/14/13</v>
      </c>
      <c r="C14" s="209" t="str">
        <f t="shared" ca="1" si="0"/>
        <v>KBN</v>
      </c>
      <c r="D14" s="116"/>
      <c r="E14" s="117"/>
      <c r="F14" s="118"/>
      <c r="G14" s="119"/>
      <c r="H14" s="120">
        <f ca="1">IF(E14="",_xll.BDP(A14 &amp; " Corp","YLD_YTM_BID")/100,E14)</f>
        <v>5.8629960190631743E-3</v>
      </c>
      <c r="I14" s="121">
        <f ca="1">_xll.INSTRUMENT.PRIX(AD14,D14,H14,AE14)</f>
        <v>100.73743325689018</v>
      </c>
      <c r="J14" s="122">
        <f ca="1">_xll.INSTRUMENT.DV01(AD14,,,I14,cContinuous,I14)</f>
        <v>-5.3631943074262103E-3</v>
      </c>
      <c r="K14" s="123">
        <f ca="1">_xll.INSTRUMENT.CONVEXITE(AD14,,,I14,cContinuous,I14)</f>
        <v>0.27817155792749976</v>
      </c>
      <c r="L14" s="123">
        <f ca="1">_xll.INSTRUMENT.Z.SPREAD(AD14,swapCurve,I14,,D14)</f>
        <v>12.752097414924286</v>
      </c>
      <c r="M14" s="123">
        <f ca="1">_xll.INSTRUMENT.Z.SPREAD(AD14,ustCurve,I14,,D14)</f>
        <v>40.406944677990154</v>
      </c>
      <c r="N14" s="123">
        <f ca="1">_xll.INSTRUMENT.Z.SPREAD(AD14,oisCurve,I14,,D14)</f>
        <v>39.922037648404164</v>
      </c>
      <c r="O14" s="124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5.2815062337563615E-3</v>
      </c>
      <c r="P14" s="124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5.6381621485192632E-3</v>
      </c>
      <c r="Q14" s="143">
        <f t="shared" ca="1" si="1"/>
        <v>-51.866768567815306</v>
      </c>
      <c r="R14" s="199" t="str">
        <f>IF(F14&lt;&gt;"","",IF(G14="","",-G14*(SUMIF('bench Comparison'!$A:$A,"RESINV1USD",'bench Comparison'!$G:$G)+SUMIF('bench Comparison'!$A:$A,"RESSWAPORUSD",'bench Comparison'!$G:$G))/(36500*J14)))</f>
        <v/>
      </c>
      <c r="S14" s="210" t="str">
        <f>IF(G14&lt;&gt;"","",IF(F14="","",-36500*J14*F14/(SUMIF('bench Comparison'!$A:$A,"RESINV1USD",'bench Comparison'!$G:$G)+SUMIF('bench Comparison'!$A:$A,"RESSWAPORUSD",'bench Comparison'!$G:$G))))</f>
        <v/>
      </c>
      <c r="T14" s="125">
        <f>SUMIF('bench Comparison'!$E:$E,A14,'bench Comparison'!$N:$N)</f>
        <v>0</v>
      </c>
      <c r="U14" s="126">
        <f ca="1">VALUE(_xll.BDP($A14 &amp; " Corp",U$1))</f>
        <v>40192</v>
      </c>
      <c r="V14" s="127">
        <f ca="1">VALUE(_xll.BDP($A14 &amp; " Corp",V$1))</f>
        <v>40192</v>
      </c>
      <c r="W14" s="127">
        <f ca="1">VALUE(_xll.BDP($A14 &amp; " Corp",W$1))</f>
        <v>40557</v>
      </c>
      <c r="X14" s="127">
        <f ca="1">VALUE(_xll.BDP($A14 &amp; " Corp",X$1))</f>
        <v>40922</v>
      </c>
      <c r="Y14" s="127">
        <f ca="1">VALUE(_xll.BDP($A14 &amp; " Corp",Y$1))</f>
        <v>41288</v>
      </c>
      <c r="Z14" s="128">
        <f ca="1">_xll.BDP($A14 &amp; " Corp",Z$1)/100</f>
        <v>0.02</v>
      </c>
      <c r="AA14" s="129">
        <f ca="1">_xll.BDP($A14 &amp; " Corp",AA$1)</f>
        <v>1</v>
      </c>
      <c r="AB14" s="129">
        <f ca="1">_xll.BDP($A14 &amp; " Corp",AB$1)</f>
        <v>1000000000</v>
      </c>
      <c r="AC14" s="129" t="str">
        <f ca="1">_xll.BDP($A14 &amp; " Corp",AC$1)</f>
        <v>ISMA-30/360</v>
      </c>
      <c r="AD14" s="130" t="str">
        <f ca="1">_xll.INSTANCE.YANKEE(A14,U14,V14,W14,X14,Y14,Z14,AA14,LEFT(AC14,11),3,IF(RIGHT(AC14,6)="NONEOM",FALSE,TRUE),TODAY())</f>
        <v>XS0477425283#0026</v>
      </c>
      <c r="AE14" s="130" t="str">
        <f ca="1">_xll.INSTANCE.CONVENTION.TAUX("conv_" &amp; A14,LEFT(AC14,11),"Compounded",IF(AA14=1,"Annual",IF(AA14=2,"Semi-Annual","")),"Unadjusted",TODAY())</f>
        <v>conv_XS0477425283#0027</v>
      </c>
    </row>
    <row r="15" spans="1:31" x14ac:dyDescent="0.2">
      <c r="A15" s="131" t="s">
        <v>683</v>
      </c>
      <c r="B15" s="115" t="str">
        <f ca="1">_xll.BDP($A15 &amp; " Govt",B$1)</f>
        <v>KBN 1 06/16/14</v>
      </c>
      <c r="C15" s="209" t="str">
        <f t="shared" ca="1" si="0"/>
        <v>KBN</v>
      </c>
      <c r="D15" s="116"/>
      <c r="E15" s="117"/>
      <c r="F15" s="118"/>
      <c r="G15" s="119"/>
      <c r="H15" s="120">
        <f ca="1">IF(E15="",_xll.BDP(A15 &amp; " Corp","YLD_YTM_BID")/100,E15)</f>
        <v>8.059844E-3</v>
      </c>
      <c r="I15" s="121">
        <f ca="1">_xll.INSTRUMENT.PRIX(AD15,D15,H15,AE15)</f>
        <v>100.37397786565037</v>
      </c>
      <c r="J15" s="122">
        <f ca="1">_xll.INSTRUMENT.DV01(AD15,,,I15,cContinuous,I15)</f>
        <v>-1.9400386885789118E-2</v>
      </c>
      <c r="K15" s="123">
        <f ca="1">_xll.INSTRUMENT.CONVEXITE(AD15,,,I15,cContinuous,I15)</f>
        <v>3.7488549881766486</v>
      </c>
      <c r="L15" s="123">
        <f ca="1">_xll.INSTRUMENT.Z.SPREAD(AD15,swapCurve,I15,,D15)</f>
        <v>26.952396974420186</v>
      </c>
      <c r="M15" s="123">
        <f ca="1">_xll.INSTRUMENT.Z.SPREAD(AD15,ustCurve,I15,,D15)</f>
        <v>46.774419070898368</v>
      </c>
      <c r="N15" s="123">
        <f ca="1">_xll.INSTRUMENT.Z.SPREAD(AD15,oisCurve,I15,,D15)</f>
        <v>59.733905983148887</v>
      </c>
      <c r="O15" s="124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9.662347521349729E-3</v>
      </c>
      <c r="P15" s="124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9.0516087228906649E-3</v>
      </c>
      <c r="Q15" s="143">
        <f t="shared" ca="1" si="1"/>
        <v>-193.23609422050774</v>
      </c>
      <c r="R15" s="199" t="str">
        <f>IF(F15&lt;&gt;"","",IF(G15="","",-G15*(SUMIF('bench Comparison'!$A:$A,"RESINV1USD",'bench Comparison'!$G:$G)+SUMIF('bench Comparison'!$A:$A,"RESSWAPORUSD",'bench Comparison'!$G:$G))/(36500*J15)))</f>
        <v/>
      </c>
      <c r="S15" s="210" t="str">
        <f>IF(G15&lt;&gt;"","",IF(F15="","",-36500*J15*F15/(SUMIF('bench Comparison'!$A:$A,"RESINV1USD",'bench Comparison'!$G:$G)+SUMIF('bench Comparison'!$A:$A,"RESSWAPORUSD",'bench Comparison'!$G:$G))))</f>
        <v/>
      </c>
      <c r="T15" s="125">
        <f>SUMIF('bench Comparison'!$E:$E,A15,'bench Comparison'!$N:$N)</f>
        <v>0</v>
      </c>
      <c r="U15" s="126">
        <f ca="1">VALUE(_xll.BDP($A15 &amp; " Corp",U$1))</f>
        <v>40708</v>
      </c>
      <c r="V15" s="127">
        <f ca="1">VALUE(_xll.BDP($A15 &amp; " Corp",V$1))</f>
        <v>40708</v>
      </c>
      <c r="W15" s="127">
        <f ca="1">VALUE(_xll.BDP($A15 &amp; " Corp",W$1))</f>
        <v>40893</v>
      </c>
      <c r="X15" s="127">
        <f ca="1">VALUE(_xll.BDP($A15 &amp; " Corp",X$1))</f>
        <v>41624</v>
      </c>
      <c r="Y15" s="127">
        <f ca="1">VALUE(_xll.BDP($A15 &amp; " Corp",Y$1))</f>
        <v>41806</v>
      </c>
      <c r="Z15" s="128">
        <f ca="1">_xll.BDP($A15 &amp; " Corp",Z$1)/100</f>
        <v>0.01</v>
      </c>
      <c r="AA15" s="129">
        <f ca="1">_xll.BDP($A15 &amp; " Corp",AA$1)</f>
        <v>2</v>
      </c>
      <c r="AB15" s="129">
        <f ca="1">_xll.BDP($A15 &amp; " Corp",AB$1)</f>
        <v>1000000000</v>
      </c>
      <c r="AC15" s="129" t="str">
        <f ca="1">_xll.BDP($A15 &amp; " Corp",AC$1)</f>
        <v>ISMA-30/360</v>
      </c>
      <c r="AD15" s="130" t="str">
        <f ca="1">_xll.INSTANCE.YANKEE(A15,U15,V15,W15,X15,Y15,Z15,AA15,LEFT(AC15,11),3,IF(RIGHT(AC15,6)="NONEOM",FALSE,TRUE),TODAY())</f>
        <v>XS0637187773#0026</v>
      </c>
      <c r="AE15" s="130" t="str">
        <f ca="1">_xll.INSTANCE.CONVENTION.TAUX("conv_" &amp; A15,LEFT(AC15,11),"Compounded",IF(AA15=1,"Annual",IF(AA15=2,"Semi-Annual","")),"Unadjusted",TODAY())</f>
        <v>conv_XS0637187773#0025</v>
      </c>
    </row>
    <row r="16" spans="1:31" x14ac:dyDescent="0.2">
      <c r="A16" s="131" t="s">
        <v>686</v>
      </c>
      <c r="B16" s="115" t="str">
        <f ca="1">_xll.BDP($A16 &amp; " Govt",B$1)</f>
        <v>KBN 2 7/8 10/27/14</v>
      </c>
      <c r="C16" s="209" t="str">
        <f t="shared" ca="1" si="0"/>
        <v>KBN</v>
      </c>
      <c r="D16" s="116"/>
      <c r="E16" s="117"/>
      <c r="F16" s="118"/>
      <c r="G16" s="119"/>
      <c r="H16" s="120">
        <f ca="1">IF(E16="",_xll.BDP(A16 &amp; " Corp","YLD_YTM_BID")/100,E16)</f>
        <v>8.3148230000000007E-3</v>
      </c>
      <c r="I16" s="121">
        <f ca="1">_xll.INSTRUMENT.PRIX(AD16,D16,H16,AE16)</f>
        <v>104.65580267197747</v>
      </c>
      <c r="J16" s="122">
        <f ca="1">_xll.INSTRUMENT.DV01(AD16,,,I16,cContinuous,I16)</f>
        <v>-2.3788041918301608E-2</v>
      </c>
      <c r="K16" s="123">
        <f ca="1">_xll.INSTRUMENT.CONVEXITE(AD16,,,I16,cContinuous,I16)</f>
        <v>5.1033230630283377</v>
      </c>
      <c r="L16" s="123">
        <f ca="1">_xll.INSTRUMENT.Z.SPREAD(AD16,swapCurve,I16,,D16)</f>
        <v>27.176067047205173</v>
      </c>
      <c r="M16" s="123">
        <f ca="1">_xll.INSTRUMENT.Z.SPREAD(AD16,ustCurve,I16,,D16)</f>
        <v>45.922415221606492</v>
      </c>
      <c r="N16" s="123">
        <f ca="1">_xll.INSTRUMENT.Z.SPREAD(AD16,oisCurve,I16,,D16)</f>
        <v>61.156043178488233</v>
      </c>
      <c r="O16" s="124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9.7732176128192943E-3</v>
      </c>
      <c r="P16" s="124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9.9966376185807223E-3</v>
      </c>
      <c r="Q16" s="143">
        <f t="shared" ca="1" si="1"/>
        <v>-214.53312889540675</v>
      </c>
      <c r="R16" s="199" t="str">
        <f>IF(F16&lt;&gt;"","",IF(G16="","",-G16*(SUMIF('bench Comparison'!$A:$A,"RESINV1USD",'bench Comparison'!$G:$G)+SUMIF('bench Comparison'!$A:$A,"RESSWAPORUSD",'bench Comparison'!$G:$G))/(36500*J16)))</f>
        <v/>
      </c>
      <c r="S16" s="210" t="str">
        <f>IF(G16&lt;&gt;"","",IF(F16="","",-36500*J16*F16/(SUMIF('bench Comparison'!$A:$A,"RESINV1USD",'bench Comparison'!$G:$G)+SUMIF('bench Comparison'!$A:$A,"RESSWAPORUSD",'bench Comparison'!$G:$G))))</f>
        <v/>
      </c>
      <c r="T16" s="125">
        <f>SUMIF('bench Comparison'!$E:$E,A16,'bench Comparison'!$N:$N)</f>
        <v>0</v>
      </c>
      <c r="U16" s="126">
        <f ca="1">VALUE(_xll.BDP($A16 &amp; " Corp",U$1))</f>
        <v>40113</v>
      </c>
      <c r="V16" s="127">
        <f ca="1">VALUE(_xll.BDP($A16 &amp; " Corp",V$1))</f>
        <v>40113</v>
      </c>
      <c r="W16" s="127">
        <f ca="1">VALUE(_xll.BDP($A16 &amp; " Corp",W$1))</f>
        <v>40478</v>
      </c>
      <c r="X16" s="127">
        <f ca="1">VALUE(_xll.BDP($A16 &amp; " Corp",X$1))</f>
        <v>41574</v>
      </c>
      <c r="Y16" s="127">
        <f ca="1">VALUE(_xll.BDP($A16 &amp; " Corp",Y$1))</f>
        <v>41939</v>
      </c>
      <c r="Z16" s="128">
        <f ca="1">_xll.BDP($A16 &amp; " Corp",Z$1)/100</f>
        <v>2.8750000000000001E-2</v>
      </c>
      <c r="AA16" s="129">
        <f ca="1">_xll.BDP($A16 &amp; " Corp",AA$1)</f>
        <v>1</v>
      </c>
      <c r="AB16" s="129">
        <f ca="1">_xll.BDP($A16 &amp; " Corp",AB$1)</f>
        <v>1000000000</v>
      </c>
      <c r="AC16" s="129" t="str">
        <f ca="1">_xll.BDP($A16 &amp; " Corp",AC$1)</f>
        <v>ISMA-30/360</v>
      </c>
      <c r="AD16" s="130" t="str">
        <f ca="1">_xll.INSTANCE.YANKEE(A16,U16,V16,W16,X16,Y16,Z16,AA16,LEFT(AC16,11),3,IF(RIGHT(AC16,6)="NONEOM",FALSE,TRUE),TODAY())</f>
        <v>XS0460002859#0027</v>
      </c>
      <c r="AE16" s="130" t="str">
        <f ca="1">_xll.INSTANCE.CONVENTION.TAUX("conv_" &amp; A16,LEFT(AC16,11),"Compounded",IF(AA16=1,"Annual",IF(AA16=2,"Semi-Annual","")),"Unadjusted",TODAY())</f>
        <v>conv_XS0460002859#0027</v>
      </c>
    </row>
    <row r="17" spans="1:31" x14ac:dyDescent="0.2">
      <c r="A17" s="131" t="s">
        <v>353</v>
      </c>
      <c r="B17" s="115" t="str">
        <f ca="1">_xll.BDP($A17 &amp; " Govt",B$1)</f>
        <v>KBN 1 02/09/15</v>
      </c>
      <c r="C17" s="209" t="str">
        <f t="shared" ca="1" si="0"/>
        <v>KBN</v>
      </c>
      <c r="D17" s="116"/>
      <c r="E17" s="117"/>
      <c r="F17" s="118"/>
      <c r="G17" s="119"/>
      <c r="H17" s="120">
        <f ca="1">IF(E17="",_xll.BDP(A17 &amp; " Corp","YLD_YTM_BID")/100,E17)</f>
        <v>8.3906800000000011E-3</v>
      </c>
      <c r="I17" s="121">
        <f ca="1">_xll.INSTRUMENT.PRIX(AD17,D17,H17,AE17)</f>
        <v>100.41194260358706</v>
      </c>
      <c r="J17" s="122">
        <f ca="1">_xll.INSTRUMENT.DV01(AD17,,,I17,cContinuous,I17)</f>
        <v>-2.5826466075614701E-2</v>
      </c>
      <c r="K17" s="123">
        <f ca="1">_xll.INSTRUMENT.CONVEXITE(AD17,,,I17,cContinuous,I17)</f>
        <v>6.6286597862643388</v>
      </c>
      <c r="L17" s="123">
        <f ca="1">_xll.INSTRUMENT.Z.SPREAD(AD17,swapCurve,I17,,D17)</f>
        <v>25.659506914790889</v>
      </c>
      <c r="M17" s="123">
        <f ca="1">_xll.INSTRUMENT.Z.SPREAD(AD17,ustCurve,I17,,D17)</f>
        <v>44.005786183170528</v>
      </c>
      <c r="N17" s="123">
        <f ca="1">_xll.INSTRUMENT.Z.SPREAD(AD17,oisCurve,I17,,D17)</f>
        <v>60.684573799214462</v>
      </c>
      <c r="O17" s="124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1.145959840722168E-2</v>
      </c>
      <c r="P17" s="124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1.0372509651205652E-2</v>
      </c>
      <c r="Q17" s="143">
        <f t="shared" ca="1" si="1"/>
        <v>-256.66151020650506</v>
      </c>
      <c r="R17" s="199" t="str">
        <f>IF(F17&lt;&gt;"","",IF(G17="","",-G17*(SUMIF('bench Comparison'!$A:$A,"RESINV1USD",'bench Comparison'!$G:$G)+SUMIF('bench Comparison'!$A:$A,"RESSWAPORUSD",'bench Comparison'!$G:$G))/(36500*J17)))</f>
        <v/>
      </c>
      <c r="S17" s="210" t="str">
        <f>IF(G17&lt;&gt;"","",IF(F17="","",-36500*J17*F17/(SUMIF('bench Comparison'!$A:$A,"RESINV1USD",'bench Comparison'!$G:$G)+SUMIF('bench Comparison'!$A:$A,"RESSWAPORUSD",'bench Comparison'!$G:$G))))</f>
        <v/>
      </c>
      <c r="T17" s="125">
        <f>SUMIF('bench Comparison'!$E:$E,A17,'bench Comparison'!$N:$N)</f>
        <v>0</v>
      </c>
      <c r="U17" s="126">
        <f ca="1">VALUE(_xll.BDP($A17 &amp; " Corp",U$1))</f>
        <v>40947</v>
      </c>
      <c r="V17" s="127">
        <f ca="1">VALUE(_xll.BDP($A17 &amp; " Corp",V$1))</f>
        <v>40947</v>
      </c>
      <c r="W17" s="127">
        <f ca="1">VALUE(_xll.BDP($A17 &amp; " Corp",W$1))</f>
        <v>41130</v>
      </c>
      <c r="X17" s="127">
        <f ca="1">VALUE(_xll.BDP($A17 &amp; " Corp",X$1))</f>
        <v>41860</v>
      </c>
      <c r="Y17" s="127">
        <f ca="1">VALUE(_xll.BDP($A17 &amp; " Corp",Y$1))</f>
        <v>42044</v>
      </c>
      <c r="Z17" s="128">
        <f ca="1">_xll.BDP($A17 &amp; " Corp",Z$1)/100</f>
        <v>0.01</v>
      </c>
      <c r="AA17" s="129">
        <f ca="1">_xll.BDP($A17 &amp; " Corp",AA$1)</f>
        <v>2</v>
      </c>
      <c r="AB17" s="129">
        <f ca="1">_xll.BDP($A17 &amp; " Corp",AB$1)</f>
        <v>1250000000</v>
      </c>
      <c r="AC17" s="129" t="str">
        <f ca="1">_xll.BDP($A17 &amp; " Corp",AC$1)</f>
        <v>ISMA-30/360</v>
      </c>
      <c r="AD17" s="130" t="str">
        <f ca="1">_xll.INSTANCE.YANKEE(A17,U17,V17,W17,X17,Y17,Z17,AA17,LEFT(AC17,11),3,IF(RIGHT(AC17,6)="NONEOM",FALSE,TRUE),TODAY())</f>
        <v>XS0743901026#0027</v>
      </c>
      <c r="AE17" s="130" t="str">
        <f ca="1">_xll.INSTANCE.CONVENTION.TAUX("conv_" &amp; A17,LEFT(AC17,11),"Compounded",IF(AA17=1,"Annual",IF(AA17=2,"Semi-Annual","")),"Unadjusted",TODAY())</f>
        <v>conv_XS0743901026#0027</v>
      </c>
    </row>
    <row r="18" spans="1:31" x14ac:dyDescent="0.2">
      <c r="A18" s="131" t="s">
        <v>361</v>
      </c>
      <c r="B18" s="115" t="str">
        <f ca="1">_xll.BDP($A18 &amp; " Govt",B$1)</f>
        <v>KBN 2 3/4 05/05/15</v>
      </c>
      <c r="C18" s="209" t="str">
        <f t="shared" ca="1" si="0"/>
        <v>KBN</v>
      </c>
      <c r="D18" s="116"/>
      <c r="E18" s="117"/>
      <c r="F18" s="118"/>
      <c r="G18" s="119"/>
      <c r="H18" s="120">
        <f ca="1">IF(E18="",_xll.BDP(A18 &amp; " Corp","YLD_YTM_BID")/100,E18)</f>
        <v>9.435596000000001E-3</v>
      </c>
      <c r="I18" s="121">
        <f ca="1">_xll.INSTRUMENT.PRIX(AD18,D18,H18,AE18)</f>
        <v>105.03796430492713</v>
      </c>
      <c r="J18" s="122">
        <f ca="1">_xll.INSTRUMENT.DV01(AD18,,,I18,cContinuous,I18)</f>
        <v>-2.8852066456087306E-2</v>
      </c>
      <c r="K18" s="123">
        <f ca="1">_xll.INSTRUMENT.CONVEXITE(AD18,,,I18,cContinuous,I18)</f>
        <v>7.6475401836980037</v>
      </c>
      <c r="L18" s="123">
        <f ca="1">_xll.INSTRUMENT.Z.SPREAD(AD18,swapCurve,I18,,D18)</f>
        <v>34.237968827053578</v>
      </c>
      <c r="M18" s="123">
        <f ca="1">_xll.INSTRUMENT.Z.SPREAD(AD18,ustCurve,I18,,D18)</f>
        <v>52.18248263146991</v>
      </c>
      <c r="N18" s="123">
        <f ca="1">_xll.INSTRUMENT.Z.SPREAD(AD18,oisCurve,I18,,D18)</f>
        <v>69.699263052223941</v>
      </c>
      <c r="O18" s="124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1.2238493195763488E-2</v>
      </c>
      <c r="P18" s="124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1.2050976517079065E-2</v>
      </c>
      <c r="Q18" s="143">
        <f t="shared" ca="1" si="1"/>
        <v>-265.06039681204533</v>
      </c>
      <c r="R18" s="199" t="str">
        <f>IF(F18&lt;&gt;"","",IF(G18="","",-G18*(SUMIF('bench Comparison'!$A:$A,"RESINV1USD",'bench Comparison'!$G:$G)+SUMIF('bench Comparison'!$A:$A,"RESSWAPORUSD",'bench Comparison'!$G:$G))/(36500*J18)))</f>
        <v/>
      </c>
      <c r="S18" s="210" t="str">
        <f>IF(G18&lt;&gt;"","",IF(F18="","",-36500*J18*F18/(SUMIF('bench Comparison'!$A:$A,"RESINV1USD",'bench Comparison'!$G:$G)+SUMIF('bench Comparison'!$A:$A,"RESSWAPORUSD",'bench Comparison'!$G:$G))))</f>
        <v/>
      </c>
      <c r="T18" s="125">
        <f>SUMIF('bench Comparison'!$E:$E,A18,'bench Comparison'!$N:$N)</f>
        <v>15000000</v>
      </c>
      <c r="U18" s="126">
        <f ca="1">VALUE(_xll.BDP($A18 &amp; " Corp",U$1))</f>
        <v>40303</v>
      </c>
      <c r="V18" s="127">
        <f ca="1">VALUE(_xll.BDP($A18 &amp; " Corp",V$1))</f>
        <v>40303</v>
      </c>
      <c r="W18" s="127">
        <f ca="1">VALUE(_xll.BDP($A18 &amp; " Corp",W$1))</f>
        <v>40487</v>
      </c>
      <c r="X18" s="127">
        <f ca="1">VALUE(_xll.BDP($A18 &amp; " Corp",X$1))</f>
        <v>41948</v>
      </c>
      <c r="Y18" s="127">
        <f ca="1">VALUE(_xll.BDP($A18 &amp; " Corp",Y$1))</f>
        <v>42129</v>
      </c>
      <c r="Z18" s="128">
        <f ca="1">_xll.BDP($A18 &amp; " Corp",Z$1)/100</f>
        <v>2.75E-2</v>
      </c>
      <c r="AA18" s="129">
        <f ca="1">_xll.BDP($A18 &amp; " Corp",AA$1)</f>
        <v>2</v>
      </c>
      <c r="AB18" s="129">
        <f ca="1">_xll.BDP($A18 &amp; " Corp",AB$1)</f>
        <v>1500000000</v>
      </c>
      <c r="AC18" s="129" t="str">
        <f ca="1">_xll.BDP($A18 &amp; " Corp",AC$1)</f>
        <v>ISMA-30/360</v>
      </c>
      <c r="AD18" s="130" t="str">
        <f ca="1">_xll.INSTANCE.YANKEE(A18,U18,V18,W18,X18,Y18,Z18,AA18,LEFT(AC18,11),3,IF(RIGHT(AC18,6)="NONEOM",FALSE,TRUE),TODAY())</f>
        <v>XS0506368363#0027</v>
      </c>
      <c r="AE18" s="130" t="str">
        <f ca="1">_xll.INSTANCE.CONVENTION.TAUX("conv_" &amp; A18,LEFT(AC18,11),"Compounded",IF(AA18=1,"Annual",IF(AA18=2,"Semi-Annual","")),"Unadjusted",TODAY())</f>
        <v>conv_XS0506368363#0027</v>
      </c>
    </row>
    <row r="19" spans="1:31" x14ac:dyDescent="0.2">
      <c r="A19" s="131" t="s">
        <v>684</v>
      </c>
      <c r="B19" s="115" t="str">
        <f ca="1">_xll.BDP($A19 &amp; " Govt",B$1)</f>
        <v>KBN 1 3/4 10/05/15</v>
      </c>
      <c r="C19" s="209" t="str">
        <f t="shared" ca="1" si="0"/>
        <v>KBN</v>
      </c>
      <c r="D19" s="116"/>
      <c r="E19" s="117"/>
      <c r="F19" s="118"/>
      <c r="G19" s="119"/>
      <c r="H19" s="120">
        <f ca="1">IF(E19="",_xll.BDP(A19 &amp; " Corp","YLD_YTM_BID")/100,E19)</f>
        <v>1.0318021E-2</v>
      </c>
      <c r="I19" s="121">
        <f ca="1">_xll.INSTRUMENT.PRIX(AD19,D19,H19,AE19)</f>
        <v>102.28892813998874</v>
      </c>
      <c r="J19" s="122">
        <f ca="1">_xll.INSTRUMENT.DV01(AD19,,,I19,cContinuous,I19)</f>
        <v>-3.248584968250718E-2</v>
      </c>
      <c r="K19" s="123">
        <f ca="1">_xll.INSTRUMENT.CONVEXITE(AD19,,,I19,cContinuous,I19)</f>
        <v>10.184601455409155</v>
      </c>
      <c r="L19" s="123">
        <f ca="1">_xll.INSTRUMENT.Z.SPREAD(AD19,swapCurve,I19,,D19)</f>
        <v>38.245235639877663</v>
      </c>
      <c r="M19" s="123">
        <f ca="1">_xll.INSTRUMENT.Z.SPREAD(AD19,ustCurve,I19,,D19)</f>
        <v>55.883171984886104</v>
      </c>
      <c r="N19" s="123">
        <f ca="1">_xll.INSTRUMENT.Z.SPREAD(AD19,oisCurve,I19,,D19)</f>
        <v>73.455148084405977</v>
      </c>
      <c r="O19" s="124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1.5432766370550188E-2</v>
      </c>
      <c r="P19" s="124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1.402155845527606E-2</v>
      </c>
      <c r="Q19" s="143">
        <f t="shared" ca="1" si="1"/>
        <v>-313.50885246795031</v>
      </c>
      <c r="R19" s="199" t="str">
        <f>IF(F19&lt;&gt;"","",IF(G19="","",-G19*(SUMIF('bench Comparison'!$A:$A,"RESINV1USD",'bench Comparison'!$G:$G)+SUMIF('bench Comparison'!$A:$A,"RESSWAPORUSD",'bench Comparison'!$G:$G))/(36500*J19)))</f>
        <v/>
      </c>
      <c r="S19" s="210" t="str">
        <f>IF(G19&lt;&gt;"","",IF(F19="","",-36500*J19*F19/(SUMIF('bench Comparison'!$A:$A,"RESINV1USD",'bench Comparison'!$G:$G)+SUMIF('bench Comparison'!$A:$A,"RESSWAPORUSD",'bench Comparison'!$G:$G))))</f>
        <v/>
      </c>
      <c r="T19" s="125">
        <f>SUMIF('bench Comparison'!$E:$E,A19,'bench Comparison'!$N:$N)</f>
        <v>0</v>
      </c>
      <c r="U19" s="126">
        <f ca="1">VALUE(_xll.BDP($A19 &amp; " Corp",U$1))</f>
        <v>40455</v>
      </c>
      <c r="V19" s="127">
        <f ca="1">VALUE(_xll.BDP($A19 &amp; " Corp",V$1))</f>
        <v>40455</v>
      </c>
      <c r="W19" s="127">
        <f ca="1">VALUE(_xll.BDP($A19 &amp; " Corp",W$1))</f>
        <v>40638</v>
      </c>
      <c r="X19" s="127">
        <f ca="1">VALUE(_xll.BDP($A19 &amp; " Corp",X$1))</f>
        <v>42099</v>
      </c>
      <c r="Y19" s="127">
        <f ca="1">VALUE(_xll.BDP($A19 &amp; " Corp",Y$1))</f>
        <v>42282</v>
      </c>
      <c r="Z19" s="128">
        <f ca="1">_xll.BDP($A19 &amp; " Corp",Z$1)/100</f>
        <v>1.7500000000000002E-2</v>
      </c>
      <c r="AA19" s="129">
        <f ca="1">_xll.BDP($A19 &amp; " Corp",AA$1)</f>
        <v>2</v>
      </c>
      <c r="AB19" s="129">
        <f ca="1">_xll.BDP($A19 &amp; " Corp",AB$1)</f>
        <v>1000000000</v>
      </c>
      <c r="AC19" s="129" t="str">
        <f ca="1">_xll.BDP($A19 &amp; " Corp",AC$1)</f>
        <v>ISMA-30/360</v>
      </c>
      <c r="AD19" s="130" t="str">
        <f ca="1">_xll.INSTANCE.YANKEE(A19,U19,V19,W19,X19,Y19,Z19,AA19,LEFT(AC19,11),3,IF(RIGHT(AC19,6)="NONEOM",FALSE,TRUE),TODAY())</f>
        <v>XS0546234450#0027</v>
      </c>
      <c r="AE19" s="130" t="str">
        <f ca="1">_xll.INSTANCE.CONVENTION.TAUX("conv_" &amp; A19,LEFT(AC19,11),"Compounded",IF(AA19=1,"Annual",IF(AA19=2,"Semi-Annual","")),"Unadjusted",TODAY())</f>
        <v>conv_XS0546234450#0026</v>
      </c>
    </row>
    <row r="20" spans="1:31" x14ac:dyDescent="0.2">
      <c r="A20" s="131" t="s">
        <v>371</v>
      </c>
      <c r="B20" s="115" t="str">
        <f ca="1">_xll.BDP($A20 &amp; " Govt",B$1)</f>
        <v>KBN 2 3/8 01/19/16</v>
      </c>
      <c r="C20" s="209" t="str">
        <f t="shared" ca="1" si="0"/>
        <v>KBN</v>
      </c>
      <c r="D20" s="116"/>
      <c r="E20" s="117"/>
      <c r="F20" s="118"/>
      <c r="G20" s="119"/>
      <c r="H20" s="120">
        <f ca="1">IF(E20="",_xll.BDP(A20 &amp; " Corp","YLD_YTM_BID")/100,E20)</f>
        <v>1.1547829000000001E-2</v>
      </c>
      <c r="I20" s="121">
        <f ca="1">_xll.INSTRUMENT.PRIX(AD20,D20,H20,AE20)</f>
        <v>104.21866426535952</v>
      </c>
      <c r="J20" s="122">
        <f ca="1">_xll.INSTRUMENT.DV01(AD20,,,I20,cContinuous,I20)</f>
        <v>-3.5649841082321825E-2</v>
      </c>
      <c r="K20" s="123">
        <f ca="1">_xll.INSTRUMENT.CONVEXITE(AD20,,,I20,cContinuous,I20)</f>
        <v>11.825527919575586</v>
      </c>
      <c r="L20" s="123">
        <f ca="1">_xll.INSTRUMENT.Z.SPREAD(AD20,swapCurve,I20,,D20)</f>
        <v>46.191507494007375</v>
      </c>
      <c r="M20" s="123">
        <f ca="1">_xll.INSTRUMENT.Z.SPREAD(AD20,ustCurve,I20,,D20)</f>
        <v>64.293783125689231</v>
      </c>
      <c r="N20" s="123">
        <f ca="1">_xll.INSTRUMENT.Z.SPREAD(AD20,oisCurve,I20,,D20)</f>
        <v>81.216732905676693</v>
      </c>
      <c r="O20" s="124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1.8083698034542371E-2</v>
      </c>
      <c r="P20" s="124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1.6642047464698929E-2</v>
      </c>
      <c r="Q20" s="143">
        <f t="shared" ca="1" si="1"/>
        <v>-331.71334178652688</v>
      </c>
      <c r="R20" s="199" t="str">
        <f>IF(F20&lt;&gt;"","",IF(G20="","",-G20*(SUMIF('bench Comparison'!$A:$A,"RESINV1USD",'bench Comparison'!$G:$G)+SUMIF('bench Comparison'!$A:$A,"RESSWAPORUSD",'bench Comparison'!$G:$G))/(36500*J20)))</f>
        <v/>
      </c>
      <c r="S20" s="210" t="str">
        <f>IF(G20&lt;&gt;"","",IF(F20="","",-36500*J20*F20/(SUMIF('bench Comparison'!$A:$A,"RESINV1USD",'bench Comparison'!$G:$G)+SUMIF('bench Comparison'!$A:$A,"RESSWAPORUSD",'bench Comparison'!$G:$G))))</f>
        <v/>
      </c>
      <c r="T20" s="125">
        <f>SUMIF('bench Comparison'!$E:$E,A20,'bench Comparison'!$N:$N)</f>
        <v>5000000</v>
      </c>
      <c r="U20" s="126">
        <f ca="1">VALUE(_xll.BDP($A20 &amp; " Corp",U$1))</f>
        <v>40562</v>
      </c>
      <c r="V20" s="127">
        <f ca="1">VALUE(_xll.BDP($A20 &amp; " Corp",V$1))</f>
        <v>40562</v>
      </c>
      <c r="W20" s="127">
        <f ca="1">VALUE(_xll.BDP($A20 &amp; " Corp",W$1))</f>
        <v>40743</v>
      </c>
      <c r="X20" s="127">
        <f ca="1">VALUE(_xll.BDP($A20 &amp; " Corp",X$1))</f>
        <v>42204</v>
      </c>
      <c r="Y20" s="127">
        <f ca="1">VALUE(_xll.BDP($A20 &amp; " Corp",Y$1))</f>
        <v>42388</v>
      </c>
      <c r="Z20" s="128">
        <f ca="1">_xll.BDP($A20 &amp; " Corp",Z$1)/100</f>
        <v>2.375E-2</v>
      </c>
      <c r="AA20" s="129">
        <f ca="1">_xll.BDP($A20 &amp; " Corp",AA$1)</f>
        <v>2</v>
      </c>
      <c r="AB20" s="129">
        <f ca="1">_xll.BDP($A20 &amp; " Corp",AB$1)</f>
        <v>2000000000</v>
      </c>
      <c r="AC20" s="129" t="str">
        <f ca="1">_xll.BDP($A20 &amp; " Corp",AC$1)</f>
        <v>ISMA-30/360</v>
      </c>
      <c r="AD20" s="130" t="str">
        <f ca="1">_xll.INSTANCE.YANKEE(A20,U20,V20,W20,X20,Y20,Z20,AA20,LEFT(AC20,11),3,IF(RIGHT(AC20,6)="NONEOM",FALSE,TRUE),TODAY())</f>
        <v>XS0579811489#0027</v>
      </c>
      <c r="AE20" s="130" t="str">
        <f ca="1">_xll.INSTANCE.CONVENTION.TAUX("conv_" &amp; A20,LEFT(AC20,11),"Compounded",IF(AA20=1,"Annual",IF(AA20=2,"Semi-Annual","")),"Unadjusted",TODAY())</f>
        <v>conv_XS0579811489#0027</v>
      </c>
    </row>
    <row r="21" spans="1:31" x14ac:dyDescent="0.2">
      <c r="A21" s="131" t="s">
        <v>870</v>
      </c>
      <c r="B21" s="115" t="str">
        <f ca="1">_xll.BDP($A21 &amp; " Govt",B$1)</f>
        <v>IADB 1 1/8 03/15/17</v>
      </c>
      <c r="C21" s="209" t="str">
        <f t="shared" ca="1" si="0"/>
        <v>IADB</v>
      </c>
      <c r="D21" s="116"/>
      <c r="E21" s="117"/>
      <c r="F21" s="118"/>
      <c r="G21" s="119"/>
      <c r="H21" s="120">
        <f ca="1">IF(E21="",_xll.BDP(A21 &amp; " Corp","YLD_YTM_BID")/100,E21)</f>
        <v>7.9486880000000006E-3</v>
      </c>
      <c r="I21" s="121">
        <f ca="1">_xll.INSTRUMENT.PRIX(AD21,D21,H21,AE21)</f>
        <v>101.51792614371408</v>
      </c>
      <c r="J21" s="122">
        <f ca="1">_xll.INSTRUMENT.DV01(AD21,,,I21,cContinuous,I21)</f>
        <v>-4.6543250649203428E-2</v>
      </c>
      <c r="K21" s="123">
        <f ca="1">_xll.INSTRUMENT.CONVEXITE(AD21,,,I21,cContinuous,I21)</f>
        <v>21.251888526102427</v>
      </c>
      <c r="L21" s="123">
        <f ca="1">_xll.INSTRUMENT.Z.SPREAD(AD21,swapCurve,I21,,D21)</f>
        <v>-10.79369158985136</v>
      </c>
      <c r="M21" s="123">
        <f ca="1">_xll.INSTRUMENT.Z.SPREAD(AD21,ustCurve,I21,,D21)</f>
        <v>10.062379235320014</v>
      </c>
      <c r="N21" s="123">
        <f ca="1">_xll.INSTRUMENT.Z.SPREAD(AD21,oisCurve,I21,,D21)</f>
        <v>24.186888012954828</v>
      </c>
      <c r="O21" s="124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1.8634690509916927E-2</v>
      </c>
      <c r="P21" s="124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1.6267377631567093E-2</v>
      </c>
      <c r="Q21" s="143">
        <f t="shared" ca="1" si="1"/>
        <v>-456.6051625031082</v>
      </c>
      <c r="R21" s="199" t="str">
        <f>IF(F21&lt;&gt;"","",IF(G21="","",-G21*(SUMIF('bench Comparison'!$A:$A,"RESINV1USD",'bench Comparison'!$G:$G)+SUMIF('bench Comparison'!$A:$A,"RESSWAPORUSD",'bench Comparison'!$G:$G))/(36500*J21)))</f>
        <v/>
      </c>
      <c r="S21" s="210" t="str">
        <f>IF(G21&lt;&gt;"","",IF(F21="","",-36500*J21*F21/(SUMIF('bench Comparison'!$A:$A,"RESINV1USD",'bench Comparison'!$G:$G)+SUMIF('bench Comparison'!$A:$A,"RESSWAPORUSD",'bench Comparison'!$G:$G))))</f>
        <v/>
      </c>
      <c r="T21" s="125">
        <f>SUMIF('bench Comparison'!$E:$E,A21,'bench Comparison'!$N:$N)</f>
        <v>0</v>
      </c>
      <c r="U21" s="126">
        <f ca="1">VALUE(_xll.BDP($A21 &amp; " Corp",U$1))</f>
        <v>40919</v>
      </c>
      <c r="V21" s="127">
        <f ca="1">VALUE(_xll.BDP($A21 &amp; " Corp",V$1))</f>
        <v>40919</v>
      </c>
      <c r="W21" s="127">
        <f ca="1">VALUE(_xll.BDP($A21 &amp; " Corp",W$1))</f>
        <v>40983</v>
      </c>
      <c r="X21" s="127">
        <f ca="1">VALUE(_xll.BDP($A21 &amp; " Corp",X$1))</f>
        <v>42628</v>
      </c>
      <c r="Y21" s="127">
        <f ca="1">VALUE(_xll.BDP($A21 &amp; " Corp",Y$1))</f>
        <v>42809</v>
      </c>
      <c r="Z21" s="128">
        <f ca="1">_xll.BDP($A21 &amp; " Corp",Z$1)/100</f>
        <v>1.125E-2</v>
      </c>
      <c r="AA21" s="129">
        <f ca="1">_xll.BDP($A21 &amp; " Corp",AA$1)</f>
        <v>2</v>
      </c>
      <c r="AB21" s="129">
        <f ca="1">_xll.BDP($A21 &amp; " Corp",AB$1)</f>
        <v>2250000000</v>
      </c>
      <c r="AC21" s="129" t="str">
        <f ca="1">_xll.BDP($A21 &amp; " Corp",AC$1)</f>
        <v>30/360</v>
      </c>
      <c r="AD21" s="130" t="str">
        <f ca="1">_xll.INSTANCE.YANKEE(A21,U21,V21,W21,X21,Y21,Z21,AA21,LEFT(AC21,11),3,IF(RIGHT(AC21,6)="NONEOM",FALSE,TRUE),TODAY())</f>
        <v>EI939268 Corp#0027</v>
      </c>
      <c r="AE21" s="130" t="str">
        <f ca="1">_xll.INSTANCE.CONVENTION.TAUX("conv_" &amp; A21,LEFT(AC21,11),"Compounded",IF(AA21=1,"Annual",IF(AA21=2,"Semi-Annual","")),"Unadjusted",TODAY())</f>
        <v>conv_EI939268 Corp#0027</v>
      </c>
    </row>
    <row r="22" spans="1:31" x14ac:dyDescent="0.2">
      <c r="A22" s="131" t="s">
        <v>871</v>
      </c>
      <c r="B22" s="115" t="str">
        <f ca="1">_xll.BDP($A22 &amp; " Govt",B$1)</f>
        <v>IADB 1 3/8 10/18/16</v>
      </c>
      <c r="C22" s="209" t="str">
        <f t="shared" ca="1" si="0"/>
        <v>IADB</v>
      </c>
      <c r="D22" s="116"/>
      <c r="E22" s="117"/>
      <c r="F22" s="118"/>
      <c r="G22" s="119"/>
      <c r="H22" s="120">
        <f ca="1">IF(E22="",_xll.BDP(A22 &amp; " Corp","YLD_YTM_BID")/100,E22)</f>
        <v>7.3948420000000004E-3</v>
      </c>
      <c r="I22" s="121">
        <f ca="1">_xll.INSTRUMENT.PRIX(AD22,D22,H22,AE22)</f>
        <v>102.67588870069734</v>
      </c>
      <c r="J22" s="122">
        <f ca="1">_xll.INSTRUMENT.DV01(AD22,,,I22,cContinuous,I22)</f>
        <v>-4.2918617797877645E-2</v>
      </c>
      <c r="K22" s="123">
        <f ca="1">_xll.INSTRUMENT.CONVEXITE(AD22,,,I22,cContinuous,I22)</f>
        <v>17.69618734439706</v>
      </c>
      <c r="L22" s="123">
        <f ca="1">_xll.INSTRUMENT.Z.SPREAD(AD22,swapCurve,I22,,D22)</f>
        <v>-8.7454296195353596</v>
      </c>
      <c r="M22" s="123">
        <f ca="1">_xll.INSTRUMENT.Z.SPREAD(AD22,ustCurve,I22,,D22)</f>
        <v>11.443016967973609</v>
      </c>
      <c r="N22" s="123">
        <f ca="1">_xll.INSTRUMENT.Z.SPREAD(AD22,oisCurve,I22,,D22)</f>
        <v>26.347954362953931</v>
      </c>
      <c r="O22" s="124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1.6995088776070356E-2</v>
      </c>
      <c r="P22" s="124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1.4965989534303899E-2</v>
      </c>
      <c r="Q22" s="143">
        <f t="shared" ca="1" si="1"/>
        <v>-412.31960049916029</v>
      </c>
      <c r="R22" s="199" t="str">
        <f>IF(F22&lt;&gt;"","",IF(G22="","",-G22*(SUMIF('bench Comparison'!$A:$A,"RESINV1USD",'bench Comparison'!$G:$G)+SUMIF('bench Comparison'!$A:$A,"RESSWAPORUSD",'bench Comparison'!$G:$G))/(36500*J22)))</f>
        <v/>
      </c>
      <c r="S22" s="210" t="str">
        <f>IF(G22&lt;&gt;"","",IF(F22="","",-36500*J22*F22/(SUMIF('bench Comparison'!$A:$A,"RESINV1USD",'bench Comparison'!$G:$G)+SUMIF('bench Comparison'!$A:$A,"RESSWAPORUSD",'bench Comparison'!$G:$G))))</f>
        <v/>
      </c>
      <c r="T22" s="125">
        <f>SUMIF('bench Comparison'!$E:$E,A22,'bench Comparison'!$N:$N)</f>
        <v>0</v>
      </c>
      <c r="U22" s="126">
        <f ca="1">VALUE(_xll.BDP($A22 &amp; " Corp",U$1))</f>
        <v>40834</v>
      </c>
      <c r="V22" s="127">
        <f ca="1">VALUE(_xll.BDP($A22 &amp; " Corp",V$1))</f>
        <v>40834</v>
      </c>
      <c r="W22" s="127">
        <f ca="1">VALUE(_xll.BDP($A22 &amp; " Corp",W$1))</f>
        <v>41017</v>
      </c>
      <c r="X22" s="127">
        <f ca="1">VALUE(_xll.BDP($A22 &amp; " Corp",X$1))</f>
        <v>42478</v>
      </c>
      <c r="Y22" s="127">
        <f ca="1">VALUE(_xll.BDP($A22 &amp; " Corp",Y$1))</f>
        <v>42661</v>
      </c>
      <c r="Z22" s="128">
        <f ca="1">_xll.BDP($A22 &amp; " Corp",Z$1)/100</f>
        <v>1.375E-2</v>
      </c>
      <c r="AA22" s="129">
        <f ca="1">_xll.BDP($A22 &amp; " Corp",AA$1)</f>
        <v>2</v>
      </c>
      <c r="AB22" s="129">
        <f ca="1">_xll.BDP($A22 &amp; " Corp",AB$1)</f>
        <v>2900000000</v>
      </c>
      <c r="AC22" s="129" t="str">
        <f ca="1">_xll.BDP($A22 &amp; " Corp",AC$1)</f>
        <v>30/360</v>
      </c>
      <c r="AD22" s="130" t="str">
        <f ca="1">_xll.INSTANCE.YANKEE(A22,U22,V22,W22,X22,Y22,Z22,AA22,LEFT(AC22,11),3,IF(RIGHT(AC22,6)="NONEOM",FALSE,TRUE),TODAY())</f>
        <v>EI839783 Corp#0027</v>
      </c>
      <c r="AE22" s="130" t="str">
        <f ca="1">_xll.INSTANCE.CONVENTION.TAUX("conv_" &amp; A22,LEFT(AC22,11),"Compounded",IF(AA22=1,"Annual",IF(AA22=2,"Semi-Annual","")),"Unadjusted",TODAY())</f>
        <v>conv_EI839783 Corp#0027</v>
      </c>
    </row>
    <row r="23" spans="1:31" x14ac:dyDescent="0.2">
      <c r="A23" s="131" t="s">
        <v>872</v>
      </c>
      <c r="B23" s="115" t="str">
        <f ca="1">_xll.BDP($A23 &amp; " Govt",B$1)</f>
        <v>IADB 1 5/8 07/15/13</v>
      </c>
      <c r="C23" s="209" t="str">
        <f t="shared" ca="1" si="0"/>
        <v>IADB</v>
      </c>
      <c r="D23" s="116"/>
      <c r="E23" s="117"/>
      <c r="F23" s="118"/>
      <c r="G23" s="119"/>
      <c r="H23" s="120">
        <f ca="1">IF(E23="",_xll.BDP(A23 &amp; " Corp","YLD_YTM_BID")/100,E23)</f>
        <v>3.431258E-3</v>
      </c>
      <c r="I23" s="121">
        <f ca="1">_xll.INSTRUMENT.PRIX(AD23,D23,H23,AE23)</f>
        <v>101.31399227264136</v>
      </c>
      <c r="J23" s="122">
        <f ca="1">_xll.INSTRUMENT.DV01(AD23,,,I23,cContinuous,I23)</f>
        <v>-1.035291642795508E-2</v>
      </c>
      <c r="K23" s="123">
        <f ca="1">_xll.INSTRUMENT.CONVEXITE(AD23,,,I23,cContinuous,I23)</f>
        <v>1.0382758155415759</v>
      </c>
      <c r="L23" s="123">
        <f ca="1">_xll.INSTRUMENT.Z.SPREAD(AD23,swapCurve,I23,,D23)</f>
        <v>-14.608474536547739</v>
      </c>
      <c r="M23" s="123">
        <f ca="1">_xll.INSTRUMENT.Z.SPREAD(AD23,ustCurve,I23,,D23)</f>
        <v>8.7584077767979096</v>
      </c>
      <c r="N23" s="123">
        <f ca="1">_xll.INSTRUMENT.Z.SPREAD(AD23,oisCurve,I23,,D23)</f>
        <v>15.805401653706157</v>
      </c>
      <c r="O23" s="124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3.7151603501069399E-3</v>
      </c>
      <c r="P23" s="124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3.9485548344350098E-3</v>
      </c>
      <c r="Q23" s="143">
        <f t="shared" ca="1" si="1"/>
        <v>-100.28824464747055</v>
      </c>
      <c r="R23" s="199" t="str">
        <f>IF(F23&lt;&gt;"","",IF(G23="","",-G23*(SUMIF('bench Comparison'!$A:$A,"RESINV1USD",'bench Comparison'!$G:$G)+SUMIF('bench Comparison'!$A:$A,"RESSWAPORUSD",'bench Comparison'!$G:$G))/(36500*J23)))</f>
        <v/>
      </c>
      <c r="S23" s="210" t="str">
        <f>IF(G23&lt;&gt;"","",IF(F23="","",-36500*J23*F23/(SUMIF('bench Comparison'!$A:$A,"RESINV1USD",'bench Comparison'!$G:$G)+SUMIF('bench Comparison'!$A:$A,"RESSWAPORUSD",'bench Comparison'!$G:$G))))</f>
        <v/>
      </c>
      <c r="T23" s="125">
        <f>SUMIF('bench Comparison'!$E:$E,A23,'bench Comparison'!$N:$N)</f>
        <v>0</v>
      </c>
      <c r="U23" s="126">
        <f ca="1">VALUE(_xll.BDP($A23 &amp; " Corp",U$1))</f>
        <v>40317</v>
      </c>
      <c r="V23" s="127">
        <f ca="1">VALUE(_xll.BDP($A23 &amp; " Corp",V$1))</f>
        <v>40317</v>
      </c>
      <c r="W23" s="127">
        <f ca="1">VALUE(_xll.BDP($A23 &amp; " Corp",W$1))</f>
        <v>40374</v>
      </c>
      <c r="X23" s="127">
        <f ca="1">VALUE(_xll.BDP($A23 &amp; " Corp",X$1))</f>
        <v>41289</v>
      </c>
      <c r="Y23" s="127">
        <f ca="1">VALUE(_xll.BDP($A23 &amp; " Corp",Y$1))</f>
        <v>41470</v>
      </c>
      <c r="Z23" s="128">
        <f ca="1">_xll.BDP($A23 &amp; " Corp",Z$1)/100</f>
        <v>1.6250000000000001E-2</v>
      </c>
      <c r="AA23" s="129">
        <f ca="1">_xll.BDP($A23 &amp; " Corp",AA$1)</f>
        <v>2</v>
      </c>
      <c r="AB23" s="129">
        <f ca="1">_xll.BDP($A23 &amp; " Corp",AB$1)</f>
        <v>1100000000</v>
      </c>
      <c r="AC23" s="129" t="str">
        <f ca="1">_xll.BDP($A23 &amp; " Corp",AC$1)</f>
        <v>30/360</v>
      </c>
      <c r="AD23" s="130" t="str">
        <f ca="1">_xll.INSTANCE.YANKEE(A23,U23,V23,W23,X23,Y23,Z23,AA23,LEFT(AC23,11),3,IF(RIGHT(AC23,6)="NONEOM",FALSE,TRUE),TODAY())</f>
        <v>EI251950 Corp#0027</v>
      </c>
      <c r="AE23" s="130" t="str">
        <f ca="1">_xll.INSTANCE.CONVENTION.TAUX("conv_" &amp; A23,LEFT(AC23,11),"Compounded",IF(AA23=1,"Annual",IF(AA23=2,"Semi-Annual","")),"Unadjusted",TODAY())</f>
        <v>conv_EI251950 Corp#0027</v>
      </c>
    </row>
    <row r="24" spans="1:31" x14ac:dyDescent="0.2">
      <c r="A24" s="131" t="s">
        <v>873</v>
      </c>
      <c r="B24" s="115" t="str">
        <f ca="1">_xll.BDP($A24 &amp; " Govt",B$1)</f>
        <v>IADB 1 3/4 10/22/12</v>
      </c>
      <c r="C24" s="209" t="str">
        <f t="shared" ca="1" si="0"/>
        <v>IADB</v>
      </c>
      <c r="D24" s="116"/>
      <c r="E24" s="117"/>
      <c r="F24" s="118"/>
      <c r="G24" s="119"/>
      <c r="H24" s="120">
        <f ca="1">IF(E24="",_xll.BDP(A24 &amp; " Corp","YLD_YTM_BID")/100,E24)</f>
        <v>-2.6217137221846271E-4</v>
      </c>
      <c r="I24" s="121">
        <f ca="1">_xll.INSTRUMENT.PRIX(AD24,D24,H24,AE24)</f>
        <v>100.52800020898736</v>
      </c>
      <c r="J24" s="122">
        <f ca="1">_xll.INSTRUMENT.DV01(AD24,,,I24,cContinuous,I24)</f>
        <v>-3.004434491959486E-3</v>
      </c>
      <c r="K24" s="123">
        <f ca="1">_xll.INSTRUMENT.CONVEXITE(AD24,,,I24,cContinuous,I24)</f>
        <v>8.8693302278360059E-2</v>
      </c>
      <c r="L24" s="123">
        <f ca="1">_xll.INSTRUMENT.Z.SPREAD(AD24,swapCurve,I24,,D24)</f>
        <v>-51.854369173653467</v>
      </c>
      <c r="M24" s="123">
        <f ca="1">_xll.INSTRUMENT.Z.SPREAD(AD24,ustCurve,I24,,D24)</f>
        <v>-14.939852437496221</v>
      </c>
      <c r="N24" s="123">
        <f ca="1">_xll.INSTRUMENT.Z.SPREAD(AD24,oisCurve,I24,,D24)</f>
        <v>-20.551917730011098</v>
      </c>
      <c r="O24" s="124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9.9640335523006659E-4</v>
      </c>
      <c r="P24" s="124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4.3430459322751311E-4</v>
      </c>
      <c r="Q24" s="143">
        <f t="shared" ca="1" si="1"/>
        <v>-29.520797513050276</v>
      </c>
      <c r="R24" s="199" t="str">
        <f>IF(F24&lt;&gt;"","",IF(G24="","",-G24*(SUMIF('bench Comparison'!$A:$A,"RESINV1USD",'bench Comparison'!$G:$G)+SUMIF('bench Comparison'!$A:$A,"RESSWAPORUSD",'bench Comparison'!$G:$G))/(36500*J24)))</f>
        <v/>
      </c>
      <c r="S24" s="210" t="str">
        <f>IF(G24&lt;&gt;"","",IF(F24="","",-36500*J24*F24/(SUMIF('bench Comparison'!$A:$A,"RESINV1USD",'bench Comparison'!$G:$G)+SUMIF('bench Comparison'!$A:$A,"RESSWAPORUSD",'bench Comparison'!$G:$G))))</f>
        <v/>
      </c>
      <c r="T24" s="125">
        <f>SUMIF('bench Comparison'!$E:$E,A24,'bench Comparison'!$N:$N)</f>
        <v>0</v>
      </c>
      <c r="U24" s="126">
        <f ca="1">VALUE(_xll.BDP($A24 &amp; " Corp",U$1))</f>
        <v>40108</v>
      </c>
      <c r="V24" s="127">
        <f ca="1">VALUE(_xll.BDP($A24 &amp; " Corp",V$1))</f>
        <v>40108</v>
      </c>
      <c r="W24" s="127">
        <f ca="1">VALUE(_xll.BDP($A24 &amp; " Corp",W$1))</f>
        <v>40290</v>
      </c>
      <c r="X24" s="127">
        <f ca="1">VALUE(_xll.BDP($A24 &amp; " Corp",X$1))</f>
        <v>41021</v>
      </c>
      <c r="Y24" s="127">
        <f ca="1">VALUE(_xll.BDP($A24 &amp; " Corp",Y$1))</f>
        <v>41204</v>
      </c>
      <c r="Z24" s="128">
        <f ca="1">_xll.BDP($A24 &amp; " Corp",Z$1)/100</f>
        <v>1.7500000000000002E-2</v>
      </c>
      <c r="AA24" s="129">
        <f ca="1">_xll.BDP($A24 &amp; " Corp",AA$1)</f>
        <v>2</v>
      </c>
      <c r="AB24" s="129">
        <f ca="1">_xll.BDP($A24 &amp; " Corp",AB$1)</f>
        <v>2375000000</v>
      </c>
      <c r="AC24" s="129" t="str">
        <f ca="1">_xll.BDP($A24 &amp; " Corp",AC$1)</f>
        <v>30/360</v>
      </c>
      <c r="AD24" s="130" t="str">
        <f ca="1">_xll.INSTANCE.YANKEE(A24,U24,V24,W24,X24,Y24,Z24,AA24,LEFT(AC24,11),3,IF(RIGHT(AC24,6)="NONEOM",FALSE,TRUE),TODAY())</f>
        <v>EI009749 Corp#0027</v>
      </c>
      <c r="AE24" s="130" t="str">
        <f ca="1">_xll.INSTANCE.CONVENTION.TAUX("conv_" &amp; A24,LEFT(AC24,11),"Compounded",IF(AA24=1,"Annual",IF(AA24=2,"Semi-Annual","")),"Unadjusted",TODAY())</f>
        <v>conv_EI009749 Corp#0027</v>
      </c>
    </row>
    <row r="25" spans="1:31" x14ac:dyDescent="0.2">
      <c r="A25" s="131" t="s">
        <v>874</v>
      </c>
      <c r="B25" s="115" t="str">
        <f ca="1">_xll.BDP($A25 &amp; " Govt",B$1)</f>
        <v>IADB 1 3/4 08/24/18</v>
      </c>
      <c r="C25" s="209" t="str">
        <f t="shared" ca="1" si="0"/>
        <v>IADB</v>
      </c>
      <c r="D25" s="116"/>
      <c r="E25" s="117"/>
      <c r="F25" s="118"/>
      <c r="G25" s="119"/>
      <c r="H25" s="120">
        <f ca="1">IF(E25="",_xll.BDP(A25 &amp; " Corp","YLD_YTM_BID")/100,E25)</f>
        <v>1.1477503E-2</v>
      </c>
      <c r="I25" s="121">
        <f ca="1">_xll.INSTRUMENT.PRIX(AD25,D25,H25,AE25)</f>
        <v>103.55783807687131</v>
      </c>
      <c r="J25" s="122">
        <f ca="1">_xll.INSTRUMENT.DV01(AD25,,,I25,cContinuous,I25)</f>
        <v>-6.0596707079796579E-2</v>
      </c>
      <c r="K25" s="123">
        <f ca="1">_xll.INSTRUMENT.CONVEXITE(AD25,,,I25,cContinuous,I25)</f>
        <v>35.060395415259727</v>
      </c>
      <c r="L25" s="123">
        <f ca="1">_xll.INSTRUMENT.Z.SPREAD(AD25,swapCurve,I25,,D25)</f>
        <v>-1.7687572050307838</v>
      </c>
      <c r="M25" s="123">
        <f ca="1">_xll.INSTRUMENT.Z.SPREAD(AD25,ustCurve,I25,,D25)</f>
        <v>19.114361541805014</v>
      </c>
      <c r="N25" s="123">
        <f ca="1">_xll.INSTRUMENT.Z.SPREAD(AD25,oisCurve,I25,,D25)</f>
        <v>32.263472732885759</v>
      </c>
      <c r="O25" s="124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2.6146346858031376E-2</v>
      </c>
      <c r="P25" s="124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2.2845340669451326E-2</v>
      </c>
      <c r="Q25" s="143">
        <f t="shared" ca="1" si="1"/>
        <v>-578.58581934312963</v>
      </c>
      <c r="R25" s="199" t="str">
        <f>IF(F25&lt;&gt;"","",IF(G25="","",-G25*(SUMIF('bench Comparison'!$A:$A,"RESINV1USD",'bench Comparison'!$G:$G)+SUMIF('bench Comparison'!$A:$A,"RESSWAPORUSD",'bench Comparison'!$G:$G))/(36500*J25)))</f>
        <v/>
      </c>
      <c r="S25" s="210" t="str">
        <f>IF(G25&lt;&gt;"","",IF(F25="","",-36500*J25*F25/(SUMIF('bench Comparison'!$A:$A,"RESINV1USD",'bench Comparison'!$G:$G)+SUMIF('bench Comparison'!$A:$A,"RESSWAPORUSD",'bench Comparison'!$G:$G))))</f>
        <v/>
      </c>
      <c r="T25" s="125">
        <f>SUMIF('bench Comparison'!$E:$E,A25,'bench Comparison'!$N:$N)</f>
        <v>0</v>
      </c>
      <c r="U25" s="126">
        <f ca="1">VALUE(_xll.BDP($A25 &amp; " Corp",U$1))</f>
        <v>40779</v>
      </c>
      <c r="V25" s="127">
        <f ca="1">VALUE(_xll.BDP($A25 &amp; " Corp",V$1))</f>
        <v>40779</v>
      </c>
      <c r="W25" s="127">
        <f ca="1">VALUE(_xll.BDP($A25 &amp; " Corp",W$1))</f>
        <v>40963</v>
      </c>
      <c r="X25" s="127">
        <f ca="1">VALUE(_xll.BDP($A25 &amp; " Corp",X$1))</f>
        <v>43155</v>
      </c>
      <c r="Y25" s="127">
        <f ca="1">VALUE(_xll.BDP($A25 &amp; " Corp",Y$1))</f>
        <v>43336</v>
      </c>
      <c r="Z25" s="128">
        <f ca="1">_xll.BDP($A25 &amp; " Corp",Z$1)/100</f>
        <v>1.7500000000000002E-2</v>
      </c>
      <c r="AA25" s="129">
        <f ca="1">_xll.BDP($A25 &amp; " Corp",AA$1)</f>
        <v>2</v>
      </c>
      <c r="AB25" s="129">
        <f ca="1">_xll.BDP($A25 &amp; " Corp",AB$1)</f>
        <v>1600000000</v>
      </c>
      <c r="AC25" s="129" t="str">
        <f ca="1">_xll.BDP($A25 &amp; " Corp",AC$1)</f>
        <v>30/360</v>
      </c>
      <c r="AD25" s="130" t="str">
        <f ca="1">_xll.INSTANCE.YANKEE(A25,U25,V25,W25,X25,Y25,Z25,AA25,LEFT(AC25,11),3,IF(RIGHT(AC25,6)="NONEOM",FALSE,TRUE),TODAY())</f>
        <v>EI787877 Corp#0027</v>
      </c>
      <c r="AE25" s="130" t="str">
        <f ca="1">_xll.INSTANCE.CONVENTION.TAUX("conv_" &amp; A25,LEFT(AC25,11),"Compounded",IF(AA25=1,"Annual",IF(AA25=2,"Semi-Annual","")),"Unadjusted",TODAY())</f>
        <v>conv_EI787877 Corp#0027</v>
      </c>
    </row>
    <row r="26" spans="1:31" x14ac:dyDescent="0.2">
      <c r="A26" s="131" t="s">
        <v>875</v>
      </c>
      <c r="B26" s="115" t="str">
        <f ca="1">_xll.BDP($A26 &amp; " Govt",B$1)</f>
        <v>IADB 2 1/4 07/15/15</v>
      </c>
      <c r="C26" s="209" t="str">
        <f t="shared" ca="1" si="0"/>
        <v>IADB</v>
      </c>
      <c r="D26" s="116"/>
      <c r="E26" s="117"/>
      <c r="F26" s="118"/>
      <c r="G26" s="119"/>
      <c r="H26" s="120">
        <f ca="1">IF(E26="",_xll.BDP(A26 &amp; " Corp","YLD_YTM_BID")/100,E26)</f>
        <v>5.5957740000000004E-3</v>
      </c>
      <c r="I26" s="121">
        <f ca="1">_xll.INSTRUMENT.PRIX(AD26,D26,H26,AE26)</f>
        <v>105.06798264883757</v>
      </c>
      <c r="J26" s="122">
        <f ca="1">_xll.INSTRUMENT.DV01(AD26,,,I26,cContinuous,I26)</f>
        <v>-3.0941814299309076E-2</v>
      </c>
      <c r="K26" s="123">
        <f ca="1">_xll.INSTRUMENT.CONVEXITE(AD26,,,I26,cContinuous,I26)</f>
        <v>8.7273393980780973</v>
      </c>
      <c r="L26" s="123">
        <f ca="1">_xll.INSTRUMENT.Z.SPREAD(AD26,swapCurve,I26,,D26)</f>
        <v>-6.0008645935042919</v>
      </c>
      <c r="M26" s="123">
        <f ca="1">_xll.INSTRUMENT.Z.SPREAD(AD26,ustCurve,I26,,D26)</f>
        <v>11.658074607006712</v>
      </c>
      <c r="N26" s="123">
        <f ca="1">_xll.INSTRUMENT.Z.SPREAD(AD26,oisCurve,I26,,D26)</f>
        <v>29.457425102996826</v>
      </c>
      <c r="O26" s="124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8.8726287298597321E-3</v>
      </c>
      <c r="P26" s="124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8.5186899549658662E-3</v>
      </c>
      <c r="Q26" s="143">
        <f t="shared" ca="1" si="1"/>
        <v>-282.05648555886319</v>
      </c>
      <c r="R26" s="199" t="str">
        <f>IF(F26&lt;&gt;"","",IF(G26="","",-G26*(SUMIF('bench Comparison'!$A:$A,"RESINV1USD",'bench Comparison'!$G:$G)+SUMIF('bench Comparison'!$A:$A,"RESSWAPORUSD",'bench Comparison'!$G:$G))/(36500*J26)))</f>
        <v/>
      </c>
      <c r="S26" s="210" t="str">
        <f>IF(G26&lt;&gt;"","",IF(F26="","",-36500*J26*F26/(SUMIF('bench Comparison'!$A:$A,"RESINV1USD",'bench Comparison'!$G:$G)+SUMIF('bench Comparison'!$A:$A,"RESSWAPORUSD",'bench Comparison'!$G:$G))))</f>
        <v/>
      </c>
      <c r="T26" s="125">
        <f>SUMIF('bench Comparison'!$E:$E,A26,'bench Comparison'!$N:$N)</f>
        <v>0</v>
      </c>
      <c r="U26" s="126">
        <f ca="1">VALUE(_xll.BDP($A26 &amp; " Corp",U$1))</f>
        <v>40354</v>
      </c>
      <c r="V26" s="127">
        <f ca="1">VALUE(_xll.BDP($A26 &amp; " Corp",V$1))</f>
        <v>40354</v>
      </c>
      <c r="W26" s="127">
        <f ca="1">VALUE(_xll.BDP($A26 &amp; " Corp",W$1))</f>
        <v>40558</v>
      </c>
      <c r="X26" s="127">
        <f ca="1">VALUE(_xll.BDP($A26 &amp; " Corp",X$1))</f>
        <v>42019</v>
      </c>
      <c r="Y26" s="127">
        <f ca="1">VALUE(_xll.BDP($A26 &amp; " Corp",Y$1))</f>
        <v>42200</v>
      </c>
      <c r="Z26" s="128">
        <f ca="1">_xll.BDP($A26 &amp; " Corp",Z$1)/100</f>
        <v>2.2499999999999999E-2</v>
      </c>
      <c r="AA26" s="129">
        <f ca="1">_xll.BDP($A26 &amp; " Corp",AA$1)</f>
        <v>2</v>
      </c>
      <c r="AB26" s="129">
        <f ca="1">_xll.BDP($A26 &amp; " Corp",AB$1)</f>
        <v>2550000000</v>
      </c>
      <c r="AC26" s="129" t="str">
        <f ca="1">_xll.BDP($A26 &amp; " Corp",AC$1)</f>
        <v>30/360</v>
      </c>
      <c r="AD26" s="130" t="str">
        <f ca="1">_xll.INSTANCE.YANKEE(A26,U26,V26,W26,X26,Y26,Z26,AA26,LEFT(AC26,11),3,IF(RIGHT(AC26,6)="NONEOM",FALSE,TRUE),TODAY())</f>
        <v>EI297586 Corp#0027</v>
      </c>
      <c r="AE26" s="130" t="str">
        <f ca="1">_xll.INSTANCE.CONVENTION.TAUX("conv_" &amp; A26,LEFT(AC26,11),"Compounded",IF(AA26=1,"Annual",IF(AA26=2,"Semi-Annual","")),"Unadjusted",TODAY())</f>
        <v>conv_EI297586 Corp#0027</v>
      </c>
    </row>
    <row r="27" spans="1:31" x14ac:dyDescent="0.2">
      <c r="A27" s="131" t="s">
        <v>876</v>
      </c>
      <c r="B27" s="115" t="str">
        <f ca="1">_xll.BDP($A27 &amp; " Govt",B$1)</f>
        <v>IADB 2 3/8 08/15/17</v>
      </c>
      <c r="C27" s="209" t="str">
        <f t="shared" ca="1" si="0"/>
        <v>IADB</v>
      </c>
      <c r="D27" s="116"/>
      <c r="E27" s="117"/>
      <c r="F27" s="118"/>
      <c r="G27" s="119"/>
      <c r="H27" s="120">
        <f ca="1">IF(E27="",_xll.BDP(A27 &amp; " Corp","YLD_YTM_BID")/100,E27)</f>
        <v>9.562671E-3</v>
      </c>
      <c r="I27" s="121">
        <f ca="1">_xll.INSTRUMENT.PRIX(AD27,D27,H27,AE27)</f>
        <v>107.05975411837542</v>
      </c>
      <c r="J27" s="122">
        <f ca="1">_xll.INSTRUMENT.DV01(AD27,,,I27,cContinuous,I27)</f>
        <v>-5.1979178019562575E-2</v>
      </c>
      <c r="K27" s="123">
        <f ca="1">_xll.INSTRUMENT.CONVEXITE(AD27,,,I27,cContinuous,I27)</f>
        <v>24.126857391271525</v>
      </c>
      <c r="L27" s="123">
        <f ca="1">_xll.INSTRUMENT.Z.SPREAD(AD27,swapCurve,I27,,D27)</f>
        <v>-1.5705073095318147</v>
      </c>
      <c r="M27" s="123">
        <f ca="1">_xll.INSTRUMENT.Z.SPREAD(AD27,ustCurve,I27,,D27)</f>
        <v>19.322100348056271</v>
      </c>
      <c r="N27" s="123">
        <f ca="1">_xll.INSTRUMENT.Z.SPREAD(AD27,oisCurve,I27,,D27)</f>
        <v>32.968109219005456</v>
      </c>
      <c r="O27" s="124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1.9936850447956268E-2</v>
      </c>
      <c r="P27" s="124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1.8069914682305635E-2</v>
      </c>
      <c r="Q27" s="143">
        <f t="shared" ca="1" si="1"/>
        <v>-464.16388851303657</v>
      </c>
      <c r="R27" s="199" t="str">
        <f>IF(F27&lt;&gt;"","",IF(G27="","",-G27*(SUMIF('bench Comparison'!$A:$A,"RESINV1USD",'bench Comparison'!$G:$G)+SUMIF('bench Comparison'!$A:$A,"RESSWAPORUSD",'bench Comparison'!$G:$G))/(36500*J27)))</f>
        <v/>
      </c>
      <c r="S27" s="210" t="str">
        <f>IF(G27&lt;&gt;"","",IF(F27="","",-36500*J27*F27/(SUMIF('bench Comparison'!$A:$A,"RESINV1USD",'bench Comparison'!$G:$G)+SUMIF('bench Comparison'!$A:$A,"RESSWAPORUSD",'bench Comparison'!$G:$G))))</f>
        <v/>
      </c>
      <c r="T27" s="125">
        <f>SUMIF('bench Comparison'!$E:$E,A27,'bench Comparison'!$N:$N)</f>
        <v>0</v>
      </c>
      <c r="U27" s="126">
        <f ca="1">VALUE(_xll.BDP($A27 &amp; " Corp",U$1))</f>
        <v>40402</v>
      </c>
      <c r="V27" s="127">
        <f ca="1">VALUE(_xll.BDP($A27 &amp; " Corp",V$1))</f>
        <v>40402</v>
      </c>
      <c r="W27" s="127">
        <f ca="1">VALUE(_xll.BDP($A27 &amp; " Corp",W$1))</f>
        <v>40589</v>
      </c>
      <c r="X27" s="127">
        <f ca="1">VALUE(_xll.BDP($A27 &amp; " Corp",X$1))</f>
        <v>42781</v>
      </c>
      <c r="Y27" s="127">
        <f ca="1">VALUE(_xll.BDP($A27 &amp; " Corp",Y$1))</f>
        <v>42962</v>
      </c>
      <c r="Z27" s="128">
        <f ca="1">_xll.BDP($A27 &amp; " Corp",Z$1)/100</f>
        <v>2.375E-2</v>
      </c>
      <c r="AA27" s="129">
        <f ca="1">_xll.BDP($A27 &amp; " Corp",AA$1)</f>
        <v>2</v>
      </c>
      <c r="AB27" s="129">
        <f ca="1">_xll.BDP($A27 &amp; " Corp",AB$1)</f>
        <v>1750000000</v>
      </c>
      <c r="AC27" s="129" t="str">
        <f ca="1">_xll.BDP($A27 &amp; " Corp",AC$1)</f>
        <v>30/360</v>
      </c>
      <c r="AD27" s="130" t="str">
        <f ca="1">_xll.INSTANCE.YANKEE(A27,U27,V27,W27,X27,Y27,Z27,AA27,LEFT(AC27,11),3,IF(RIGHT(AC27,6)="NONEOM",FALSE,TRUE),TODAY())</f>
        <v>EI347021 Corp#0027</v>
      </c>
      <c r="AE27" s="130" t="str">
        <f ca="1">_xll.INSTANCE.CONVENTION.TAUX("conv_" &amp; A27,LEFT(AC27,11),"Compounded",IF(AA27=1,"Annual",IF(AA27=2,"Semi-Annual","")),"Unadjusted",TODAY())</f>
        <v>conv_EI347021 Corp#0027</v>
      </c>
    </row>
    <row r="28" spans="1:31" x14ac:dyDescent="0.2">
      <c r="A28" s="131" t="s">
        <v>877</v>
      </c>
      <c r="B28" s="115" t="str">
        <f ca="1">_xll.BDP($A28 &amp; " Govt",B$1)</f>
        <v>IADB 3 04/22/14</v>
      </c>
      <c r="C28" s="209" t="str">
        <f t="shared" ca="1" si="0"/>
        <v>IADB</v>
      </c>
      <c r="D28" s="116"/>
      <c r="E28" s="117"/>
      <c r="F28" s="118"/>
      <c r="G28" s="119"/>
      <c r="H28" s="120">
        <f ca="1">IF(E28="",_xll.BDP(A28 &amp; " Corp","YLD_YTM_BID")/100,E28)</f>
        <v>4.0544069999999995E-3</v>
      </c>
      <c r="I28" s="121">
        <f ca="1">_xll.INSTRUMENT.PRIX(AD28,D28,H28,AE28)</f>
        <v>104.64100000911047</v>
      </c>
      <c r="J28" s="122">
        <f ca="1">_xll.INSTRUMENT.DV01(AD28,,,I28,cContinuous,I28)</f>
        <v>-1.8453483764547886E-2</v>
      </c>
      <c r="K28" s="123">
        <f ca="1">_xll.INSTRUMENT.CONVEXITE(AD28,,,I28,cContinuous,I28)</f>
        <v>3.1219687548387167</v>
      </c>
      <c r="L28" s="123">
        <f ca="1">_xll.INSTRUMENT.Z.SPREAD(AD28,swapCurve,I28,,D28)</f>
        <v>-12.136342307372734</v>
      </c>
      <c r="M28" s="123">
        <f ca="1">_xll.INSTRUMENT.Z.SPREAD(AD28,ustCurve,I28,,D28)</f>
        <v>7.8550874825161392</v>
      </c>
      <c r="N28" s="123">
        <f ca="1">_xll.INSTRUMENT.Z.SPREAD(AD28,oisCurve,I28,,D28)</f>
        <v>20.333801451469689</v>
      </c>
      <c r="O28" s="124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4.3109491288211219E-3</v>
      </c>
      <c r="P28" s="124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5.1501344979681916E-3</v>
      </c>
      <c r="Q28" s="143">
        <f t="shared" ca="1" si="1"/>
        <v>-169.18045365702281</v>
      </c>
      <c r="R28" s="199" t="str">
        <f>IF(F28&lt;&gt;"","",IF(G28="","",-G28*(SUMIF('bench Comparison'!$A:$A,"RESINV1USD",'bench Comparison'!$G:$G)+SUMIF('bench Comparison'!$A:$A,"RESSWAPORUSD",'bench Comparison'!$G:$G))/(36500*J28)))</f>
        <v/>
      </c>
      <c r="S28" s="210" t="str">
        <f>IF(G28&lt;&gt;"","",IF(F28="","",-36500*J28*F28/(SUMIF('bench Comparison'!$A:$A,"RESINV1USD",'bench Comparison'!$G:$G)+SUMIF('bench Comparison'!$A:$A,"RESSWAPORUSD",'bench Comparison'!$G:$G))))</f>
        <v/>
      </c>
      <c r="T28" s="125">
        <f>SUMIF('bench Comparison'!$E:$E,A28,'bench Comparison'!$N:$N)</f>
        <v>0</v>
      </c>
      <c r="U28" s="126">
        <f ca="1">VALUE(_xll.BDP($A28 &amp; " Corp",U$1))</f>
        <v>39925</v>
      </c>
      <c r="V28" s="127">
        <f ca="1">VALUE(_xll.BDP($A28 &amp; " Corp",V$1))</f>
        <v>39925</v>
      </c>
      <c r="W28" s="127">
        <f ca="1">VALUE(_xll.BDP($A28 &amp; " Corp",W$1))</f>
        <v>40108</v>
      </c>
      <c r="X28" s="127">
        <f ca="1">VALUE(_xll.BDP($A28 &amp; " Corp",X$1))</f>
        <v>41569</v>
      </c>
      <c r="Y28" s="127">
        <f ca="1">VALUE(_xll.BDP($A28 &amp; " Corp",Y$1))</f>
        <v>41751</v>
      </c>
      <c r="Z28" s="128">
        <f ca="1">_xll.BDP($A28 &amp; " Corp",Z$1)/100</f>
        <v>0.03</v>
      </c>
      <c r="AA28" s="129">
        <f ca="1">_xll.BDP($A28 &amp; " Corp",AA$1)</f>
        <v>2</v>
      </c>
      <c r="AB28" s="129">
        <f ca="1">_xll.BDP($A28 &amp; " Corp",AB$1)</f>
        <v>2500000000</v>
      </c>
      <c r="AC28" s="129" t="str">
        <f ca="1">_xll.BDP($A28 &amp; " Corp",AC$1)</f>
        <v>ISMA-30/360</v>
      </c>
      <c r="AD28" s="130" t="str">
        <f ca="1">_xll.INSTANCE.YANKEE(A28,U28,V28,W28,X28,Y28,Z28,AA28,LEFT(AC28,11),3,IF(RIGHT(AC28,6)="NONEOM",FALSE,TRUE),TODAY())</f>
        <v>EH790357 Corp#0027</v>
      </c>
      <c r="AE28" s="130" t="str">
        <f ca="1">_xll.INSTANCE.CONVENTION.TAUX("conv_" &amp; A28,LEFT(AC28,11),"Compounded",IF(AA28=1,"Annual",IF(AA28=2,"Semi-Annual","")),"Unadjusted",TODAY())</f>
        <v>conv_EH790357 Corp#0027</v>
      </c>
    </row>
    <row r="29" spans="1:31" x14ac:dyDescent="0.2">
      <c r="A29" s="131" t="s">
        <v>878</v>
      </c>
      <c r="B29" s="115" t="str">
        <f ca="1">_xll.BDP($A29 &amp; " Govt",B$1)</f>
        <v>IADB 3 1/2 03/15/13</v>
      </c>
      <c r="C29" s="209" t="str">
        <f t="shared" ca="1" si="0"/>
        <v>IADB</v>
      </c>
      <c r="D29" s="116"/>
      <c r="E29" s="117"/>
      <c r="F29" s="118"/>
      <c r="G29" s="119"/>
      <c r="H29" s="120">
        <f ca="1">IF(E29="",_xll.BDP(A29 &amp; " Corp","YLD_YTM_BID")/100,E29)</f>
        <v>3.3242580000000001E-3</v>
      </c>
      <c r="I29" s="121">
        <f ca="1">_xll.INSTRUMENT.PRIX(AD29,D29,H29,AE29)</f>
        <v>102.19496773056997</v>
      </c>
      <c r="J29" s="122">
        <f ca="1">_xll.INSTRUMENT.DV01(AD29,,,I29,cContinuous,I29)</f>
        <v>-7.0582381385765952E-3</v>
      </c>
      <c r="K29" s="123">
        <f ca="1">_xll.INSTRUMENT.CONVEXITE(AD29,,,I29,cContinuous,I29)</f>
        <v>0.47117895129214493</v>
      </c>
      <c r="L29" s="123">
        <f ca="1">_xll.INSTRUMENT.Z.SPREAD(AD29,swapCurve,I29,,D29)</f>
        <v>-13.828108575553552</v>
      </c>
      <c r="M29" s="123">
        <f ca="1">_xll.INSTRUMENT.Z.SPREAD(AD29,ustCurve,I29,,D29)</f>
        <v>11.831751869662835</v>
      </c>
      <c r="N29" s="123">
        <f ca="1">_xll.INSTRUMENT.Z.SPREAD(AD29,oisCurve,I29,,D29)</f>
        <v>15.126940348134648</v>
      </c>
      <c r="O29" s="124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3.0815682982625985E-3</v>
      </c>
      <c r="P29" s="124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3.9265719236094652E-3</v>
      </c>
      <c r="Q29" s="143">
        <f t="shared" ca="1" si="1"/>
        <v>-66.755887523393426</v>
      </c>
      <c r="R29" s="199" t="str">
        <f>IF(F29&lt;&gt;"","",IF(G29="","",-G29*(SUMIF('bench Comparison'!$A:$A,"RESINV1USD",'bench Comparison'!$G:$G)+SUMIF('bench Comparison'!$A:$A,"RESSWAPORUSD",'bench Comparison'!$G:$G))/(36500*J29)))</f>
        <v/>
      </c>
      <c r="S29" s="210" t="str">
        <f>IF(G29&lt;&gt;"","",IF(F29="","",-36500*J29*F29/(SUMIF('bench Comparison'!$A:$A,"RESINV1USD",'bench Comparison'!$G:$G)+SUMIF('bench Comparison'!$A:$A,"RESSWAPORUSD",'bench Comparison'!$G:$G))))</f>
        <v/>
      </c>
      <c r="T29" s="125">
        <f>SUMIF('bench Comparison'!$E:$E,A29,'bench Comparison'!$N:$N)</f>
        <v>0</v>
      </c>
      <c r="U29" s="126">
        <f ca="1">VALUE(_xll.BDP($A29 &amp; " Corp",U$1))</f>
        <v>39512</v>
      </c>
      <c r="V29" s="127">
        <f ca="1">VALUE(_xll.BDP($A29 &amp; " Corp",V$1))</f>
        <v>39512</v>
      </c>
      <c r="W29" s="127">
        <f ca="1">VALUE(_xll.BDP($A29 &amp; " Corp",W$1))</f>
        <v>39706</v>
      </c>
      <c r="X29" s="127">
        <f ca="1">VALUE(_xll.BDP($A29 &amp; " Corp",X$1))</f>
        <v>41167</v>
      </c>
      <c r="Y29" s="127">
        <f ca="1">VALUE(_xll.BDP($A29 &amp; " Corp",Y$1))</f>
        <v>41348</v>
      </c>
      <c r="Z29" s="128">
        <f ca="1">_xll.BDP($A29 &amp; " Corp",Z$1)/100</f>
        <v>3.5000000000000003E-2</v>
      </c>
      <c r="AA29" s="129">
        <f ca="1">_xll.BDP($A29 &amp; " Corp",AA$1)</f>
        <v>2</v>
      </c>
      <c r="AB29" s="129">
        <f ca="1">_xll.BDP($A29 &amp; " Corp",AB$1)</f>
        <v>1500000000</v>
      </c>
      <c r="AC29" s="129" t="str">
        <f ca="1">_xll.BDP($A29 &amp; " Corp",AC$1)</f>
        <v>ISMA-30/360</v>
      </c>
      <c r="AD29" s="130" t="str">
        <f ca="1">_xll.INSTANCE.YANKEE(A29,U29,V29,W29,X29,Y29,Z29,AA29,LEFT(AC29,11),3,IF(RIGHT(AC29,6)="NONEOM",FALSE,TRUE),TODAY())</f>
        <v>EH237816 Corp#0027</v>
      </c>
      <c r="AE29" s="130" t="str">
        <f ca="1">_xll.INSTANCE.CONVENTION.TAUX("conv_" &amp; A29,LEFT(AC29,11),"Compounded",IF(AA29=1,"Annual",IF(AA29=2,"Semi-Annual","")),"Unadjusted",TODAY())</f>
        <v>conv_EH237816 Corp#0027</v>
      </c>
    </row>
    <row r="30" spans="1:31" x14ac:dyDescent="0.2">
      <c r="A30" s="131" t="s">
        <v>879</v>
      </c>
      <c r="B30" s="115" t="str">
        <f ca="1">_xll.BDP($A30 &amp; " Govt",B$1)</f>
        <v>IADB 3 1/2 07/08/13</v>
      </c>
      <c r="C30" s="209" t="str">
        <f t="shared" ca="1" si="0"/>
        <v>IADB</v>
      </c>
      <c r="D30" s="116"/>
      <c r="E30" s="117"/>
      <c r="F30" s="118"/>
      <c r="G30" s="119"/>
      <c r="H30" s="120">
        <f ca="1">IF(E30="",_xll.BDP(A30 &amp; " Corp","YLD_YTM_BID")/100,E30)</f>
        <v>3.5763509999999997E-3</v>
      </c>
      <c r="I30" s="121">
        <f ca="1">_xll.INSTRUMENT.PRIX(AD30,D30,H30,AE30)</f>
        <v>103.15998258818603</v>
      </c>
      <c r="J30" s="122">
        <f ca="1">_xll.INSTRUMENT.DV01(AD30,,,I30,cContinuous,I30)</f>
        <v>-1.0299242707301166E-2</v>
      </c>
      <c r="K30" s="123">
        <f ca="1">_xll.INSTRUMENT.CONVEXITE(AD30,,,I30,cContinuous,I30)</f>
        <v>0.98434157827788138</v>
      </c>
      <c r="L30" s="123">
        <f ca="1">_xll.INSTRUMENT.Z.SPREAD(AD30,swapCurve,I30,,D30)</f>
        <v>-13.059199392533573</v>
      </c>
      <c r="M30" s="123">
        <f ca="1">_xll.INSTRUMENT.Z.SPREAD(AD30,ustCurve,I30,,D30)</f>
        <v>9.9678172066861048</v>
      </c>
      <c r="N30" s="123">
        <f ca="1">_xll.INSTRUMENT.Z.SPREAD(AD30,oisCurve,I30,,D30)</f>
        <v>17.261027552279906</v>
      </c>
      <c r="O30" s="124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2.9029690584149895E-3</v>
      </c>
      <c r="P30" s="124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4.2388258535309888E-3</v>
      </c>
      <c r="Q30" s="143">
        <f t="shared" ca="1" si="1"/>
        <v>-95.574170475667941</v>
      </c>
      <c r="R30" s="199" t="str">
        <f>IF(F30&lt;&gt;"","",IF(G30="","",-G30*(SUMIF('bench Comparison'!$A:$A,"RESINV1USD",'bench Comparison'!$G:$G)+SUMIF('bench Comparison'!$A:$A,"RESSWAPORUSD",'bench Comparison'!$G:$G))/(36500*J30)))</f>
        <v/>
      </c>
      <c r="S30" s="210" t="str">
        <f>IF(G30&lt;&gt;"","",IF(F30="","",-36500*J30*F30/(SUMIF('bench Comparison'!$A:$A,"RESINV1USD",'bench Comparison'!$G:$G)+SUMIF('bench Comparison'!$A:$A,"RESSWAPORUSD",'bench Comparison'!$G:$G))))</f>
        <v/>
      </c>
      <c r="T30" s="125">
        <f>SUMIF('bench Comparison'!$E:$E,A30,'bench Comparison'!$N:$N)</f>
        <v>0</v>
      </c>
      <c r="U30" s="126">
        <f ca="1">VALUE(_xll.BDP($A30 &amp; " Corp",U$1))</f>
        <v>37810</v>
      </c>
      <c r="V30" s="127">
        <f ca="1">VALUE(_xll.BDP($A30 &amp; " Corp",V$1))</f>
        <v>37810</v>
      </c>
      <c r="W30" s="127">
        <f ca="1">VALUE(_xll.BDP($A30 &amp; " Corp",W$1))</f>
        <v>37994</v>
      </c>
      <c r="X30" s="127">
        <f ca="1">VALUE(_xll.BDP($A30 &amp; " Corp",X$1))</f>
        <v>41282</v>
      </c>
      <c r="Y30" s="127">
        <f ca="1">VALUE(_xll.BDP($A30 &amp; " Corp",Y$1))</f>
        <v>41463</v>
      </c>
      <c r="Z30" s="128">
        <f ca="1">_xll.BDP($A30 &amp; " Corp",Z$1)/100</f>
        <v>3.5000000000000003E-2</v>
      </c>
      <c r="AA30" s="129">
        <f ca="1">_xll.BDP($A30 &amp; " Corp",AA$1)</f>
        <v>2</v>
      </c>
      <c r="AB30" s="129">
        <f ca="1">_xll.BDP($A30 &amp; " Corp",AB$1)</f>
        <v>1000000000</v>
      </c>
      <c r="AC30" s="129" t="str">
        <f ca="1">_xll.BDP($A30 &amp; " Corp",AC$1)</f>
        <v>ISMA-30/360</v>
      </c>
      <c r="AD30" s="130" t="str">
        <f ca="1">_xll.INSTANCE.YANKEE(A30,U30,V30,W30,X30,Y30,Z30,AA30,LEFT(AC30,11),3,IF(RIGHT(AC30,6)="NONEOM",FALSE,TRUE),TODAY())</f>
        <v>ED037578 Corp#0027</v>
      </c>
      <c r="AE30" s="130" t="str">
        <f ca="1">_xll.INSTANCE.CONVENTION.TAUX("conv_" &amp; A30,LEFT(AC30,11),"Compounded",IF(AA30=1,"Annual",IF(AA30=2,"Semi-Annual","")),"Unadjusted",TODAY())</f>
        <v>conv_ED037578 Corp#0027</v>
      </c>
    </row>
    <row r="31" spans="1:31" x14ac:dyDescent="0.2">
      <c r="A31" s="131" t="s">
        <v>880</v>
      </c>
      <c r="B31" s="115" t="str">
        <f ca="1">_xll.BDP($A31 &amp; " Govt",B$1)</f>
        <v>IADB 3 7/8 09/17/19</v>
      </c>
      <c r="C31" s="209" t="str">
        <f t="shared" ca="1" si="0"/>
        <v>IADB</v>
      </c>
      <c r="D31" s="116"/>
      <c r="E31" s="117"/>
      <c r="F31" s="118"/>
      <c r="G31" s="119"/>
      <c r="H31" s="120">
        <f ca="1">IF(E31="",_xll.BDP(A31 &amp; " Corp","YLD_YTM_BID")/100,E31)</f>
        <v>1.3853420999999999E-2</v>
      </c>
      <c r="I31" s="121">
        <f ca="1">_xll.INSTRUMENT.PRIX(AD31,D31,H31,AE31)</f>
        <v>117.00251196959317</v>
      </c>
      <c r="J31" s="122">
        <f ca="1">_xll.INSTRUMENT.DV01(AD31,,,I31,cContinuous,I31)</f>
        <v>-7.5246334589015473E-2</v>
      </c>
      <c r="K31" s="123">
        <f ca="1">_xll.INSTRUMENT.CONVEXITE(AD31,,,I31,cContinuous,I31)</f>
        <v>43.917941759420366</v>
      </c>
      <c r="L31" s="123">
        <f ca="1">_xll.INSTRUMENT.Z.SPREAD(AD31,swapCurve,I31,,D31)</f>
        <v>4.3972036821376106</v>
      </c>
      <c r="M31" s="123">
        <f ca="1">_xll.INSTRUMENT.Z.SPREAD(AD31,ustCurve,I31,,D31)</f>
        <v>25.428377069146105</v>
      </c>
      <c r="N31" s="123">
        <f ca="1">_xll.INSTRUMENT.Z.SPREAD(AD31,oisCurve,I31,,D31)</f>
        <v>39.721551131028228</v>
      </c>
      <c r="O31" s="124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2.6655169180447164E-2</v>
      </c>
      <c r="P31" s="124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2.4664064254303317E-2</v>
      </c>
      <c r="Q31" s="143">
        <f t="shared" ca="1" si="1"/>
        <v>-583.65556274991695</v>
      </c>
      <c r="R31" s="199" t="str">
        <f>IF(F31&lt;&gt;"","",IF(G31="","",-G31*(SUMIF('bench Comparison'!$A:$A,"RESINV1USD",'bench Comparison'!$G:$G)+SUMIF('bench Comparison'!$A:$A,"RESSWAPORUSD",'bench Comparison'!$G:$G))/(36500*J31)))</f>
        <v/>
      </c>
      <c r="S31" s="210" t="str">
        <f>IF(G31&lt;&gt;"","",IF(F31="","",-36500*J31*F31/(SUMIF('bench Comparison'!$A:$A,"RESINV1USD",'bench Comparison'!$G:$G)+SUMIF('bench Comparison'!$A:$A,"RESSWAPORUSD",'bench Comparison'!$G:$G))))</f>
        <v/>
      </c>
      <c r="T31" s="125">
        <f>SUMIF('bench Comparison'!$E:$E,A31,'bench Comparison'!$N:$N)</f>
        <v>0</v>
      </c>
      <c r="U31" s="126">
        <f ca="1">VALUE(_xll.BDP($A31 &amp; " Corp",U$1))</f>
        <v>40073</v>
      </c>
      <c r="V31" s="127">
        <f ca="1">VALUE(_xll.BDP($A31 &amp; " Corp",V$1))</f>
        <v>40073</v>
      </c>
      <c r="W31" s="127">
        <f ca="1">VALUE(_xll.BDP($A31 &amp; " Corp",W$1))</f>
        <v>40254</v>
      </c>
      <c r="X31" s="127">
        <f ca="1">VALUE(_xll.BDP($A31 &amp; " Corp",X$1))</f>
        <v>43541</v>
      </c>
      <c r="Y31" s="127">
        <f ca="1">VALUE(_xll.BDP($A31 &amp; " Corp",Y$1))</f>
        <v>43725</v>
      </c>
      <c r="Z31" s="128">
        <f ca="1">_xll.BDP($A31 &amp; " Corp",Z$1)/100</f>
        <v>3.875E-2</v>
      </c>
      <c r="AA31" s="129">
        <f ca="1">_xll.BDP($A31 &amp; " Corp",AA$1)</f>
        <v>2</v>
      </c>
      <c r="AB31" s="129">
        <f ca="1">_xll.BDP($A31 &amp; " Corp",AB$1)</f>
        <v>1750000000</v>
      </c>
      <c r="AC31" s="129" t="str">
        <f ca="1">_xll.BDP($A31 &amp; " Corp",AC$1)</f>
        <v>30/360</v>
      </c>
      <c r="AD31" s="130" t="str">
        <f ca="1">_xll.INSTANCE.YANKEE(A31,U31,V31,W31,X31,Y31,Z31,AA31,LEFT(AC31,11),3,IF(RIGHT(AC31,6)="NONEOM",FALSE,TRUE),TODAY())</f>
        <v>EH967487 Corp#0027</v>
      </c>
      <c r="AE31" s="130" t="str">
        <f ca="1">_xll.INSTANCE.CONVENTION.TAUX("conv_" &amp; A31,LEFT(AC31,11),"Compounded",IF(AA31=1,"Annual",IF(AA31=2,"Semi-Annual","")),"Unadjusted",TODAY())</f>
        <v>conv_EH967487 Corp#0027</v>
      </c>
    </row>
    <row r="32" spans="1:31" x14ac:dyDescent="0.2">
      <c r="A32" s="131" t="s">
        <v>881</v>
      </c>
      <c r="B32" s="115" t="str">
        <f ca="1">_xll.BDP($A32 &amp; " Govt",B$1)</f>
        <v>IADB 3 7/8 02/14/20</v>
      </c>
      <c r="C32" s="209" t="str">
        <f t="shared" ca="1" si="0"/>
        <v>IADB</v>
      </c>
      <c r="D32" s="116"/>
      <c r="E32" s="117"/>
      <c r="F32" s="118"/>
      <c r="G32" s="119"/>
      <c r="H32" s="120">
        <f ca="1">IF(E32="",_xll.BDP(A32 &amp; " Corp","YLD_YTM_BID")/100,E32)</f>
        <v>1.4525588854255912E-2</v>
      </c>
      <c r="I32" s="121">
        <f ca="1">_xll.INSTRUMENT.PRIX(AD32,D32,H32,AE32)</f>
        <v>117.38704317722863</v>
      </c>
      <c r="J32" s="122">
        <f ca="1">_xll.INSTRUMENT.DV01(AD32,,,I32,cContinuous,I32)</f>
        <v>-7.9286662648648684E-2</v>
      </c>
      <c r="K32" s="123">
        <f ca="1">_xll.INSTRUMENT.CONVEXITE(AD32,,,I32,cContinuous,I32)</f>
        <v>48.50676291145669</v>
      </c>
      <c r="L32" s="123">
        <f ca="1">_xll.INSTRUMENT.Z.SPREAD(AD32,swapCurve,I32,,D32)</f>
        <v>4.8580139597444978</v>
      </c>
      <c r="M32" s="123">
        <f ca="1">_xll.INSTRUMENT.Z.SPREAD(AD32,ustCurve,I32,,D32)</f>
        <v>24.803801980995882</v>
      </c>
      <c r="N32" s="123">
        <f ca="1">_xll.INSTRUMENT.Z.SPREAD(AD32,oisCurve,I32,,D32)</f>
        <v>39.857340323323648</v>
      </c>
      <c r="O32" s="124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2.6764793676383989E-2</v>
      </c>
      <c r="P32" s="124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2.4663959017602297E-2</v>
      </c>
      <c r="Q32" s="143">
        <f t="shared" ca="1" si="1"/>
        <v>-611.78969187301777</v>
      </c>
      <c r="R32" s="199" t="str">
        <f>IF(F32&lt;&gt;"","",IF(G32="","",-G32*(SUMIF('bench Comparison'!$A:$A,"RESINV1USD",'bench Comparison'!$G:$G)+SUMIF('bench Comparison'!$A:$A,"RESSWAPORUSD",'bench Comparison'!$G:$G))/(36500*J32)))</f>
        <v/>
      </c>
      <c r="S32" s="210" t="str">
        <f>IF(G32&lt;&gt;"","",IF(F32="","",-36500*J32*F32/(SUMIF('bench Comparison'!$A:$A,"RESINV1USD",'bench Comparison'!$G:$G)+SUMIF('bench Comparison'!$A:$A,"RESSWAPORUSD",'bench Comparison'!$G:$G))))</f>
        <v/>
      </c>
      <c r="T32" s="125">
        <f>SUMIF('bench Comparison'!$E:$E,A32,'bench Comparison'!$N:$N)</f>
        <v>0</v>
      </c>
      <c r="U32" s="126">
        <f ca="1">VALUE(_xll.BDP($A32 &amp; " Corp",U$1))</f>
        <v>40226</v>
      </c>
      <c r="V32" s="127">
        <f ca="1">VALUE(_xll.BDP($A32 &amp; " Corp",V$1))</f>
        <v>40226</v>
      </c>
      <c r="W32" s="127">
        <f ca="1">VALUE(_xll.BDP($A32 &amp; " Corp",W$1))</f>
        <v>40407</v>
      </c>
      <c r="X32" s="127">
        <f ca="1">VALUE(_xll.BDP($A32 &amp; " Corp",X$1))</f>
        <v>43694</v>
      </c>
      <c r="Y32" s="127">
        <f ca="1">VALUE(_xll.BDP($A32 &amp; " Corp",Y$1))</f>
        <v>43875</v>
      </c>
      <c r="Z32" s="128">
        <f ca="1">_xll.BDP($A32 &amp; " Corp",Z$1)/100</f>
        <v>3.875E-2</v>
      </c>
      <c r="AA32" s="129">
        <f ca="1">_xll.BDP($A32 &amp; " Corp",AA$1)</f>
        <v>2</v>
      </c>
      <c r="AB32" s="129">
        <f ca="1">_xll.BDP($A32 &amp; " Corp",AB$1)</f>
        <v>1500000000</v>
      </c>
      <c r="AC32" s="129" t="str">
        <f ca="1">_xll.BDP($A32 &amp; " Corp",AC$1)</f>
        <v>ISMA-30/360</v>
      </c>
      <c r="AD32" s="130" t="str">
        <f ca="1">_xll.INSTANCE.YANKEE(A32,U32,V32,W32,X32,Y32,Z32,AA32,LEFT(AC32,11),3,IF(RIGHT(AC32,6)="NONEOM",FALSE,TRUE),TODAY())</f>
        <v>EI143648 Corp#0027</v>
      </c>
      <c r="AE32" s="130" t="str">
        <f ca="1">_xll.INSTANCE.CONVENTION.TAUX("conv_" &amp; A32,LEFT(AC32,11),"Compounded",IF(AA32=1,"Annual",IF(AA32=2,"Semi-Annual","")),"Unadjusted",TODAY())</f>
        <v>conv_EI143648 Corp#0027</v>
      </c>
    </row>
    <row r="33" spans="1:31" x14ac:dyDescent="0.2">
      <c r="A33" s="131" t="s">
        <v>882</v>
      </c>
      <c r="B33" s="115" t="str">
        <f ca="1">_xll.BDP($A33 &amp; " Govt",B$1)</f>
        <v>IADB 4 1/4 09/14/15</v>
      </c>
      <c r="C33" s="209" t="str">
        <f t="shared" ref="C33:C64" ca="1" si="2">LEFT(B33,SEARCH(" ",B33)-1)</f>
        <v>IADB</v>
      </c>
      <c r="D33" s="116"/>
      <c r="E33" s="117"/>
      <c r="F33" s="118"/>
      <c r="G33" s="119"/>
      <c r="H33" s="120">
        <f ca="1">IF(E33="",_xll.BDP(A33 &amp; " Corp","YLD_YTM_BID")/100,E33)</f>
        <v>6.1213740000000006E-3</v>
      </c>
      <c r="I33" s="121">
        <f ca="1">_xll.INSTRUMENT.PRIX(AD33,D33,H33,AE33)</f>
        <v>111.47982165185837</v>
      </c>
      <c r="J33" s="122">
        <f ca="1">_xll.INSTRUMENT.DV01(AD33,,,I33,cContinuous,I33)</f>
        <v>-3.3798956186034589E-2</v>
      </c>
      <c r="K33" s="123">
        <f ca="1">_xll.INSTRUMENT.CONVEXITE(AD33,,,I33,cContinuous,I33)</f>
        <v>9.3677277308167053</v>
      </c>
      <c r="L33" s="123">
        <f ca="1">_xll.INSTRUMENT.Z.SPREAD(AD33,swapCurve,I33,,D33)</f>
        <v>-2.4773165467922436</v>
      </c>
      <c r="M33" s="123">
        <f ca="1">_xll.INSTRUMENT.Z.SPREAD(AD33,ustCurve,I33,,D33)</f>
        <v>14.995097375798709</v>
      </c>
      <c r="N33" s="123">
        <f ca="1">_xll.INSTRUMENT.Z.SPREAD(AD33,oisCurve,I33,,D33)</f>
        <v>32.718002989731183</v>
      </c>
      <c r="O33" s="124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9.2696957513412771E-3</v>
      </c>
      <c r="P33" s="124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9.5718566446796154E-3</v>
      </c>
      <c r="Q33" s="143">
        <f t="shared" ref="Q33:Q64" ca="1" si="3">K33/J33</f>
        <v>-277.16026729509957</v>
      </c>
      <c r="R33" s="199" t="str">
        <f>IF(F33&lt;&gt;"","",IF(G33="","",-G33*(SUMIF('bench Comparison'!$A:$A,"RESINV1USD",'bench Comparison'!$G:$G)+SUMIF('bench Comparison'!$A:$A,"RESSWAPORUSD",'bench Comparison'!$G:$G))/(36500*J33)))</f>
        <v/>
      </c>
      <c r="S33" s="210" t="str">
        <f>IF(G33&lt;&gt;"","",IF(F33="","",-36500*J33*F33/(SUMIF('bench Comparison'!$A:$A,"RESINV1USD",'bench Comparison'!$G:$G)+SUMIF('bench Comparison'!$A:$A,"RESSWAPORUSD",'bench Comparison'!$G:$G))))</f>
        <v/>
      </c>
      <c r="T33" s="125">
        <f>SUMIF('bench Comparison'!$E:$E,A33,'bench Comparison'!$N:$N)</f>
        <v>0</v>
      </c>
      <c r="U33" s="126">
        <f ca="1">VALUE(_xll.BDP($A33 &amp; " Corp",U$1))</f>
        <v>38609</v>
      </c>
      <c r="V33" s="127">
        <f ca="1">VALUE(_xll.BDP($A33 &amp; " Corp",V$1))</f>
        <v>38609</v>
      </c>
      <c r="W33" s="127">
        <f ca="1">VALUE(_xll.BDP($A33 &amp; " Corp",W$1))</f>
        <v>38790</v>
      </c>
      <c r="X33" s="127">
        <f ca="1">VALUE(_xll.BDP($A33 &amp; " Corp",X$1))</f>
        <v>42077</v>
      </c>
      <c r="Y33" s="127">
        <f ca="1">VALUE(_xll.BDP($A33 &amp; " Corp",Y$1))</f>
        <v>42261</v>
      </c>
      <c r="Z33" s="128">
        <f ca="1">_xll.BDP($A33 &amp; " Corp",Z$1)/100</f>
        <v>4.2500000000000003E-2</v>
      </c>
      <c r="AA33" s="129">
        <f ca="1">_xll.BDP($A33 &amp; " Corp",AA$1)</f>
        <v>2</v>
      </c>
      <c r="AB33" s="129">
        <f ca="1">_xll.BDP($A33 &amp; " Corp",AB$1)</f>
        <v>1000000000</v>
      </c>
      <c r="AC33" s="129" t="str">
        <f ca="1">_xll.BDP($A33 &amp; " Corp",AC$1)</f>
        <v>ISMA-30/360</v>
      </c>
      <c r="AD33" s="130" t="str">
        <f ca="1">_xll.INSTANCE.YANKEE(A33,U33,V33,W33,X33,Y33,Z33,AA33,LEFT(AC33,11),3,IF(RIGHT(AC33,6)="NONEOM",FALSE,TRUE),TODAY())</f>
        <v>EF086162 Corp#0027</v>
      </c>
      <c r="AE33" s="130" t="str">
        <f ca="1">_xll.INSTANCE.CONVENTION.TAUX("conv_" &amp; A33,LEFT(AC33,11),"Compounded",IF(AA33=1,"Annual",IF(AA33=2,"Semi-Annual","")),"Unadjusted",TODAY())</f>
        <v>conv_EF086162 Corp#0027</v>
      </c>
    </row>
    <row r="34" spans="1:31" x14ac:dyDescent="0.2">
      <c r="A34" s="131" t="s">
        <v>883</v>
      </c>
      <c r="B34" s="115" t="str">
        <f ca="1">_xll.BDP($A34 &amp; " Govt",B$1)</f>
        <v>IADB 4 1/4 09/10/18</v>
      </c>
      <c r="C34" s="209" t="str">
        <f t="shared" ca="1" si="2"/>
        <v>IADB</v>
      </c>
      <c r="D34" s="116"/>
      <c r="E34" s="117"/>
      <c r="F34" s="118"/>
      <c r="G34" s="119"/>
      <c r="H34" s="120">
        <f ca="1">IF(E34="",_xll.BDP(A34 &amp; " Corp","YLD_YTM_BID")/100,E34)</f>
        <v>1.1262482000000001E-2</v>
      </c>
      <c r="I34" s="121">
        <f ca="1">_xll.INSTRUMENT.PRIX(AD34,D34,H34,AE34)</f>
        <v>118.59762093838459</v>
      </c>
      <c r="J34" s="122">
        <f ca="1">_xll.INSTRUMENT.DV01(AD34,,,I34,cContinuous,I34)</f>
        <v>-6.6054579544168282E-2</v>
      </c>
      <c r="K34" s="123">
        <f ca="1">_xll.INSTRUMENT.CONVEXITE(AD34,,,I34,cContinuous,I34)</f>
        <v>32.698271663387779</v>
      </c>
      <c r="L34" s="123">
        <f ca="1">_xll.INSTRUMENT.Z.SPREAD(AD34,swapCurve,I34,,D34)</f>
        <v>-2.5214561092689878</v>
      </c>
      <c r="M34" s="123">
        <f ca="1">_xll.INSTRUMENT.Z.SPREAD(AD34,ustCurve,I34,,D34)</f>
        <v>18.268073383731966</v>
      </c>
      <c r="N34" s="123">
        <f ca="1">_xll.INSTRUMENT.Z.SPREAD(AD34,oisCurve,I34,,D34)</f>
        <v>31.591911872472242</v>
      </c>
      <c r="O34" s="124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2.380179124141309E-2</v>
      </c>
      <c r="P34" s="124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2.1849944060390269E-2</v>
      </c>
      <c r="Q34" s="143">
        <f t="shared" ca="1" si="3"/>
        <v>-495.01899624572798</v>
      </c>
      <c r="R34" s="199" t="str">
        <f>IF(F34&lt;&gt;"","",IF(G34="","",-G34*(SUMIF('bench Comparison'!$A:$A,"RESINV1USD",'bench Comparison'!$G:$G)+SUMIF('bench Comparison'!$A:$A,"RESSWAPORUSD",'bench Comparison'!$G:$G))/(36500*J34)))</f>
        <v/>
      </c>
      <c r="S34" s="210" t="str">
        <f>IF(G34&lt;&gt;"","",IF(F34="","",-36500*J34*F34/(SUMIF('bench Comparison'!$A:$A,"RESINV1USD",'bench Comparison'!$G:$G)+SUMIF('bench Comparison'!$A:$A,"RESSWAPORUSD",'bench Comparison'!$G:$G))))</f>
        <v/>
      </c>
      <c r="T34" s="125">
        <f>SUMIF('bench Comparison'!$E:$E,A34,'bench Comparison'!$N:$N)</f>
        <v>0</v>
      </c>
      <c r="U34" s="126">
        <f ca="1">VALUE(_xll.BDP($A34 &amp; " Corp",U$1))</f>
        <v>39701</v>
      </c>
      <c r="V34" s="127">
        <f ca="1">VALUE(_xll.BDP($A34 &amp; " Corp",V$1))</f>
        <v>39701</v>
      </c>
      <c r="W34" s="127">
        <f ca="1">VALUE(_xll.BDP($A34 &amp; " Corp",W$1))</f>
        <v>39882</v>
      </c>
      <c r="X34" s="127">
        <f ca="1">VALUE(_xll.BDP($A34 &amp; " Corp",X$1))</f>
        <v>43169</v>
      </c>
      <c r="Y34" s="127">
        <f ca="1">VALUE(_xll.BDP($A34 &amp; " Corp",Y$1))</f>
        <v>43353</v>
      </c>
      <c r="Z34" s="128">
        <f ca="1">_xll.BDP($A34 &amp; " Corp",Z$1)/100</f>
        <v>4.2500000000000003E-2</v>
      </c>
      <c r="AA34" s="129">
        <f ca="1">_xll.BDP($A34 &amp; " Corp",AA$1)</f>
        <v>2</v>
      </c>
      <c r="AB34" s="129">
        <f ca="1">_xll.BDP($A34 &amp; " Corp",AB$1)</f>
        <v>1000000000</v>
      </c>
      <c r="AC34" s="129" t="str">
        <f ca="1">_xll.BDP($A34 &amp; " Corp",AC$1)</f>
        <v>ISMA-30/360</v>
      </c>
      <c r="AD34" s="130" t="str">
        <f ca="1">_xll.INSTANCE.YANKEE(A34,U34,V34,W34,X34,Y34,Z34,AA34,LEFT(AC34,11),3,IF(RIGHT(AC34,6)="NONEOM",FALSE,TRUE),TODAY())</f>
        <v>EH539714 Corp#0027</v>
      </c>
      <c r="AE34" s="130" t="str">
        <f ca="1">_xll.INSTANCE.CONVENTION.TAUX("conv_" &amp; A34,LEFT(AC34,11),"Compounded",IF(AA34=1,"Annual",IF(AA34=2,"Semi-Annual","")),"Unadjusted",TODAY())</f>
        <v>conv_EH539714 Corp#0027</v>
      </c>
    </row>
    <row r="35" spans="1:31" x14ac:dyDescent="0.2">
      <c r="A35" s="131" t="s">
        <v>884</v>
      </c>
      <c r="B35" s="115" t="str">
        <f ca="1">_xll.BDP($A35 &amp; " Govt",B$1)</f>
        <v>IADB 4 3/8 09/20/12</v>
      </c>
      <c r="C35" s="209" t="str">
        <f t="shared" ca="1" si="2"/>
        <v>IADB</v>
      </c>
      <c r="D35" s="116"/>
      <c r="E35" s="117"/>
      <c r="F35" s="118"/>
      <c r="G35" s="119"/>
      <c r="H35" s="120">
        <f ca="1">IF(E35="",_xll.BDP(A35 &amp; " Corp","YLD_YTM_BID")/100,E35)</f>
        <v>-7.4355586948685829E-3</v>
      </c>
      <c r="I35" s="121">
        <f ca="1">_xll.INSTRUMENT.PRIX(AD35,D35,H35,AE35)</f>
        <v>101.07017252069737</v>
      </c>
      <c r="J35" s="122">
        <f ca="1">_xll.INSTRUMENT.DV01(AD35,,,I35,cContinuous,I35)</f>
        <v>-2.1531851525160885E-3</v>
      </c>
      <c r="K35" s="123">
        <f ca="1">_xll.INSTRUMENT.CONVEXITE(AD35,,,I35,cContinuous,I35)</f>
        <v>4.426080205440594E-2</v>
      </c>
      <c r="L35" s="123">
        <f ca="1">_xll.INSTRUMENT.Z.SPREAD(AD35,swapCurve,I35,,D35)</f>
        <v>-116.43694838255718</v>
      </c>
      <c r="M35" s="123">
        <f ca="1">_xll.INSTRUMENT.Z.SPREAD(AD35,ustCurve,I35,,D35)</f>
        <v>-87.94990080811634</v>
      </c>
      <c r="N35" s="123">
        <f ca="1">_xll.INSTRUMENT.Z.SPREAD(AD35,oisCurve,I35,,D35)</f>
        <v>-91.279344682750803</v>
      </c>
      <c r="O35" s="124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-7.6251525557446262E-3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>
        <f t="shared" ca="1" si="3"/>
        <v>-20.555966588700144</v>
      </c>
      <c r="R35" s="199" t="str">
        <f>IF(F35&lt;&gt;"","",IF(G35="","",-G35*(SUMIF('bench Comparison'!$A:$A,"RESINV1USD",'bench Comparison'!$G:$G)+SUMIF('bench Comparison'!$A:$A,"RESSWAPORUSD",'bench Comparison'!$G:$G))/(36500*J35)))</f>
        <v/>
      </c>
      <c r="S35" s="210" t="str">
        <f>IF(G35&lt;&gt;"","",IF(F35="","",-36500*J35*F35/(SUMIF('bench Comparison'!$A:$A,"RESINV1USD",'bench Comparison'!$G:$G)+SUMIF('bench Comparison'!$A:$A,"RESSWAPORUSD",'bench Comparison'!$G:$G))))</f>
        <v/>
      </c>
      <c r="T35" s="125">
        <f>SUMIF('bench Comparison'!$E:$E,A35,'bench Comparison'!$N:$N)</f>
        <v>0</v>
      </c>
      <c r="U35" s="126">
        <f ca="1">VALUE(_xll.BDP($A35 &amp; " Corp",U$1))</f>
        <v>37519</v>
      </c>
      <c r="V35" s="127">
        <f ca="1">VALUE(_xll.BDP($A35 &amp; " Corp",V$1))</f>
        <v>37519</v>
      </c>
      <c r="W35" s="127">
        <f ca="1">VALUE(_xll.BDP($A35 &amp; " Corp",W$1))</f>
        <v>37700</v>
      </c>
      <c r="X35" s="127">
        <f ca="1">VALUE(_xll.BDP($A35 &amp; " Corp",X$1))</f>
        <v>40988</v>
      </c>
      <c r="Y35" s="127">
        <f ca="1">VALUE(_xll.BDP($A35 &amp; " Corp",Y$1))</f>
        <v>41172</v>
      </c>
      <c r="Z35" s="128">
        <f ca="1">_xll.BDP($A35 &amp; " Corp",Z$1)/100</f>
        <v>4.3749999999999997E-2</v>
      </c>
      <c r="AA35" s="129">
        <f ca="1">_xll.BDP($A35 &amp; " Corp",AA$1)</f>
        <v>2</v>
      </c>
      <c r="AB35" s="129">
        <f ca="1">_xll.BDP($A35 &amp; " Corp",AB$1)</f>
        <v>2000000000</v>
      </c>
      <c r="AC35" s="129" t="str">
        <f ca="1">_xll.BDP($A35 &amp; " Corp",AC$1)</f>
        <v>ISMA-30/360</v>
      </c>
      <c r="AD35" s="130" t="str">
        <f ca="1">_xll.INSTANCE.YANKEE(A35,U35,V35,W35,X35,Y35,Z35,AA35,LEFT(AC35,11),3,IF(RIGHT(AC35,6)="NONEOM",FALSE,TRUE),TODAY())</f>
        <v>EC687043 Corp#0027</v>
      </c>
      <c r="AE35" s="130" t="str">
        <f ca="1">_xll.INSTANCE.CONVENTION.TAUX("conv_" &amp; A35,LEFT(AC35,11),"Compounded",IF(AA35=1,"Annual",IF(AA35=2,"Semi-Annual","")),"Unadjusted",TODAY())</f>
        <v>conv_EC687043 Corp#0027</v>
      </c>
    </row>
    <row r="36" spans="1:31" x14ac:dyDescent="0.2">
      <c r="A36" s="131" t="s">
        <v>885</v>
      </c>
      <c r="B36" s="115" t="str">
        <f ca="1">_xll.BDP($A36 &amp; " Govt",B$1)</f>
        <v>IADB 4 1/2 09/15/14</v>
      </c>
      <c r="C36" s="209" t="str">
        <f t="shared" ca="1" si="2"/>
        <v>IADB</v>
      </c>
      <c r="D36" s="116"/>
      <c r="E36" s="117"/>
      <c r="F36" s="118"/>
      <c r="G36" s="119"/>
      <c r="H36" s="120">
        <f ca="1">IF(E36="",_xll.BDP(A36 &amp; " Corp","YLD_YTM_BID")/100,E36)</f>
        <v>4.9055649999999998E-3</v>
      </c>
      <c r="I36" s="121">
        <f ca="1">_xll.INSTRUMENT.PRIX(AD36,D36,H36,AE36)</f>
        <v>108.73984768918189</v>
      </c>
      <c r="J36" s="122">
        <f ca="1">_xll.INSTRUMENT.DV01(AD36,,,I36,cContinuous,I36)</f>
        <v>-2.3060477307941016E-2</v>
      </c>
      <c r="K36" s="123">
        <f ca="1">_xll.INSTRUMENT.CONVEXITE(AD36,,,I36,cContinuous,I36)</f>
        <v>4.5278802863133301</v>
      </c>
      <c r="L36" s="123">
        <f ca="1">_xll.INSTRUMENT.Z.SPREAD(AD36,swapCurve,I36,,D36)</f>
        <v>-5.8235402949712132</v>
      </c>
      <c r="M36" s="123">
        <f ca="1">_xll.INSTRUMENT.Z.SPREAD(AD36,ustCurve,I36,,D36)</f>
        <v>12.989524311595103</v>
      </c>
      <c r="N36" s="123">
        <f ca="1">_xll.INSTRUMENT.Z.SPREAD(AD36,oisCurve,I36,,D36)</f>
        <v>27.682610060030928</v>
      </c>
      <c r="O36" s="124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5.0820244384167396E-3</v>
      </c>
      <c r="P36" s="124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6.4038907670290399E-3</v>
      </c>
      <c r="Q36" s="143">
        <f t="shared" ca="1" si="3"/>
        <v>-196.34807319248881</v>
      </c>
      <c r="R36" s="199" t="str">
        <f>IF(F36&lt;&gt;"","",IF(G36="","",-G36*(SUMIF('bench Comparison'!$A:$A,"RESINV1USD",'bench Comparison'!$G:$G)+SUMIF('bench Comparison'!$A:$A,"RESSWAPORUSD",'bench Comparison'!$G:$G))/(36500*J36)))</f>
        <v/>
      </c>
      <c r="S36" s="210" t="str">
        <f>IF(G36&lt;&gt;"","",IF(F36="","",-36500*J36*F36/(SUMIF('bench Comparison'!$A:$A,"RESINV1USD",'bench Comparison'!$G:$G)+SUMIF('bench Comparison'!$A:$A,"RESSWAPORUSD",'bench Comparison'!$G:$G))))</f>
        <v/>
      </c>
      <c r="T36" s="125">
        <f>SUMIF('bench Comparison'!$E:$E,A36,'bench Comparison'!$N:$N)</f>
        <v>0</v>
      </c>
      <c r="U36" s="126">
        <f ca="1">VALUE(_xll.BDP($A36 &amp; " Corp",U$1))</f>
        <v>38245</v>
      </c>
      <c r="V36" s="127">
        <f ca="1">VALUE(_xll.BDP($A36 &amp; " Corp",V$1))</f>
        <v>38245</v>
      </c>
      <c r="W36" s="127">
        <f ca="1">VALUE(_xll.BDP($A36 &amp; " Corp",W$1))</f>
        <v>38426</v>
      </c>
      <c r="X36" s="127">
        <f ca="1">VALUE(_xll.BDP($A36 &amp; " Corp",X$1))</f>
        <v>41713</v>
      </c>
      <c r="Y36" s="127">
        <f ca="1">VALUE(_xll.BDP($A36 &amp; " Corp",Y$1))</f>
        <v>41897</v>
      </c>
      <c r="Z36" s="128">
        <f ca="1">_xll.BDP($A36 &amp; " Corp",Z$1)/100</f>
        <v>4.4999999999999998E-2</v>
      </c>
      <c r="AA36" s="129">
        <f ca="1">_xll.BDP($A36 &amp; " Corp",AA$1)</f>
        <v>2</v>
      </c>
      <c r="AB36" s="129">
        <f ca="1">_xll.BDP($A36 &amp; " Corp",AB$1)</f>
        <v>1000000000</v>
      </c>
      <c r="AC36" s="129" t="str">
        <f ca="1">_xll.BDP($A36 &amp; " Corp",AC$1)</f>
        <v>30/360</v>
      </c>
      <c r="AD36" s="130" t="str">
        <f ca="1">_xll.INSTANCE.YANKEE(A36,U36,V36,W36,X36,Y36,Z36,AA36,LEFT(AC36,11),3,IF(RIGHT(AC36,6)="NONEOM",FALSE,TRUE),TODAY())</f>
        <v>ED607736 Corp#0027</v>
      </c>
      <c r="AE36" s="130" t="str">
        <f ca="1">_xll.INSTANCE.CONVENTION.TAUX("conv_" &amp; A36,LEFT(AC36,11),"Compounded",IF(AA36=1,"Annual",IF(AA36=2,"Semi-Annual","")),"Unadjusted",TODAY())</f>
        <v>conv_ED607736 Corp#0027</v>
      </c>
    </row>
    <row r="37" spans="1:31" x14ac:dyDescent="0.2">
      <c r="A37" s="131" t="s">
        <v>886</v>
      </c>
      <c r="B37" s="115" t="str">
        <f ca="1">_xll.BDP($A37 &amp; " Govt",B$1)</f>
        <v>IADB 4 3/4 10/19/12</v>
      </c>
      <c r="C37" s="209" t="str">
        <f t="shared" ca="1" si="2"/>
        <v>IADB</v>
      </c>
      <c r="D37" s="116"/>
      <c r="E37" s="117"/>
      <c r="F37" s="118"/>
      <c r="G37" s="119"/>
      <c r="H37" s="120">
        <f ca="1">IF(E37="",_xll.BDP(A37 &amp; " Corp","YLD_YTM_BID")/100,E37)</f>
        <v>3.2904357999412439E-3</v>
      </c>
      <c r="I37" s="121">
        <f ca="1">_xll.INSTRUMENT.PRIX(AD37,D37,H37,AE37)</f>
        <v>101.27503370924674</v>
      </c>
      <c r="J37" s="122">
        <f ca="1">_xll.INSTRUMENT.DV01(AD37,,,I37,cContinuous,I37)</f>
        <v>-2.9621438395031475E-3</v>
      </c>
      <c r="K37" s="123">
        <f ca="1">_xll.INSTRUMENT.CONVEXITE(AD37,,,I37,cContinuous,I37)</f>
        <v>8.3878288393203729E-2</v>
      </c>
      <c r="L37" s="123">
        <f ca="1">_xll.INSTRUMENT.Z.SPREAD(AD37,swapCurve,I37,,D37)</f>
        <v>-16.493779764184548</v>
      </c>
      <c r="M37" s="123">
        <f ca="1">_xll.INSTRUMENT.Z.SPREAD(AD37,ustCurve,I37,,D37)</f>
        <v>18.116921500249962</v>
      </c>
      <c r="N37" s="123">
        <f ca="1">_xll.INSTRUMENT.Z.SPREAD(AD37,oisCurve,I37,,D37)</f>
        <v>14.783418060549966</v>
      </c>
      <c r="O37" s="124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3.6082287443041142E-3</v>
      </c>
      <c r="P37" s="124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4.1796757945070104E-3</v>
      </c>
      <c r="Q37" s="143">
        <f t="shared" ca="1" si="3"/>
        <v>-28.316750616429545</v>
      </c>
      <c r="R37" s="199" t="str">
        <f>IF(F37&lt;&gt;"","",IF(G37="","",-G37*(SUMIF('bench Comparison'!$A:$A,"RESINV1USD",'bench Comparison'!$G:$G)+SUMIF('bench Comparison'!$A:$A,"RESSWAPORUSD",'bench Comparison'!$G:$G))/(36500*J37)))</f>
        <v/>
      </c>
      <c r="S37" s="210" t="str">
        <f>IF(G37&lt;&gt;"","",IF(F37="","",-36500*J37*F37/(SUMIF('bench Comparison'!$A:$A,"RESINV1USD",'bench Comparison'!$G:$G)+SUMIF('bench Comparison'!$A:$A,"RESSWAPORUSD",'bench Comparison'!$G:$G))))</f>
        <v/>
      </c>
      <c r="T37" s="125">
        <f>SUMIF('bench Comparison'!$E:$E,A37,'bench Comparison'!$N:$N)</f>
        <v>0</v>
      </c>
      <c r="U37" s="126">
        <f ca="1">VALUE(_xll.BDP($A37 &amp; " Corp",U$1))</f>
        <v>39374</v>
      </c>
      <c r="V37" s="127">
        <f ca="1">VALUE(_xll.BDP($A37 &amp; " Corp",V$1))</f>
        <v>39374</v>
      </c>
      <c r="W37" s="127">
        <f ca="1">VALUE(_xll.BDP($A37 &amp; " Corp",W$1))</f>
        <v>39557</v>
      </c>
      <c r="X37" s="127">
        <f ca="1">VALUE(_xll.BDP($A37 &amp; " Corp",X$1))</f>
        <v>41018</v>
      </c>
      <c r="Y37" s="127">
        <f ca="1">VALUE(_xll.BDP($A37 &amp; " Corp",Y$1))</f>
        <v>41201</v>
      </c>
      <c r="Z37" s="128">
        <f ca="1">_xll.BDP($A37 &amp; " Corp",Z$1)/100</f>
        <v>4.7500000000000001E-2</v>
      </c>
      <c r="AA37" s="129">
        <f ca="1">_xll.BDP($A37 &amp; " Corp",AA$1)</f>
        <v>2</v>
      </c>
      <c r="AB37" s="129">
        <f ca="1">_xll.BDP($A37 &amp; " Corp",AB$1)</f>
        <v>1000000000</v>
      </c>
      <c r="AC37" s="129" t="str">
        <f ca="1">_xll.BDP($A37 &amp; " Corp",AC$1)</f>
        <v>ISMA-30/360</v>
      </c>
      <c r="AD37" s="130" t="str">
        <f ca="1">_xll.INSTANCE.YANKEE(A37,U37,V37,W37,X37,Y37,Z37,AA37,LEFT(AC37,11),3,IF(RIGHT(AC37,6)="NONEOM",FALSE,TRUE),TODAY())</f>
        <v>EG914838 Corp#0027</v>
      </c>
      <c r="AE37" s="130" t="str">
        <f ca="1">_xll.INSTANCE.CONVENTION.TAUX("conv_" &amp; A37,LEFT(AC37,11),"Compounded",IF(AA37=1,"Annual",IF(AA37=2,"Semi-Annual","")),"Unadjusted",TODAY())</f>
        <v>conv_EG914838 Corp#0027</v>
      </c>
    </row>
    <row r="38" spans="1:31" x14ac:dyDescent="0.2">
      <c r="A38" s="131" t="s">
        <v>887</v>
      </c>
      <c r="B38" s="115" t="str">
        <f ca="1">_xll.BDP($A38 &amp; " Govt",B$1)</f>
        <v>IADB 5 1/8 09/13/16</v>
      </c>
      <c r="C38" s="209" t="str">
        <f t="shared" ca="1" si="2"/>
        <v>IADB</v>
      </c>
      <c r="D38" s="116"/>
      <c r="E38" s="117"/>
      <c r="F38" s="118"/>
      <c r="G38" s="119"/>
      <c r="H38" s="120">
        <f ca="1">IF(E38="",_xll.BDP(A38 &amp; " Corp","YLD_YTM_BID")/100,E38)</f>
        <v>6.9873180000000002E-3</v>
      </c>
      <c r="I38" s="121">
        <f ca="1">_xll.INSTRUMENT.PRIX(AD38,D38,H38,AE38)</f>
        <v>118.23980545280922</v>
      </c>
      <c r="J38" s="122">
        <f ca="1">_xll.INSTRUMENT.DV01(AD38,,,I38,cContinuous,I38)</f>
        <v>-4.5654018611474979E-2</v>
      </c>
      <c r="K38" s="123">
        <f ca="1">_xll.INSTRUMENT.CONVEXITE(AD38,,,I38,cContinuous,I38)</f>
        <v>15.452940866955366</v>
      </c>
      <c r="L38" s="123">
        <f ca="1">_xll.INSTRUMENT.Z.SPREAD(AD38,swapCurve,I38,,D38)</f>
        <v>-9.7670877521547137</v>
      </c>
      <c r="M38" s="123">
        <f ca="1">_xll.INSTRUMENT.Z.SPREAD(AD38,ustCurve,I38,,D38)</f>
        <v>9.9435773053896579</v>
      </c>
      <c r="N38" s="123">
        <f ca="1">_xll.INSTRUMENT.Z.SPREAD(AD38,oisCurve,I38,,D38)</f>
        <v>25.246676622743824</v>
      </c>
      <c r="O38" s="124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1.3915525896929274E-2</v>
      </c>
      <c r="P38" s="124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1.3854924380670923E-2</v>
      </c>
      <c r="Q38" s="143">
        <f t="shared" ca="1" si="3"/>
        <v>-338.47931325526997</v>
      </c>
      <c r="R38" s="199" t="str">
        <f>IF(F38&lt;&gt;"","",IF(G38="","",-G38*(SUMIF('bench Comparison'!$A:$A,"RESINV1USD",'bench Comparison'!$G:$G)+SUMIF('bench Comparison'!$A:$A,"RESSWAPORUSD",'bench Comparison'!$G:$G))/(36500*J38)))</f>
        <v/>
      </c>
      <c r="S38" s="210" t="str">
        <f>IF(G38&lt;&gt;"","",IF(F38="","",-36500*J38*F38/(SUMIF('bench Comparison'!$A:$A,"RESINV1USD",'bench Comparison'!$G:$G)+SUMIF('bench Comparison'!$A:$A,"RESSWAPORUSD",'bench Comparison'!$G:$G))))</f>
        <v/>
      </c>
      <c r="T38" s="125">
        <f>SUMIF('bench Comparison'!$E:$E,A38,'bench Comparison'!$N:$N)</f>
        <v>0</v>
      </c>
      <c r="U38" s="126">
        <f ca="1">VALUE(_xll.BDP($A38 &amp; " Corp",U$1))</f>
        <v>38973</v>
      </c>
      <c r="V38" s="127">
        <f ca="1">VALUE(_xll.BDP($A38 &amp; " Corp",V$1))</f>
        <v>38973</v>
      </c>
      <c r="W38" s="127">
        <f ca="1">VALUE(_xll.BDP($A38 &amp; " Corp",W$1))</f>
        <v>39154</v>
      </c>
      <c r="X38" s="127">
        <f ca="1">VALUE(_xll.BDP($A38 &amp; " Corp",X$1))</f>
        <v>42442</v>
      </c>
      <c r="Y38" s="127">
        <f ca="1">VALUE(_xll.BDP($A38 &amp; " Corp",Y$1))</f>
        <v>42626</v>
      </c>
      <c r="Z38" s="128">
        <f ca="1">_xll.BDP($A38 &amp; " Corp",Z$1)/100</f>
        <v>5.1249999999999997E-2</v>
      </c>
      <c r="AA38" s="129">
        <f ca="1">_xll.BDP($A38 &amp; " Corp",AA$1)</f>
        <v>2</v>
      </c>
      <c r="AB38" s="129">
        <f ca="1">_xll.BDP($A38 &amp; " Corp",AB$1)</f>
        <v>1000000000</v>
      </c>
      <c r="AC38" s="129" t="str">
        <f ca="1">_xll.BDP($A38 &amp; " Corp",AC$1)</f>
        <v>ISMA-30/360</v>
      </c>
      <c r="AD38" s="130" t="str">
        <f ca="1">_xll.INSTANCE.YANKEE(A38,U38,V38,W38,X38,Y38,Z38,AA38,LEFT(AC38,11),3,IF(RIGHT(AC38,6)="NONEOM",FALSE,TRUE),TODAY())</f>
        <v>EF684257 Corp#0027</v>
      </c>
      <c r="AE38" s="130" t="str">
        <f ca="1">_xll.INSTANCE.CONVENTION.TAUX("conv_" &amp; A38,LEFT(AC38,11),"Compounded",IF(AA38=1,"Annual",IF(AA38=2,"Semi-Annual","")),"Unadjusted",TODAY())</f>
        <v>conv_EF684257 Corp#0027</v>
      </c>
    </row>
    <row r="39" spans="1:31" x14ac:dyDescent="0.2">
      <c r="A39" s="131" t="s">
        <v>827</v>
      </c>
      <c r="B39" s="115" t="str">
        <f ca="1">_xll.BDP($A39 &amp; " Govt",B$1)</f>
        <v>EIB 1 3/4 09/14/12</v>
      </c>
      <c r="C39" s="209" t="str">
        <f t="shared" ca="1" si="2"/>
        <v>EIB</v>
      </c>
      <c r="D39" s="116"/>
      <c r="E39" s="117"/>
      <c r="F39" s="118"/>
      <c r="G39" s="119"/>
      <c r="H39" s="120">
        <f ca="1">IF(E39="",_xll.BDP(A39 &amp; " Corp","YLD_YTM_BID")/100,E39)</f>
        <v>3.6963834352994425E-3</v>
      </c>
      <c r="I39" s="121">
        <f ca="1">_xll.INSTRUMENT.PRIX(AD39,D39,H39,AE39)</f>
        <v>100.26404062818622</v>
      </c>
      <c r="J39" s="122">
        <f ca="1">_xll.INSTRUMENT.DV01(AD39,,,I39,cContinuous,I39)</f>
        <v>-1.9554799460877741E-3</v>
      </c>
      <c r="K39" s="123">
        <f ca="1">_xll.INSTRUMENT.CONVEXITE(AD39,,,I39,cContinuous,I39)</f>
        <v>3.763175968228373E-2</v>
      </c>
      <c r="L39" s="123">
        <f ca="1">_xll.INSTRUMENT.Z.SPREAD(AD39,swapCurve,I39,,D39)</f>
        <v>-3.7348831140433787</v>
      </c>
      <c r="M39" s="123">
        <f ca="1">_xll.INSTRUMENT.Z.SPREAD(AD39,ustCurve,I39,,D39)</f>
        <v>27.279687484348258</v>
      </c>
      <c r="N39" s="123">
        <f ca="1">_xll.INSTRUMENT.Z.SPREAD(AD39,oisCurve,I39,,D39)</f>
        <v>18.703960051086007</v>
      </c>
      <c r="O39" s="124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5.1238998111703283E-3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>
        <f t="shared" ca="1" si="3"/>
        <v>-19.24425753256719</v>
      </c>
      <c r="R39" s="199" t="str">
        <f>IF(F39&lt;&gt;"","",IF(G39="","",-G39*(SUMIF('bench Comparison'!$A:$A,"RESINV1USD",'bench Comparison'!$G:$G)+SUMIF('bench Comparison'!$A:$A,"RESSWAPORUSD",'bench Comparison'!$G:$G))/(36500*J39)))</f>
        <v/>
      </c>
      <c r="S39" s="210" t="str">
        <f>IF(G39&lt;&gt;"","",IF(F39="","",-36500*J39*F39/(SUMIF('bench Comparison'!$A:$A,"RESINV1USD",'bench Comparison'!$G:$G)+SUMIF('bench Comparison'!$A:$A,"RESSWAPORUSD",'bench Comparison'!$G:$G))))</f>
        <v/>
      </c>
      <c r="T39" s="125">
        <f>SUMIF('bench Comparison'!$E:$E,A39,'bench Comparison'!$N:$N)</f>
        <v>0</v>
      </c>
      <c r="U39" s="126">
        <f ca="1">VALUE(_xll.BDP($A39 &amp; " Corp",U$1))</f>
        <v>40066</v>
      </c>
      <c r="V39" s="127">
        <f ca="1">VALUE(_xll.BDP($A39 &amp; " Corp",V$1))</f>
        <v>40066</v>
      </c>
      <c r="W39" s="127">
        <f ca="1">VALUE(_xll.BDP($A39 &amp; " Corp",W$1))</f>
        <v>40251</v>
      </c>
      <c r="X39" s="127">
        <f ca="1">VALUE(_xll.BDP($A39 &amp; " Corp",X$1))</f>
        <v>40982</v>
      </c>
      <c r="Y39" s="127">
        <f ca="1">VALUE(_xll.BDP($A39 &amp; " Corp",Y$1))</f>
        <v>41166</v>
      </c>
      <c r="Z39" s="128">
        <f ca="1">_xll.BDP($A39 &amp; " Corp",Z$1)/100</f>
        <v>1.7500000000000002E-2</v>
      </c>
      <c r="AA39" s="129">
        <f ca="1">_xll.BDP($A39 &amp; " Corp",AA$1)</f>
        <v>2</v>
      </c>
      <c r="AB39" s="129">
        <f ca="1">_xll.BDP($A39 &amp; " Corp",AB$1)</f>
        <v>5000000000</v>
      </c>
      <c r="AC39" s="129" t="str">
        <f ca="1">_xll.BDP($A39 &amp; " Corp",AC$1)</f>
        <v>ISMA-30/360</v>
      </c>
      <c r="AD39" s="130" t="str">
        <f ca="1">_xll.INSTANCE.YANKEE(A39,U39,V39,W39,X39,Y39,Z39,AA39,LEFT(AC39,11),3,IF(RIGHT(AC39,6)="NONEOM",FALSE,TRUE),TODAY())</f>
        <v>US298785EZ55#0027</v>
      </c>
      <c r="AE39" s="130" t="str">
        <f ca="1">_xll.INSTANCE.CONVENTION.TAUX("conv_" &amp; A39,LEFT(AC39,11),"Compounded",IF(AA39=1,"Annual",IF(AA39=2,"Semi-Annual","")),"Unadjusted",TODAY())</f>
        <v>conv_US298785EZ55#0027</v>
      </c>
    </row>
    <row r="40" spans="1:31" x14ac:dyDescent="0.2">
      <c r="A40" s="131" t="s">
        <v>851</v>
      </c>
      <c r="B40" s="115" t="str">
        <f ca="1">_xll.BDP($A40 &amp; " Govt",B$1)</f>
        <v>EIB 4 1/4 10/15/12</v>
      </c>
      <c r="C40" s="209" t="str">
        <f t="shared" ca="1" si="2"/>
        <v>EIB</v>
      </c>
      <c r="D40" s="116"/>
      <c r="E40" s="117"/>
      <c r="F40" s="118"/>
      <c r="G40" s="119"/>
      <c r="H40" s="120">
        <f ca="1">IF(E40="",_xll.BDP(A40 &amp; " Corp","YLD_YTM_BID")/100,E40)</f>
        <v>4.2717294571342984E-3</v>
      </c>
      <c r="I40" s="121">
        <f ca="1">_xll.INSTRUMENT.PRIX(AD40,D40,H40,AE40)</f>
        <v>101.05718990194227</v>
      </c>
      <c r="J40" s="122">
        <f ca="1">_xll.INSTRUMENT.DV01(AD40,,,I40,cContinuous,I40)</f>
        <v>-2.9018894072907839E-3</v>
      </c>
      <c r="K40" s="123">
        <f ca="1">_xll.INSTRUMENT.CONVEXITE(AD40,,,I40,cContinuous,I40)</f>
        <v>7.7667293738242382E-2</v>
      </c>
      <c r="L40" s="123">
        <f ca="1">_xll.INSTRUMENT.Z.SPREAD(AD40,swapCurve,I40,,D40)</f>
        <v>-6.6440074136410638</v>
      </c>
      <c r="M40" s="123">
        <f ca="1">_xll.INSTRUMENT.Z.SPREAD(AD40,ustCurve,I40,,D40)</f>
        <v>28.632693710867557</v>
      </c>
      <c r="N40" s="123">
        <f ca="1">_xll.INSTRUMENT.Z.SPREAD(AD40,oisCurve,I40,,D40)</f>
        <v>24.478403191970003</v>
      </c>
      <c r="O40" s="124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5.3872722022589485E-3</v>
      </c>
      <c r="P40" s="124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5.1004034961158948E-3</v>
      </c>
      <c r="Q40" s="143">
        <f t="shared" ca="1" si="3"/>
        <v>-26.76438789952126</v>
      </c>
      <c r="R40" s="199" t="str">
        <f>IF(F40&lt;&gt;"","",IF(G40="","",-G40*(SUMIF('bench Comparison'!$A:$A,"RESINV1USD",'bench Comparison'!$G:$G)+SUMIF('bench Comparison'!$A:$A,"RESSWAPORUSD",'bench Comparison'!$G:$G))/(36500*J40)))</f>
        <v/>
      </c>
      <c r="S40" s="210" t="str">
        <f>IF(G40&lt;&gt;"","",IF(F40="","",-36500*J40*F40/(SUMIF('bench Comparison'!$A:$A,"RESINV1USD",'bench Comparison'!$G:$G)+SUMIF('bench Comparison'!$A:$A,"RESSWAPORUSD",'bench Comparison'!$G:$G))))</f>
        <v/>
      </c>
      <c r="T40" s="125">
        <f>SUMIF('bench Comparison'!$E:$E,A40,'bench Comparison'!$N:$N)</f>
        <v>0</v>
      </c>
      <c r="U40" s="126">
        <f ca="1">VALUE(_xll.BDP($A40 &amp; " Corp",U$1))</f>
        <v>38559</v>
      </c>
      <c r="V40" s="127">
        <f ca="1">VALUE(_xll.BDP($A40 &amp; " Corp",V$1))</f>
        <v>38559</v>
      </c>
      <c r="W40" s="127">
        <f ca="1">VALUE(_xll.BDP($A40 &amp; " Corp",W$1))</f>
        <v>38640</v>
      </c>
      <c r="X40" s="127">
        <f ca="1">VALUE(_xll.BDP($A40 &amp; " Corp",X$1))</f>
        <v>40831</v>
      </c>
      <c r="Y40" s="127">
        <f ca="1">VALUE(_xll.BDP($A40 &amp; " Corp",Y$1))</f>
        <v>41197</v>
      </c>
      <c r="Z40" s="128">
        <f ca="1">_xll.BDP($A40 &amp; " Corp",Z$1)/100</f>
        <v>4.2500000000000003E-2</v>
      </c>
      <c r="AA40" s="129">
        <f ca="1">_xll.BDP($A40 &amp; " Corp",AA$1)</f>
        <v>1</v>
      </c>
      <c r="AB40" s="129">
        <f ca="1">_xll.BDP($A40 &amp; " Corp",AB$1)</f>
        <v>1000000000</v>
      </c>
      <c r="AC40" s="129" t="str">
        <f ca="1">_xll.BDP($A40 &amp; " Corp",AC$1)</f>
        <v>ISMA-30/360</v>
      </c>
      <c r="AD40" s="130" t="str">
        <f ca="1">_xll.INSTANCE.YANKEE(A40,U40,V40,W40,X40,Y40,Z40,AA40,LEFT(AC40,11),3,IF(RIGHT(AC40,6)="NONEOM",FALSE,TRUE),TODAY())</f>
        <v>XS0225513703#0027</v>
      </c>
      <c r="AE40" s="130" t="str">
        <f ca="1">_xll.INSTANCE.CONVENTION.TAUX("conv_" &amp; A40,LEFT(AC40,11),"Compounded",IF(AA40=1,"Annual",IF(AA40=2,"Semi-Annual","")),"Unadjusted",TODAY())</f>
        <v>conv_XS0225513703#0027</v>
      </c>
    </row>
    <row r="41" spans="1:31" x14ac:dyDescent="0.2">
      <c r="A41" s="131" t="s">
        <v>849</v>
      </c>
      <c r="B41" s="115" t="str">
        <f ca="1">_xll.BDP($A41 &amp; " Govt",B$1)</f>
        <v>EIB 4 12/14/12</v>
      </c>
      <c r="C41" s="209" t="str">
        <f t="shared" ca="1" si="2"/>
        <v>EIB</v>
      </c>
      <c r="D41" s="116"/>
      <c r="E41" s="117"/>
      <c r="F41" s="118"/>
      <c r="G41" s="119"/>
      <c r="H41" s="120">
        <f ca="1">IF(E41="",_xll.BDP(A41 &amp; " Corp","YLD_YTM_BID")/100,E41)</f>
        <v>2.5864054364888034E-3</v>
      </c>
      <c r="I41" s="121">
        <f ca="1">_xll.INSTRUMENT.PRIX(AD41,D41,H41,AE41)</f>
        <v>101.64808546937778</v>
      </c>
      <c r="J41" s="122">
        <f ca="1">_xll.INSTRUMENT.DV01(AD41,,,I41,cContinuous,I41)</f>
        <v>-4.5980289932879143E-3</v>
      </c>
      <c r="K41" s="123">
        <f ca="1">_xll.INSTRUMENT.CONVEXITE(AD41,,,I41,cContinuous,I41)</f>
        <v>0.1959150765923138</v>
      </c>
      <c r="L41" s="123">
        <f ca="1">_xll.INSTRUMENT.Z.SPREAD(AD41,swapCurve,I41,,D41)</f>
        <v>-20.026571572974071</v>
      </c>
      <c r="M41" s="123">
        <f ca="1">_xll.INSTRUMENT.Z.SPREAD(AD41,ustCurve,I41,,D41)</f>
        <v>8.6026625119936551</v>
      </c>
      <c r="N41" s="123">
        <f ca="1">_xll.INSTRUMENT.Z.SPREAD(AD41,oisCurve,I41,,D41)</f>
        <v>7.6368006990393429</v>
      </c>
      <c r="O41" s="124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-1.1110497676917765E-4</v>
      </c>
      <c r="P41" s="124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3.4512791714290886E-3</v>
      </c>
      <c r="Q41" s="143">
        <f t="shared" ca="1" si="3"/>
        <v>-42.608490916065477</v>
      </c>
      <c r="R41" s="199" t="str">
        <f>IF(F41&lt;&gt;"","",IF(G41="","",-G41*(SUMIF('bench Comparison'!$A:$A,"RESINV1USD",'bench Comparison'!$G:$G)+SUMIF('bench Comparison'!$A:$A,"RESSWAPORUSD",'bench Comparison'!$G:$G))/(36500*J41)))</f>
        <v/>
      </c>
      <c r="S41" s="210" t="str">
        <f>IF(G41&lt;&gt;"","",IF(F41="","",-36500*J41*F41/(SUMIF('bench Comparison'!$A:$A,"RESINV1USD",'bench Comparison'!$G:$G)+SUMIF('bench Comparison'!$A:$A,"RESSWAPORUSD",'bench Comparison'!$G:$G))))</f>
        <v/>
      </c>
      <c r="T41" s="125">
        <f>SUMIF('bench Comparison'!$E:$E,A41,'bench Comparison'!$N:$N)</f>
        <v>0</v>
      </c>
      <c r="U41" s="126">
        <f ca="1">VALUE(_xll.BDP($A41 &amp; " Corp",U$1))</f>
        <v>38303</v>
      </c>
      <c r="V41" s="127">
        <f ca="1">VALUE(_xll.BDP($A41 &amp; " Corp",V$1))</f>
        <v>38303</v>
      </c>
      <c r="W41" s="127">
        <f ca="1">VALUE(_xll.BDP($A41 &amp; " Corp",W$1))</f>
        <v>38700</v>
      </c>
      <c r="X41" s="127">
        <f ca="1">VALUE(_xll.BDP($A41 &amp; " Corp",X$1))</f>
        <v>40891</v>
      </c>
      <c r="Y41" s="127">
        <f ca="1">VALUE(_xll.BDP($A41 &amp; " Corp",Y$1))</f>
        <v>41257</v>
      </c>
      <c r="Z41" s="128">
        <f ca="1">_xll.BDP($A41 &amp; " Corp",Z$1)/100</f>
        <v>0.04</v>
      </c>
      <c r="AA41" s="129">
        <f ca="1">_xll.BDP($A41 &amp; " Corp",AA$1)</f>
        <v>1</v>
      </c>
      <c r="AB41" s="129">
        <f ca="1">_xll.BDP($A41 &amp; " Corp",AB$1)</f>
        <v>1000000000</v>
      </c>
      <c r="AC41" s="129" t="str">
        <f ca="1">_xll.BDP($A41 &amp; " Corp",AC$1)</f>
        <v>ISMA-30/360</v>
      </c>
      <c r="AD41" s="130" t="str">
        <f ca="1">_xll.INSTANCE.YANKEE(A41,U41,V41,W41,X41,Y41,Z41,AA41,LEFT(AC41,11),3,IF(RIGHT(AC41,6)="NONEOM",FALSE,TRUE),TODAY())</f>
        <v>XS0205179483#0027</v>
      </c>
      <c r="AE41" s="130" t="str">
        <f ca="1">_xll.INSTANCE.CONVENTION.TAUX("conv_" &amp; A41,LEFT(AC41,11),"Compounded",IF(AA41=1,"Annual",IF(AA41=2,"Semi-Annual","")),"Unadjusted",TODAY())</f>
        <v>conv_XS0205179483#0027</v>
      </c>
    </row>
    <row r="42" spans="1:31" x14ac:dyDescent="0.2">
      <c r="A42" s="131" t="s">
        <v>824</v>
      </c>
      <c r="B42" s="115" t="str">
        <f ca="1">_xll.BDP($A42 &amp; " Govt",B$1)</f>
        <v>EIB 1 5/8 03/15/13</v>
      </c>
      <c r="C42" s="209" t="str">
        <f t="shared" ca="1" si="2"/>
        <v>EIB</v>
      </c>
      <c r="D42" s="116"/>
      <c r="E42" s="117"/>
      <c r="F42" s="118"/>
      <c r="G42" s="119"/>
      <c r="H42" s="120">
        <f ca="1">IF(E42="",_xll.BDP(A42 &amp; " Corp","YLD_YTM_BID")/100,E42)</f>
        <v>4.4508239999999999E-3</v>
      </c>
      <c r="I42" s="121">
        <f ca="1">_xll.INSTRUMENT.PRIX(AD42,D42,H42,AE42)</f>
        <v>100.81697995911227</v>
      </c>
      <c r="J42" s="122">
        <f ca="1">_xll.INSTRUMENT.DV01(AD42,,,I42,cContinuous,I42)</f>
        <v>-6.9691537566317881E-3</v>
      </c>
      <c r="K42" s="123">
        <f ca="1">_xll.INSTRUMENT.CONVEXITE(AD42,,,I42,cContinuous,I42)</f>
        <v>0.47508463493397124</v>
      </c>
      <c r="L42" s="123">
        <f ca="1">_xll.INSTRUMENT.Z.SPREAD(AD42,swapCurve,I42,,D42)</f>
        <v>-2.5772384379413333</v>
      </c>
      <c r="M42" s="123">
        <f ca="1">_xll.INSTRUMENT.Z.SPREAD(AD42,ustCurve,I42,,D42)</f>
        <v>23.839003589452346</v>
      </c>
      <c r="N42" s="123">
        <f ca="1">_xll.INSTRUMENT.Z.SPREAD(AD42,oisCurve,I42,,D42)</f>
        <v>26.391477584897675</v>
      </c>
      <c r="O42" s="124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5.1977911288731068E-3</v>
      </c>
      <c r="P42" s="124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4.8921576764255972E-3</v>
      </c>
      <c r="Q42" s="143">
        <f t="shared" ca="1" si="3"/>
        <v>-68.169630277117179</v>
      </c>
      <c r="R42" s="199" t="str">
        <f>IF(F42&lt;&gt;"","",IF(G42="","",-G42*(SUMIF('bench Comparison'!$A:$A,"RESINV1USD",'bench Comparison'!$G:$G)+SUMIF('bench Comparison'!$A:$A,"RESSWAPORUSD",'bench Comparison'!$G:$G))/(36500*J42)))</f>
        <v/>
      </c>
      <c r="S42" s="210" t="str">
        <f>IF(G42&lt;&gt;"","",IF(F42="","",-36500*J42*F42/(SUMIF('bench Comparison'!$A:$A,"RESINV1USD",'bench Comparison'!$G:$G)+SUMIF('bench Comparison'!$A:$A,"RESSWAPORUSD",'bench Comparison'!$G:$G))))</f>
        <v/>
      </c>
      <c r="T42" s="125">
        <f>SUMIF('bench Comparison'!$E:$E,A42,'bench Comparison'!$N:$N)</f>
        <v>0</v>
      </c>
      <c r="U42" s="126">
        <f ca="1">VALUE(_xll.BDP($A42 &amp; " Corp",U$1))</f>
        <v>40211</v>
      </c>
      <c r="V42" s="127">
        <f ca="1">VALUE(_xll.BDP($A42 &amp; " Corp",V$1))</f>
        <v>40211</v>
      </c>
      <c r="W42" s="127">
        <f ca="1">VALUE(_xll.BDP($A42 &amp; " Corp",W$1))</f>
        <v>40252</v>
      </c>
      <c r="X42" s="127">
        <f ca="1">VALUE(_xll.BDP($A42 &amp; " Corp",X$1))</f>
        <v>41167</v>
      </c>
      <c r="Y42" s="127">
        <f ca="1">VALUE(_xll.BDP($A42 &amp; " Corp",Y$1))</f>
        <v>41348</v>
      </c>
      <c r="Z42" s="128">
        <f ca="1">_xll.BDP($A42 &amp; " Corp",Z$1)/100</f>
        <v>1.6250000000000001E-2</v>
      </c>
      <c r="AA42" s="129">
        <f ca="1">_xll.BDP($A42 &amp; " Corp",AA$1)</f>
        <v>2</v>
      </c>
      <c r="AB42" s="129">
        <f ca="1">_xll.BDP($A42 &amp; " Corp",AB$1)</f>
        <v>3500000000</v>
      </c>
      <c r="AC42" s="129" t="str">
        <f ca="1">_xll.BDP($A42 &amp; " Corp",AC$1)</f>
        <v>ISMA-30/360</v>
      </c>
      <c r="AD42" s="130" t="str">
        <f ca="1">_xll.INSTANCE.YANKEE(A42,U42,V42,W42,X42,Y42,Z42,AA42,LEFT(AC42,11),3,IF(RIGHT(AC42,6)="NONEOM",FALSE,TRUE),TODAY())</f>
        <v>US298785FC51#0027</v>
      </c>
      <c r="AE42" s="130" t="str">
        <f ca="1">_xll.INSTANCE.CONVENTION.TAUX("conv_" &amp; A42,LEFT(AC42,11),"Compounded",IF(AA42=1,"Annual",IF(AA42=2,"Semi-Annual","")),"Unadjusted",TODAY())</f>
        <v>conv_US298785FC51#0027</v>
      </c>
    </row>
    <row r="43" spans="1:31" x14ac:dyDescent="0.2">
      <c r="A43" s="131" t="s">
        <v>839</v>
      </c>
      <c r="B43" s="115" t="str">
        <f ca="1">_xll.BDP($A43 &amp; " Govt",B$1)</f>
        <v>EIB 2 7/8 03/15/13</v>
      </c>
      <c r="C43" s="209" t="str">
        <f t="shared" ca="1" si="2"/>
        <v>EIB</v>
      </c>
      <c r="D43" s="116"/>
      <c r="E43" s="117"/>
      <c r="F43" s="118"/>
      <c r="G43" s="119"/>
      <c r="H43" s="120">
        <f ca="1">IF(E43="",_xll.BDP(A43 &amp; " Corp","YLD_YTM_BID")/100,E43)</f>
        <v>4.3739080000000001E-3</v>
      </c>
      <c r="I43" s="121">
        <f ca="1">_xll.INSTRUMENT.PRIX(AD43,D43,H43,AE43)</f>
        <v>101.6879651350698</v>
      </c>
      <c r="J43" s="122">
        <f ca="1">_xll.INSTRUMENT.DV01(AD43,,,I43,cContinuous,I43)</f>
        <v>-7.0252572089889E-3</v>
      </c>
      <c r="K43" s="123">
        <f ca="1">_xll.INSTRUMENT.CONVEXITE(AD43,,,I43,cContinuous,I43)</f>
        <v>0.472462536430586</v>
      </c>
      <c r="L43" s="123">
        <f ca="1">_xll.INSTRUMENT.Z.SPREAD(AD43,swapCurve,I43,,D43)</f>
        <v>-3.3373432454352665</v>
      </c>
      <c r="M43" s="123">
        <f ca="1">_xll.INSTRUMENT.Z.SPREAD(AD43,ustCurve,I43,,D43)</f>
        <v>22.599197981826247</v>
      </c>
      <c r="N43" s="123">
        <f ca="1">_xll.INSTRUMENT.Z.SPREAD(AD43,oisCurve,I43,,D43)</f>
        <v>25.622216539095728</v>
      </c>
      <c r="O43" s="124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4.515618976438064E-3</v>
      </c>
      <c r="P43" s="124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4.928905045100922E-3</v>
      </c>
      <c r="Q43" s="143">
        <f t="shared" ca="1" si="3"/>
        <v>-67.251991261766847</v>
      </c>
      <c r="R43" s="199" t="str">
        <f>IF(F43&lt;&gt;"","",IF(G43="","",-G43*(SUMIF('bench Comparison'!$A:$A,"RESINV1USD",'bench Comparison'!$G:$G)+SUMIF('bench Comparison'!$A:$A,"RESSWAPORUSD",'bench Comparison'!$G:$G))/(36500*J43)))</f>
        <v/>
      </c>
      <c r="S43" s="210" t="str">
        <f>IF(G43&lt;&gt;"","",IF(F43="","",-36500*J43*F43/(SUMIF('bench Comparison'!$A:$A,"RESINV1USD",'bench Comparison'!$G:$G)+SUMIF('bench Comparison'!$A:$A,"RESSWAPORUSD",'bench Comparison'!$G:$G))))</f>
        <v/>
      </c>
      <c r="T43" s="125">
        <f>SUMIF('bench Comparison'!$E:$E,A43,'bench Comparison'!$N:$N)</f>
        <v>0</v>
      </c>
      <c r="U43" s="126">
        <f ca="1">VALUE(_xll.BDP($A43 &amp; " Corp",U$1))</f>
        <v>39479</v>
      </c>
      <c r="V43" s="127">
        <f ca="1">VALUE(_xll.BDP($A43 &amp; " Corp",V$1))</f>
        <v>39479</v>
      </c>
      <c r="W43" s="127">
        <f ca="1">VALUE(_xll.BDP($A43 &amp; " Corp",W$1))</f>
        <v>39522</v>
      </c>
      <c r="X43" s="127">
        <f ca="1">VALUE(_xll.BDP($A43 &amp; " Corp",X$1))</f>
        <v>41167</v>
      </c>
      <c r="Y43" s="127">
        <f ca="1">VALUE(_xll.BDP($A43 &amp; " Corp",Y$1))</f>
        <v>41348</v>
      </c>
      <c r="Z43" s="128">
        <f ca="1">_xll.BDP($A43 &amp; " Corp",Z$1)/100</f>
        <v>2.8750000000000001E-2</v>
      </c>
      <c r="AA43" s="129">
        <f ca="1">_xll.BDP($A43 &amp; " Corp",AA$1)</f>
        <v>2</v>
      </c>
      <c r="AB43" s="129">
        <f ca="1">_xll.BDP($A43 &amp; " Corp",AB$1)</f>
        <v>3000000000</v>
      </c>
      <c r="AC43" s="129" t="str">
        <f ca="1">_xll.BDP($A43 &amp; " Corp",AC$1)</f>
        <v>ISMA-30/360</v>
      </c>
      <c r="AD43" s="130" t="str">
        <f ca="1">_xll.INSTANCE.YANKEE(A43,U43,V43,W43,X43,Y43,Z43,AA43,LEFT(AC43,11),3,IF(RIGHT(AC43,6)="NONEOM",FALSE,TRUE),TODAY())</f>
        <v>US298785EK86#0027</v>
      </c>
      <c r="AE43" s="130" t="str">
        <f ca="1">_xll.INSTANCE.CONVENTION.TAUX("conv_" &amp; A43,LEFT(AC43,11),"Compounded",IF(AA43=1,"Annual",IF(AA43=2,"Semi-Annual","")),"Unadjusted",TODAY())</f>
        <v>conv_US298785EK86#0027</v>
      </c>
    </row>
    <row r="44" spans="1:31" x14ac:dyDescent="0.2">
      <c r="A44" s="131" t="s">
        <v>846</v>
      </c>
      <c r="B44" s="115" t="str">
        <f ca="1">_xll.BDP($A44 &amp; " Govt",B$1)</f>
        <v>EIB 3 1/4 05/15/13</v>
      </c>
      <c r="C44" s="209" t="str">
        <f t="shared" ca="1" si="2"/>
        <v>EIB</v>
      </c>
      <c r="D44" s="116"/>
      <c r="E44" s="117"/>
      <c r="F44" s="118"/>
      <c r="G44" s="119"/>
      <c r="H44" s="120">
        <f ca="1">IF(E44="",_xll.BDP(A44 &amp; " Corp","YLD_YTM_BID")/100,E44)</f>
        <v>4.7213799999999998E-3</v>
      </c>
      <c r="I44" s="121">
        <f ca="1">_xll.INSTRUMENT.PRIX(AD44,D44,H44,AE44)</f>
        <v>102.38399997198547</v>
      </c>
      <c r="J44" s="122">
        <f ca="1">_xll.INSTRUMENT.DV01(AD44,,,I44,cContinuous,I44)</f>
        <v>-8.7524141942310011E-3</v>
      </c>
      <c r="K44" s="123">
        <f ca="1">_xll.INSTRUMENT.CONVEXITE(AD44,,,I44,cContinuous,I44)</f>
        <v>0.72819996846823587</v>
      </c>
      <c r="L44" s="123">
        <f ca="1">_xll.INSTRUMENT.Z.SPREAD(AD44,swapCurve,I44,,D44)</f>
        <v>-0.99614107250389994</v>
      </c>
      <c r="M44" s="123">
        <f ca="1">_xll.INSTRUMENT.Z.SPREAD(AD44,ustCurve,I44,,D44)</f>
        <v>23.390101218990065</v>
      </c>
      <c r="N44" s="123">
        <f ca="1">_xll.INSTRUMENT.Z.SPREAD(AD44,oisCurve,I44,,D44)</f>
        <v>28.882026782691756</v>
      </c>
      <c r="O44" s="124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4.2299724101072496E-3</v>
      </c>
      <c r="P44" s="124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5.574956607939067E-3</v>
      </c>
      <c r="Q44" s="143">
        <f t="shared" ca="1" si="3"/>
        <v>-83.199898029073623</v>
      </c>
      <c r="R44" s="199" t="str">
        <f>IF(F44&lt;&gt;"","",IF(G44="","",-G44*(SUMIF('bench Comparison'!$A:$A,"RESINV1USD",'bench Comparison'!$G:$G)+SUMIF('bench Comparison'!$A:$A,"RESSWAPORUSD",'bench Comparison'!$G:$G))/(36500*J44)))</f>
        <v/>
      </c>
      <c r="S44" s="210" t="str">
        <f>IF(G44&lt;&gt;"","",IF(F44="","",-36500*J44*F44/(SUMIF('bench Comparison'!$A:$A,"RESINV1USD",'bench Comparison'!$G:$G)+SUMIF('bench Comparison'!$A:$A,"RESSWAPORUSD",'bench Comparison'!$G:$G))))</f>
        <v/>
      </c>
      <c r="T44" s="125">
        <f>SUMIF('bench Comparison'!$E:$E,A44,'bench Comparison'!$N:$N)</f>
        <v>0</v>
      </c>
      <c r="U44" s="126">
        <f ca="1">VALUE(_xll.BDP($A44 &amp; " Corp",U$1))</f>
        <v>39525</v>
      </c>
      <c r="V44" s="127">
        <f ca="1">VALUE(_xll.BDP($A44 &amp; " Corp",V$1))</f>
        <v>39525</v>
      </c>
      <c r="W44" s="127">
        <f ca="1">VALUE(_xll.BDP($A44 &amp; " Corp",W$1))</f>
        <v>39583</v>
      </c>
      <c r="X44" s="127">
        <f ca="1">VALUE(_xll.BDP($A44 &amp; " Corp",X$1))</f>
        <v>41228</v>
      </c>
      <c r="Y44" s="127">
        <f ca="1">VALUE(_xll.BDP($A44 &amp; " Corp",Y$1))</f>
        <v>41409</v>
      </c>
      <c r="Z44" s="128">
        <f ca="1">_xll.BDP($A44 &amp; " Corp",Z$1)/100</f>
        <v>3.2500000000000001E-2</v>
      </c>
      <c r="AA44" s="129">
        <f ca="1">_xll.BDP($A44 &amp; " Corp",AA$1)</f>
        <v>2</v>
      </c>
      <c r="AB44" s="129">
        <f ca="1">_xll.BDP($A44 &amp; " Corp",AB$1)</f>
        <v>3000000000</v>
      </c>
      <c r="AC44" s="129" t="str">
        <f ca="1">_xll.BDP($A44 &amp; " Corp",AC$1)</f>
        <v>ISMA-30/360</v>
      </c>
      <c r="AD44" s="130" t="str">
        <f ca="1">_xll.INSTANCE.YANKEE(A44,U44,V44,W44,X44,Y44,Z44,AA44,LEFT(AC44,11),3,IF(RIGHT(AC44,6)="NONEOM",FALSE,TRUE),TODAY())</f>
        <v>US298785EN26#0027</v>
      </c>
      <c r="AE44" s="130" t="str">
        <f ca="1">_xll.INSTANCE.CONVENTION.TAUX("conv_" &amp; A44,LEFT(AC44,11),"Compounded",IF(AA44=1,"Annual",IF(AA44=2,"Semi-Annual","")),"Unadjusted",TODAY())</f>
        <v>conv_US298785EN26#0027</v>
      </c>
    </row>
    <row r="45" spans="1:31" x14ac:dyDescent="0.2">
      <c r="A45" s="131" t="s">
        <v>863</v>
      </c>
      <c r="B45" s="115" t="str">
        <f ca="1">_xll.BDP($A45 &amp; " Govt",B$1)</f>
        <v>EIB 5 1/4 05/15/13</v>
      </c>
      <c r="C45" s="209" t="str">
        <f t="shared" ca="1" si="2"/>
        <v>EIB</v>
      </c>
      <c r="D45" s="116"/>
      <c r="E45" s="117"/>
      <c r="F45" s="118"/>
      <c r="G45" s="119"/>
      <c r="H45" s="120">
        <f ca="1">IF(E45="",_xll.BDP(A45 &amp; " Corp","YLD_YTM_BID")/100,E45)</f>
        <v>4.3283861790045829E-3</v>
      </c>
      <c r="I45" s="121">
        <f ca="1">_xll.INSTRUMENT.PRIX(AD45,D45,H45,AE45)</f>
        <v>104.13011684962552</v>
      </c>
      <c r="J45" s="122">
        <f ca="1">_xll.INSTRUMENT.DV01(AD45,,,I45,cContinuous,I45)</f>
        <v>-9.0066385278872625E-3</v>
      </c>
      <c r="K45" s="123">
        <f ca="1">_xll.INSTRUMENT.CONVEXITE(AD45,,,I45,cContinuous,I45)</f>
        <v>0.7377548463985627</v>
      </c>
      <c r="L45" s="123">
        <f ca="1">_xll.INSTRUMENT.Z.SPREAD(AD45,swapCurve,I45,,D45)</f>
        <v>-4.9660916571905602</v>
      </c>
      <c r="M45" s="123">
        <f ca="1">_xll.INSTRUMENT.Z.SPREAD(AD45,ustCurve,I45,,D45)</f>
        <v>18.749687748065632</v>
      </c>
      <c r="N45" s="123">
        <f ca="1">_xll.INSTRUMENT.Z.SPREAD(AD45,oisCurve,I45,,D45)</f>
        <v>24.911878847200768</v>
      </c>
      <c r="O45" s="124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2.8682055424973638E-3</v>
      </c>
      <c r="P45" s="124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5.3436558672705003E-3</v>
      </c>
      <c r="Q45" s="143">
        <f t="shared" ca="1" si="3"/>
        <v>-81.912341004277209</v>
      </c>
      <c r="R45" s="199" t="str">
        <f>IF(F45&lt;&gt;"","",IF(G45="","",-G45*(SUMIF('bench Comparison'!$A:$A,"RESINV1USD",'bench Comparison'!$G:$G)+SUMIF('bench Comparison'!$A:$A,"RESSWAPORUSD",'bench Comparison'!$G:$G))/(36500*J45)))</f>
        <v/>
      </c>
      <c r="S45" s="210" t="str">
        <f>IF(G45&lt;&gt;"","",IF(F45="","",-36500*J45*F45/(SUMIF('bench Comparison'!$A:$A,"RESINV1USD",'bench Comparison'!$G:$G)+SUMIF('bench Comparison'!$A:$A,"RESSWAPORUSD",'bench Comparison'!$G:$G))))</f>
        <v/>
      </c>
      <c r="T45" s="125">
        <f>SUMIF('bench Comparison'!$E:$E,A45,'bench Comparison'!$N:$N)</f>
        <v>0</v>
      </c>
      <c r="U45" s="126">
        <f ca="1">VALUE(_xll.BDP($A45 &amp; " Corp",U$1))</f>
        <v>38835</v>
      </c>
      <c r="V45" s="127">
        <f ca="1">VALUE(_xll.BDP($A45 &amp; " Corp",V$1))</f>
        <v>38835</v>
      </c>
      <c r="W45" s="127">
        <f ca="1">VALUE(_xll.BDP($A45 &amp; " Corp",W$1))</f>
        <v>39217</v>
      </c>
      <c r="X45" s="127">
        <f ca="1">VALUE(_xll.BDP($A45 &amp; " Corp",X$1))</f>
        <v>41044</v>
      </c>
      <c r="Y45" s="127">
        <f ca="1">VALUE(_xll.BDP($A45 &amp; " Corp",Y$1))</f>
        <v>41409</v>
      </c>
      <c r="Z45" s="128">
        <f ca="1">_xll.BDP($A45 &amp; " Corp",Z$1)/100</f>
        <v>5.2499999999999998E-2</v>
      </c>
      <c r="AA45" s="129">
        <f ca="1">_xll.BDP($A45 &amp; " Corp",AA$1)</f>
        <v>1</v>
      </c>
      <c r="AB45" s="129">
        <f ca="1">_xll.BDP($A45 &amp; " Corp",AB$1)</f>
        <v>1000000000</v>
      </c>
      <c r="AC45" s="129" t="str">
        <f ca="1">_xll.BDP($A45 &amp; " Corp",AC$1)</f>
        <v>ISMA-30/360</v>
      </c>
      <c r="AD45" s="130" t="str">
        <f ca="1">_xll.INSTANCE.YANKEE(A45,U45,V45,W45,X45,Y45,Z45,AA45,LEFT(AC45,11),3,IF(RIGHT(AC45,6)="NONEOM",FALSE,TRUE),TODAY())</f>
        <v>XS0252479497#0026</v>
      </c>
      <c r="AE45" s="130" t="str">
        <f ca="1">_xll.INSTANCE.CONVENTION.TAUX("conv_" &amp; A45,LEFT(AC45,11),"Compounded",IF(AA45=1,"Annual",IF(AA45=2,"Semi-Annual","")),"Unadjusted",TODAY())</f>
        <v>conv_XS0252479497#0026</v>
      </c>
    </row>
    <row r="46" spans="1:31" x14ac:dyDescent="0.2">
      <c r="A46" s="131" t="s">
        <v>847</v>
      </c>
      <c r="B46" s="115" t="str">
        <f ca="1">_xll.BDP($A46 &amp; " Govt",B$1)</f>
        <v>EIB 3 3/8 06/12/13</v>
      </c>
      <c r="C46" s="209" t="str">
        <f t="shared" ca="1" si="2"/>
        <v>EIB</v>
      </c>
      <c r="D46" s="116"/>
      <c r="E46" s="117"/>
      <c r="F46" s="118"/>
      <c r="G46" s="119"/>
      <c r="H46" s="120">
        <f ca="1">IF(E46="",_xll.BDP(A46 &amp; " Corp","YLD_YTM_BID")/100,E46)</f>
        <v>4.4380140000000005E-3</v>
      </c>
      <c r="I46" s="121">
        <f ca="1">_xll.INSTRUMENT.PRIX(AD46,D46,H46,AE46)</f>
        <v>102.73499999109536</v>
      </c>
      <c r="J46" s="122">
        <f ca="1">_xll.INSTRUMENT.DV01(AD46,,,I46,cContinuous,I46)</f>
        <v>-9.5485008119632186E-3</v>
      </c>
      <c r="K46" s="123">
        <f ca="1">_xll.INSTRUMENT.CONVEXITE(AD46,,,I46,cContinuous,I46)</f>
        <v>0.86422505989447207</v>
      </c>
      <c r="L46" s="123">
        <f ca="1">_xll.INSTRUMENT.Z.SPREAD(AD46,swapCurve,I46,,D46)</f>
        <v>-4.1961278655075471</v>
      </c>
      <c r="M46" s="123">
        <f ca="1">_xll.INSTRUMENT.Z.SPREAD(AD46,ustCurve,I46,,D46)</f>
        <v>19.430397085943746</v>
      </c>
      <c r="N46" s="123">
        <f ca="1">_xll.INSTRUMENT.Z.SPREAD(AD46,oisCurve,I46,,D46)</f>
        <v>25.881521673931147</v>
      </c>
      <c r="O46" s="124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3.7929740232206942E-3</v>
      </c>
      <c r="P46" s="124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5.1584836834178294E-3</v>
      </c>
      <c r="Q46" s="143">
        <f t="shared" ca="1" si="3"/>
        <v>-90.508979044301213</v>
      </c>
      <c r="R46" s="199" t="str">
        <f>IF(F46&lt;&gt;"","",IF(G46="","",-G46*(SUMIF('bench Comparison'!$A:$A,"RESINV1USD",'bench Comparison'!$G:$G)+SUMIF('bench Comparison'!$A:$A,"RESSWAPORUSD",'bench Comparison'!$G:$G))/(36500*J46)))</f>
        <v/>
      </c>
      <c r="S46" s="210" t="str">
        <f>IF(G46&lt;&gt;"","",IF(F46="","",-36500*J46*F46/(SUMIF('bench Comparison'!$A:$A,"RESINV1USD",'bench Comparison'!$G:$G)+SUMIF('bench Comparison'!$A:$A,"RESSWAPORUSD",'bench Comparison'!$G:$G))))</f>
        <v/>
      </c>
      <c r="T46" s="125">
        <f>SUMIF('bench Comparison'!$E:$E,A46,'bench Comparison'!$N:$N)</f>
        <v>0</v>
      </c>
      <c r="U46" s="126">
        <f ca="1">VALUE(_xll.BDP($A46 &amp; " Corp",U$1))</f>
        <v>37784</v>
      </c>
      <c r="V46" s="127">
        <f ca="1">VALUE(_xll.BDP($A46 &amp; " Corp",V$1))</f>
        <v>37784</v>
      </c>
      <c r="W46" s="127">
        <f ca="1">VALUE(_xll.BDP($A46 &amp; " Corp",W$1))</f>
        <v>37967</v>
      </c>
      <c r="X46" s="127">
        <f ca="1">VALUE(_xll.BDP($A46 &amp; " Corp",X$1))</f>
        <v>41255</v>
      </c>
      <c r="Y46" s="127">
        <f ca="1">VALUE(_xll.BDP($A46 &amp; " Corp",Y$1))</f>
        <v>41437</v>
      </c>
      <c r="Z46" s="128">
        <f ca="1">_xll.BDP($A46 &amp; " Corp",Z$1)/100</f>
        <v>3.3750000000000002E-2</v>
      </c>
      <c r="AA46" s="129">
        <f ca="1">_xll.BDP($A46 &amp; " Corp",AA$1)</f>
        <v>2</v>
      </c>
      <c r="AB46" s="129">
        <f ca="1">_xll.BDP($A46 &amp; " Corp",AB$1)</f>
        <v>1000000000</v>
      </c>
      <c r="AC46" s="129" t="str">
        <f ca="1">_xll.BDP($A46 &amp; " Corp",AC$1)</f>
        <v>ISMA-30/360</v>
      </c>
      <c r="AD46" s="130" t="str">
        <f ca="1">_xll.INSTANCE.YANKEE(A46,U46,V46,W46,X46,Y46,Z46,AA46,LEFT(AC46,11),3,IF(RIGHT(AC46,6)="NONEOM",FALSE,TRUE),TODAY())</f>
        <v>US298785CX26#0027</v>
      </c>
      <c r="AE46" s="130" t="str">
        <f ca="1">_xll.INSTANCE.CONVENTION.TAUX("conv_" &amp; A46,LEFT(AC46,11),"Compounded",IF(AA46=1,"Annual",IF(AA46=2,"Semi-Annual","")),"Unadjusted",TODAY())</f>
        <v>conv_US298785CX26#0027</v>
      </c>
    </row>
    <row r="47" spans="1:31" x14ac:dyDescent="0.2">
      <c r="A47" s="131" t="s">
        <v>829</v>
      </c>
      <c r="B47" s="115" t="str">
        <f ca="1">_xll.BDP($A47 &amp; " Govt",B$1)</f>
        <v>EIB 1 7/8 06/17/13</v>
      </c>
      <c r="C47" s="209" t="str">
        <f t="shared" ca="1" si="2"/>
        <v>EIB</v>
      </c>
      <c r="D47" s="116"/>
      <c r="E47" s="117"/>
      <c r="F47" s="118"/>
      <c r="G47" s="119"/>
      <c r="H47" s="120">
        <f ca="1">IF(E47="",_xll.BDP(A47 &amp; " Corp","YLD_YTM_BID")/100,E47)</f>
        <v>4.9626119999999999E-3</v>
      </c>
      <c r="I47" s="121">
        <f ca="1">_xll.INSTRUMENT.PRIX(AD47,D47,H47,AE47)</f>
        <v>101.30499997137166</v>
      </c>
      <c r="J47" s="122">
        <f ca="1">_xll.INSTRUMENT.DV01(AD47,,,I47,cContinuous,I47)</f>
        <v>-9.5795276307173109E-3</v>
      </c>
      <c r="K47" s="123">
        <f ca="1">_xll.INSTRUMENT.CONVEXITE(AD47,,,I47,cContinuous,I47)</f>
        <v>0.89480263785904546</v>
      </c>
      <c r="L47" s="123">
        <f ca="1">_xll.INSTRUMENT.Z.SPREAD(AD47,swapCurve,I47,,D47)</f>
        <v>0.97868186026112736</v>
      </c>
      <c r="M47" s="123">
        <f ca="1">_xll.INSTRUMENT.Z.SPREAD(AD47,ustCurve,I47,,D47)</f>
        <v>24.907688488278666</v>
      </c>
      <c r="N47" s="123">
        <f ca="1">_xll.INSTRUMENT.Z.SPREAD(AD47,oisCurve,I47,,D47)</f>
        <v>31.106616323826586</v>
      </c>
      <c r="O47" s="124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5.1095210090948808E-3</v>
      </c>
      <c r="P47" s="124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5.5359423096720227E-3</v>
      </c>
      <c r="Q47" s="143">
        <f t="shared" ca="1" si="3"/>
        <v>-93.40780384512999</v>
      </c>
      <c r="R47" s="199" t="str">
        <f>IF(F47&lt;&gt;"","",IF(G47="","",-G47*(SUMIF('bench Comparison'!$A:$A,"RESINV1USD",'bench Comparison'!$G:$G)+SUMIF('bench Comparison'!$A:$A,"RESSWAPORUSD",'bench Comparison'!$G:$G))/(36500*J47)))</f>
        <v/>
      </c>
      <c r="S47" s="210" t="str">
        <f>IF(G47&lt;&gt;"","",IF(F47="","",-36500*J47*F47/(SUMIF('bench Comparison'!$A:$A,"RESINV1USD",'bench Comparison'!$G:$G)+SUMIF('bench Comparison'!$A:$A,"RESSWAPORUSD",'bench Comparison'!$G:$G))))</f>
        <v/>
      </c>
      <c r="T47" s="125">
        <f>SUMIF('bench Comparison'!$E:$E,A47,'bench Comparison'!$N:$N)</f>
        <v>0</v>
      </c>
      <c r="U47" s="126">
        <f ca="1">VALUE(_xll.BDP($A47 &amp; " Corp",U$1))</f>
        <v>40288</v>
      </c>
      <c r="V47" s="127">
        <f ca="1">VALUE(_xll.BDP($A47 &amp; " Corp",V$1))</f>
        <v>40288</v>
      </c>
      <c r="W47" s="127">
        <f ca="1">VALUE(_xll.BDP($A47 &amp; " Corp",W$1))</f>
        <v>40346</v>
      </c>
      <c r="X47" s="127">
        <f ca="1">VALUE(_xll.BDP($A47 &amp; " Corp",X$1))</f>
        <v>41260</v>
      </c>
      <c r="Y47" s="127">
        <f ca="1">VALUE(_xll.BDP($A47 &amp; " Corp",Y$1))</f>
        <v>41442</v>
      </c>
      <c r="Z47" s="128">
        <f ca="1">_xll.BDP($A47 &amp; " Corp",Z$1)/100</f>
        <v>1.8749999999999999E-2</v>
      </c>
      <c r="AA47" s="129">
        <f ca="1">_xll.BDP($A47 &amp; " Corp",AA$1)</f>
        <v>2</v>
      </c>
      <c r="AB47" s="129">
        <f ca="1">_xll.BDP($A47 &amp; " Corp",AB$1)</f>
        <v>3000000000</v>
      </c>
      <c r="AC47" s="129" t="str">
        <f ca="1">_xll.BDP($A47 &amp; " Corp",AC$1)</f>
        <v>ISMA-30/360</v>
      </c>
      <c r="AD47" s="130" t="str">
        <f ca="1">_xll.INSTANCE.YANKEE(A47,U47,V47,W47,X47,Y47,Z47,AA47,LEFT(AC47,11),3,IF(RIGHT(AC47,6)="NONEOM",FALSE,TRUE),TODAY())</f>
        <v>US298785FE18#0027</v>
      </c>
      <c r="AE47" s="130" t="str">
        <f ca="1">_xll.INSTANCE.CONVENTION.TAUX("conv_" &amp; A47,LEFT(AC47,11),"Compounded",IF(AA47=1,"Annual",IF(AA47=2,"Semi-Annual","")),"Unadjusted",TODAY())</f>
        <v>conv_US298785FE18#0027</v>
      </c>
    </row>
    <row r="48" spans="1:31" x14ac:dyDescent="0.2">
      <c r="A48" s="131" t="s">
        <v>852</v>
      </c>
      <c r="B48" s="115" t="str">
        <f ca="1">_xll.BDP($A48 &amp; " Govt",B$1)</f>
        <v>EIB 4 1/4 07/15/13</v>
      </c>
      <c r="C48" s="209" t="str">
        <f t="shared" ca="1" si="2"/>
        <v>EIB</v>
      </c>
      <c r="D48" s="116"/>
      <c r="E48" s="117"/>
      <c r="F48" s="118"/>
      <c r="G48" s="119"/>
      <c r="H48" s="120">
        <f ca="1">IF(E48="",_xll.BDP(A48 &amp; " Corp","YLD_YTM_BID")/100,E48)</f>
        <v>5.4117179999999994E-3</v>
      </c>
      <c r="I48" s="121">
        <f ca="1">_xll.INSTRUMENT.PRIX(AD48,D48,H48,AE48)</f>
        <v>103.7959680435049</v>
      </c>
      <c r="J48" s="122">
        <f ca="1">_xll.INSTRUMENT.DV01(AD48,,,I48,cContinuous,I48)</f>
        <v>-1.0539211651366108E-2</v>
      </c>
      <c r="K48" s="123">
        <f ca="1">_xll.INSTRUMENT.CONVEXITE(AD48,,,I48,cContinuous,I48)</f>
        <v>1.0162003543325446</v>
      </c>
      <c r="L48" s="123">
        <f ca="1">_xll.INSTRUMENT.Z.SPREAD(AD48,swapCurve,I48,,D48)</f>
        <v>5.1902408973093532</v>
      </c>
      <c r="M48" s="123">
        <f ca="1">_xll.INSTRUMENT.Z.SPREAD(AD48,ustCurve,I48,,D48)</f>
        <v>27.956985052262745</v>
      </c>
      <c r="N48" s="123">
        <f ca="1">_xll.INSTRUMENT.Z.SPREAD(AD48,oisCurve,I48,,D48)</f>
        <v>35.573987452190828</v>
      </c>
      <c r="O48" s="124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4.5614127618453784E-3</v>
      </c>
      <c r="P48" s="124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6.1329901283247636E-3</v>
      </c>
      <c r="Q48" s="143">
        <f t="shared" ca="1" si="3"/>
        <v>-96.420907744159706</v>
      </c>
      <c r="R48" s="199" t="str">
        <f>IF(F48&lt;&gt;"","",IF(G48="","",-G48*(SUMIF('bench Comparison'!$A:$A,"RESINV1USD",'bench Comparison'!$G:$G)+SUMIF('bench Comparison'!$A:$A,"RESSWAPORUSD",'bench Comparison'!$G:$G))/(36500*J48)))</f>
        <v/>
      </c>
      <c r="S48" s="210" t="str">
        <f>IF(G48&lt;&gt;"","",IF(F48="","",-36500*J48*F48/(SUMIF('bench Comparison'!$A:$A,"RESINV1USD",'bench Comparison'!$G:$G)+SUMIF('bench Comparison'!$A:$A,"RESSWAPORUSD",'bench Comparison'!$G:$G))))</f>
        <v/>
      </c>
      <c r="T48" s="125">
        <f>SUMIF('bench Comparison'!$E:$E,A48,'bench Comparison'!$N:$N)</f>
        <v>0</v>
      </c>
      <c r="U48" s="126">
        <f ca="1">VALUE(_xll.BDP($A48 &amp; " Corp",U$1))</f>
        <v>39623</v>
      </c>
      <c r="V48" s="127">
        <f ca="1">VALUE(_xll.BDP($A48 &amp; " Corp",V$1))</f>
        <v>39623</v>
      </c>
      <c r="W48" s="127">
        <f ca="1">VALUE(_xll.BDP($A48 &amp; " Corp",W$1))</f>
        <v>39644</v>
      </c>
      <c r="X48" s="127">
        <f ca="1">VALUE(_xll.BDP($A48 &amp; " Corp",X$1))</f>
        <v>41289</v>
      </c>
      <c r="Y48" s="127">
        <f ca="1">VALUE(_xll.BDP($A48 &amp; " Corp",Y$1))</f>
        <v>41470</v>
      </c>
      <c r="Z48" s="128">
        <f ca="1">_xll.BDP($A48 &amp; " Corp",Z$1)/100</f>
        <v>4.2500000000000003E-2</v>
      </c>
      <c r="AA48" s="129">
        <f ca="1">_xll.BDP($A48 &amp; " Corp",AA$1)</f>
        <v>2</v>
      </c>
      <c r="AB48" s="129">
        <f ca="1">_xll.BDP($A48 &amp; " Corp",AB$1)</f>
        <v>3000000000</v>
      </c>
      <c r="AC48" s="129" t="str">
        <f ca="1">_xll.BDP($A48 &amp; " Corp",AC$1)</f>
        <v>ISMA-30/360</v>
      </c>
      <c r="AD48" s="130" t="str">
        <f ca="1">_xll.INSTANCE.YANKEE(A48,U48,V48,W48,X48,Y48,Z48,AA48,LEFT(AC48,11),3,IF(RIGHT(AC48,6)="NONEOM",FALSE,TRUE),TODAY())</f>
        <v>US298785ER30#0026</v>
      </c>
      <c r="AE48" s="130" t="str">
        <f ca="1">_xll.INSTANCE.CONVENTION.TAUX("conv_" &amp; A48,LEFT(AC48,11),"Compounded",IF(AA48=1,"Annual",IF(AA48=2,"Semi-Annual","")),"Unadjusted",TODAY())</f>
        <v>conv_US298785ER30#0026</v>
      </c>
    </row>
    <row r="49" spans="1:31" x14ac:dyDescent="0.2">
      <c r="A49" s="131" t="s">
        <v>819</v>
      </c>
      <c r="B49" s="115" t="str">
        <f ca="1">_xll.BDP($A49 &amp; " Govt",B$1)</f>
        <v>EIB 1 1/4 09/17/13</v>
      </c>
      <c r="C49" s="209" t="str">
        <f t="shared" ca="1" si="2"/>
        <v>EIB</v>
      </c>
      <c r="D49" s="116"/>
      <c r="E49" s="117"/>
      <c r="F49" s="118"/>
      <c r="G49" s="119"/>
      <c r="H49" s="120">
        <f ca="1">IF(E49="",_xll.BDP(A49 &amp; " Corp","YLD_YTM_BID")/100,E49)</f>
        <v>5.3575960000000001E-3</v>
      </c>
      <c r="I49" s="121">
        <f ca="1">_xll.INSTRUMENT.PRIX(AD49,D49,H49,AE49)</f>
        <v>100.85299070282124</v>
      </c>
      <c r="J49" s="122">
        <f ca="1">_xll.INSTRUMENT.DV01(AD49,,,I49,cContinuous,I49)</f>
        <v>-1.2067844202639748E-2</v>
      </c>
      <c r="K49" s="123">
        <f ca="1">_xll.INSTRUMENT.CONVEXITE(AD49,,,I49,cContinuous,I49)</f>
        <v>1.4288298443125615</v>
      </c>
      <c r="L49" s="123">
        <f ca="1">_xll.INSTRUMENT.Z.SPREAD(AD49,swapCurve,I49,,D49)</f>
        <v>3.5788211972365129</v>
      </c>
      <c r="M49" s="123">
        <f ca="1">_xll.INSTRUMENT.Z.SPREAD(AD49,ustCurve,I49,,D49)</f>
        <v>26.073986219027649</v>
      </c>
      <c r="N49" s="123">
        <f ca="1">_xll.INSTRUMENT.Z.SPREAD(AD49,oisCurve,I49,,D49)</f>
        <v>34.73769137629975</v>
      </c>
      <c r="O49" s="124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6.1483330165003416E-3</v>
      </c>
      <c r="P49" s="124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5.9743835506922529E-3</v>
      </c>
      <c r="Q49" s="143">
        <f t="shared" ca="1" si="3"/>
        <v>-118.3997589229745</v>
      </c>
      <c r="R49" s="199" t="str">
        <f>IF(F49&lt;&gt;"","",IF(G49="","",-G49*(SUMIF('bench Comparison'!$A:$A,"RESINV1USD",'bench Comparison'!$G:$G)+SUMIF('bench Comparison'!$A:$A,"RESSWAPORUSD",'bench Comparison'!$G:$G))/(36500*J49)))</f>
        <v/>
      </c>
      <c r="S49" s="210" t="str">
        <f>IF(G49&lt;&gt;"","",IF(F49="","",-36500*J49*F49/(SUMIF('bench Comparison'!$A:$A,"RESINV1USD",'bench Comparison'!$G:$G)+SUMIF('bench Comparison'!$A:$A,"RESSWAPORUSD",'bench Comparison'!$G:$G))))</f>
        <v/>
      </c>
      <c r="T49" s="125">
        <f>SUMIF('bench Comparison'!$E:$E,A49,'bench Comparison'!$N:$N)</f>
        <v>0</v>
      </c>
      <c r="U49" s="126">
        <f ca="1">VALUE(_xll.BDP($A49 &amp; " Corp",U$1))</f>
        <v>40387</v>
      </c>
      <c r="V49" s="127">
        <f ca="1">VALUE(_xll.BDP($A49 &amp; " Corp",V$1))</f>
        <v>40387</v>
      </c>
      <c r="W49" s="127">
        <f ca="1">VALUE(_xll.BDP($A49 &amp; " Corp",W$1))</f>
        <v>40438</v>
      </c>
      <c r="X49" s="127">
        <f ca="1">VALUE(_xll.BDP($A49 &amp; " Corp",X$1))</f>
        <v>41350</v>
      </c>
      <c r="Y49" s="127">
        <f ca="1">VALUE(_xll.BDP($A49 &amp; " Corp",Y$1))</f>
        <v>41534</v>
      </c>
      <c r="Z49" s="128">
        <f ca="1">_xll.BDP($A49 &amp; " Corp",Z$1)/100</f>
        <v>1.2500000000000001E-2</v>
      </c>
      <c r="AA49" s="129">
        <f ca="1">_xll.BDP($A49 &amp; " Corp",AA$1)</f>
        <v>2</v>
      </c>
      <c r="AB49" s="129">
        <f ca="1">_xll.BDP($A49 &amp; " Corp",AB$1)</f>
        <v>3000000000</v>
      </c>
      <c r="AC49" s="129" t="str">
        <f ca="1">_xll.BDP($A49 &amp; " Corp",AC$1)</f>
        <v>ISMA-30/360</v>
      </c>
      <c r="AD49" s="130" t="str">
        <f ca="1">_xll.INSTANCE.YANKEE(A49,U49,V49,W49,X49,Y49,Z49,AA49,LEFT(AC49,11),3,IF(RIGHT(AC49,6)="NONEOM",FALSE,TRUE),TODAY())</f>
        <v>US298785FF82#0027</v>
      </c>
      <c r="AE49" s="130" t="str">
        <f ca="1">_xll.INSTANCE.CONVENTION.TAUX("conv_" &amp; A49,LEFT(AC49,11),"Compounded",IF(AA49=1,"Annual",IF(AA49=2,"Semi-Annual","")),"Unadjusted",TODAY())</f>
        <v>conv_US298785FF82#0027</v>
      </c>
    </row>
    <row r="50" spans="1:31" x14ac:dyDescent="0.2">
      <c r="A50" s="131" t="s">
        <v>859</v>
      </c>
      <c r="B50" s="115" t="str">
        <f ca="1">_xll.BDP($A50 &amp; " Govt",B$1)</f>
        <v>EIB 5 10/15/13</v>
      </c>
      <c r="C50" s="209" t="str">
        <f t="shared" ca="1" si="2"/>
        <v>EIB</v>
      </c>
      <c r="D50" s="116"/>
      <c r="E50" s="117"/>
      <c r="F50" s="118"/>
      <c r="G50" s="119"/>
      <c r="H50" s="120">
        <f ca="1">IF(E50="",_xll.BDP(A50 &amp; " Corp","YLD_YTM_BID")/100,E50)</f>
        <v>5.8957150000000002E-3</v>
      </c>
      <c r="I50" s="121">
        <f ca="1">_xll.INSTRUMENT.PRIX(AD50,D50,H50,AE50)</f>
        <v>105.59499995106482</v>
      </c>
      <c r="J50" s="122">
        <f ca="1">_xll.INSTRUMENT.DV01(AD50,,,I50,cContinuous,I50)</f>
        <v>-1.3458784943221299E-2</v>
      </c>
      <c r="K50" s="123">
        <f ca="1">_xll.INSTRUMENT.CONVEXITE(AD50,,,I50,cContinuous,I50)</f>
        <v>1.5624319332549785</v>
      </c>
      <c r="L50" s="123">
        <f ca="1">_xll.INSTRUMENT.Z.SPREAD(AD50,swapCurve,I50,,D50)</f>
        <v>8.542081048230072</v>
      </c>
      <c r="M50" s="123">
        <f ca="1">_xll.INSTRUMENT.Z.SPREAD(AD50,ustCurve,I50,,D50)</f>
        <v>30.031834828025943</v>
      </c>
      <c r="N50" s="123">
        <f ca="1">_xll.INSTRUMENT.Z.SPREAD(AD50,oisCurve,I50,,D50)</f>
        <v>39.968830644124438</v>
      </c>
      <c r="O50" s="124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5.2115581173029944E-3</v>
      </c>
      <c r="P50" s="124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7.0425483149968585E-3</v>
      </c>
      <c r="Q50" s="143">
        <f t="shared" ca="1" si="3"/>
        <v>-116.0901180787437</v>
      </c>
      <c r="R50" s="199" t="str">
        <f>IF(F50&lt;&gt;"","",IF(G50="","",-G50*(SUMIF('bench Comparison'!$A:$A,"RESINV1USD",'bench Comparison'!$G:$G)+SUMIF('bench Comparison'!$A:$A,"RESSWAPORUSD",'bench Comparison'!$G:$G))/(36500*J50)))</f>
        <v/>
      </c>
      <c r="S50" s="210" t="str">
        <f>IF(G50&lt;&gt;"","",IF(F50="","",-36500*J50*F50/(SUMIF('bench Comparison'!$A:$A,"RESINV1USD",'bench Comparison'!$G:$G)+SUMIF('bench Comparison'!$A:$A,"RESSWAPORUSD",'bench Comparison'!$G:$G))))</f>
        <v/>
      </c>
      <c r="T50" s="125">
        <f>SUMIF('bench Comparison'!$E:$E,A50,'bench Comparison'!$N:$N)</f>
        <v>0</v>
      </c>
      <c r="U50" s="126">
        <f ca="1">VALUE(_xll.BDP($A50 &amp; " Corp",U$1))</f>
        <v>39008</v>
      </c>
      <c r="V50" s="127">
        <f ca="1">VALUE(_xll.BDP($A50 &amp; " Corp",V$1))</f>
        <v>39008</v>
      </c>
      <c r="W50" s="127">
        <f ca="1">VALUE(_xll.BDP($A50 &amp; " Corp",W$1))</f>
        <v>39370</v>
      </c>
      <c r="X50" s="127">
        <f ca="1">VALUE(_xll.BDP($A50 &amp; " Corp",X$1))</f>
        <v>41197</v>
      </c>
      <c r="Y50" s="127">
        <f ca="1">VALUE(_xll.BDP($A50 &amp; " Corp",Y$1))</f>
        <v>41562</v>
      </c>
      <c r="Z50" s="128">
        <f ca="1">_xll.BDP($A50 &amp; " Corp",Z$1)/100</f>
        <v>0.05</v>
      </c>
      <c r="AA50" s="129">
        <f ca="1">_xll.BDP($A50 &amp; " Corp",AA$1)</f>
        <v>1</v>
      </c>
      <c r="AB50" s="129">
        <f ca="1">_xll.BDP($A50 &amp; " Corp",AB$1)</f>
        <v>1500000000</v>
      </c>
      <c r="AC50" s="129" t="str">
        <f ca="1">_xll.BDP($A50 &amp; " Corp",AC$1)</f>
        <v>ISMA-30/360</v>
      </c>
      <c r="AD50" s="130" t="str">
        <f ca="1">_xll.INSTANCE.YANKEE(A50,U50,V50,W50,X50,Y50,Z50,AA50,LEFT(AC50,11),3,IF(RIGHT(AC50,6)="NONEOM",FALSE,TRUE),TODAY())</f>
        <v>XS0271449000#0027</v>
      </c>
      <c r="AE50" s="130" t="str">
        <f ca="1">_xll.INSTANCE.CONVENTION.TAUX("conv_" &amp; A50,LEFT(AC50,11),"Compounded",IF(AA50=1,"Annual",IF(AA50=2,"Semi-Annual","")),"Unadjusted",TODAY())</f>
        <v>conv_XS0271449000#0027</v>
      </c>
    </row>
    <row r="51" spans="1:31" x14ac:dyDescent="0.2">
      <c r="A51" s="131" t="s">
        <v>820</v>
      </c>
      <c r="B51" s="115" t="str">
        <f ca="1">_xll.BDP($A51 &amp; " Govt",B$1)</f>
        <v>EIB 1 1/4 02/14/14</v>
      </c>
      <c r="C51" s="209" t="str">
        <f t="shared" ca="1" si="2"/>
        <v>EIB</v>
      </c>
      <c r="D51" s="116"/>
      <c r="E51" s="117"/>
      <c r="F51" s="118"/>
      <c r="G51" s="119"/>
      <c r="H51" s="120">
        <f ca="1">IF(E51="",_xll.BDP(A51 &amp; " Corp","YLD_YTM_BID")/100,E51)</f>
        <v>6.5264529999999998E-3</v>
      </c>
      <c r="I51" s="121">
        <f ca="1">_xll.INSTRUMENT.PRIX(AD51,D51,H51,AE51)</f>
        <v>100.95400004734935</v>
      </c>
      <c r="J51" s="122">
        <f ca="1">_xll.INSTRUMENT.DV01(AD51,,,I51,cContinuous,I51)</f>
        <v>-1.6168848382777323E-2</v>
      </c>
      <c r="K51" s="123">
        <f ca="1">_xll.INSTRUMENT.CONVEXITE(AD51,,,I51,cContinuous,I51)</f>
        <v>2.5617034293025189</v>
      </c>
      <c r="L51" s="123">
        <f ca="1">_xll.INSTRUMENT.Z.SPREAD(AD51,swapCurve,I51,,D51)</f>
        <v>13.212277667226612</v>
      </c>
      <c r="M51" s="123">
        <f ca="1">_xll.INSTRUMENT.Z.SPREAD(AD51,ustCurve,I51,,D51)</f>
        <v>33.984289228933299</v>
      </c>
      <c r="N51" s="123">
        <f ca="1">_xll.INSTRUMENT.Z.SPREAD(AD51,oisCurve,I51,,D51)</f>
        <v>45.386213454587185</v>
      </c>
      <c r="O51" s="124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7.6599096318763302E-3</v>
      </c>
      <c r="P51" s="124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7.3095590414977169E-3</v>
      </c>
      <c r="Q51" s="143">
        <f t="shared" ca="1" si="3"/>
        <v>-158.43450124940159</v>
      </c>
      <c r="R51" s="199" t="str">
        <f>IF(F51&lt;&gt;"","",IF(G51="","",-G51*(SUMIF('bench Comparison'!$A:$A,"RESINV1USD",'bench Comparison'!$G:$G)+SUMIF('bench Comparison'!$A:$A,"RESSWAPORUSD",'bench Comparison'!$G:$G))/(36500*J51)))</f>
        <v/>
      </c>
      <c r="S51" s="210" t="str">
        <f>IF(G51&lt;&gt;"","",IF(F51="","",-36500*J51*F51/(SUMIF('bench Comparison'!$A:$A,"RESINV1USD",'bench Comparison'!$G:$G)+SUMIF('bench Comparison'!$A:$A,"RESSWAPORUSD",'bench Comparison'!$G:$G))))</f>
        <v/>
      </c>
      <c r="T51" s="125">
        <f>SUMIF('bench Comparison'!$E:$E,A51,'bench Comparison'!$N:$N)</f>
        <v>0</v>
      </c>
      <c r="U51" s="126">
        <f ca="1">VALUE(_xll.BDP($A51 &amp; " Corp",U$1))</f>
        <v>40568</v>
      </c>
      <c r="V51" s="127">
        <f ca="1">VALUE(_xll.BDP($A51 &amp; " Corp",V$1))</f>
        <v>40568</v>
      </c>
      <c r="W51" s="127">
        <f ca="1">VALUE(_xll.BDP($A51 &amp; " Corp",W$1))</f>
        <v>40769</v>
      </c>
      <c r="X51" s="127">
        <f ca="1">VALUE(_xll.BDP($A51 &amp; " Corp",X$1))</f>
        <v>41500</v>
      </c>
      <c r="Y51" s="127">
        <f ca="1">VALUE(_xll.BDP($A51 &amp; " Corp",Y$1))</f>
        <v>41684</v>
      </c>
      <c r="Z51" s="128">
        <f ca="1">_xll.BDP($A51 &amp; " Corp",Z$1)/100</f>
        <v>1.2500000000000001E-2</v>
      </c>
      <c r="AA51" s="129">
        <f ca="1">_xll.BDP($A51 &amp; " Corp",AA$1)</f>
        <v>2</v>
      </c>
      <c r="AB51" s="129">
        <f ca="1">_xll.BDP($A51 &amp; " Corp",AB$1)</f>
        <v>4500000000</v>
      </c>
      <c r="AC51" s="129" t="str">
        <f ca="1">_xll.BDP($A51 &amp; " Corp",AC$1)</f>
        <v>ISMA-30/360</v>
      </c>
      <c r="AD51" s="130" t="str">
        <f ca="1">_xll.INSTANCE.YANKEE(A51,U51,V51,W51,X51,Y51,Z51,AA51,LEFT(AC51,11),3,IF(RIGHT(AC51,6)="NONEOM",FALSE,TRUE),TODAY())</f>
        <v>US298785FL50#0027</v>
      </c>
      <c r="AE51" s="130" t="str">
        <f ca="1">_xll.INSTANCE.CONVENTION.TAUX("conv_" &amp; A51,LEFT(AC51,11),"Compounded",IF(AA51=1,"Annual",IF(AA51=2,"Semi-Annual","")),"Unadjusted",TODAY())</f>
        <v>conv_US298785FL50#0027</v>
      </c>
    </row>
    <row r="52" spans="1:31" x14ac:dyDescent="0.2">
      <c r="A52" s="131" t="s">
        <v>836</v>
      </c>
      <c r="B52" s="115" t="str">
        <f ca="1">_xll.BDP($A52 &amp; " Govt",B$1)</f>
        <v>EIB 2 3/8 03/14/14</v>
      </c>
      <c r="C52" s="209" t="str">
        <f t="shared" ca="1" si="2"/>
        <v>EIB</v>
      </c>
      <c r="D52" s="116"/>
      <c r="E52" s="117"/>
      <c r="F52" s="118"/>
      <c r="G52" s="119"/>
      <c r="H52" s="120">
        <f ca="1">IF(E52="",_xll.BDP(A52 &amp; " Corp","YLD_YTM_BID")/100,E52)</f>
        <v>7.0786640000000001E-3</v>
      </c>
      <c r="I52" s="121">
        <f ca="1">_xll.INSTRUMENT.PRIX(AD52,D52,H52,AE52)</f>
        <v>102.79795365933089</v>
      </c>
      <c r="J52" s="122">
        <f ca="1">_xll.INSTRUMENT.DV01(AD52,,,I52,cContinuous,I52)</f>
        <v>-1.7133688870947853E-2</v>
      </c>
      <c r="K52" s="123">
        <f ca="1">_xll.INSTRUMENT.CONVEXITE(AD52,,,I52,cContinuous,I52)</f>
        <v>2.7774372700914021</v>
      </c>
      <c r="L52" s="123">
        <f ca="1">_xll.INSTRUMENT.Z.SPREAD(AD52,swapCurve,I52,,D52)</f>
        <v>18.610755703266886</v>
      </c>
      <c r="M52" s="123">
        <f ca="1">_xll.INSTRUMENT.Z.SPREAD(AD52,ustCurve,I52,,D52)</f>
        <v>39.018544426643253</v>
      </c>
      <c r="N52" s="123">
        <f ca="1">_xll.INSTRUMENT.Z.SPREAD(AD52,oisCurve,I52,,D52)</f>
        <v>50.903926793970285</v>
      </c>
      <c r="O52" s="124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7.822730840058096E-3</v>
      </c>
      <c r="P52" s="124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8.0627104546860031E-3</v>
      </c>
      <c r="Q52" s="143">
        <f t="shared" ca="1" si="3"/>
        <v>-162.10386980942951</v>
      </c>
      <c r="R52" s="199" t="str">
        <f>IF(F52&lt;&gt;"","",IF(G52="","",-G52*(SUMIF('bench Comparison'!$A:$A,"RESINV1USD",'bench Comparison'!$G:$G)+SUMIF('bench Comparison'!$A:$A,"RESSWAPORUSD",'bench Comparison'!$G:$G))/(36500*J52)))</f>
        <v/>
      </c>
      <c r="S52" s="210" t="str">
        <f>IF(G52&lt;&gt;"","",IF(F52="","",-36500*J52*F52/(SUMIF('bench Comparison'!$A:$A,"RESINV1USD",'bench Comparison'!$G:$G)+SUMIF('bench Comparison'!$A:$A,"RESSWAPORUSD",'bench Comparison'!$G:$G))))</f>
        <v/>
      </c>
      <c r="T52" s="125">
        <f>SUMIF('bench Comparison'!$E:$E,A52,'bench Comparison'!$N:$N)</f>
        <v>0</v>
      </c>
      <c r="U52" s="126">
        <f ca="1">VALUE(_xll.BDP($A52 &amp; " Corp",U$1))</f>
        <v>39841</v>
      </c>
      <c r="V52" s="127">
        <f ca="1">VALUE(_xll.BDP($A52 &amp; " Corp",V$1))</f>
        <v>39841</v>
      </c>
      <c r="W52" s="127">
        <f ca="1">VALUE(_xll.BDP($A52 &amp; " Corp",W$1))</f>
        <v>39886</v>
      </c>
      <c r="X52" s="127">
        <f ca="1">VALUE(_xll.BDP($A52 &amp; " Corp",X$1))</f>
        <v>41531</v>
      </c>
      <c r="Y52" s="127">
        <f ca="1">VALUE(_xll.BDP($A52 &amp; " Corp",Y$1))</f>
        <v>41712</v>
      </c>
      <c r="Z52" s="128">
        <f ca="1">_xll.BDP($A52 &amp; " Corp",Z$1)/100</f>
        <v>2.375E-2</v>
      </c>
      <c r="AA52" s="129">
        <f ca="1">_xll.BDP($A52 &amp; " Corp",AA$1)</f>
        <v>2</v>
      </c>
      <c r="AB52" s="129">
        <f ca="1">_xll.BDP($A52 &amp; " Corp",AB$1)</f>
        <v>3000000000</v>
      </c>
      <c r="AC52" s="129" t="str">
        <f ca="1">_xll.BDP($A52 &amp; " Corp",AC$1)</f>
        <v>ISMA-30/360</v>
      </c>
      <c r="AD52" s="130" t="str">
        <f ca="1">_xll.INSTANCE.YANKEE(A52,U52,V52,W52,X52,Y52,Z52,AA52,LEFT(AC52,11),3,IF(RIGHT(AC52,6)="NONEOM",FALSE,TRUE),TODAY())</f>
        <v>US298785EV42#0027</v>
      </c>
      <c r="AE52" s="130" t="str">
        <f ca="1">_xll.INSTANCE.CONVENTION.TAUX("conv_" &amp; A52,LEFT(AC52,11),"Compounded",IF(AA52=1,"Annual",IF(AA52=2,"Semi-Annual","")),"Unadjusted",TODAY())</f>
        <v>conv_US298785EV42#0027</v>
      </c>
    </row>
    <row r="53" spans="1:31" x14ac:dyDescent="0.2">
      <c r="A53" s="131" t="s">
        <v>842</v>
      </c>
      <c r="B53" s="115" t="str">
        <f ca="1">_xll.BDP($A53 &amp; " Govt",B$1)</f>
        <v>EIB 3 04/08/14</v>
      </c>
      <c r="C53" s="209" t="str">
        <f t="shared" ca="1" si="2"/>
        <v>EIB</v>
      </c>
      <c r="D53" s="116"/>
      <c r="E53" s="117"/>
      <c r="F53" s="118"/>
      <c r="G53" s="119"/>
      <c r="H53" s="120">
        <f ca="1">IF(E53="",_xll.BDP(A53 &amp; " Corp","YLD_YTM_BID")/100,E53)</f>
        <v>7.417674E-3</v>
      </c>
      <c r="I53" s="121">
        <f ca="1">_xll.INSTRUMENT.PRIX(AD53,D53,H53,AE53)</f>
        <v>103.93696902550809</v>
      </c>
      <c r="J53" s="122">
        <f ca="1">_xll.INSTRUMENT.DV01(AD53,,,I53,cContinuous,I53)</f>
        <v>-1.7947804026284327E-2</v>
      </c>
      <c r="K53" s="123">
        <f ca="1">_xll.INSTRUMENT.CONVEXITE(AD53,,,I53,cContinuous,I53)</f>
        <v>2.9886032865367453</v>
      </c>
      <c r="L53" s="123">
        <f ca="1">_xll.INSTRUMENT.Z.SPREAD(AD53,swapCurve,I53,,D53)</f>
        <v>21.569163539801707</v>
      </c>
      <c r="M53" s="123">
        <f ca="1">_xll.INSTRUMENT.Z.SPREAD(AD53,ustCurve,I53,,D53)</f>
        <v>41.720544500052299</v>
      </c>
      <c r="N53" s="123">
        <f ca="1">_xll.INSTRUMENT.Z.SPREAD(AD53,oisCurve,I53,,D53)</f>
        <v>53.976227884003627</v>
      </c>
      <c r="O53" s="124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7.931642023761093E-3</v>
      </c>
      <c r="P53" s="124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8.5115245512214464E-3</v>
      </c>
      <c r="Q53" s="143">
        <f t="shared" ca="1" si="3"/>
        <v>-166.51637616278708</v>
      </c>
      <c r="R53" s="199" t="str">
        <f>IF(F53&lt;&gt;"","",IF(G53="","",-G53*(SUMIF('bench Comparison'!$A:$A,"RESINV1USD",'bench Comparison'!$G:$G)+SUMIF('bench Comparison'!$A:$A,"RESSWAPORUSD",'bench Comparison'!$G:$G))/(36500*J53)))</f>
        <v/>
      </c>
      <c r="S53" s="210" t="str">
        <f>IF(G53&lt;&gt;"","",IF(F53="","",-36500*J53*F53/(SUMIF('bench Comparison'!$A:$A,"RESINV1USD",'bench Comparison'!$G:$G)+SUMIF('bench Comparison'!$A:$A,"RESSWAPORUSD",'bench Comparison'!$G:$G))))</f>
        <v/>
      </c>
      <c r="T53" s="125">
        <f>SUMIF('bench Comparison'!$E:$E,A53,'bench Comparison'!$N:$N)</f>
        <v>0</v>
      </c>
      <c r="U53" s="126">
        <f ca="1">VALUE(_xll.BDP($A53 &amp; " Corp",U$1))</f>
        <v>39911</v>
      </c>
      <c r="V53" s="127">
        <f ca="1">VALUE(_xll.BDP($A53 &amp; " Corp",V$1))</f>
        <v>39911</v>
      </c>
      <c r="W53" s="127">
        <f ca="1">VALUE(_xll.BDP($A53 &amp; " Corp",W$1))</f>
        <v>40094</v>
      </c>
      <c r="X53" s="127">
        <f ca="1">VALUE(_xll.BDP($A53 &amp; " Corp",X$1))</f>
        <v>41555</v>
      </c>
      <c r="Y53" s="127">
        <f ca="1">VALUE(_xll.BDP($A53 &amp; " Corp",Y$1))</f>
        <v>41737</v>
      </c>
      <c r="Z53" s="128">
        <f ca="1">_xll.BDP($A53 &amp; " Corp",Z$1)/100</f>
        <v>0.03</v>
      </c>
      <c r="AA53" s="129">
        <f ca="1">_xll.BDP($A53 &amp; " Corp",AA$1)</f>
        <v>2</v>
      </c>
      <c r="AB53" s="129">
        <f ca="1">_xll.BDP($A53 &amp; " Corp",AB$1)</f>
        <v>3500000000</v>
      </c>
      <c r="AC53" s="129" t="str">
        <f ca="1">_xll.BDP($A53 &amp; " Corp",AC$1)</f>
        <v>ISMA-30/360</v>
      </c>
      <c r="AD53" s="130" t="str">
        <f ca="1">_xll.INSTANCE.YANKEE(A53,U53,V53,W53,X53,Y53,Z53,AA53,LEFT(AC53,11),3,IF(RIGHT(AC53,6)="NONEOM",FALSE,TRUE),TODAY())</f>
        <v>US298785EX08#0027</v>
      </c>
      <c r="AE53" s="130" t="str">
        <f ca="1">_xll.INSTANCE.CONVENTION.TAUX("conv_" &amp; A53,LEFT(AC53,11),"Compounded",IF(AA53=1,"Annual",IF(AA53=2,"Semi-Annual","")),"Unadjusted",TODAY())</f>
        <v>conv_US298785EX08#0027</v>
      </c>
    </row>
    <row r="54" spans="1:31" x14ac:dyDescent="0.2">
      <c r="A54" s="131" t="s">
        <v>860</v>
      </c>
      <c r="B54" s="115" t="str">
        <f ca="1">_xll.BDP($A54 &amp; " Govt",B$1)</f>
        <v>EIB 5 1/8 04/15/14</v>
      </c>
      <c r="C54" s="209" t="str">
        <f t="shared" ca="1" si="2"/>
        <v>EIB</v>
      </c>
      <c r="D54" s="116"/>
      <c r="E54" s="117"/>
      <c r="F54" s="118"/>
      <c r="G54" s="119"/>
      <c r="H54" s="120">
        <f ca="1">IF(E54="",_xll.BDP(A54 &amp; " Corp","YLD_YTM_BID")/100,E54)</f>
        <v>7.683006E-3</v>
      </c>
      <c r="I54" s="121">
        <f ca="1">_xll.INSTRUMENT.PRIX(AD54,D54,H54,AE54)</f>
        <v>107.66000004964737</v>
      </c>
      <c r="J54" s="122">
        <f ca="1">_xll.INSTRUMENT.DV01(AD54,,,I54,cContinuous,I54)</f>
        <v>-1.882120013159504E-2</v>
      </c>
      <c r="K54" s="123">
        <f ca="1">_xll.INSTRUMENT.CONVEXITE(AD54,,,I54,cContinuous,I54)</f>
        <v>3.0372180140529506</v>
      </c>
      <c r="L54" s="123">
        <f ca="1">_xll.INSTRUMENT.Z.SPREAD(AD54,swapCurve,I54,,D54)</f>
        <v>24.018384150920014</v>
      </c>
      <c r="M54" s="123">
        <f ca="1">_xll.INSTRUMENT.Z.SPREAD(AD54,ustCurve,I54,,D54)</f>
        <v>43.843875324395967</v>
      </c>
      <c r="N54" s="123">
        <f ca="1">_xll.INSTRUMENT.Z.SPREAD(AD54,oisCurve,I54,,D54)</f>
        <v>56.429103125625801</v>
      </c>
      <c r="O54" s="124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7.2452063886329398E-3</v>
      </c>
      <c r="P54" s="124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8.9696294744680931E-3</v>
      </c>
      <c r="Q54" s="143">
        <f t="shared" ca="1" si="3"/>
        <v>-161.37217567515211</v>
      </c>
      <c r="R54" s="199" t="str">
        <f>IF(F54&lt;&gt;"","",IF(G54="","",-G54*(SUMIF('bench Comparison'!$A:$A,"RESINV1USD",'bench Comparison'!$G:$G)+SUMIF('bench Comparison'!$A:$A,"RESSWAPORUSD",'bench Comparison'!$G:$G))/(36500*J54)))</f>
        <v/>
      </c>
      <c r="S54" s="210" t="str">
        <f>IF(G54&lt;&gt;"","",IF(F54="","",-36500*J54*F54/(SUMIF('bench Comparison'!$A:$A,"RESINV1USD",'bench Comparison'!$G:$G)+SUMIF('bench Comparison'!$A:$A,"RESSWAPORUSD",'bench Comparison'!$G:$G))))</f>
        <v/>
      </c>
      <c r="T54" s="125">
        <f>SUMIF('bench Comparison'!$E:$E,A54,'bench Comparison'!$N:$N)</f>
        <v>0</v>
      </c>
      <c r="U54" s="126">
        <f ca="1">VALUE(_xll.BDP($A54 &amp; " Corp",U$1))</f>
        <v>39136</v>
      </c>
      <c r="V54" s="127">
        <f ca="1">VALUE(_xll.BDP($A54 &amp; " Corp",V$1))</f>
        <v>39136</v>
      </c>
      <c r="W54" s="127">
        <f ca="1">VALUE(_xll.BDP($A54 &amp; " Corp",W$1))</f>
        <v>39187</v>
      </c>
      <c r="X54" s="127">
        <f ca="1">VALUE(_xll.BDP($A54 &amp; " Corp",X$1))</f>
        <v>41379</v>
      </c>
      <c r="Y54" s="127">
        <f ca="1">VALUE(_xll.BDP($A54 &amp; " Corp",Y$1))</f>
        <v>41744</v>
      </c>
      <c r="Z54" s="128">
        <f ca="1">_xll.BDP($A54 &amp; " Corp",Z$1)/100</f>
        <v>5.1249999999999997E-2</v>
      </c>
      <c r="AA54" s="129">
        <f ca="1">_xll.BDP($A54 &amp; " Corp",AA$1)</f>
        <v>1</v>
      </c>
      <c r="AB54" s="129">
        <f ca="1">_xll.BDP($A54 &amp; " Corp",AB$1)</f>
        <v>1250000000</v>
      </c>
      <c r="AC54" s="129" t="str">
        <f ca="1">_xll.BDP($A54 &amp; " Corp",AC$1)</f>
        <v>ISMA-30/360</v>
      </c>
      <c r="AD54" s="130" t="str">
        <f ca="1">_xll.INSTANCE.YANKEE(A54,U54,V54,W54,X54,Y54,Z54,AA54,LEFT(AC54,11),3,IF(RIGHT(AC54,6)="NONEOM",FALSE,TRUE),TODAY())</f>
        <v>XS0287792914#0027</v>
      </c>
      <c r="AE54" s="130" t="str">
        <f ca="1">_xll.INSTANCE.CONVENTION.TAUX("conv_" &amp; A54,LEFT(AC54,11),"Compounded",IF(AA54=1,"Annual",IF(AA54=2,"Semi-Annual","")),"Unadjusted",TODAY())</f>
        <v>conv_XS0287792914#0027</v>
      </c>
    </row>
    <row r="55" spans="1:31" x14ac:dyDescent="0.2">
      <c r="A55" s="131" t="s">
        <v>823</v>
      </c>
      <c r="B55" s="115" t="str">
        <f ca="1">_xll.BDP($A55 &amp; " Govt",B$1)</f>
        <v>EIB 1 1/2 05/15/14</v>
      </c>
      <c r="C55" s="209" t="str">
        <f t="shared" ca="1" si="2"/>
        <v>EIB</v>
      </c>
      <c r="D55" s="116"/>
      <c r="E55" s="117"/>
      <c r="F55" s="118"/>
      <c r="G55" s="119"/>
      <c r="H55" s="120">
        <f ca="1">IF(E55="",_xll.BDP(A55 &amp; " Corp","YLD_YTM_BID")/100,E55)</f>
        <v>7.469275E-3</v>
      </c>
      <c r="I55" s="121">
        <f ca="1">_xll.INSTRUMENT.PRIX(AD55,D55,H55,AE55)</f>
        <v>101.38899998995677</v>
      </c>
      <c r="J55" s="122">
        <f ca="1">_xll.INSTRUMENT.DV01(AD55,,,I55,cContinuous,I55)</f>
        <v>-1.8662983249922476E-2</v>
      </c>
      <c r="K55" s="123">
        <f ca="1">_xll.INSTRUMENT.CONVEXITE(AD55,,,I55,cContinuous,I55)</f>
        <v>3.3995291881694181</v>
      </c>
      <c r="L55" s="123">
        <f ca="1">_xll.INSTRUMENT.Z.SPREAD(AD55,swapCurve,I55,,D55)</f>
        <v>21.599037758887295</v>
      </c>
      <c r="M55" s="123">
        <f ca="1">_xll.INSTRUMENT.Z.SPREAD(AD55,ustCurve,I55,,D55)</f>
        <v>41.621146035115366</v>
      </c>
      <c r="N55" s="123">
        <f ca="1">_xll.INSTRUMENT.Z.SPREAD(AD55,oisCurve,I55,,D55)</f>
        <v>54.191606043501004</v>
      </c>
      <c r="O55" s="124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8.7048809953365579E-3</v>
      </c>
      <c r="P55" s="124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8.4741567693222188E-3</v>
      </c>
      <c r="Q55" s="143">
        <f t="shared" ca="1" si="3"/>
        <v>-182.1535786988149</v>
      </c>
      <c r="R55" s="199" t="str">
        <f>IF(F55&lt;&gt;"","",IF(G55="","",-G55*(SUMIF('bench Comparison'!$A:$A,"RESINV1USD",'bench Comparison'!$G:$G)+SUMIF('bench Comparison'!$A:$A,"RESSWAPORUSD",'bench Comparison'!$G:$G))/(36500*J55)))</f>
        <v/>
      </c>
      <c r="S55" s="210" t="str">
        <f>IF(G55&lt;&gt;"","",IF(F55="","",-36500*J55*F55/(SUMIF('bench Comparison'!$A:$A,"RESINV1USD",'bench Comparison'!$G:$G)+SUMIF('bench Comparison'!$A:$A,"RESSWAPORUSD",'bench Comparison'!$G:$G))))</f>
        <v/>
      </c>
      <c r="T55" s="125">
        <f>SUMIF('bench Comparison'!$E:$E,A55,'bench Comparison'!$N:$N)</f>
        <v>0</v>
      </c>
      <c r="U55" s="126">
        <f ca="1">VALUE(_xll.BDP($A55 &amp; " Corp",U$1))</f>
        <v>40646</v>
      </c>
      <c r="V55" s="127">
        <f ca="1">VALUE(_xll.BDP($A55 &amp; " Corp",V$1))</f>
        <v>40646</v>
      </c>
      <c r="W55" s="127">
        <f ca="1">VALUE(_xll.BDP($A55 &amp; " Corp",W$1))</f>
        <v>40862</v>
      </c>
      <c r="X55" s="127">
        <f ca="1">VALUE(_xll.BDP($A55 &amp; " Corp",X$1))</f>
        <v>41593</v>
      </c>
      <c r="Y55" s="127">
        <f ca="1">VALUE(_xll.BDP($A55 &amp; " Corp",Y$1))</f>
        <v>41774</v>
      </c>
      <c r="Z55" s="128">
        <f ca="1">_xll.BDP($A55 &amp; " Corp",Z$1)/100</f>
        <v>1.4999999999999999E-2</v>
      </c>
      <c r="AA55" s="129">
        <f ca="1">_xll.BDP($A55 &amp; " Corp",AA$1)</f>
        <v>2</v>
      </c>
      <c r="AB55" s="129">
        <f ca="1">_xll.BDP($A55 &amp; " Corp",AB$1)</f>
        <v>4000000000</v>
      </c>
      <c r="AC55" s="129" t="str">
        <f ca="1">_xll.BDP($A55 &amp; " Corp",AC$1)</f>
        <v>ISMA-30/360</v>
      </c>
      <c r="AD55" s="130" t="str">
        <f ca="1">_xll.INSTANCE.YANKEE(A55,U55,V55,W55,X55,Y55,Z55,AA55,LEFT(AC55,11),3,IF(RIGHT(AC55,6)="NONEOM",FALSE,TRUE),TODAY())</f>
        <v>US298785FP64#0027</v>
      </c>
      <c r="AE55" s="130" t="str">
        <f ca="1">_xll.INSTANCE.CONVENTION.TAUX("conv_" &amp; A55,LEFT(AC55,11),"Compounded",IF(AA55=1,"Annual",IF(AA55=2,"Semi-Annual","")),"Unadjusted",TODAY())</f>
        <v>conv_US298785FP64#0027</v>
      </c>
    </row>
    <row r="56" spans="1:31" x14ac:dyDescent="0.2">
      <c r="A56" s="131" t="s">
        <v>853</v>
      </c>
      <c r="B56" s="115" t="str">
        <f ca="1">_xll.BDP($A56 &amp; " Govt",B$1)</f>
        <v>EIB 4 5/8 05/15/14</v>
      </c>
      <c r="C56" s="209" t="str">
        <f t="shared" ca="1" si="2"/>
        <v>EIB</v>
      </c>
      <c r="D56" s="116"/>
      <c r="E56" s="117"/>
      <c r="F56" s="118"/>
      <c r="G56" s="119"/>
      <c r="H56" s="120">
        <f ca="1">IF(E56="",_xll.BDP(A56 &amp; " Corp","YLD_YTM_BID")/100,E56)</f>
        <v>7.6945520000000003E-3</v>
      </c>
      <c r="I56" s="121">
        <f ca="1">_xll.INSTRUMENT.PRIX(AD56,D56,H56,AE56)</f>
        <v>107.11000003505565</v>
      </c>
      <c r="J56" s="122">
        <f ca="1">_xll.INSTRUMENT.DV01(AD56,,,I56,cContinuous,I56)</f>
        <v>-1.9342269412012034E-2</v>
      </c>
      <c r="K56" s="123">
        <f ca="1">_xll.INSTRUMENT.CONVEXITE(AD56,,,I56,cContinuous,I56)</f>
        <v>3.2926026600565339</v>
      </c>
      <c r="L56" s="123">
        <f ca="1">_xll.INSTRUMENT.Z.SPREAD(AD56,swapCurve,I56,,D56)</f>
        <v>23.913883364680387</v>
      </c>
      <c r="M56" s="123">
        <f ca="1">_xll.INSTRUMENT.Z.SPREAD(AD56,ustCurve,I56,,D56)</f>
        <v>43.597100658954517</v>
      </c>
      <c r="N56" s="123">
        <f ca="1">_xll.INSTRUMENT.Z.SPREAD(AD56,oisCurve,I56,,D56)</f>
        <v>56.469961843742254</v>
      </c>
      <c r="O56" s="124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7.4769332197587085E-3</v>
      </c>
      <c r="P56" s="124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8.9604998790232E-3</v>
      </c>
      <c r="Q56" s="143">
        <f t="shared" ca="1" si="3"/>
        <v>-170.22835272947574</v>
      </c>
      <c r="R56" s="199" t="str">
        <f>IF(F56&lt;&gt;"","",IF(G56="","",-G56*(SUMIF('bench Comparison'!$A:$A,"RESINV1USD",'bench Comparison'!$G:$G)+SUMIF('bench Comparison'!$A:$A,"RESSWAPORUSD",'bench Comparison'!$G:$G))/(36500*J56)))</f>
        <v/>
      </c>
      <c r="S56" s="210" t="str">
        <f>IF(G56&lt;&gt;"","",IF(F56="","",-36500*J56*F56/(SUMIF('bench Comparison'!$A:$A,"RESINV1USD",'bench Comparison'!$G:$G)+SUMIF('bench Comparison'!$A:$A,"RESSWAPORUSD",'bench Comparison'!$G:$G))))</f>
        <v/>
      </c>
      <c r="T56" s="125">
        <f>SUMIF('bench Comparison'!$E:$E,A56,'bench Comparison'!$N:$N)</f>
        <v>0</v>
      </c>
      <c r="U56" s="126">
        <f ca="1">VALUE(_xll.BDP($A56 &amp; " Corp",U$1))</f>
        <v>38111</v>
      </c>
      <c r="V56" s="127">
        <f ca="1">VALUE(_xll.BDP($A56 &amp; " Corp",V$1))</f>
        <v>38111</v>
      </c>
      <c r="W56" s="127">
        <f ca="1">VALUE(_xll.BDP($A56 &amp; " Corp",W$1))</f>
        <v>38306</v>
      </c>
      <c r="X56" s="127">
        <f ca="1">VALUE(_xll.BDP($A56 &amp; " Corp",X$1))</f>
        <v>41593</v>
      </c>
      <c r="Y56" s="127">
        <f ca="1">VALUE(_xll.BDP($A56 &amp; " Corp",Y$1))</f>
        <v>41774</v>
      </c>
      <c r="Z56" s="128">
        <f ca="1">_xll.BDP($A56 &amp; " Corp",Z$1)/100</f>
        <v>4.6249999999999999E-2</v>
      </c>
      <c r="AA56" s="129">
        <f ca="1">_xll.BDP($A56 &amp; " Corp",AA$1)</f>
        <v>2</v>
      </c>
      <c r="AB56" s="129">
        <f ca="1">_xll.BDP($A56 &amp; " Corp",AB$1)</f>
        <v>1500000000</v>
      </c>
      <c r="AC56" s="129" t="str">
        <f ca="1">_xll.BDP($A56 &amp; " Corp",AC$1)</f>
        <v>ISMA-30/360</v>
      </c>
      <c r="AD56" s="130" t="str">
        <f ca="1">_xll.INSTANCE.YANKEE(A56,U56,V56,W56,X56,Y56,Z56,AA56,LEFT(AC56,11),3,IF(RIGHT(AC56,6)="NONEOM",FALSE,TRUE),TODAY())</f>
        <v>US298785DD52#0027</v>
      </c>
      <c r="AE56" s="130" t="str">
        <f ca="1">_xll.INSTANCE.CONVENTION.TAUX("conv_" &amp; A56,LEFT(AC56,11),"Compounded",IF(AA56=1,"Annual",IF(AA56=2,"Semi-Annual","")),"Unadjusted",TODAY())</f>
        <v>conv_US298785DD52#0027</v>
      </c>
    </row>
    <row r="57" spans="1:31" x14ac:dyDescent="0.2">
      <c r="A57" s="131" t="s">
        <v>843</v>
      </c>
      <c r="B57" s="115" t="str">
        <f ca="1">_xll.BDP($A57 &amp; " Govt",B$1)</f>
        <v>EIB 3 1/8 06/04/14</v>
      </c>
      <c r="C57" s="209" t="str">
        <f t="shared" ca="1" si="2"/>
        <v>EIB</v>
      </c>
      <c r="D57" s="116"/>
      <c r="E57" s="117"/>
      <c r="F57" s="118"/>
      <c r="G57" s="119"/>
      <c r="H57" s="120">
        <f ca="1">IF(E57="",_xll.BDP(A57 &amp; " Corp","YLD_YTM_BID")/100,E57)</f>
        <v>7.9728769999999997E-3</v>
      </c>
      <c r="I57" s="121">
        <f ca="1">_xll.INSTRUMENT.PRIX(AD57,D57,H57,AE57)</f>
        <v>104.41200003041922</v>
      </c>
      <c r="J57" s="122">
        <f ca="1">_xll.INSTRUMENT.DV01(AD57,,,I57,cContinuous,I57)</f>
        <v>-1.9567511398424057E-2</v>
      </c>
      <c r="K57" s="123">
        <f ca="1">_xll.INSTRUMENT.CONVEXITE(AD57,,,I57,cContinuous,I57)</f>
        <v>3.5440143261045374</v>
      </c>
      <c r="L57" s="123">
        <f ca="1">_xll.INSTRUMENT.Z.SPREAD(AD57,swapCurve,I57,,D57)</f>
        <v>26.29638978590917</v>
      </c>
      <c r="M57" s="123">
        <f ca="1">_xll.INSTRUMENT.Z.SPREAD(AD57,ustCurve,I57,,D57)</f>
        <v>45.981306775744535</v>
      </c>
      <c r="N57" s="123">
        <f ca="1">_xll.INSTRUMENT.Z.SPREAD(AD57,oisCurve,I57,,D57)</f>
        <v>58.973356472869206</v>
      </c>
      <c r="O57" s="124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8.4767109567205779E-3</v>
      </c>
      <c r="P57" s="124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9.1177461629200918E-3</v>
      </c>
      <c r="Q57" s="143">
        <f t="shared" ca="1" si="3"/>
        <v>-181.11727413583966</v>
      </c>
      <c r="R57" s="199" t="str">
        <f>IF(F57&lt;&gt;"","",IF(G57="","",-G57*(SUMIF('bench Comparison'!$A:$A,"RESINV1USD",'bench Comparison'!$G:$G)+SUMIF('bench Comparison'!$A:$A,"RESSWAPORUSD",'bench Comparison'!$G:$G))/(36500*J57)))</f>
        <v/>
      </c>
      <c r="S57" s="210" t="str">
        <f>IF(G57&lt;&gt;"","",IF(F57="","",-36500*J57*F57/(SUMIF('bench Comparison'!$A:$A,"RESINV1USD",'bench Comparison'!$G:$G)+SUMIF('bench Comparison'!$A:$A,"RESSWAPORUSD",'bench Comparison'!$G:$G))))</f>
        <v/>
      </c>
      <c r="T57" s="125">
        <f>SUMIF('bench Comparison'!$E:$E,A57,'bench Comparison'!$N:$N)</f>
        <v>0</v>
      </c>
      <c r="U57" s="126">
        <f ca="1">VALUE(_xll.BDP($A57 &amp; " Corp",U$1))</f>
        <v>39968</v>
      </c>
      <c r="V57" s="127">
        <f ca="1">VALUE(_xll.BDP($A57 &amp; " Corp",V$1))</f>
        <v>39968</v>
      </c>
      <c r="W57" s="127">
        <f ca="1">VALUE(_xll.BDP($A57 &amp; " Corp",W$1))</f>
        <v>40151</v>
      </c>
      <c r="X57" s="127">
        <f ca="1">VALUE(_xll.BDP($A57 &amp; " Corp",X$1))</f>
        <v>41612</v>
      </c>
      <c r="Y57" s="127">
        <f ca="1">VALUE(_xll.BDP($A57 &amp; " Corp",Y$1))</f>
        <v>41794</v>
      </c>
      <c r="Z57" s="128">
        <f ca="1">_xll.BDP($A57 &amp; " Corp",Z$1)/100</f>
        <v>3.125E-2</v>
      </c>
      <c r="AA57" s="129">
        <f ca="1">_xll.BDP($A57 &amp; " Corp",AA$1)</f>
        <v>2</v>
      </c>
      <c r="AB57" s="129">
        <f ca="1">_xll.BDP($A57 &amp; " Corp",AB$1)</f>
        <v>4500000000</v>
      </c>
      <c r="AC57" s="129" t="str">
        <f ca="1">_xll.BDP($A57 &amp; " Corp",AC$1)</f>
        <v>ISMA-30/360</v>
      </c>
      <c r="AD57" s="130" t="str">
        <f ca="1">_xll.INSTANCE.YANKEE(A57,U57,V57,W57,X57,Y57,Z57,AA57,LEFT(AC57,11),3,IF(RIGHT(AC57,6)="NONEOM",FALSE,TRUE),TODAY())</f>
        <v>US298785EY80#0027</v>
      </c>
      <c r="AE57" s="130" t="str">
        <f ca="1">_xll.INSTANCE.CONVENTION.TAUX("conv_" &amp; A57,LEFT(AC57,11),"Compounded",IF(AA57=1,"Annual",IF(AA57=2,"Semi-Annual","")),"Unadjusted",TODAY())</f>
        <v>conv_US298785EY80#0027</v>
      </c>
    </row>
    <row r="58" spans="1:31" x14ac:dyDescent="0.2">
      <c r="A58" s="131" t="s">
        <v>817</v>
      </c>
      <c r="B58" s="115" t="str">
        <f ca="1">_xll.BDP($A58 &amp; " Govt",B$1)</f>
        <v>EIB 1 1/8 08/15/14</v>
      </c>
      <c r="C58" s="209" t="str">
        <f t="shared" ca="1" si="2"/>
        <v>EIB</v>
      </c>
      <c r="D58" s="116"/>
      <c r="E58" s="117"/>
      <c r="F58" s="118"/>
      <c r="G58" s="119"/>
      <c r="H58" s="120">
        <f ca="1">IF(E58="",_xll.BDP(A58 &amp; " Corp","YLD_YTM_BID")/100,E58)</f>
        <v>7.7084919999999999E-3</v>
      </c>
      <c r="I58" s="121">
        <f ca="1">_xll.INSTRUMENT.PRIX(AD58,D58,H58,AE58)</f>
        <v>100.73996447223062</v>
      </c>
      <c r="J58" s="122">
        <f ca="1">_xll.INSTRUMENT.DV01(AD58,,,I58,cContinuous,I58)</f>
        <v>-2.1079398581803962E-2</v>
      </c>
      <c r="K58" s="123">
        <f ca="1">_xll.INSTRUMENT.CONVEXITE(AD58,,,I58,cContinuous,I58)</f>
        <v>4.3812354622284628</v>
      </c>
      <c r="L58" s="123">
        <f ca="1">_xll.INSTRUMENT.Z.SPREAD(AD58,swapCurve,I58,,D58)</f>
        <v>22.517893805848701</v>
      </c>
      <c r="M58" s="123">
        <f ca="1">_xll.INSTRUMENT.Z.SPREAD(AD58,ustCurve,I58,,D58)</f>
        <v>41.869747032995235</v>
      </c>
      <c r="N58" s="123">
        <f ca="1">_xll.INSTRUMENT.Z.SPREAD(AD58,oisCurve,I58,,D58)</f>
        <v>55.789267647139098</v>
      </c>
      <c r="O58" s="124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9.495445820447198E-3</v>
      </c>
      <c r="P58" s="124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8.8642450241863697E-3</v>
      </c>
      <c r="Q58" s="143">
        <f t="shared" ca="1" si="3"/>
        <v>-207.84442427168713</v>
      </c>
      <c r="R58" s="199" t="str">
        <f>IF(F58&lt;&gt;"","",IF(G58="","",-G58*(SUMIF('bench Comparison'!$A:$A,"RESINV1USD",'bench Comparison'!$G:$G)+SUMIF('bench Comparison'!$A:$A,"RESSWAPORUSD",'bench Comparison'!$G:$G))/(36500*J58)))</f>
        <v/>
      </c>
      <c r="S58" s="210" t="str">
        <f>IF(G58&lt;&gt;"","",IF(F58="","",-36500*J58*F58/(SUMIF('bench Comparison'!$A:$A,"RESINV1USD",'bench Comparison'!$G:$G)+SUMIF('bench Comparison'!$A:$A,"RESSWAPORUSD",'bench Comparison'!$G:$G))))</f>
        <v/>
      </c>
      <c r="T58" s="125">
        <f>SUMIF('bench Comparison'!$E:$E,A58,'bench Comparison'!$N:$N)</f>
        <v>0</v>
      </c>
      <c r="U58" s="126">
        <f ca="1">VALUE(_xll.BDP($A58 &amp; " Corp",U$1))</f>
        <v>40736</v>
      </c>
      <c r="V58" s="127">
        <f ca="1">VALUE(_xll.BDP($A58 &amp; " Corp",V$1))</f>
        <v>40736</v>
      </c>
      <c r="W58" s="127">
        <f ca="1">VALUE(_xll.BDP($A58 &amp; " Corp",W$1))</f>
        <v>40770</v>
      </c>
      <c r="X58" s="127">
        <f ca="1">VALUE(_xll.BDP($A58 &amp; " Corp",X$1))</f>
        <v>41685</v>
      </c>
      <c r="Y58" s="127">
        <f ca="1">VALUE(_xll.BDP($A58 &amp; " Corp",Y$1))</f>
        <v>41866</v>
      </c>
      <c r="Z58" s="128">
        <f ca="1">_xll.BDP($A58 &amp; " Corp",Z$1)/100</f>
        <v>1.125E-2</v>
      </c>
      <c r="AA58" s="129">
        <f ca="1">_xll.BDP($A58 &amp; " Corp",AA$1)</f>
        <v>2</v>
      </c>
      <c r="AB58" s="129">
        <f ca="1">_xll.BDP($A58 &amp; " Corp",AB$1)</f>
        <v>5000000000</v>
      </c>
      <c r="AC58" s="129" t="str">
        <f ca="1">_xll.BDP($A58 &amp; " Corp",AC$1)</f>
        <v>30/360</v>
      </c>
      <c r="AD58" s="130" t="str">
        <f ca="1">_xll.INSTANCE.YANKEE(A58,U58,V58,W58,X58,Y58,Z58,AA58,LEFT(AC58,11),3,IF(RIGHT(AC58,6)="NONEOM",FALSE,TRUE),TODAY())</f>
        <v>US298785FR21#0026</v>
      </c>
      <c r="AE58" s="130" t="str">
        <f ca="1">_xll.INSTANCE.CONVENTION.TAUX("conv_" &amp; A58,LEFT(AC58,11),"Compounded",IF(AA58=1,"Annual",IF(AA58=2,"Semi-Annual","")),"Unadjusted",TODAY())</f>
        <v>conv_US298785FR21#0026</v>
      </c>
    </row>
    <row r="59" spans="1:31" x14ac:dyDescent="0.2">
      <c r="A59" s="131" t="s">
        <v>855</v>
      </c>
      <c r="B59" s="115" t="str">
        <f ca="1">_xll.BDP($A59 &amp; " Govt",B$1)</f>
        <v>EIB 4 3/4 10/15/14</v>
      </c>
      <c r="C59" s="209" t="str">
        <f t="shared" ca="1" si="2"/>
        <v>EIB</v>
      </c>
      <c r="D59" s="116"/>
      <c r="E59" s="117"/>
      <c r="F59" s="118"/>
      <c r="G59" s="119"/>
      <c r="H59" s="120">
        <f ca="1">IF(E59="",_xll.BDP(A59 &amp; " Corp","YLD_YTM_BID")/100,E59)</f>
        <v>8.3079850000000004E-3</v>
      </c>
      <c r="I59" s="121">
        <f ca="1">_xll.INSTRUMENT.PRIX(AD59,D59,H59,AE59)</f>
        <v>108.80300010359834</v>
      </c>
      <c r="J59" s="122">
        <f ca="1">_xll.INSTRUMENT.DV01(AD59,,,I59,cContinuous,I59)</f>
        <v>-2.4150411398232957E-2</v>
      </c>
      <c r="K59" s="123">
        <f ca="1">_xll.INSTRUMENT.CONVEXITE(AD59,,,I59,cContinuous,I59)</f>
        <v>4.8249780332254533</v>
      </c>
      <c r="L59" s="123">
        <f ca="1">_xll.INSTRUMENT.Z.SPREAD(AD59,swapCurve,I59,,D59)</f>
        <v>27.368159208506128</v>
      </c>
      <c r="M59" s="123">
        <f ca="1">_xll.INSTRUMENT.Z.SPREAD(AD59,ustCurve,I59,,D59)</f>
        <v>46.055362494624326</v>
      </c>
      <c r="N59" s="123">
        <f ca="1">_xll.INSTRUMENT.Z.SPREAD(AD59,oisCurve,I59,,D59)</f>
        <v>61.199996425567988</v>
      </c>
      <c r="O59" s="124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9.0209385682003991E-3</v>
      </c>
      <c r="P59" s="124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1.0152696915654239E-2</v>
      </c>
      <c r="Q59" s="143">
        <f t="shared" ca="1" si="3"/>
        <v>-199.78864764094612</v>
      </c>
      <c r="R59" s="199" t="str">
        <f>IF(F59&lt;&gt;"","",IF(G59="","",-G59*(SUMIF('bench Comparison'!$A:$A,"RESINV1USD",'bench Comparison'!$G:$G)+SUMIF('bench Comparison'!$A:$A,"RESSWAPORUSD",'bench Comparison'!$G:$G))/(36500*J59)))</f>
        <v/>
      </c>
      <c r="S59" s="210" t="str">
        <f>IF(G59&lt;&gt;"","",IF(F59="","",-36500*J59*F59/(SUMIF('bench Comparison'!$A:$A,"RESINV1USD",'bench Comparison'!$G:$G)+SUMIF('bench Comparison'!$A:$A,"RESSWAPORUSD",'bench Comparison'!$G:$G))))</f>
        <v/>
      </c>
      <c r="T59" s="125">
        <f>SUMIF('bench Comparison'!$E:$E,A59,'bench Comparison'!$N:$N)</f>
        <v>0</v>
      </c>
      <c r="U59" s="126">
        <f ca="1">VALUE(_xll.BDP($A59 &amp; " Corp",U$1))</f>
        <v>39351</v>
      </c>
      <c r="V59" s="127">
        <f ca="1">VALUE(_xll.BDP($A59 &amp; " Corp",V$1))</f>
        <v>39351</v>
      </c>
      <c r="W59" s="127">
        <f ca="1">VALUE(_xll.BDP($A59 &amp; " Corp",W$1))</f>
        <v>39736</v>
      </c>
      <c r="X59" s="127">
        <f ca="1">VALUE(_xll.BDP($A59 &amp; " Corp",X$1))</f>
        <v>41562</v>
      </c>
      <c r="Y59" s="127">
        <f ca="1">VALUE(_xll.BDP($A59 &amp; " Corp",Y$1))</f>
        <v>41927</v>
      </c>
      <c r="Z59" s="128">
        <f ca="1">_xll.BDP($A59 &amp; " Corp",Z$1)/100</f>
        <v>4.7500000000000001E-2</v>
      </c>
      <c r="AA59" s="129">
        <f ca="1">_xll.BDP($A59 &amp; " Corp",AA$1)</f>
        <v>1</v>
      </c>
      <c r="AB59" s="129">
        <f ca="1">_xll.BDP($A59 &amp; " Corp",AB$1)</f>
        <v>1000000000</v>
      </c>
      <c r="AC59" s="129" t="str">
        <f ca="1">_xll.BDP($A59 &amp; " Corp",AC$1)</f>
        <v>ISMA-30/360</v>
      </c>
      <c r="AD59" s="130" t="str">
        <f ca="1">_xll.INSTANCE.YANKEE(A59,U59,V59,W59,X59,Y59,Z59,AA59,LEFT(AC59,11),3,IF(RIGHT(AC59,6)="NONEOM",FALSE,TRUE),TODAY())</f>
        <v>XS0322956490#0027</v>
      </c>
      <c r="AE59" s="130" t="str">
        <f ca="1">_xll.INSTANCE.CONVENTION.TAUX("conv_" &amp; A59,LEFT(AC59,11),"Compounded",IF(AA59=1,"Annual",IF(AA59=2,"Semi-Annual","")),"Unadjusted",TODAY())</f>
        <v>conv_XS0322956490#0027</v>
      </c>
    </row>
    <row r="60" spans="1:31" x14ac:dyDescent="0.2">
      <c r="A60" s="131" t="s">
        <v>816</v>
      </c>
      <c r="B60" s="115" t="str">
        <f ca="1">_xll.BDP($A60 &amp; " Govt",B$1)</f>
        <v>EIB 0 7/8 12/15/14</v>
      </c>
      <c r="C60" s="209" t="str">
        <f t="shared" ca="1" si="2"/>
        <v>EIB</v>
      </c>
      <c r="D60" s="116"/>
      <c r="E60" s="117"/>
      <c r="F60" s="118"/>
      <c r="G60" s="119"/>
      <c r="H60" s="120">
        <f ca="1">IF(E60="",_xll.BDP(A60 &amp; " Corp","YLD_YTM_BID")/100,E60)</f>
        <v>7.5459519999999999E-3</v>
      </c>
      <c r="I60" s="121">
        <f ca="1">_xll.INSTRUMENT.PRIX(AD60,D60,H60,AE60)</f>
        <v>100.29094542057319</v>
      </c>
      <c r="J60" s="122">
        <f ca="1">_xll.INSTRUMENT.DV01(AD60,,,I60,cContinuous,I60)</f>
        <v>-2.4318685533966971E-2</v>
      </c>
      <c r="K60" s="123">
        <f ca="1">_xll.INSTRUMENT.CONVEXITE(AD60,,,I60,cContinuous,I60)</f>
        <v>5.9059035410803746</v>
      </c>
      <c r="L60" s="123">
        <f ca="1">_xll.INSTRUMENT.Z.SPREAD(AD60,swapCurve,I60,,D60)</f>
        <v>18.62739037877332</v>
      </c>
      <c r="M60" s="123">
        <f ca="1">_xll.INSTRUMENT.Z.SPREAD(AD60,ustCurve,I60,,D60)</f>
        <v>37.214260597067955</v>
      </c>
      <c r="N60" s="123">
        <f ca="1">_xll.INSTRUMENT.Z.SPREAD(AD60,oisCurve,I60,,D60)</f>
        <v>53.127585848151256</v>
      </c>
      <c r="O60" s="124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1.012124425506278E-2</v>
      </c>
      <c r="P60" s="124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9.17597862843989E-3</v>
      </c>
      <c r="Q60" s="143">
        <f t="shared" ca="1" si="3"/>
        <v>-242.85455448779669</v>
      </c>
      <c r="R60" s="199" t="str">
        <f>IF(F60&lt;&gt;"","",IF(G60="","",-G60*(SUMIF('bench Comparison'!$A:$A,"RESINV1USD",'bench Comparison'!$G:$G)+SUMIF('bench Comparison'!$A:$A,"RESSWAPORUSD",'bench Comparison'!$G:$G))/(36500*J60)))</f>
        <v/>
      </c>
      <c r="S60" s="210" t="str">
        <f>IF(G60&lt;&gt;"","",IF(F60="","",-36500*J60*F60/(SUMIF('bench Comparison'!$A:$A,"RESINV1USD",'bench Comparison'!$G:$G)+SUMIF('bench Comparison'!$A:$A,"RESSWAPORUSD",'bench Comparison'!$G:$G))))</f>
        <v/>
      </c>
      <c r="T60" s="125">
        <f>SUMIF('bench Comparison'!$E:$E,A60,'bench Comparison'!$N:$N)</f>
        <v>0</v>
      </c>
      <c r="U60" s="126">
        <f ca="1">VALUE(_xll.BDP($A60 &amp; " Corp",U$1))</f>
        <v>40841</v>
      </c>
      <c r="V60" s="127">
        <f ca="1">VALUE(_xll.BDP($A60 &amp; " Corp",V$1))</f>
        <v>40841</v>
      </c>
      <c r="W60" s="127">
        <f ca="1">VALUE(_xll.BDP($A60 &amp; " Corp",W$1))</f>
        <v>40892</v>
      </c>
      <c r="X60" s="127">
        <f ca="1">VALUE(_xll.BDP($A60 &amp; " Corp",X$1))</f>
        <v>41805</v>
      </c>
      <c r="Y60" s="127">
        <f ca="1">VALUE(_xll.BDP($A60 &amp; " Corp",Y$1))</f>
        <v>41988</v>
      </c>
      <c r="Z60" s="128">
        <f ca="1">_xll.BDP($A60 &amp; " Corp",Z$1)/100</f>
        <v>8.7500000000000008E-3</v>
      </c>
      <c r="AA60" s="129">
        <f ca="1">_xll.BDP($A60 &amp; " Corp",AA$1)</f>
        <v>2</v>
      </c>
      <c r="AB60" s="129">
        <f ca="1">_xll.BDP($A60 &amp; " Corp",AB$1)</f>
        <v>3000000000</v>
      </c>
      <c r="AC60" s="129" t="str">
        <f ca="1">_xll.BDP($A60 &amp; " Corp",AC$1)</f>
        <v>ISMA-30/360</v>
      </c>
      <c r="AD60" s="130" t="str">
        <f ca="1">_xll.INSTANCE.YANKEE(A60,U60,V60,W60,X60,Y60,Z60,AA60,LEFT(AC60,11),3,IF(RIGHT(AC60,6)="NONEOM",FALSE,TRUE),TODAY())</f>
        <v>US298785FT86#0027</v>
      </c>
      <c r="AE60" s="130" t="str">
        <f ca="1">_xll.INSTANCE.CONVENTION.TAUX("conv_" &amp; A60,LEFT(AC60,11),"Compounded",IF(AA60=1,"Annual",IF(AA60=2,"Semi-Annual","")),"Unadjusted",TODAY())</f>
        <v>conv_US298785FT86#0027</v>
      </c>
    </row>
    <row r="61" spans="1:31" x14ac:dyDescent="0.2">
      <c r="A61" s="131" t="s">
        <v>840</v>
      </c>
      <c r="B61" s="115" t="str">
        <f ca="1">_xll.BDP($A61 &amp; " Govt",B$1)</f>
        <v>EIB 2 7/8 01/15/15</v>
      </c>
      <c r="C61" s="209" t="str">
        <f t="shared" ca="1" si="2"/>
        <v>EIB</v>
      </c>
      <c r="D61" s="116"/>
      <c r="E61" s="117"/>
      <c r="F61" s="118"/>
      <c r="G61" s="119"/>
      <c r="H61" s="120">
        <f ca="1">IF(E61="",_xll.BDP(A61 &amp; " Corp","YLD_YTM_BID")/100,E61)</f>
        <v>8.4392460000000009E-3</v>
      </c>
      <c r="I61" s="121">
        <f ca="1">_xll.INSTRUMENT.PRIX(AD61,D61,H61,AE61)</f>
        <v>105.06896643563067</v>
      </c>
      <c r="J61" s="122">
        <f ca="1">_xll.INSTRUMENT.DV01(AD61,,,I61,cContinuous,I61)</f>
        <v>-2.5854566757319439E-2</v>
      </c>
      <c r="K61" s="123">
        <f ca="1">_xll.INSTRUMENT.CONVEXITE(AD61,,,I61,cContinuous,I61)</f>
        <v>6.0767034023728899</v>
      </c>
      <c r="L61" s="123">
        <f ca="1">_xll.INSTRUMENT.Z.SPREAD(AD61,swapCurve,I61,,D61)</f>
        <v>26.901839693434979</v>
      </c>
      <c r="M61" s="123">
        <f ca="1">_xll.INSTRUMENT.Z.SPREAD(AD61,ustCurve,I61,,D61)</f>
        <v>45.211023035221253</v>
      </c>
      <c r="N61" s="123">
        <f ca="1">_xll.INSTRUMENT.Z.SPREAD(AD61,oisCurve,I61,,D61)</f>
        <v>61.640021444424455</v>
      </c>
      <c r="O61" s="124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1.032613139542005E-2</v>
      </c>
      <c r="P61" s="124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1.0342394095459452E-2</v>
      </c>
      <c r="Q61" s="143">
        <f t="shared" ca="1" si="3"/>
        <v>-235.0340448328175</v>
      </c>
      <c r="R61" s="199" t="str">
        <f>IF(F61&lt;&gt;"","",IF(G61="","",-G61*(SUMIF('bench Comparison'!$A:$A,"RESINV1USD",'bench Comparison'!$G:$G)+SUMIF('bench Comparison'!$A:$A,"RESSWAPORUSD",'bench Comparison'!$G:$G))/(36500*J61)))</f>
        <v/>
      </c>
      <c r="S61" s="210" t="str">
        <f>IF(G61&lt;&gt;"","",IF(F61="","",-36500*J61*F61/(SUMIF('bench Comparison'!$A:$A,"RESINV1USD",'bench Comparison'!$G:$G)+SUMIF('bench Comparison'!$A:$A,"RESSWAPORUSD",'bench Comparison'!$G:$G))))</f>
        <v/>
      </c>
      <c r="T61" s="125">
        <f>SUMIF('bench Comparison'!$E:$E,A61,'bench Comparison'!$N:$N)</f>
        <v>0</v>
      </c>
      <c r="U61" s="126">
        <f ca="1">VALUE(_xll.BDP($A61 &amp; " Corp",U$1))</f>
        <v>40190</v>
      </c>
      <c r="V61" s="127">
        <f ca="1">VALUE(_xll.BDP($A61 &amp; " Corp",V$1))</f>
        <v>40190</v>
      </c>
      <c r="W61" s="127">
        <f ca="1">VALUE(_xll.BDP($A61 &amp; " Corp",W$1))</f>
        <v>40374</v>
      </c>
      <c r="X61" s="127">
        <f ca="1">VALUE(_xll.BDP($A61 &amp; " Corp",X$1))</f>
        <v>41835</v>
      </c>
      <c r="Y61" s="127">
        <f ca="1">VALUE(_xll.BDP($A61 &amp; " Corp",Y$1))</f>
        <v>42019</v>
      </c>
      <c r="Z61" s="128">
        <f ca="1">_xll.BDP($A61 &amp; " Corp",Z$1)/100</f>
        <v>2.8750000000000001E-2</v>
      </c>
      <c r="AA61" s="129">
        <f ca="1">_xll.BDP($A61 &amp; " Corp",AA$1)</f>
        <v>2</v>
      </c>
      <c r="AB61" s="129">
        <f ca="1">_xll.BDP($A61 &amp; " Corp",AB$1)</f>
        <v>3000000000</v>
      </c>
      <c r="AC61" s="129" t="str">
        <f ca="1">_xll.BDP($A61 &amp; " Corp",AC$1)</f>
        <v>30/360</v>
      </c>
      <c r="AD61" s="130" t="str">
        <f ca="1">_xll.INSTANCE.YANKEE(A61,U61,V61,W61,X61,Y61,Z61,AA61,LEFT(AC61,11),3,IF(RIGHT(AC61,6)="NONEOM",FALSE,TRUE),TODAY())</f>
        <v>US298785FB78#0027</v>
      </c>
      <c r="AE61" s="130" t="str">
        <f ca="1">_xll.INSTANCE.CONVENTION.TAUX("conv_" &amp; A61,LEFT(AC61,11),"Compounded",IF(AA61=1,"Annual",IF(AA61=2,"Semi-Annual","")),"Unadjusted",TODAY())</f>
        <v>conv_US298785FB78#0027</v>
      </c>
    </row>
    <row r="62" spans="1:31" x14ac:dyDescent="0.2">
      <c r="A62" s="131" t="s">
        <v>838</v>
      </c>
      <c r="B62" s="115" t="str">
        <f ca="1">_xll.BDP($A62 &amp; " Govt",B$1)</f>
        <v>EIB 2 3/4 03/23/15</v>
      </c>
      <c r="C62" s="209" t="str">
        <f t="shared" ca="1" si="2"/>
        <v>EIB</v>
      </c>
      <c r="D62" s="116"/>
      <c r="E62" s="117"/>
      <c r="F62" s="118"/>
      <c r="G62" s="119"/>
      <c r="H62" s="120">
        <f ca="1">IF(E62="",_xll.BDP(A62 &amp; " Corp","YLD_YTM_BID")/100,E62)</f>
        <v>8.6054570000000004E-3</v>
      </c>
      <c r="I62" s="121">
        <f ca="1">_xll.INSTRUMENT.PRIX(AD62,D62,H62,AE62)</f>
        <v>105.06186972848353</v>
      </c>
      <c r="J62" s="122">
        <f ca="1">_xll.INSTRUMENT.DV01(AD62,,,I62,cContinuous,I62)</f>
        <v>-2.7702101461407502E-2</v>
      </c>
      <c r="K62" s="123">
        <f ca="1">_xll.INSTRUMENT.CONVEXITE(AD62,,,I62,cContinuous,I62)</f>
        <v>7.0176927770095299</v>
      </c>
      <c r="L62" s="123">
        <f ca="1">_xll.INSTRUMENT.Z.SPREAD(AD62,swapCurve,I62,,D62)</f>
        <v>27.111724599930355</v>
      </c>
      <c r="M62" s="123">
        <f ca="1">_xll.INSTRUMENT.Z.SPREAD(AD62,ustCurve,I62,,D62)</f>
        <v>45.20461355108614</v>
      </c>
      <c r="N62" s="123">
        <f ca="1">_xll.INSTRUMENT.Z.SPREAD(AD62,oisCurve,I62,,D62)</f>
        <v>62.386294375733804</v>
      </c>
      <c r="O62" s="124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1.1154474717990267E-2</v>
      </c>
      <c r="P62" s="124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1.0994769730416434E-2</v>
      </c>
      <c r="Q62" s="143">
        <f t="shared" ca="1" si="3"/>
        <v>-253.32709097127722</v>
      </c>
      <c r="R62" s="199" t="str">
        <f>IF(F62&lt;&gt;"","",IF(G62="","",-G62*(SUMIF('bench Comparison'!$A:$A,"RESINV1USD",'bench Comparison'!$G:$G)+SUMIF('bench Comparison'!$A:$A,"RESSWAPORUSD",'bench Comparison'!$G:$G))/(36500*J62)))</f>
        <v/>
      </c>
      <c r="S62" s="210" t="str">
        <f>IF(G62&lt;&gt;"","",IF(F62="","",-36500*J62*F62/(SUMIF('bench Comparison'!$A:$A,"RESINV1USD",'bench Comparison'!$G:$G)+SUMIF('bench Comparison'!$A:$A,"RESSWAPORUSD",'bench Comparison'!$G:$G))))</f>
        <v/>
      </c>
      <c r="T62" s="125">
        <f>SUMIF('bench Comparison'!$E:$E,A62,'bench Comparison'!$N:$N)</f>
        <v>0</v>
      </c>
      <c r="U62" s="126">
        <f ca="1">VALUE(_xll.BDP($A62 &amp; " Corp",U$1))</f>
        <v>40260</v>
      </c>
      <c r="V62" s="127">
        <f ca="1">VALUE(_xll.BDP($A62 &amp; " Corp",V$1))</f>
        <v>40260</v>
      </c>
      <c r="W62" s="127">
        <f ca="1">VALUE(_xll.BDP($A62 &amp; " Corp",W$1))</f>
        <v>40444</v>
      </c>
      <c r="X62" s="127">
        <f ca="1">VALUE(_xll.BDP($A62 &amp; " Corp",X$1))</f>
        <v>41905</v>
      </c>
      <c r="Y62" s="127">
        <f ca="1">VALUE(_xll.BDP($A62 &amp; " Corp",Y$1))</f>
        <v>42086</v>
      </c>
      <c r="Z62" s="128">
        <f ca="1">_xll.BDP($A62 &amp; " Corp",Z$1)/100</f>
        <v>2.75E-2</v>
      </c>
      <c r="AA62" s="129">
        <f ca="1">_xll.BDP($A62 &amp; " Corp",AA$1)</f>
        <v>2</v>
      </c>
      <c r="AB62" s="129">
        <f ca="1">_xll.BDP($A62 &amp; " Corp",AB$1)</f>
        <v>3000000000</v>
      </c>
      <c r="AC62" s="129" t="str">
        <f ca="1">_xll.BDP($A62 &amp; " Corp",AC$1)</f>
        <v>30/360</v>
      </c>
      <c r="AD62" s="130" t="str">
        <f ca="1">_xll.INSTANCE.YANKEE(A62,U62,V62,W62,X62,Y62,Z62,AA62,LEFT(AC62,11),3,IF(RIGHT(AC62,6)="NONEOM",FALSE,TRUE),TODAY())</f>
        <v>US298785FD35#0027</v>
      </c>
      <c r="AE62" s="130" t="str">
        <f ca="1">_xll.INSTANCE.CONVENTION.TAUX("conv_" &amp; A62,LEFT(AC62,11),"Compounded",IF(AA62=1,"Annual",IF(AA62=2,"Semi-Annual","")),"Unadjusted",TODAY())</f>
        <v>conv_US298785FD35#0027</v>
      </c>
    </row>
    <row r="63" spans="1:31" x14ac:dyDescent="0.2">
      <c r="A63" s="131" t="s">
        <v>818</v>
      </c>
      <c r="B63" s="115" t="str">
        <f ca="1">_xll.BDP($A63 &amp; " Govt",B$1)</f>
        <v>EIB 1 1/8 04/15/15</v>
      </c>
      <c r="C63" s="209" t="str">
        <f t="shared" ca="1" si="2"/>
        <v>EIB</v>
      </c>
      <c r="D63" s="116"/>
      <c r="E63" s="117"/>
      <c r="F63" s="118"/>
      <c r="G63" s="119"/>
      <c r="H63" s="120">
        <f ca="1">IF(E63="",_xll.BDP(A63 &amp; " Corp","YLD_YTM_BID")/100,E63)</f>
        <v>8.0572590000000006E-3</v>
      </c>
      <c r="I63" s="121">
        <f ca="1">_xll.INSTRUMENT.PRIX(AD63,D63,H63,AE63)</f>
        <v>100.87500001490781</v>
      </c>
      <c r="J63" s="122">
        <f ca="1">_xll.INSTRUMENT.DV01(AD63,,,I63,cContinuous,I63)</f>
        <v>-2.7661266794319087E-2</v>
      </c>
      <c r="K63" s="123">
        <f ca="1">_xll.INSTRUMENT.CONVEXITE(AD63,,,I63,cContinuous,I63)</f>
        <v>7.5564200390298319</v>
      </c>
      <c r="L63" s="123">
        <f ca="1">_xll.INSTRUMENT.Z.SPREAD(AD63,swapCurve,I63,,D63)</f>
        <v>20.881558496703502</v>
      </c>
      <c r="M63" s="123">
        <f ca="1">_xll.INSTRUMENT.Z.SPREAD(AD63,ustCurve,I63,,D63)</f>
        <v>38.979562505957198</v>
      </c>
      <c r="N63" s="123">
        <f ca="1">_xll.INSTRUMENT.Z.SPREAD(AD63,oisCurve,I63,,D63)</f>
        <v>56.331820560108561</v>
      </c>
      <c r="O63" s="124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1.1496866640920686E-2</v>
      </c>
      <c r="P63" s="124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1.0487144005139268E-2</v>
      </c>
      <c r="Q63" s="143">
        <f t="shared" ca="1" si="3"/>
        <v>-273.1769334794792</v>
      </c>
      <c r="R63" s="199" t="str">
        <f>IF(F63&lt;&gt;"","",IF(G63="","",-G63*(SUMIF('bench Comparison'!$A:$A,"RESINV1USD",'bench Comparison'!$G:$G)+SUMIF('bench Comparison'!$A:$A,"RESSWAPORUSD",'bench Comparison'!$G:$G))/(36500*J63)))</f>
        <v/>
      </c>
      <c r="S63" s="210" t="str">
        <f>IF(G63&lt;&gt;"","",IF(F63="","",-36500*J63*F63/(SUMIF('bench Comparison'!$A:$A,"RESINV1USD",'bench Comparison'!$G:$G)+SUMIF('bench Comparison'!$A:$A,"RESSWAPORUSD",'bench Comparison'!$G:$G))))</f>
        <v/>
      </c>
      <c r="T63" s="125">
        <f>SUMIF('bench Comparison'!$E:$E,A63,'bench Comparison'!$N:$N)</f>
        <v>0</v>
      </c>
      <c r="U63" s="126">
        <f ca="1">VALUE(_xll.BDP($A63 &amp; " Corp",U$1))</f>
        <v>40968</v>
      </c>
      <c r="V63" s="127">
        <f ca="1">VALUE(_xll.BDP($A63 &amp; " Corp",V$1))</f>
        <v>40968</v>
      </c>
      <c r="W63" s="127">
        <f ca="1">VALUE(_xll.BDP($A63 &amp; " Corp",W$1))</f>
        <v>41014</v>
      </c>
      <c r="X63" s="127">
        <f ca="1">VALUE(_xll.BDP($A63 &amp; " Corp",X$1))</f>
        <v>41927</v>
      </c>
      <c r="Y63" s="127">
        <f ca="1">VALUE(_xll.BDP($A63 &amp; " Corp",Y$1))</f>
        <v>42109</v>
      </c>
      <c r="Z63" s="128">
        <f ca="1">_xll.BDP($A63 &amp; " Corp",Z$1)/100</f>
        <v>1.125E-2</v>
      </c>
      <c r="AA63" s="129">
        <f ca="1">_xll.BDP($A63 &amp; " Corp",AA$1)</f>
        <v>2</v>
      </c>
      <c r="AB63" s="129">
        <f ca="1">_xll.BDP($A63 &amp; " Corp",AB$1)</f>
        <v>3500000000</v>
      </c>
      <c r="AC63" s="129" t="str">
        <f ca="1">_xll.BDP($A63 &amp; " Corp",AC$1)</f>
        <v>ISMA-30/360</v>
      </c>
      <c r="AD63" s="130" t="str">
        <f ca="1">_xll.INSTANCE.YANKEE(A63,U63,V63,W63,X63,Y63,Z63,AA63,LEFT(AC63,11),3,IF(RIGHT(AC63,6)="NONEOM",FALSE,TRUE),TODAY())</f>
        <v>US298785FV33#0027</v>
      </c>
      <c r="AE63" s="130" t="str">
        <f ca="1">_xll.INSTANCE.CONVENTION.TAUX("conv_" &amp; A63,LEFT(AC63,11),"Compounded",IF(AA63=1,"Annual",IF(AA63=2,"Semi-Annual","")),"Unadjusted",TODAY())</f>
        <v>conv_US298785FV33#0027</v>
      </c>
    </row>
    <row r="64" spans="1:31" x14ac:dyDescent="0.2">
      <c r="A64" s="131" t="s">
        <v>848</v>
      </c>
      <c r="B64" s="115" t="str">
        <f ca="1">_xll.BDP($A64 &amp; " Govt",B$1)</f>
        <v>EIB 3 3/4 04/15/15</v>
      </c>
      <c r="C64" s="209" t="str">
        <f t="shared" ca="1" si="2"/>
        <v>EIB</v>
      </c>
      <c r="D64" s="116"/>
      <c r="E64" s="117"/>
      <c r="F64" s="118"/>
      <c r="G64" s="119"/>
      <c r="H64" s="120">
        <f ca="1">IF(E64="",_xll.BDP(A64 &amp; " Corp","YLD_YTM_BID")/100,E64)</f>
        <v>8.8683770000000002E-3</v>
      </c>
      <c r="I64" s="121">
        <f ca="1">_xll.INSTRUMENT.PRIX(AD64,D64,H64,AE64)</f>
        <v>107.8189999165195</v>
      </c>
      <c r="J64" s="122">
        <f ca="1">_xll.INSTRUMENT.DV01(AD64,,,I64,cContinuous,I64)</f>
        <v>-2.9055798293351753E-2</v>
      </c>
      <c r="K64" s="123">
        <f ca="1">_xll.INSTRUMENT.CONVEXITE(AD64,,,I64,cContinuous,I64)</f>
        <v>7.3119357405713661</v>
      </c>
      <c r="L64" s="123">
        <f ca="1">_xll.INSTRUMENT.Z.SPREAD(AD64,swapCurve,I64,,D64)</f>
        <v>28.946578969311712</v>
      </c>
      <c r="M64" s="123">
        <f ca="1">_xll.INSTRUMENT.Z.SPREAD(AD64,ustCurve,I64,,D64)</f>
        <v>46.892369474803239</v>
      </c>
      <c r="N64" s="123">
        <f ca="1">_xll.INSTRUMENT.Z.SPREAD(AD64,oisCurve,I64,,D64)</f>
        <v>64.310038458469108</v>
      </c>
      <c r="O64" s="124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1.106830518397699E-2</v>
      </c>
      <c r="P64" s="124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1.1450290918848869E-2</v>
      </c>
      <c r="Q64" s="143">
        <f t="shared" ca="1" si="3"/>
        <v>-251.651517771047</v>
      </c>
      <c r="R64" s="199" t="str">
        <f>IF(F64&lt;&gt;"","",IF(G64="","",-G64*(SUMIF('bench Comparison'!$A:$A,"RESINV1USD",'bench Comparison'!$G:$G)+SUMIF('bench Comparison'!$A:$A,"RESSWAPORUSD",'bench Comparison'!$G:$G))/(36500*J64)))</f>
        <v/>
      </c>
      <c r="S64" s="210" t="str">
        <f>IF(G64&lt;&gt;"","",IF(F64="","",-36500*J64*F64/(SUMIF('bench Comparison'!$A:$A,"RESINV1USD",'bench Comparison'!$G:$G)+SUMIF('bench Comparison'!$A:$A,"RESSWAPORUSD",'bench Comparison'!$G:$G))))</f>
        <v/>
      </c>
      <c r="T64" s="125">
        <f>SUMIF('bench Comparison'!$E:$E,A64,'bench Comparison'!$N:$N)</f>
        <v>0</v>
      </c>
      <c r="U64" s="126">
        <f ca="1">VALUE(_xll.BDP($A64 &amp; " Corp",U$1))</f>
        <v>39506</v>
      </c>
      <c r="V64" s="127">
        <f ca="1">VALUE(_xll.BDP($A64 &amp; " Corp",V$1))</f>
        <v>39506</v>
      </c>
      <c r="W64" s="127">
        <f ca="1">VALUE(_xll.BDP($A64 &amp; " Corp",W$1))</f>
        <v>39553</v>
      </c>
      <c r="X64" s="127">
        <f ca="1">VALUE(_xll.BDP($A64 &amp; " Corp",X$1))</f>
        <v>41744</v>
      </c>
      <c r="Y64" s="127">
        <f ca="1">VALUE(_xll.BDP($A64 &amp; " Corp",Y$1))</f>
        <v>42109</v>
      </c>
      <c r="Z64" s="128">
        <f ca="1">_xll.BDP($A64 &amp; " Corp",Z$1)/100</f>
        <v>3.7499999999999999E-2</v>
      </c>
      <c r="AA64" s="129">
        <f ca="1">_xll.BDP($A64 &amp; " Corp",AA$1)</f>
        <v>1</v>
      </c>
      <c r="AB64" s="129">
        <f ca="1">_xll.BDP($A64 &amp; " Corp",AB$1)</f>
        <v>1750000000</v>
      </c>
      <c r="AC64" s="129" t="str">
        <f ca="1">_xll.BDP($A64 &amp; " Corp",AC$1)</f>
        <v>ISMA-30/360</v>
      </c>
      <c r="AD64" s="130" t="str">
        <f ca="1">_xll.INSTANCE.YANKEE(A64,U64,V64,W64,X64,Y64,Z64,AA64,LEFT(AC64,11),3,IF(RIGHT(AC64,6)="NONEOM",FALSE,TRUE),TODAY())</f>
        <v>XS0347750365#0027</v>
      </c>
      <c r="AE64" s="130" t="str">
        <f ca="1">_xll.INSTANCE.CONVENTION.TAUX("conv_" &amp; A64,LEFT(AC64,11),"Compounded",IF(AA64=1,"Annual",IF(AA64=2,"Semi-Annual","")),"Unadjusted",TODAY())</f>
        <v>conv_XS0347750365#0027</v>
      </c>
    </row>
    <row r="65" spans="1:31" x14ac:dyDescent="0.2">
      <c r="A65" s="131" t="s">
        <v>825</v>
      </c>
      <c r="B65" s="115" t="str">
        <f ca="1">_xll.BDP($A65 &amp; " Govt",B$1)</f>
        <v>EIB 1 5/8 09/01/15</v>
      </c>
      <c r="C65" s="209" t="str">
        <f t="shared" ref="C65:C89" ca="1" si="4">LEFT(B65,SEARCH(" ",B65)-1)</f>
        <v>EIB</v>
      </c>
      <c r="D65" s="116"/>
      <c r="E65" s="117"/>
      <c r="F65" s="118"/>
      <c r="G65" s="119"/>
      <c r="H65" s="120">
        <f ca="1">IF(E65="",_xll.BDP(A65 &amp; " Corp","YLD_YTM_BID")/100,E65)</f>
        <v>9.4238399999999993E-3</v>
      </c>
      <c r="I65" s="121">
        <f ca="1">_xll.INSTRUMENT.PRIX(AD65,D65,H65,AE65)</f>
        <v>102.11681101664301</v>
      </c>
      <c r="J65" s="122">
        <f ca="1">_xll.INSTRUMENT.DV01(AD65,,,I65,cContinuous,I65)</f>
        <v>-3.1576499008721469E-2</v>
      </c>
      <c r="K65" s="123">
        <f ca="1">_xll.INSTRUMENT.CONVEXITE(AD65,,,I65,cContinuous,I65)</f>
        <v>9.6292506342831015</v>
      </c>
      <c r="L65" s="123">
        <f ca="1">_xll.INSTRUMENT.Z.SPREAD(AD65,swapCurve,I65,,D65)</f>
        <v>30.486710754391947</v>
      </c>
      <c r="M65" s="123">
        <f ca="1">_xll.INSTRUMENT.Z.SPREAD(AD65,ustCurve,I65,,D65)</f>
        <v>48.103538460258214</v>
      </c>
      <c r="N65" s="123">
        <f ca="1">_xll.INSTRUMENT.Z.SPREAD(AD65,oisCurve,I65,,D65)</f>
        <v>65.801988524540761</v>
      </c>
      <c r="O65" s="124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1.3938694845401396E-2</v>
      </c>
      <c r="P65" s="124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1.271950678311852E-2</v>
      </c>
      <c r="Q65" s="143">
        <f t="shared" ref="Q65:Q89" ca="1" si="5">K65/J65</f>
        <v>-304.94991327643669</v>
      </c>
      <c r="R65" s="199" t="str">
        <f>IF(F65&lt;&gt;"","",IF(G65="","",-G65*(SUMIF('bench Comparison'!$A:$A,"RESINV1USD",'bench Comparison'!$G:$G)+SUMIF('bench Comparison'!$A:$A,"RESSWAPORUSD",'bench Comparison'!$G:$G))/(36500*J65)))</f>
        <v/>
      </c>
      <c r="S65" s="210" t="str">
        <f>IF(G65&lt;&gt;"","",IF(F65="","",-36500*J65*F65/(SUMIF('bench Comparison'!$A:$A,"RESINV1USD",'bench Comparison'!$G:$G)+SUMIF('bench Comparison'!$A:$A,"RESSWAPORUSD",'bench Comparison'!$G:$G))))</f>
        <v/>
      </c>
      <c r="T65" s="125">
        <f>SUMIF('bench Comparison'!$E:$E,A65,'bench Comparison'!$N:$N)</f>
        <v>0</v>
      </c>
      <c r="U65" s="126">
        <f ca="1">VALUE(_xll.BDP($A65 &amp; " Corp",U$1))</f>
        <v>40422</v>
      </c>
      <c r="V65" s="127">
        <f ca="1">VALUE(_xll.BDP($A65 &amp; " Corp",V$1))</f>
        <v>40422</v>
      </c>
      <c r="W65" s="127">
        <f ca="1">VALUE(_xll.BDP($A65 &amp; " Corp",W$1))</f>
        <v>40603</v>
      </c>
      <c r="X65" s="127">
        <f ca="1">VALUE(_xll.BDP($A65 &amp; " Corp",X$1))</f>
        <v>42064</v>
      </c>
      <c r="Y65" s="127">
        <f ca="1">VALUE(_xll.BDP($A65 &amp; " Corp",Y$1))</f>
        <v>42248</v>
      </c>
      <c r="Z65" s="128">
        <f ca="1">_xll.BDP($A65 &amp; " Corp",Z$1)/100</f>
        <v>1.6250000000000001E-2</v>
      </c>
      <c r="AA65" s="129">
        <f ca="1">_xll.BDP($A65 &amp; " Corp",AA$1)</f>
        <v>2</v>
      </c>
      <c r="AB65" s="129">
        <f ca="1">_xll.BDP($A65 &amp; " Corp",AB$1)</f>
        <v>4000000000</v>
      </c>
      <c r="AC65" s="129" t="str">
        <f ca="1">_xll.BDP($A65 &amp; " Corp",AC$1)</f>
        <v>ISMA-30/360</v>
      </c>
      <c r="AD65" s="130" t="str">
        <f ca="1">_xll.INSTANCE.YANKEE(A65,U65,V65,W65,X65,Y65,Z65,AA65,LEFT(AC65,11),3,IF(RIGHT(AC65,6)="NONEOM",FALSE,TRUE),TODAY())</f>
        <v>US298785FG65#0026</v>
      </c>
      <c r="AE65" s="130" t="str">
        <f ca="1">_xll.INSTANCE.CONVENTION.TAUX("conv_" &amp; A65,LEFT(AC65,11),"Compounded",IF(AA65=1,"Annual",IF(AA65=2,"Semi-Annual","")),"Unadjusted",TODAY())</f>
        <v>conv_US298785FG65#0026</v>
      </c>
    </row>
    <row r="66" spans="1:31" x14ac:dyDescent="0.2">
      <c r="A66" s="131" t="s">
        <v>822</v>
      </c>
      <c r="B66" s="115" t="str">
        <f ca="1">_xll.BDP($A66 &amp; " Govt",B$1)</f>
        <v>EIB 1 3/8 10/20/15</v>
      </c>
      <c r="C66" s="209" t="str">
        <f t="shared" ca="1" si="4"/>
        <v>EIB</v>
      </c>
      <c r="D66" s="116"/>
      <c r="E66" s="117"/>
      <c r="F66" s="118"/>
      <c r="G66" s="119"/>
      <c r="H66" s="120">
        <f ca="1">IF(E66="",_xll.BDP(A66 &amp; " Corp","YLD_YTM_BID")/100,E66)</f>
        <v>9.6064979999999998E-3</v>
      </c>
      <c r="I66" s="121">
        <f ca="1">_xll.INSTRUMENT.PRIX(AD66,D66,H66,AE66)</f>
        <v>101.33889119361085</v>
      </c>
      <c r="J66" s="122">
        <f ca="1">_xll.INSTRUMENT.DV01(AD66,,,I66,cContinuous,I66)</f>
        <v>-3.2739763576555482E-2</v>
      </c>
      <c r="K66" s="123">
        <f ca="1">_xll.INSTRUMENT.CONVEXITE(AD66,,,I66,cContinuous,I66)</f>
        <v>10.526056948028073</v>
      </c>
      <c r="L66" s="123">
        <f ca="1">_xll.INSTRUMENT.Z.SPREAD(AD66,swapCurve,I66,,D66)</f>
        <v>30.571956924605324</v>
      </c>
      <c r="M66" s="123">
        <f ca="1">_xll.INSTRUMENT.Z.SPREAD(AD66,ustCurve,I66,,D66)</f>
        <v>48.253800981640914</v>
      </c>
      <c r="N66" s="123">
        <f ca="1">_xll.INSTRUMENT.Z.SPREAD(AD66,oisCurve,I66,,D66)</f>
        <v>65.754690465914564</v>
      </c>
      <c r="O66" s="124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1.5153641563265556E-2</v>
      </c>
      <c r="P66" s="124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1.3505802513621117E-2</v>
      </c>
      <c r="Q66" s="143">
        <f t="shared" ca="1" si="5"/>
        <v>-321.50681001147012</v>
      </c>
      <c r="R66" s="199" t="str">
        <f>IF(F66&lt;&gt;"","",IF(G66="","",-G66*(SUMIF('bench Comparison'!$A:$A,"RESINV1USD",'bench Comparison'!$G:$G)+SUMIF('bench Comparison'!$A:$A,"RESSWAPORUSD",'bench Comparison'!$G:$G))/(36500*J66)))</f>
        <v/>
      </c>
      <c r="S66" s="210" t="str">
        <f>IF(G66&lt;&gt;"","",IF(F66="","",-36500*J66*F66/(SUMIF('bench Comparison'!$A:$A,"RESINV1USD",'bench Comparison'!$G:$G)+SUMIF('bench Comparison'!$A:$A,"RESSWAPORUSD",'bench Comparison'!$G:$G))))</f>
        <v/>
      </c>
      <c r="T66" s="125">
        <f>SUMIF('bench Comparison'!$E:$E,A66,'bench Comparison'!$N:$N)</f>
        <v>0</v>
      </c>
      <c r="U66" s="126">
        <f ca="1">VALUE(_xll.BDP($A66 &amp; " Corp",U$1))</f>
        <v>40471</v>
      </c>
      <c r="V66" s="127">
        <f ca="1">VALUE(_xll.BDP($A66 &amp; " Corp",V$1))</f>
        <v>40471</v>
      </c>
      <c r="W66" s="127">
        <f ca="1">VALUE(_xll.BDP($A66 &amp; " Corp",W$1))</f>
        <v>40653</v>
      </c>
      <c r="X66" s="127">
        <f ca="1">VALUE(_xll.BDP($A66 &amp; " Corp",X$1))</f>
        <v>42114</v>
      </c>
      <c r="Y66" s="127">
        <f ca="1">VALUE(_xll.BDP($A66 &amp; " Corp",Y$1))</f>
        <v>42297</v>
      </c>
      <c r="Z66" s="128">
        <f ca="1">_xll.BDP($A66 &amp; " Corp",Z$1)/100</f>
        <v>1.375E-2</v>
      </c>
      <c r="AA66" s="129">
        <f ca="1">_xll.BDP($A66 &amp; " Corp",AA$1)</f>
        <v>2</v>
      </c>
      <c r="AB66" s="129">
        <f ca="1">_xll.BDP($A66 &amp; " Corp",AB$1)</f>
        <v>3000000000</v>
      </c>
      <c r="AC66" s="129" t="str">
        <f ca="1">_xll.BDP($A66 &amp; " Corp",AC$1)</f>
        <v>30/360</v>
      </c>
      <c r="AD66" s="130" t="str">
        <f ca="1">_xll.INSTANCE.YANKEE(A66,U66,V66,W66,X66,Y66,Z66,AA66,LEFT(AC66,11),3,IF(RIGHT(AC66,6)="NONEOM",FALSE,TRUE),TODAY())</f>
        <v>US298785FJ05#0027</v>
      </c>
      <c r="AE66" s="130" t="str">
        <f ca="1">_xll.INSTANCE.CONVENTION.TAUX("conv_" &amp; A66,LEFT(AC66,11),"Compounded",IF(AA66=1,"Annual",IF(AA66=2,"Semi-Annual","")),"Unadjusted",TODAY())</f>
        <v>conv_US298785FJ05#0027</v>
      </c>
    </row>
    <row r="67" spans="1:31" x14ac:dyDescent="0.2">
      <c r="A67" s="131" t="s">
        <v>854</v>
      </c>
      <c r="B67" s="115" t="str">
        <f ca="1">_xll.BDP($A67 &amp; " Govt",B$1)</f>
        <v>EIB 4 5/8 10/20/15</v>
      </c>
      <c r="C67" s="209" t="str">
        <f t="shared" ca="1" si="4"/>
        <v>EIB</v>
      </c>
      <c r="D67" s="116"/>
      <c r="E67" s="117"/>
      <c r="F67" s="118"/>
      <c r="G67" s="119"/>
      <c r="H67" s="120">
        <f ca="1">IF(E67="",_xll.BDP(A67 &amp; " Corp","YLD_YTM_BID")/100,E67)</f>
        <v>1.0486825E-2</v>
      </c>
      <c r="I67" s="121">
        <f ca="1">_xll.INSTRUMENT.PRIX(AD67,D67,H67,AE67)</f>
        <v>111.53960040342892</v>
      </c>
      <c r="J67" s="122">
        <f ca="1">_xll.INSTRUMENT.DV01(AD67,,,I67,cContinuous,I67)</f>
        <v>-3.4637015832413062E-2</v>
      </c>
      <c r="K67" s="123">
        <f ca="1">_xll.INSTRUMENT.CONVEXITE(AD67,,,I67,cContinuous,I67)</f>
        <v>9.8953585389689671</v>
      </c>
      <c r="L67" s="123">
        <f ca="1">_xll.INSTRUMENT.Z.SPREAD(AD67,swapCurve,I67,,D67)</f>
        <v>39.775435232846121</v>
      </c>
      <c r="M67" s="123">
        <f ca="1">_xll.INSTRUMENT.Z.SPREAD(AD67,ustCurve,I67,,D67)</f>
        <v>57.337008016054824</v>
      </c>
      <c r="N67" s="123">
        <f ca="1">_xll.INSTRUMENT.Z.SPREAD(AD67,oisCurve,I67,,D67)</f>
        <v>74.879636163612631</v>
      </c>
      <c r="O67" s="124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1.437825768943957E-2</v>
      </c>
      <c r="P67" s="124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1.4413919828075579E-2</v>
      </c>
      <c r="Q67" s="143">
        <f t="shared" ca="1" si="5"/>
        <v>-285.68738677853895</v>
      </c>
      <c r="R67" s="199" t="str">
        <f>IF(F67&lt;&gt;"","",IF(G67="","",-G67*(SUMIF('bench Comparison'!$A:$A,"RESINV1USD",'bench Comparison'!$G:$G)+SUMIF('bench Comparison'!$A:$A,"RESSWAPORUSD",'bench Comparison'!$G:$G))/(36500*J67)))</f>
        <v/>
      </c>
      <c r="S67" s="210" t="str">
        <f>IF(G67&lt;&gt;"","",IF(F67="","",-36500*J67*F67/(SUMIF('bench Comparison'!$A:$A,"RESINV1USD",'bench Comparison'!$G:$G)+SUMIF('bench Comparison'!$A:$A,"RESSWAPORUSD",'bench Comparison'!$G:$G))))</f>
        <v/>
      </c>
      <c r="T67" s="125">
        <f>SUMIF('bench Comparison'!$E:$E,A67,'bench Comparison'!$N:$N)</f>
        <v>0</v>
      </c>
      <c r="U67" s="126">
        <f ca="1">VALUE(_xll.BDP($A67 &amp; " Corp",U$1))</f>
        <v>38645</v>
      </c>
      <c r="V67" s="127">
        <f ca="1">VALUE(_xll.BDP($A67 &amp; " Corp",V$1))</f>
        <v>38645</v>
      </c>
      <c r="W67" s="127">
        <f ca="1">VALUE(_xll.BDP($A67 &amp; " Corp",W$1))</f>
        <v>38827</v>
      </c>
      <c r="X67" s="127">
        <f ca="1">VALUE(_xll.BDP($A67 &amp; " Corp",X$1))</f>
        <v>42114</v>
      </c>
      <c r="Y67" s="127">
        <f ca="1">VALUE(_xll.BDP($A67 &amp; " Corp",Y$1))</f>
        <v>42297</v>
      </c>
      <c r="Z67" s="128">
        <f ca="1">_xll.BDP($A67 &amp; " Corp",Z$1)/100</f>
        <v>4.6249999999999999E-2</v>
      </c>
      <c r="AA67" s="129">
        <f ca="1">_xll.BDP($A67 &amp; " Corp",AA$1)</f>
        <v>2</v>
      </c>
      <c r="AB67" s="129">
        <f ca="1">_xll.BDP($A67 &amp; " Corp",AB$1)</f>
        <v>1000000000</v>
      </c>
      <c r="AC67" s="129" t="str">
        <f ca="1">_xll.BDP($A67 &amp; " Corp",AC$1)</f>
        <v>ISMA-30/360</v>
      </c>
      <c r="AD67" s="130" t="str">
        <f ca="1">_xll.INSTANCE.YANKEE(A67,U67,V67,W67,X67,Y67,Z67,AA67,LEFT(AC67,11),3,IF(RIGHT(AC67,6)="NONEOM",FALSE,TRUE),TODAY())</f>
        <v>US298785DR49#0027</v>
      </c>
      <c r="AE67" s="130" t="str">
        <f ca="1">_xll.INSTANCE.CONVENTION.TAUX("conv_" &amp; A67,LEFT(AC67,11),"Compounded",IF(AA67=1,"Annual",IF(AA67=2,"Semi-Annual","")),"Unadjusted",TODAY())</f>
        <v>conv_US298785DR49#0027</v>
      </c>
    </row>
    <row r="68" spans="1:31" x14ac:dyDescent="0.2">
      <c r="A68" s="131" t="s">
        <v>856</v>
      </c>
      <c r="B68" s="115" t="str">
        <f ca="1">_xll.BDP($A68 &amp; " Govt",B$1)</f>
        <v>EIB 4 7/8 02/16/16</v>
      </c>
      <c r="C68" s="209" t="str">
        <f t="shared" ca="1" si="4"/>
        <v>EIB</v>
      </c>
      <c r="D68" s="116"/>
      <c r="E68" s="117"/>
      <c r="F68" s="118"/>
      <c r="G68" s="119"/>
      <c r="H68" s="120">
        <f ca="1">IF(E68="",_xll.BDP(A68 &amp; " Corp","YLD_YTM_BID")/100,E68)</f>
        <v>1.2060409999999999E-2</v>
      </c>
      <c r="I68" s="121">
        <f ca="1">_xll.INSTRUMENT.PRIX(AD68,D68,H68,AE68)</f>
        <v>112.93428168130087</v>
      </c>
      <c r="J68" s="122">
        <f ca="1">_xll.INSTRUMENT.DV01(AD68,,,I68,cContinuous,I68)</f>
        <v>-3.817034741862748E-2</v>
      </c>
      <c r="K68" s="123">
        <f ca="1">_xll.INSTRUMENT.CONVEXITE(AD68,,,I68,cContinuous,I68)</f>
        <v>11.701044597027238</v>
      </c>
      <c r="L68" s="123">
        <f ca="1">_xll.INSTRUMENT.Z.SPREAD(AD68,swapCurve,I68,,D68)</f>
        <v>50.464650508637099</v>
      </c>
      <c r="M68" s="123">
        <f ca="1">_xll.INSTRUMENT.Z.SPREAD(AD68,ustCurve,I68,,D68)</f>
        <v>68.649080383860451</v>
      </c>
      <c r="N68" s="123">
        <f ca="1">_xll.INSTRUMENT.Z.SPREAD(AD68,oisCurve,I68,,D68)</f>
        <v>85.415986067231159</v>
      </c>
      <c r="O68" s="124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1.766171545475282E-2</v>
      </c>
      <c r="P68" s="124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1.7360962962317976E-2</v>
      </c>
      <c r="Q68" s="143">
        <f t="shared" ca="1" si="5"/>
        <v>-306.54802453584745</v>
      </c>
      <c r="R68" s="199" t="str">
        <f>IF(F68&lt;&gt;"","",IF(G68="","",-G68*(SUMIF('bench Comparison'!$A:$A,"RESINV1USD",'bench Comparison'!$G:$G)+SUMIF('bench Comparison'!$A:$A,"RESSWAPORUSD",'bench Comparison'!$G:$G))/(36500*J68)))</f>
        <v/>
      </c>
      <c r="S68" s="210" t="str">
        <f>IF(G68&lt;&gt;"","",IF(F68="","",-36500*J68*F68/(SUMIF('bench Comparison'!$A:$A,"RESINV1USD",'bench Comparison'!$G:$G)+SUMIF('bench Comparison'!$A:$A,"RESSWAPORUSD",'bench Comparison'!$G:$G))))</f>
        <v/>
      </c>
      <c r="T68" s="125">
        <f>SUMIF('bench Comparison'!$E:$E,A68,'bench Comparison'!$N:$N)</f>
        <v>0</v>
      </c>
      <c r="U68" s="126">
        <f ca="1">VALUE(_xll.BDP($A68 &amp; " Corp",U$1))</f>
        <v>38764</v>
      </c>
      <c r="V68" s="127">
        <f ca="1">VALUE(_xll.BDP($A68 &amp; " Corp",V$1))</f>
        <v>38764</v>
      </c>
      <c r="W68" s="127">
        <f ca="1">VALUE(_xll.BDP($A68 &amp; " Corp",W$1))</f>
        <v>38945</v>
      </c>
      <c r="X68" s="127">
        <f ca="1">VALUE(_xll.BDP($A68 &amp; " Corp",X$1))</f>
        <v>42232</v>
      </c>
      <c r="Y68" s="127">
        <f ca="1">VALUE(_xll.BDP($A68 &amp; " Corp",Y$1))</f>
        <v>42416</v>
      </c>
      <c r="Z68" s="128">
        <f ca="1">_xll.BDP($A68 &amp; " Corp",Z$1)/100</f>
        <v>4.8750000000000002E-2</v>
      </c>
      <c r="AA68" s="129">
        <f ca="1">_xll.BDP($A68 &amp; " Corp",AA$1)</f>
        <v>2</v>
      </c>
      <c r="AB68" s="129">
        <f ca="1">_xll.BDP($A68 &amp; " Corp",AB$1)</f>
        <v>2000000000</v>
      </c>
      <c r="AC68" s="129" t="str">
        <f ca="1">_xll.BDP($A68 &amp; " Corp",AC$1)</f>
        <v>ISMA-30/360</v>
      </c>
      <c r="AD68" s="130" t="str">
        <f ca="1">_xll.INSTANCE.YANKEE(A68,U68,V68,W68,X68,Y68,Z68,AA68,LEFT(AC68,11),3,IF(RIGHT(AC68,6)="NONEOM",FALSE,TRUE),TODAY())</f>
        <v>US298785DU77#0027</v>
      </c>
      <c r="AE68" s="130" t="str">
        <f ca="1">_xll.INSTANCE.CONVENTION.TAUX("conv_" &amp; A68,LEFT(AC68,11),"Compounded",IF(AA68=1,"Annual",IF(AA68=2,"Semi-Annual","")),"Unadjusted",TODAY())</f>
        <v>conv_US298785DU77#0027</v>
      </c>
    </row>
    <row r="69" spans="1:31" x14ac:dyDescent="0.2">
      <c r="A69" s="131" t="s">
        <v>835</v>
      </c>
      <c r="B69" s="115" t="str">
        <f ca="1">_xll.BDP($A69 &amp; " Govt",B$1)</f>
        <v>EIB 2 1/4 03/15/16</v>
      </c>
      <c r="C69" s="209" t="str">
        <f t="shared" ca="1" si="4"/>
        <v>EIB</v>
      </c>
      <c r="D69" s="116"/>
      <c r="E69" s="117"/>
      <c r="F69" s="118"/>
      <c r="G69" s="119"/>
      <c r="H69" s="120">
        <f ca="1">IF(E69="",_xll.BDP(A69 &amp; " Corp","YLD_YTM_BID")/100,E69)</f>
        <v>1.2218842000000001E-2</v>
      </c>
      <c r="I69" s="121">
        <f ca="1">_xll.INSTRUMENT.PRIX(AD69,D69,H69,AE69)</f>
        <v>103.70177509228915</v>
      </c>
      <c r="J69" s="122">
        <f ca="1">_xll.INSTRUMENT.DV01(AD69,,,I69,cContinuous,I69)</f>
        <v>-3.7010971504193267E-2</v>
      </c>
      <c r="K69" s="123">
        <f ca="1">_xll.INSTRUMENT.CONVEXITE(AD69,,,I69,cContinuous,I69)</f>
        <v>12.920545891667407</v>
      </c>
      <c r="L69" s="123">
        <f ca="1">_xll.INSTRUMENT.Z.SPREAD(AD69,swapCurve,I69,,D69)</f>
        <v>50.332519006008773</v>
      </c>
      <c r="M69" s="123">
        <f ca="1">_xll.INSTRUMENT.Z.SPREAD(AD69,ustCurve,I69,,D69)</f>
        <v>68.869666096064648</v>
      </c>
      <c r="N69" s="123">
        <f ca="1">_xll.INSTRUMENT.Z.SPREAD(AD69,oisCurve,I69,,D69)</f>
        <v>85.346451870233764</v>
      </c>
      <c r="O69" s="124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1.9688659772122162E-2</v>
      </c>
      <c r="P69" s="124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1.8028976038946577E-2</v>
      </c>
      <c r="Q69" s="143">
        <f t="shared" ca="1" si="5"/>
        <v>-349.10042526723555</v>
      </c>
      <c r="R69" s="199" t="str">
        <f>IF(F69&lt;&gt;"","",IF(G69="","",-G69*(SUMIF('bench Comparison'!$A:$A,"RESINV1USD",'bench Comparison'!$G:$G)+SUMIF('bench Comparison'!$A:$A,"RESSWAPORUSD",'bench Comparison'!$G:$G))/(36500*J69)))</f>
        <v/>
      </c>
      <c r="S69" s="210" t="str">
        <f>IF(G69&lt;&gt;"","",IF(F69="","",-36500*J69*F69/(SUMIF('bench Comparison'!$A:$A,"RESINV1USD",'bench Comparison'!$G:$G)+SUMIF('bench Comparison'!$A:$A,"RESSWAPORUSD",'bench Comparison'!$G:$G))))</f>
        <v/>
      </c>
      <c r="T69" s="125">
        <f>SUMIF('bench Comparison'!$E:$E,A69,'bench Comparison'!$N:$N)</f>
        <v>0</v>
      </c>
      <c r="U69" s="126">
        <f ca="1">VALUE(_xll.BDP($A69 &amp; " Corp",U$1))</f>
        <v>40555</v>
      </c>
      <c r="V69" s="127">
        <f ca="1">VALUE(_xll.BDP($A69 &amp; " Corp",V$1))</f>
        <v>40555</v>
      </c>
      <c r="W69" s="127">
        <f ca="1">VALUE(_xll.BDP($A69 &amp; " Corp",W$1))</f>
        <v>40617</v>
      </c>
      <c r="X69" s="127">
        <f ca="1">VALUE(_xll.BDP($A69 &amp; " Corp",X$1))</f>
        <v>42262</v>
      </c>
      <c r="Y69" s="127">
        <f ca="1">VALUE(_xll.BDP($A69 &amp; " Corp",Y$1))</f>
        <v>42444</v>
      </c>
      <c r="Z69" s="128">
        <f ca="1">_xll.BDP($A69 &amp; " Corp",Z$1)/100</f>
        <v>2.2499999999999999E-2</v>
      </c>
      <c r="AA69" s="129">
        <f ca="1">_xll.BDP($A69 &amp; " Corp",AA$1)</f>
        <v>2</v>
      </c>
      <c r="AB69" s="129">
        <f ca="1">_xll.BDP($A69 &amp; " Corp",AB$1)</f>
        <v>3500000000</v>
      </c>
      <c r="AC69" s="129" t="str">
        <f ca="1">_xll.BDP($A69 &amp; " Corp",AC$1)</f>
        <v>ISMA-30/360</v>
      </c>
      <c r="AD69" s="130" t="str">
        <f ca="1">_xll.INSTANCE.YANKEE(A69,U69,V69,W69,X69,Y69,Z69,AA69,LEFT(AC69,11),3,IF(RIGHT(AC69,6)="NONEOM",FALSE,TRUE),TODAY())</f>
        <v>US298785FK77#0027</v>
      </c>
      <c r="AE69" s="130" t="str">
        <f ca="1">_xll.INSTANCE.CONVENTION.TAUX("conv_" &amp; A69,LEFT(AC69,11),"Compounded",IF(AA69=1,"Annual",IF(AA69=2,"Semi-Annual","")),"Unadjusted",TODAY())</f>
        <v>conv_US298785FK77#0027</v>
      </c>
    </row>
    <row r="70" spans="1:31" x14ac:dyDescent="0.2">
      <c r="A70" s="131" t="s">
        <v>837</v>
      </c>
      <c r="B70" s="115" t="str">
        <f ca="1">_xll.BDP($A70 &amp; " Govt",B$1)</f>
        <v>EIB 2 1/2 05/16/16</v>
      </c>
      <c r="C70" s="209" t="str">
        <f t="shared" ca="1" si="4"/>
        <v>EIB</v>
      </c>
      <c r="D70" s="116"/>
      <c r="E70" s="117"/>
      <c r="F70" s="118"/>
      <c r="G70" s="119"/>
      <c r="H70" s="120">
        <f ca="1">IF(E70="",_xll.BDP(A70 &amp; " Corp","YLD_YTM_BID")/100,E70)</f>
        <v>1.2663126E-2</v>
      </c>
      <c r="I70" s="121">
        <f ca="1">_xll.INSTRUMENT.PRIX(AD70,D70,H70,AE70)</f>
        <v>104.6367867905325</v>
      </c>
      <c r="J70" s="122">
        <f ca="1">_xll.INSTRUMENT.DV01(AD70,,,I70,cContinuous,I70)</f>
        <v>-3.8838695869231575E-2</v>
      </c>
      <c r="K70" s="123">
        <f ca="1">_xll.INSTRUMENT.CONVEXITE(AD70,,,I70,cContinuous,I70)</f>
        <v>14.07171529717308</v>
      </c>
      <c r="L70" s="123">
        <f ca="1">_xll.INSTRUMENT.Z.SPREAD(AD70,swapCurve,I70,,D70)</f>
        <v>51.809887812928281</v>
      </c>
      <c r="M70" s="123">
        <f ca="1">_xll.INSTRUMENT.Z.SPREAD(AD70,ustCurve,I70,,D70)</f>
        <v>70.841223807399928</v>
      </c>
      <c r="N70" s="123">
        <f ca="1">_xll.INSTRUMENT.Z.SPREAD(AD70,oisCurve,I70,,D70)</f>
        <v>86.836397116193865</v>
      </c>
      <c r="O70" s="124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2.0605270103792692E-2</v>
      </c>
      <c r="P70" s="124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1.9054744799988595E-2</v>
      </c>
      <c r="Q70" s="143">
        <f t="shared" ca="1" si="5"/>
        <v>-362.31173530007328</v>
      </c>
      <c r="R70" s="199" t="str">
        <f>IF(F70&lt;&gt;"","",IF(G70="","",-G70*(SUMIF('bench Comparison'!$A:$A,"RESINV1USD",'bench Comparison'!$G:$G)+SUMIF('bench Comparison'!$A:$A,"RESSWAPORUSD",'bench Comparison'!$G:$G))/(36500*J70)))</f>
        <v/>
      </c>
      <c r="S70" s="210" t="str">
        <f>IF(G70&lt;&gt;"","",IF(F70="","",-36500*J70*F70/(SUMIF('bench Comparison'!$A:$A,"RESINV1USD",'bench Comparison'!$G:$G)+SUMIF('bench Comparison'!$A:$A,"RESSWAPORUSD",'bench Comparison'!$G:$G))))</f>
        <v/>
      </c>
      <c r="T70" s="125">
        <f>SUMIF('bench Comparison'!$E:$E,A70,'bench Comparison'!$N:$N)</f>
        <v>0</v>
      </c>
      <c r="U70" s="126">
        <f ca="1">VALUE(_xll.BDP($A70 &amp; " Corp",U$1))</f>
        <v>40618</v>
      </c>
      <c r="V70" s="127">
        <f ca="1">VALUE(_xll.BDP($A70 &amp; " Corp",V$1))</f>
        <v>40618</v>
      </c>
      <c r="W70" s="127">
        <f ca="1">VALUE(_xll.BDP($A70 &amp; " Corp",W$1))</f>
        <v>40679</v>
      </c>
      <c r="X70" s="127">
        <f ca="1">VALUE(_xll.BDP($A70 &amp; " Corp",X$1))</f>
        <v>42324</v>
      </c>
      <c r="Y70" s="127">
        <f ca="1">VALUE(_xll.BDP($A70 &amp; " Corp",Y$1))</f>
        <v>42506</v>
      </c>
      <c r="Z70" s="128">
        <f ca="1">_xll.BDP($A70 &amp; " Corp",Z$1)/100</f>
        <v>2.5000000000000001E-2</v>
      </c>
      <c r="AA70" s="129">
        <f ca="1">_xll.BDP($A70 &amp; " Corp",AA$1)</f>
        <v>2</v>
      </c>
      <c r="AB70" s="129">
        <f ca="1">_xll.BDP($A70 &amp; " Corp",AB$1)</f>
        <v>3500000000</v>
      </c>
      <c r="AC70" s="129" t="str">
        <f ca="1">_xll.BDP($A70 &amp; " Corp",AC$1)</f>
        <v>ISMA-30/360</v>
      </c>
      <c r="AD70" s="130" t="str">
        <f ca="1">_xll.INSTANCE.YANKEE(A70,U70,V70,W70,X70,Y70,Z70,AA70,LEFT(AC70,11),3,IF(RIGHT(AC70,6)="NONEOM",FALSE,TRUE),TODAY())</f>
        <v>US298785FN17#0027</v>
      </c>
      <c r="AE70" s="130" t="str">
        <f ca="1">_xll.INSTANCE.CONVENTION.TAUX("conv_" &amp; A70,LEFT(AC70,11),"Compounded",IF(AA70=1,"Annual",IF(AA70=2,"Semi-Annual","")),"Unadjusted",TODAY())</f>
        <v>conv_US298785FN17#0027</v>
      </c>
    </row>
    <row r="71" spans="1:31" x14ac:dyDescent="0.2">
      <c r="A71" s="131" t="s">
        <v>831</v>
      </c>
      <c r="B71" s="115" t="str">
        <f ca="1">_xll.BDP($A71 &amp; " Govt",B$1)</f>
        <v>EIB 2 1/8 07/15/16</v>
      </c>
      <c r="C71" s="209" t="str">
        <f t="shared" ca="1" si="4"/>
        <v>EIB</v>
      </c>
      <c r="D71" s="116"/>
      <c r="E71" s="117"/>
      <c r="F71" s="118"/>
      <c r="G71" s="119"/>
      <c r="H71" s="120">
        <f ca="1">IF(E71="",_xll.BDP(A71 &amp; " Corp","YLD_YTM_BID")/100,E71)</f>
        <v>1.2598831E-2</v>
      </c>
      <c r="I71" s="121">
        <f ca="1">_xll.INSTRUMENT.PRIX(AD71,D71,H71,AE71)</f>
        <v>103.38696278515395</v>
      </c>
      <c r="J71" s="122">
        <f ca="1">_xll.INSTRUMENT.DV01(AD71,,,I71,cContinuous,I71)</f>
        <v>-4.0158231862468502E-2</v>
      </c>
      <c r="K71" s="123">
        <f ca="1">_xll.INSTRUMENT.CONVEXITE(AD71,,,I71,cContinuous,I71)</f>
        <v>15.279421364588684</v>
      </c>
      <c r="L71" s="123">
        <f ca="1">_xll.INSTRUMENT.Z.SPREAD(AD71,swapCurve,I71,,D71)</f>
        <v>48.091194661866396</v>
      </c>
      <c r="M71" s="123">
        <f ca="1">_xll.INSTRUMENT.Z.SPREAD(AD71,ustCurve,I71,,D71)</f>
        <v>67.609707416648789</v>
      </c>
      <c r="N71" s="123">
        <f ca="1">_xll.INSTRUMENT.Z.SPREAD(AD71,oisCurve,I71,,D71)</f>
        <v>83.143562974413641</v>
      </c>
      <c r="O71" s="124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2.1300125917705085E-2</v>
      </c>
      <c r="P71" s="124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1.9451015434601988E-2</v>
      </c>
      <c r="Q71" s="143">
        <f t="shared" ca="1" si="5"/>
        <v>-380.48043093422859</v>
      </c>
      <c r="R71" s="199" t="str">
        <f>IF(F71&lt;&gt;"","",IF(G71="","",-G71*(SUMIF('bench Comparison'!$A:$A,"RESINV1USD",'bench Comparison'!$G:$G)+SUMIF('bench Comparison'!$A:$A,"RESSWAPORUSD",'bench Comparison'!$G:$G))/(36500*J71)))</f>
        <v/>
      </c>
      <c r="S71" s="210" t="str">
        <f>IF(G71&lt;&gt;"","",IF(F71="","",-36500*J71*F71/(SUMIF('bench Comparison'!$A:$A,"RESINV1USD",'bench Comparison'!$G:$G)+SUMIF('bench Comparison'!$A:$A,"RESSWAPORUSD",'bench Comparison'!$G:$G))))</f>
        <v/>
      </c>
      <c r="T71" s="125">
        <f>SUMIF('bench Comparison'!$E:$E,A71,'bench Comparison'!$N:$N)</f>
        <v>0</v>
      </c>
      <c r="U71" s="126">
        <f ca="1">VALUE(_xll.BDP($A71 &amp; " Corp",U$1))</f>
        <v>40680</v>
      </c>
      <c r="V71" s="127">
        <f ca="1">VALUE(_xll.BDP($A71 &amp; " Corp",V$1))</f>
        <v>40680</v>
      </c>
      <c r="W71" s="127">
        <f ca="1">VALUE(_xll.BDP($A71 &amp; " Corp",W$1))</f>
        <v>40739</v>
      </c>
      <c r="X71" s="127">
        <f ca="1">VALUE(_xll.BDP($A71 &amp; " Corp",X$1))</f>
        <v>42384</v>
      </c>
      <c r="Y71" s="127">
        <f ca="1">VALUE(_xll.BDP($A71 &amp; " Corp",Y$1))</f>
        <v>42566</v>
      </c>
      <c r="Z71" s="128">
        <f ca="1">_xll.BDP($A71 &amp; " Corp",Z$1)/100</f>
        <v>2.1250000000000002E-2</v>
      </c>
      <c r="AA71" s="129">
        <f ca="1">_xll.BDP($A71 &amp; " Corp",AA$1)</f>
        <v>2</v>
      </c>
      <c r="AB71" s="129">
        <f ca="1">_xll.BDP($A71 &amp; " Corp",AB$1)</f>
        <v>3000000000</v>
      </c>
      <c r="AC71" s="129" t="str">
        <f ca="1">_xll.BDP($A71 &amp; " Corp",AC$1)</f>
        <v>30/360</v>
      </c>
      <c r="AD71" s="130" t="str">
        <f ca="1">_xll.INSTANCE.YANKEE(A71,U71,V71,W71,X71,Y71,Z71,AA71,LEFT(AC71,11),3,IF(RIGHT(AC71,6)="NONEOM",FALSE,TRUE),TODAY())</f>
        <v>US298785FQ48#0027</v>
      </c>
      <c r="AE71" s="130" t="str">
        <f ca="1">_xll.INSTANCE.CONVENTION.TAUX("conv_" &amp; A71,LEFT(AC71,11),"Compounded",IF(AA71=1,"Annual",IF(AA71=2,"Semi-Annual","")),"Unadjusted",TODAY())</f>
        <v>conv_US298785FQ48#0027</v>
      </c>
    </row>
    <row r="72" spans="1:31" x14ac:dyDescent="0.2">
      <c r="A72" s="131" t="s">
        <v>861</v>
      </c>
      <c r="B72" s="115" t="str">
        <f ca="1">_xll.BDP($A72 &amp; " Govt",B$1)</f>
        <v>EIB 5 1/8 09/13/16</v>
      </c>
      <c r="C72" s="209" t="str">
        <f t="shared" ca="1" si="4"/>
        <v>EIB</v>
      </c>
      <c r="D72" s="116"/>
      <c r="E72" s="117"/>
      <c r="F72" s="118"/>
      <c r="G72" s="119"/>
      <c r="H72" s="120">
        <f ca="1">IF(E72="",_xll.BDP(A72 &amp; " Corp","YLD_YTM_BID")/100,E72)</f>
        <v>1.2882507000000001E-2</v>
      </c>
      <c r="I72" s="121">
        <f ca="1">_xll.INSTRUMENT.PRIX(AD72,D72,H72,AE72)</f>
        <v>115.59464718489714</v>
      </c>
      <c r="J72" s="122">
        <f ca="1">_xll.INSTRUMENT.DV01(AD72,,,I72,cContinuous,I72)</f>
        <v>-4.4581319130166511E-2</v>
      </c>
      <c r="K72" s="123">
        <f ca="1">_xll.INSTRUMENT.CONVEXITE(AD72,,,I72,cContinuous,I72)</f>
        <v>15.424423843793688</v>
      </c>
      <c r="L72" s="123">
        <f ca="1">_xll.INSTRUMENT.Z.SPREAD(AD72,swapCurve,I72,,D72)</f>
        <v>48.837584994756902</v>
      </c>
      <c r="M72" s="123">
        <f ca="1">_xll.INSTRUMENT.Z.SPREAD(AD72,ustCurve,I72,,D72)</f>
        <v>68.583590172972038</v>
      </c>
      <c r="N72" s="123">
        <f ca="1">_xll.INSTRUMENT.Z.SPREAD(AD72,oisCurve,I72,,D72)</f>
        <v>83.849571753721548</v>
      </c>
      <c r="O72" s="124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2.0237851631702271E-2</v>
      </c>
      <c r="P72" s="124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1.9784279061068423E-2</v>
      </c>
      <c r="Q72" s="143">
        <f t="shared" ca="1" si="5"/>
        <v>-345.98401628175594</v>
      </c>
      <c r="R72" s="199" t="str">
        <f>IF(F72&lt;&gt;"","",IF(G72="","",-G72*(SUMIF('bench Comparison'!$A:$A,"RESINV1USD",'bench Comparison'!$G:$G)+SUMIF('bench Comparison'!$A:$A,"RESSWAPORUSD",'bench Comparison'!$G:$G))/(36500*J72)))</f>
        <v/>
      </c>
      <c r="S72" s="210" t="str">
        <f>IF(G72&lt;&gt;"","",IF(F72="","",-36500*J72*F72/(SUMIF('bench Comparison'!$A:$A,"RESINV1USD",'bench Comparison'!$G:$G)+SUMIF('bench Comparison'!$A:$A,"RESSWAPORUSD",'bench Comparison'!$G:$G))))</f>
        <v/>
      </c>
      <c r="T72" s="125">
        <f>SUMIF('bench Comparison'!$E:$E,A72,'bench Comparison'!$N:$N)</f>
        <v>0</v>
      </c>
      <c r="U72" s="126">
        <f ca="1">VALUE(_xll.BDP($A72 &amp; " Corp",U$1))</f>
        <v>38973</v>
      </c>
      <c r="V72" s="127">
        <f ca="1">VALUE(_xll.BDP($A72 &amp; " Corp",V$1))</f>
        <v>38973</v>
      </c>
      <c r="W72" s="127">
        <f ca="1">VALUE(_xll.BDP($A72 &amp; " Corp",W$1))</f>
        <v>39154</v>
      </c>
      <c r="X72" s="127">
        <f ca="1">VALUE(_xll.BDP($A72 &amp; " Corp",X$1))</f>
        <v>42442</v>
      </c>
      <c r="Y72" s="127">
        <f ca="1">VALUE(_xll.BDP($A72 &amp; " Corp",Y$1))</f>
        <v>42626</v>
      </c>
      <c r="Z72" s="128">
        <f ca="1">_xll.BDP($A72 &amp; " Corp",Z$1)/100</f>
        <v>5.1249999999999997E-2</v>
      </c>
      <c r="AA72" s="129">
        <f ca="1">_xll.BDP($A72 &amp; " Corp",AA$1)</f>
        <v>2</v>
      </c>
      <c r="AB72" s="129">
        <f ca="1">_xll.BDP($A72 &amp; " Corp",AB$1)</f>
        <v>3000000000</v>
      </c>
      <c r="AC72" s="129" t="str">
        <f ca="1">_xll.BDP($A72 &amp; " Corp",AC$1)</f>
        <v>ISMA-30/360</v>
      </c>
      <c r="AD72" s="130" t="str">
        <f ca="1">_xll.INSTANCE.YANKEE(A72,U72,V72,W72,X72,Y72,Z72,AA72,LEFT(AC72,11),3,IF(RIGHT(AC72,6)="NONEOM",FALSE,TRUE),TODAY())</f>
        <v>US298785DY99#0027</v>
      </c>
      <c r="AE72" s="130" t="str">
        <f ca="1">_xll.INSTANCE.CONVENTION.TAUX("conv_" &amp; A72,LEFT(AC72,11),"Compounded",IF(AA72=1,"Annual",IF(AA72=2,"Semi-Annual","")),"Unadjusted",TODAY())</f>
        <v>conv_US298785DY99#0027</v>
      </c>
    </row>
    <row r="73" spans="1:31" x14ac:dyDescent="0.2">
      <c r="A73" s="131" t="s">
        <v>821</v>
      </c>
      <c r="B73" s="115" t="str">
        <f ca="1">_xll.BDP($A73 &amp; " Govt",B$1)</f>
        <v>EIB 1 1/4 10/14/16</v>
      </c>
      <c r="C73" s="209" t="str">
        <f t="shared" ca="1" si="4"/>
        <v>EIB</v>
      </c>
      <c r="D73" s="116"/>
      <c r="E73" s="117"/>
      <c r="F73" s="118"/>
      <c r="G73" s="119"/>
      <c r="H73" s="120">
        <f ca="1">IF(E73="",_xll.BDP(A73 &amp; " Corp","YLD_YTM_BID")/100,E73)</f>
        <v>1.1861332E-2</v>
      </c>
      <c r="I73" s="121">
        <f ca="1">_xll.INSTRUMENT.PRIX(AD73,D73,H73,AE73)</f>
        <v>100.26493884122138</v>
      </c>
      <c r="J73" s="122">
        <f ca="1">_xll.INSTRUMENT.DV01(AD73,,,I73,cContinuous,I73)</f>
        <v>-4.1887022528963619E-2</v>
      </c>
      <c r="K73" s="123">
        <f ca="1">_xll.INSTRUMENT.CONVEXITE(AD73,,,I73,cContinuous,I73)</f>
        <v>17.655901640978058</v>
      </c>
      <c r="L73" s="123">
        <f ca="1">_xll.INSTRUMENT.Z.SPREAD(AD73,swapCurve,I73,,D73)</f>
        <v>35.815349618168135</v>
      </c>
      <c r="M73" s="123">
        <f ca="1">_xll.INSTRUMENT.Z.SPREAD(AD73,ustCurve,I73,,D73)</f>
        <v>56.01696586051083</v>
      </c>
      <c r="N73" s="123">
        <f ca="1">_xll.INSTRUMENT.Z.SPREAD(AD73,oisCurve,I73,,D73)</f>
        <v>70.910636996576812</v>
      </c>
      <c r="O73" s="124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2.1838743809917877E-2</v>
      </c>
      <c r="P73" s="124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1.943323885557741E-2</v>
      </c>
      <c r="Q73" s="143">
        <f t="shared" ca="1" si="5"/>
        <v>-421.51245361900652</v>
      </c>
      <c r="R73" s="199" t="str">
        <f>IF(F73&lt;&gt;"","",IF(G73="","",-G73*(SUMIF('bench Comparison'!$A:$A,"RESINV1USD",'bench Comparison'!$G:$G)+SUMIF('bench Comparison'!$A:$A,"RESSWAPORUSD",'bench Comparison'!$G:$G))/(36500*J73)))</f>
        <v/>
      </c>
      <c r="S73" s="210" t="str">
        <f>IF(G73&lt;&gt;"","",IF(F73="","",-36500*J73*F73/(SUMIF('bench Comparison'!$A:$A,"RESINV1USD",'bench Comparison'!$G:$G)+SUMIF('bench Comparison'!$A:$A,"RESSWAPORUSD",'bench Comparison'!$G:$G))))</f>
        <v/>
      </c>
      <c r="T73" s="125">
        <f>SUMIF('bench Comparison'!$E:$E,A73,'bench Comparison'!$N:$N)</f>
        <v>0</v>
      </c>
      <c r="U73" s="126">
        <f ca="1">VALUE(_xll.BDP($A73 &amp; " Corp",U$1))</f>
        <v>40800</v>
      </c>
      <c r="V73" s="127">
        <f ca="1">VALUE(_xll.BDP($A73 &amp; " Corp",V$1))</f>
        <v>40800</v>
      </c>
      <c r="W73" s="127">
        <f ca="1">VALUE(_xll.BDP($A73 &amp; " Corp",W$1))</f>
        <v>41013</v>
      </c>
      <c r="X73" s="127">
        <f ca="1">VALUE(_xll.BDP($A73 &amp; " Corp",X$1))</f>
        <v>42474</v>
      </c>
      <c r="Y73" s="127">
        <f ca="1">VALUE(_xll.BDP($A73 &amp; " Corp",Y$1))</f>
        <v>42657</v>
      </c>
      <c r="Z73" s="128">
        <f ca="1">_xll.BDP($A73 &amp; " Corp",Z$1)/100</f>
        <v>1.2500000000000001E-2</v>
      </c>
      <c r="AA73" s="129">
        <f ca="1">_xll.BDP($A73 &amp; " Corp",AA$1)</f>
        <v>2</v>
      </c>
      <c r="AB73" s="129">
        <f ca="1">_xll.BDP($A73 &amp; " Corp",AB$1)</f>
        <v>3000000000</v>
      </c>
      <c r="AC73" s="129" t="str">
        <f ca="1">_xll.BDP($A73 &amp; " Corp",AC$1)</f>
        <v>30/360</v>
      </c>
      <c r="AD73" s="130" t="str">
        <f ca="1">_xll.INSTANCE.YANKEE(A73,U73,V73,W73,X73,Y73,Z73,AA73,LEFT(AC73,11),3,IF(RIGHT(AC73,6)="NONEOM",FALSE,TRUE),TODAY())</f>
        <v>US298785FS04#0026</v>
      </c>
      <c r="AE73" s="130" t="str">
        <f ca="1">_xll.INSTANCE.CONVENTION.TAUX("conv_" &amp; A73,LEFT(AC73,11),"Compounded",IF(AA73=1,"Annual",IF(AA73=2,"Semi-Annual","")),"Unadjusted",TODAY())</f>
        <v>conv_US298785FS04#0026</v>
      </c>
    </row>
    <row r="74" spans="1:31" x14ac:dyDescent="0.2">
      <c r="A74" s="131" t="s">
        <v>844</v>
      </c>
      <c r="B74" s="115" t="str">
        <f ca="1">_xll.BDP($A74 &amp; " Govt",B$1)</f>
        <v>EIB 3 1/8 12/15/16</v>
      </c>
      <c r="C74" s="209" t="str">
        <f t="shared" ca="1" si="4"/>
        <v>EIB</v>
      </c>
      <c r="D74" s="116"/>
      <c r="E74" s="117"/>
      <c r="F74" s="118"/>
      <c r="G74" s="119"/>
      <c r="H74" s="120">
        <f ca="1">IF(E74="",_xll.BDP(A74 &amp; " Corp","YLD_YTM_BID")/100,E74)</f>
        <v>1.4322888000000001E-2</v>
      </c>
      <c r="I74" s="121">
        <f ca="1">_xll.INSTRUMENT.PRIX(AD74,D74,H74,AE74)</f>
        <v>107.26263388614541</v>
      </c>
      <c r="J74" s="122">
        <f ca="1">_xll.INSTRUMENT.DV01(AD74,,,I74,cContinuous,I74)</f>
        <v>-4.5012198966997603E-2</v>
      </c>
      <c r="K74" s="123">
        <f ca="1">_xll.INSTRUMENT.CONVEXITE(AD74,,,I74,cContinuous,I74)</f>
        <v>18.215162010802</v>
      </c>
      <c r="L74" s="123">
        <f ca="1">_xll.INSTRUMENT.Z.SPREAD(AD74,swapCurve,I74,,D74)</f>
        <v>57.898176989623032</v>
      </c>
      <c r="M74" s="123">
        <f ca="1">_xll.INSTRUMENT.Z.SPREAD(AD74,ustCurve,I74,,D74)</f>
        <v>78.298259436280205</v>
      </c>
      <c r="N74" s="123">
        <f ca="1">_xll.INSTRUMENT.Z.SPREAD(AD74,oisCurve,I74,,D74)</f>
        <v>92.939981273211771</v>
      </c>
      <c r="O74" s="124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2.3379132406174785E-2</v>
      </c>
      <c r="P74" s="124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2.1872024131957709E-2</v>
      </c>
      <c r="Q74" s="143">
        <f t="shared" ca="1" si="5"/>
        <v>-404.67167631950474</v>
      </c>
      <c r="R74" s="199" t="str">
        <f>IF(F74&lt;&gt;"","",IF(G74="","",-G74*(SUMIF('bench Comparison'!$A:$A,"RESINV1USD",'bench Comparison'!$G:$G)+SUMIF('bench Comparison'!$A:$A,"RESSWAPORUSD",'bench Comparison'!$G:$G))/(36500*J74)))</f>
        <v/>
      </c>
      <c r="S74" s="210" t="str">
        <f>IF(G74&lt;&gt;"","",IF(F74="","",-36500*J74*F74/(SUMIF('bench Comparison'!$A:$A,"RESINV1USD",'bench Comparison'!$G:$G)+SUMIF('bench Comparison'!$A:$A,"RESSWAPORUSD",'bench Comparison'!$G:$G))))</f>
        <v/>
      </c>
      <c r="T74" s="125">
        <f>SUMIF('bench Comparison'!$E:$E,A74,'bench Comparison'!$N:$N)</f>
        <v>0</v>
      </c>
      <c r="U74" s="126">
        <f ca="1">VALUE(_xll.BDP($A74 &amp; " Corp",U$1))</f>
        <v>40141</v>
      </c>
      <c r="V74" s="127">
        <f ca="1">VALUE(_xll.BDP($A74 &amp; " Corp",V$1))</f>
        <v>40141</v>
      </c>
      <c r="W74" s="127">
        <f ca="1">VALUE(_xll.BDP($A74 &amp; " Corp",W$1))</f>
        <v>40344</v>
      </c>
      <c r="X74" s="127">
        <f ca="1">VALUE(_xll.BDP($A74 &amp; " Corp",X$1))</f>
        <v>42536</v>
      </c>
      <c r="Y74" s="127">
        <f ca="1">VALUE(_xll.BDP($A74 &amp; " Corp",Y$1))</f>
        <v>42719</v>
      </c>
      <c r="Z74" s="128">
        <f ca="1">_xll.BDP($A74 &amp; " Corp",Z$1)/100</f>
        <v>3.125E-2</v>
      </c>
      <c r="AA74" s="129">
        <f ca="1">_xll.BDP($A74 &amp; " Corp",AA$1)</f>
        <v>2</v>
      </c>
      <c r="AB74" s="129">
        <f ca="1">_xll.BDP($A74 &amp; " Corp",AB$1)</f>
        <v>1000000000</v>
      </c>
      <c r="AC74" s="129" t="str">
        <f ca="1">_xll.BDP($A74 &amp; " Corp",AC$1)</f>
        <v>ISMA-30/360</v>
      </c>
      <c r="AD74" s="130" t="str">
        <f ca="1">_xll.INSTANCE.YANKEE(A74,U74,V74,W74,X74,Y74,Z74,AA74,LEFT(AC74,11),3,IF(RIGHT(AC74,6)="NONEOM",FALSE,TRUE),TODAY())</f>
        <v>XS0468848253#0026</v>
      </c>
      <c r="AE74" s="130" t="str">
        <f ca="1">_xll.INSTANCE.CONVENTION.TAUX("conv_" &amp; A74,LEFT(AC74,11),"Compounded",IF(AA74=1,"Annual",IF(AA74=2,"Semi-Annual","")),"Unadjusted",TODAY())</f>
        <v>conv_XS0468848253#0026</v>
      </c>
    </row>
    <row r="75" spans="1:31" x14ac:dyDescent="0.2">
      <c r="A75" s="131" t="s">
        <v>845</v>
      </c>
      <c r="B75" s="115" t="str">
        <f ca="1">_xll.BDP($A75 &amp; " Govt",B$1)</f>
        <v>EIB 3 1/8 12/15/16</v>
      </c>
      <c r="C75" s="209" t="str">
        <f t="shared" ca="1" si="4"/>
        <v>EIB</v>
      </c>
      <c r="D75" s="116"/>
      <c r="E75" s="117"/>
      <c r="F75" s="118"/>
      <c r="G75" s="119"/>
      <c r="H75" s="120">
        <f ca="1">IF(E75="",_xll.BDP(A75 &amp; " Corp","YLD_YTM_BID")/100,E75)</f>
        <v>1.4235621E-2</v>
      </c>
      <c r="I75" s="121">
        <f ca="1">_xll.INSTRUMENT.PRIX(AD75,D75,H75,AE75)</f>
        <v>107.30163584780996</v>
      </c>
      <c r="J75" s="122">
        <f ca="1">_xll.INSTRUMENT.DV01(AD75,,,I75,cContinuous,I75)</f>
        <v>-4.5029154784954735E-2</v>
      </c>
      <c r="K75" s="123">
        <f ca="1">_xll.INSTRUMENT.CONVEXITE(AD75,,,I75,cContinuous,I75)</f>
        <v>18.215487351693625</v>
      </c>
      <c r="L75" s="123">
        <f ca="1">_xll.INSTRUMENT.Z.SPREAD(AD75,swapCurve,I75,,D75)</f>
        <v>57.03239137747962</v>
      </c>
      <c r="M75" s="123">
        <f ca="1">_xll.INSTRUMENT.Z.SPREAD(AD75,ustCurve,I75,,D75)</f>
        <v>77.431979501541235</v>
      </c>
      <c r="N75" s="123">
        <f ca="1">_xll.INSTRUMENT.Z.SPREAD(AD75,oisCurve,I75,,D75)</f>
        <v>92.074211782781646</v>
      </c>
      <c r="O75" s="124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2.3286603537374013E-2</v>
      </c>
      <c r="P75" s="124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2.1784947489185261E-2</v>
      </c>
      <c r="Q75" s="143">
        <f t="shared" ca="1" si="5"/>
        <v>-404.52652151001143</v>
      </c>
      <c r="R75" s="199" t="str">
        <f>IF(F75&lt;&gt;"","",IF(G75="","",-G75*(SUMIF('bench Comparison'!$A:$A,"RESINV1USD",'bench Comparison'!$G:$G)+SUMIF('bench Comparison'!$A:$A,"RESSWAPORUSD",'bench Comparison'!$G:$G))/(36500*J75)))</f>
        <v/>
      </c>
      <c r="S75" s="210" t="str">
        <f>IF(G75&lt;&gt;"","",IF(F75="","",-36500*J75*F75/(SUMIF('bench Comparison'!$A:$A,"RESINV1USD",'bench Comparison'!$G:$G)+SUMIF('bench Comparison'!$A:$A,"RESSWAPORUSD",'bench Comparison'!$G:$G))))</f>
        <v/>
      </c>
      <c r="T75" s="125">
        <f>SUMIF('bench Comparison'!$E:$E,A75,'bench Comparison'!$N:$N)</f>
        <v>0</v>
      </c>
      <c r="U75" s="126">
        <f ca="1">VALUE(_xll.BDP($A75 &amp; " Corp",U$1))</f>
        <v>40141</v>
      </c>
      <c r="V75" s="127">
        <f ca="1">VALUE(_xll.BDP($A75 &amp; " Corp",V$1))</f>
        <v>40141</v>
      </c>
      <c r="W75" s="127">
        <f ca="1">VALUE(_xll.BDP($A75 &amp; " Corp",W$1))</f>
        <v>40344</v>
      </c>
      <c r="X75" s="127">
        <f ca="1">VALUE(_xll.BDP($A75 &amp; " Corp",X$1))</f>
        <v>42536</v>
      </c>
      <c r="Y75" s="127">
        <f ca="1">VALUE(_xll.BDP($A75 &amp; " Corp",Y$1))</f>
        <v>42719</v>
      </c>
      <c r="Z75" s="128">
        <f ca="1">_xll.BDP($A75 &amp; " Corp",Z$1)/100</f>
        <v>3.125E-2</v>
      </c>
      <c r="AA75" s="129">
        <f ca="1">_xll.BDP($A75 &amp; " Corp",AA$1)</f>
        <v>2</v>
      </c>
      <c r="AB75" s="129">
        <f ca="1">_xll.BDP($A75 &amp; " Corp",AB$1)</f>
        <v>1000000000</v>
      </c>
      <c r="AC75" s="129" t="str">
        <f ca="1">_xll.BDP($A75 &amp; " Corp",AC$1)</f>
        <v>ISMA-30/360</v>
      </c>
      <c r="AD75" s="130" t="str">
        <f ca="1">_xll.INSTANCE.YANKEE(A75,U75,V75,W75,X75,Y75,Z75,AA75,LEFT(AC75,11),3,IF(RIGHT(AC75,6)="NONEOM",FALSE,TRUE),TODAY())</f>
        <v>US29878TBU79#0027</v>
      </c>
      <c r="AE75" s="130" t="str">
        <f ca="1">_xll.INSTANCE.CONVENTION.TAUX("conv_" &amp; A75,LEFT(AC75,11),"Compounded",IF(AA75=1,"Annual",IF(AA75=2,"Semi-Annual","")),"Unadjusted",TODAY())</f>
        <v>conv_US29878TBU79#0027</v>
      </c>
    </row>
    <row r="76" spans="1:31" x14ac:dyDescent="0.2">
      <c r="A76" s="131" t="s">
        <v>857</v>
      </c>
      <c r="B76" s="115" t="str">
        <f ca="1">_xll.BDP($A76 &amp; " Govt",B$1)</f>
        <v>EIB 4 7/8 01/17/17</v>
      </c>
      <c r="C76" s="209" t="str">
        <f t="shared" ca="1" si="4"/>
        <v>EIB</v>
      </c>
      <c r="D76" s="116"/>
      <c r="E76" s="117"/>
      <c r="F76" s="118"/>
      <c r="G76" s="119"/>
      <c r="H76" s="120">
        <f ca="1">IF(E76="",_xll.BDP(A76 &amp; " Corp","YLD_YTM_BID")/100,E76)</f>
        <v>1.4488093E-2</v>
      </c>
      <c r="I76" s="121">
        <f ca="1">_xll.INSTRUMENT.PRIX(AD76,D76,H76,AE76)</f>
        <v>114.97943950312788</v>
      </c>
      <c r="J76" s="122">
        <f ca="1">_xll.INSTRUMENT.DV01(AD76,,,I76,cContinuous,I76)</f>
        <v>-4.7803938556463088E-2</v>
      </c>
      <c r="K76" s="123">
        <f ca="1">_xll.INSTRUMENT.CONVEXITE(AD76,,,I76,cContinuous,I76)</f>
        <v>17.872490050879875</v>
      </c>
      <c r="L76" s="123">
        <f ca="1">_xll.INSTRUMENT.Z.SPREAD(AD76,swapCurve,I76,,D76)</f>
        <v>58.606271760259894</v>
      </c>
      <c r="M76" s="123">
        <f ca="1">_xll.INSTRUMENT.Z.SPREAD(AD76,ustCurve,I76,,D76)</f>
        <v>79.016457025523465</v>
      </c>
      <c r="N76" s="123">
        <f ca="1">_xll.INSTRUMENT.Z.SPREAD(AD76,oisCurve,I76,,D76)</f>
        <v>93.592577522335787</v>
      </c>
      <c r="O76" s="124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2.2621676134645243E-2</v>
      </c>
      <c r="P76" s="124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2.1869474680719977E-2</v>
      </c>
      <c r="Q76" s="143">
        <f t="shared" ca="1" si="5"/>
        <v>-373.87065983632255</v>
      </c>
      <c r="R76" s="199" t="str">
        <f>IF(F76&lt;&gt;"","",IF(G76="","",-G76*(SUMIF('bench Comparison'!$A:$A,"RESINV1USD",'bench Comparison'!$G:$G)+SUMIF('bench Comparison'!$A:$A,"RESSWAPORUSD",'bench Comparison'!$G:$G))/(36500*J76)))</f>
        <v/>
      </c>
      <c r="S76" s="210" t="str">
        <f>IF(G76&lt;&gt;"","",IF(F76="","",-36500*J76*F76/(SUMIF('bench Comparison'!$A:$A,"RESINV1USD",'bench Comparison'!$G:$G)+SUMIF('bench Comparison'!$A:$A,"RESSWAPORUSD",'bench Comparison'!$G:$G))))</f>
        <v/>
      </c>
      <c r="T76" s="125">
        <f>SUMIF('bench Comparison'!$E:$E,A76,'bench Comparison'!$N:$N)</f>
        <v>0</v>
      </c>
      <c r="U76" s="126">
        <f ca="1">VALUE(_xll.BDP($A76 &amp; " Corp",U$1))</f>
        <v>39099</v>
      </c>
      <c r="V76" s="127">
        <f ca="1">VALUE(_xll.BDP($A76 &amp; " Corp",V$1))</f>
        <v>39099</v>
      </c>
      <c r="W76" s="127">
        <f ca="1">VALUE(_xll.BDP($A76 &amp; " Corp",W$1))</f>
        <v>39280</v>
      </c>
      <c r="X76" s="127">
        <f ca="1">VALUE(_xll.BDP($A76 &amp; " Corp",X$1))</f>
        <v>42568</v>
      </c>
      <c r="Y76" s="127">
        <f ca="1">VALUE(_xll.BDP($A76 &amp; " Corp",Y$1))</f>
        <v>42752</v>
      </c>
      <c r="Z76" s="128">
        <f ca="1">_xll.BDP($A76 &amp; " Corp",Z$1)/100</f>
        <v>4.8750000000000002E-2</v>
      </c>
      <c r="AA76" s="129">
        <f ca="1">_xll.BDP($A76 &amp; " Corp",AA$1)</f>
        <v>2</v>
      </c>
      <c r="AB76" s="129">
        <f ca="1">_xll.BDP($A76 &amp; " Corp",AB$1)</f>
        <v>3000000000</v>
      </c>
      <c r="AC76" s="129" t="str">
        <f ca="1">_xll.BDP($A76 &amp; " Corp",AC$1)</f>
        <v>30/360</v>
      </c>
      <c r="AD76" s="130" t="str">
        <f ca="1">_xll.INSTANCE.YANKEE(A76,U76,V76,W76,X76,Y76,Z76,AA76,LEFT(AC76,11),3,IF(RIGHT(AC76,6)="NONEOM",FALSE,TRUE),TODAY())</f>
        <v>US298785EA05#0026</v>
      </c>
      <c r="AE76" s="130" t="str">
        <f ca="1">_xll.INSTANCE.CONVENTION.TAUX("conv_" &amp; A76,LEFT(AC76,11),"Compounded",IF(AA76=1,"Annual",IF(AA76=2,"Semi-Annual","")),"Unadjusted",TODAY())</f>
        <v>conv_US298785EA05#0026</v>
      </c>
    </row>
    <row r="77" spans="1:31" x14ac:dyDescent="0.2">
      <c r="A77" s="131" t="s">
        <v>828</v>
      </c>
      <c r="B77" s="115" t="str">
        <f ca="1">_xll.BDP($A77 &amp; " Govt",B$1)</f>
        <v>EIB 1 3/4 03/15/17</v>
      </c>
      <c r="C77" s="209" t="str">
        <f t="shared" ca="1" si="4"/>
        <v>EIB</v>
      </c>
      <c r="D77" s="116"/>
      <c r="E77" s="117"/>
      <c r="F77" s="118"/>
      <c r="G77" s="119"/>
      <c r="H77" s="120">
        <f ca="1">IF(E77="",_xll.BDP(A77 &amp; " Corp","YLD_YTM_BID")/100,E77)</f>
        <v>1.3812181E-2</v>
      </c>
      <c r="I77" s="121">
        <f ca="1">_xll.INSTRUMENT.PRIX(AD77,D77,H77,AE77)</f>
        <v>101.6698023739542</v>
      </c>
      <c r="J77" s="122">
        <f ca="1">_xll.INSTRUMENT.DV01(AD77,,,I77,cContinuous,I77)</f>
        <v>-4.6027804890658747E-2</v>
      </c>
      <c r="K77" s="123">
        <f ca="1">_xll.INSTRUMENT.CONVEXITE(AD77,,,I77,cContinuous,I77)</f>
        <v>20.844733486074865</v>
      </c>
      <c r="L77" s="123">
        <f ca="1">_xll.INSTRUMENT.Z.SPREAD(AD77,swapCurve,I77,,D77)</f>
        <v>47.839829823939283</v>
      </c>
      <c r="M77" s="123">
        <f ca="1">_xll.INSTRUMENT.Z.SPREAD(AD77,ustCurve,I77,,D77)</f>
        <v>68.677024401922438</v>
      </c>
      <c r="N77" s="123">
        <f ca="1">_xll.INSTRUMENT.Z.SPREAD(AD77,oisCurve,I77,,D77)</f>
        <v>82.809568530886267</v>
      </c>
      <c r="O77" s="124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2.4410087151207353E-2</v>
      </c>
      <c r="P77" s="124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2.2011852406528479E-2</v>
      </c>
      <c r="Q77" s="143">
        <f t="shared" ca="1" si="5"/>
        <v>-452.87263938813783</v>
      </c>
      <c r="R77" s="199" t="str">
        <f>IF(F77&lt;&gt;"","",IF(G77="","",-G77*(SUMIF('bench Comparison'!$A:$A,"RESINV1USD",'bench Comparison'!$G:$G)+SUMIF('bench Comparison'!$A:$A,"RESSWAPORUSD",'bench Comparison'!$G:$G))/(36500*J77)))</f>
        <v/>
      </c>
      <c r="S77" s="210" t="str">
        <f>IF(G77&lt;&gt;"","",IF(F77="","",-36500*J77*F77/(SUMIF('bench Comparison'!$A:$A,"RESINV1USD",'bench Comparison'!$G:$G)+SUMIF('bench Comparison'!$A:$A,"RESSWAPORUSD",'bench Comparison'!$G:$G))))</f>
        <v/>
      </c>
      <c r="T77" s="125">
        <f>SUMIF('bench Comparison'!$E:$E,A77,'bench Comparison'!$N:$N)</f>
        <v>0</v>
      </c>
      <c r="U77" s="126">
        <f ca="1">VALUE(_xll.BDP($A77 &amp; " Corp",U$1))</f>
        <v>40933</v>
      </c>
      <c r="V77" s="127">
        <f ca="1">VALUE(_xll.BDP($A77 &amp; " Corp",V$1))</f>
        <v>40933</v>
      </c>
      <c r="W77" s="127">
        <f ca="1">VALUE(_xll.BDP($A77 &amp; " Corp",W$1))</f>
        <v>40983</v>
      </c>
      <c r="X77" s="127">
        <f ca="1">VALUE(_xll.BDP($A77 &amp; " Corp",X$1))</f>
        <v>42628</v>
      </c>
      <c r="Y77" s="127">
        <f ca="1">VALUE(_xll.BDP($A77 &amp; " Corp",Y$1))</f>
        <v>42809</v>
      </c>
      <c r="Z77" s="128">
        <f ca="1">_xll.BDP($A77 &amp; " Corp",Z$1)/100</f>
        <v>1.7500000000000002E-2</v>
      </c>
      <c r="AA77" s="129">
        <f ca="1">_xll.BDP($A77 &amp; " Corp",AA$1)</f>
        <v>2</v>
      </c>
      <c r="AB77" s="129">
        <f ca="1">_xll.BDP($A77 &amp; " Corp",AB$1)</f>
        <v>3500000000</v>
      </c>
      <c r="AC77" s="129" t="str">
        <f ca="1">_xll.BDP($A77 &amp; " Corp",AC$1)</f>
        <v>ISMA-30/360</v>
      </c>
      <c r="AD77" s="130" t="str">
        <f ca="1">_xll.INSTANCE.YANKEE(A77,U77,V77,W77,X77,Y77,Z77,AA77,LEFT(AC77,11),3,IF(RIGHT(AC77,6)="NONEOM",FALSE,TRUE),TODAY())</f>
        <v>US298785FU59#0027</v>
      </c>
      <c r="AE77" s="130" t="str">
        <f ca="1">_xll.INSTANCE.CONVENTION.TAUX("conv_" &amp; A77,LEFT(AC77,11),"Compounded",IF(AA77=1,"Annual",IF(AA77=2,"Semi-Annual","")),"Unadjusted",TODAY())</f>
        <v>conv_US298785FU59#0027</v>
      </c>
    </row>
    <row r="78" spans="1:31" x14ac:dyDescent="0.2">
      <c r="A78" s="131" t="s">
        <v>862</v>
      </c>
      <c r="B78" s="115" t="str">
        <f ca="1">_xll.BDP($A78 &amp; " Govt",B$1)</f>
        <v>EIB 5 1/8 05/30/17</v>
      </c>
      <c r="C78" s="209" t="str">
        <f t="shared" ca="1" si="4"/>
        <v>EIB</v>
      </c>
      <c r="D78" s="116"/>
      <c r="E78" s="117"/>
      <c r="F78" s="118"/>
      <c r="G78" s="119"/>
      <c r="H78" s="120">
        <f ca="1">IF(E78="",_xll.BDP(A78 &amp; " Corp","YLD_YTM_BID")/100,E78)</f>
        <v>1.5334681999999999E-2</v>
      </c>
      <c r="I78" s="121">
        <f ca="1">_xll.INSTRUMENT.PRIX(AD78,D78,H78,AE78)</f>
        <v>116.89857826584444</v>
      </c>
      <c r="J78" s="122">
        <f ca="1">_xll.INSTRUMENT.DV01(AD78,,,I78,cContinuous,I78)</f>
        <v>-5.1918902832133476E-2</v>
      </c>
      <c r="K78" s="123">
        <f ca="1">_xll.INSTRUMENT.CONVEXITE(AD78,,,I78,cContinuous,I78)</f>
        <v>20.850303571666227</v>
      </c>
      <c r="L78" s="123">
        <f ca="1">_xll.INSTRUMENT.Z.SPREAD(AD78,swapCurve,I78,,D78)</f>
        <v>60.976243897347494</v>
      </c>
      <c r="M78" s="123">
        <f ca="1">_xll.INSTRUMENT.Z.SPREAD(AD78,ustCurve,I78,,D78)</f>
        <v>81.703794786596319</v>
      </c>
      <c r="N78" s="123">
        <f ca="1">_xll.INSTRUMENT.Z.SPREAD(AD78,oisCurve,I78,,D78)</f>
        <v>95.749180381053463</v>
      </c>
      <c r="O78" s="124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2.3871202337600855E-2</v>
      </c>
      <c r="P78" s="124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2.3166240872494508E-2</v>
      </c>
      <c r="Q78" s="143">
        <f t="shared" ca="1" si="5"/>
        <v>-401.5936861971133</v>
      </c>
      <c r="R78" s="199" t="str">
        <f>IF(F78&lt;&gt;"","",IF(G78="","",-G78*(SUMIF('bench Comparison'!$A:$A,"RESINV1USD",'bench Comparison'!$G:$G)+SUMIF('bench Comparison'!$A:$A,"RESSWAPORUSD",'bench Comparison'!$G:$G))/(36500*J78)))</f>
        <v/>
      </c>
      <c r="S78" s="210" t="str">
        <f>IF(G78&lt;&gt;"","",IF(F78="","",-36500*J78*F78/(SUMIF('bench Comparison'!$A:$A,"RESINV1USD",'bench Comparison'!$G:$G)+SUMIF('bench Comparison'!$A:$A,"RESSWAPORUSD",'bench Comparison'!$G:$G))))</f>
        <v/>
      </c>
      <c r="T78" s="125">
        <f>SUMIF('bench Comparison'!$E:$E,A78,'bench Comparison'!$N:$N)</f>
        <v>0</v>
      </c>
      <c r="U78" s="126">
        <f ca="1">VALUE(_xll.BDP($A78 &amp; " Corp",U$1))</f>
        <v>39232</v>
      </c>
      <c r="V78" s="127">
        <f ca="1">VALUE(_xll.BDP($A78 &amp; " Corp",V$1))</f>
        <v>39232</v>
      </c>
      <c r="W78" s="127">
        <f ca="1">VALUE(_xll.BDP($A78 &amp; " Corp",W$1))</f>
        <v>39416</v>
      </c>
      <c r="X78" s="127">
        <f ca="1">VALUE(_xll.BDP($A78 &amp; " Corp",X$1))</f>
        <v>42704</v>
      </c>
      <c r="Y78" s="127">
        <f ca="1">VALUE(_xll.BDP($A78 &amp; " Corp",Y$1))</f>
        <v>42885</v>
      </c>
      <c r="Z78" s="128">
        <f ca="1">_xll.BDP($A78 &amp; " Corp",Z$1)/100</f>
        <v>5.1249999999999997E-2</v>
      </c>
      <c r="AA78" s="129">
        <f ca="1">_xll.BDP($A78 &amp; " Corp",AA$1)</f>
        <v>2</v>
      </c>
      <c r="AB78" s="129">
        <f ca="1">_xll.BDP($A78 &amp; " Corp",AB$1)</f>
        <v>3000000000</v>
      </c>
      <c r="AC78" s="129" t="str">
        <f ca="1">_xll.BDP($A78 &amp; " Corp",AC$1)</f>
        <v>ISMA-30/360 NONEOM</v>
      </c>
      <c r="AD78" s="130" t="str">
        <f ca="1">_xll.INSTANCE.YANKEE(A78,U78,V78,W78,X78,Y78,Z78,AA78,LEFT(AC78,11),3,IF(RIGHT(AC78,6)="NONEOM",FALSE,TRUE),TODAY())</f>
        <v>US298785EG74#0027</v>
      </c>
      <c r="AE78" s="130" t="str">
        <f ca="1">_xll.INSTANCE.CONVENTION.TAUX("conv_" &amp; A78,LEFT(AC78,11),"Compounded",IF(AA78=1,"Annual",IF(AA78=2,"Semi-Annual","")),"Unadjusted",TODAY())</f>
        <v>conv_US298785EG74#0027</v>
      </c>
    </row>
    <row r="79" spans="1:31" x14ac:dyDescent="0.2">
      <c r="A79" s="131" t="s">
        <v>826</v>
      </c>
      <c r="B79" s="115" t="str">
        <f ca="1">_xll.BDP($A79 &amp; " Govt",B$1)</f>
        <v>EIB 1 5/8 06/15/17</v>
      </c>
      <c r="C79" s="209" t="str">
        <f t="shared" ca="1" si="4"/>
        <v>EIB</v>
      </c>
      <c r="D79" s="116"/>
      <c r="E79" s="117"/>
      <c r="F79" s="118"/>
      <c r="G79" s="119"/>
      <c r="H79" s="120">
        <f ca="1">IF(E79="",_xll.BDP(A79 &amp; " Corp","YLD_YTM_BID")/100,E79)</f>
        <v>1.3981153E-2</v>
      </c>
      <c r="I79" s="121">
        <f ca="1">_xll.INSTRUMENT.PRIX(AD79,D79,H79,AE79)</f>
        <v>101.07981404049283</v>
      </c>
      <c r="J79" s="122">
        <f ca="1">_xll.INSTRUMENT.DV01(AD79,,,I79,cContinuous,I79)</f>
        <v>-4.8235401062506518E-2</v>
      </c>
      <c r="K79" s="123">
        <f ca="1">_xll.INSTRUMENT.CONVEXITE(AD79,,,I79,cContinuous,I79)</f>
        <v>23.26048496370742</v>
      </c>
      <c r="L79" s="123">
        <f ca="1">_xll.INSTRUMENT.Z.SPREAD(AD79,swapCurve,I79,,D79)</f>
        <v>44.839306364155036</v>
      </c>
      <c r="M79" s="123">
        <f ca="1">_xll.INSTRUMENT.Z.SPREAD(AD79,ustCurve,I79,,D79)</f>
        <v>65.830734745161564</v>
      </c>
      <c r="N79" s="123">
        <f ca="1">_xll.INSTRUMENT.Z.SPREAD(AD79,oisCurve,I79,,D79)</f>
        <v>79.599690240929945</v>
      </c>
      <c r="O79" s="124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2.499376793559897E-2</v>
      </c>
      <c r="P79" s="124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2.2496531436397592E-2</v>
      </c>
      <c r="Q79" s="143">
        <f t="shared" ca="1" si="5"/>
        <v>-482.22849714808001</v>
      </c>
      <c r="R79" s="199" t="str">
        <f>IF(F79&lt;&gt;"","",IF(G79="","",-G79*(SUMIF('bench Comparison'!$A:$A,"RESINV1USD",'bench Comparison'!$G:$G)+SUMIF('bench Comparison'!$A:$A,"RESSWAPORUSD",'bench Comparison'!$G:$G))/(36500*J79)))</f>
        <v/>
      </c>
      <c r="S79" s="210" t="str">
        <f>IF(G79&lt;&gt;"","",IF(F79="","",-36500*J79*F79/(SUMIF('bench Comparison'!$A:$A,"RESINV1USD",'bench Comparison'!$G:$G)+SUMIF('bench Comparison'!$A:$A,"RESSWAPORUSD",'bench Comparison'!$G:$G))))</f>
        <v/>
      </c>
      <c r="T79" s="125">
        <f>SUMIF('bench Comparison'!$E:$E,A79,'bench Comparison'!$N:$N)</f>
        <v>0</v>
      </c>
      <c r="U79" s="126">
        <f ca="1">VALUE(_xll.BDP($A79 &amp; " Corp",U$1))</f>
        <v>41002</v>
      </c>
      <c r="V79" s="127">
        <f ca="1">VALUE(_xll.BDP($A79 &amp; " Corp",V$1))</f>
        <v>41002</v>
      </c>
      <c r="W79" s="127">
        <f ca="1">VALUE(_xll.BDP($A79 &amp; " Corp",W$1))</f>
        <v>41075</v>
      </c>
      <c r="X79" s="127">
        <f ca="1">VALUE(_xll.BDP($A79 &amp; " Corp",X$1))</f>
        <v>42719</v>
      </c>
      <c r="Y79" s="127">
        <f ca="1">VALUE(_xll.BDP($A79 &amp; " Corp",Y$1))</f>
        <v>42901</v>
      </c>
      <c r="Z79" s="128">
        <f ca="1">_xll.BDP($A79 &amp; " Corp",Z$1)/100</f>
        <v>1.6250000000000001E-2</v>
      </c>
      <c r="AA79" s="129">
        <f ca="1">_xll.BDP($A79 &amp; " Corp",AA$1)</f>
        <v>2</v>
      </c>
      <c r="AB79" s="129">
        <f ca="1">_xll.BDP($A79 &amp; " Corp",AB$1)</f>
        <v>3000000000</v>
      </c>
      <c r="AC79" s="129" t="str">
        <f ca="1">_xll.BDP($A79 &amp; " Corp",AC$1)</f>
        <v>ISMA-30/360</v>
      </c>
      <c r="AD79" s="130" t="str">
        <f ca="1">_xll.INSTANCE.YANKEE(A79,U79,V79,W79,X79,Y79,Z79,AA79,LEFT(AC79,11),3,IF(RIGHT(AC79,6)="NONEOM",FALSE,TRUE),TODAY())</f>
        <v>US298785FW16#0027</v>
      </c>
      <c r="AE79" s="130" t="str">
        <f ca="1">_xll.INSTANCE.CONVENTION.TAUX("conv_" &amp; A79,LEFT(AC79,11),"Compounded",IF(AA79=1,"Annual",IF(AA79=2,"Semi-Annual","")),"Unadjusted",TODAY())</f>
        <v>conv_US298785FW16#0027</v>
      </c>
    </row>
    <row r="80" spans="1:31" x14ac:dyDescent="0.2">
      <c r="A80" s="131" t="s">
        <v>830</v>
      </c>
      <c r="B80" s="115" t="str">
        <f ca="1">_xll.BDP($A80 &amp; " Govt",B$1)</f>
        <v>EIB 2 12/15/17</v>
      </c>
      <c r="C80" s="209" t="str">
        <f t="shared" ca="1" si="4"/>
        <v>EIB</v>
      </c>
      <c r="D80" s="116"/>
      <c r="E80" s="117"/>
      <c r="F80" s="118"/>
      <c r="G80" s="119"/>
      <c r="H80" s="120">
        <f ca="1">IF(E80="",_xll.BDP(A80 &amp; " Corp","YLD_YTM_BID")/100,E80)</f>
        <v>1.6234764999999998E-2</v>
      </c>
      <c r="I80" s="121">
        <f ca="1">_xll.INSTRUMENT.PRIX(AD80,D80,H80,AE80)</f>
        <v>101.95373473795924</v>
      </c>
      <c r="J80" s="122">
        <f ca="1">_xll.INSTRUMENT.DV01(AD80,,,I80,cContinuous,I80)</f>
        <v>-5.2912329999637006E-2</v>
      </c>
      <c r="K80" s="123">
        <f ca="1">_xll.INSTRUMENT.CONVEXITE(AD80,,,I80,cContinuous,I80)</f>
        <v>27.726944230037017</v>
      </c>
      <c r="L80" s="123">
        <f ca="1">_xll.INSTRUMENT.Z.SPREAD(AD80,swapCurve,I80,,D80)</f>
        <v>58.566613385986024</v>
      </c>
      <c r="M80" s="123">
        <f ca="1">_xll.INSTRUMENT.Z.SPREAD(AD80,ustCurve,I80,,D80)</f>
        <v>79.35294139081239</v>
      </c>
      <c r="N80" s="123">
        <f ca="1">_xll.INSTRUMENT.Z.SPREAD(AD80,oisCurve,I80,,D80)</f>
        <v>92.6445788232121</v>
      </c>
      <c r="O80" s="124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2.8020952655105243E-2</v>
      </c>
      <c r="P80" s="124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2.5309764019948777E-2</v>
      </c>
      <c r="Q80" s="143">
        <f t="shared" ca="1" si="5"/>
        <v>-524.01669384484171</v>
      </c>
      <c r="R80" s="199" t="str">
        <f>IF(F80&lt;&gt;"","",IF(G80="","",-G80*(SUMIF('bench Comparison'!$A:$A,"RESINV1USD",'bench Comparison'!$G:$G)+SUMIF('bench Comparison'!$A:$A,"RESSWAPORUSD",'bench Comparison'!$G:$G))/(36500*J80)))</f>
        <v/>
      </c>
      <c r="S80" s="210" t="str">
        <f>IF(G80&lt;&gt;"","",IF(F80="","",-36500*J80*F80/(SUMIF('bench Comparison'!$A:$A,"RESINV1USD",'bench Comparison'!$G:$G)+SUMIF('bench Comparison'!$A:$A,"RESSWAPORUSD",'bench Comparison'!$G:$G))))</f>
        <v/>
      </c>
      <c r="T80" s="125">
        <f>SUMIF('bench Comparison'!$E:$E,A80,'bench Comparison'!$N:$N)</f>
        <v>0</v>
      </c>
      <c r="U80" s="126">
        <f ca="1">VALUE(_xll.BDP($A80 &amp; " Corp",U$1))</f>
        <v>40498</v>
      </c>
      <c r="V80" s="127">
        <f ca="1">VALUE(_xll.BDP($A80 &amp; " Corp",V$1))</f>
        <v>40498</v>
      </c>
      <c r="W80" s="127">
        <f ca="1">VALUE(_xll.BDP($A80 &amp; " Corp",W$1))</f>
        <v>40527</v>
      </c>
      <c r="X80" s="127">
        <f ca="1">VALUE(_xll.BDP($A80 &amp; " Corp",X$1))</f>
        <v>42901</v>
      </c>
      <c r="Y80" s="127">
        <f ca="1">VALUE(_xll.BDP($A80 &amp; " Corp",Y$1))</f>
        <v>43084</v>
      </c>
      <c r="Z80" s="128">
        <f ca="1">_xll.BDP($A80 &amp; " Corp",Z$1)/100</f>
        <v>0.02</v>
      </c>
      <c r="AA80" s="129">
        <f ca="1">_xll.BDP($A80 &amp; " Corp",AA$1)</f>
        <v>2</v>
      </c>
      <c r="AB80" s="129">
        <f ca="1">_xll.BDP($A80 &amp; " Corp",AB$1)</f>
        <v>1500000000</v>
      </c>
      <c r="AC80" s="129" t="str">
        <f ca="1">_xll.BDP($A80 &amp; " Corp",AC$1)</f>
        <v>ISMA-30/360</v>
      </c>
      <c r="AD80" s="130" t="str">
        <f ca="1">_xll.INSTANCE.YANKEE(A80,U80,V80,W80,X80,Y80,Z80,AA80,LEFT(AC80,11),3,IF(RIGHT(AC80,6)="NONEOM",FALSE,TRUE),TODAY())</f>
        <v>XS0558939269#0027</v>
      </c>
      <c r="AE80" s="130" t="str">
        <f ca="1">_xll.INSTANCE.CONVENTION.TAUX("conv_" &amp; A80,LEFT(AC80,11),"Compounded",IF(AA80=1,"Annual",IF(AA80=2,"Semi-Annual","")),"Unadjusted",TODAY())</f>
        <v>conv_XS0558939269#0027</v>
      </c>
    </row>
    <row r="81" spans="1:31" x14ac:dyDescent="0.2">
      <c r="A81" s="131" t="s">
        <v>832</v>
      </c>
      <c r="B81" s="115" t="str">
        <f ca="1">_xll.BDP($A81 &amp; " Govt",B$1)</f>
        <v>EIB 2 1/8 12/15/17</v>
      </c>
      <c r="C81" s="209" t="str">
        <f t="shared" ca="1" si="4"/>
        <v>EIB</v>
      </c>
      <c r="D81" s="116"/>
      <c r="E81" s="117"/>
      <c r="F81" s="118"/>
      <c r="G81" s="119"/>
      <c r="H81" s="120">
        <f ca="1">IF(E81="",_xll.BDP(A81 &amp; " Corp","YLD_YTM_BID")/100,E81)</f>
        <v>1.2582186E-2</v>
      </c>
      <c r="I81" s="121">
        <f ca="1">_xll.INSTRUMENT.PRIX(AD81,D81,H81,AE81)</f>
        <v>104.54678082955593</v>
      </c>
      <c r="J81" s="122">
        <f ca="1">_xll.INSTRUMENT.DV01(AD81,,,I81,cContinuous,I81)</f>
        <v>-5.4141726405064074E-2</v>
      </c>
      <c r="K81" s="123">
        <f ca="1">_xll.INSTRUMENT.CONVEXITE(AD81,,,I81,cContinuous,I81)</f>
        <v>27.642057809780542</v>
      </c>
      <c r="L81" s="123">
        <f ca="1">_xll.INSTRUMENT.Z.SPREAD(AD81,swapCurve,I81,,D81)</f>
        <v>22.411614280384086</v>
      </c>
      <c r="M81" s="123">
        <f ca="1">_xll.INSTRUMENT.Z.SPREAD(AD81,ustCurve,I81,,D81)</f>
        <v>43.172517468410383</v>
      </c>
      <c r="N81" s="123">
        <f ca="1">_xll.INSTRUMENT.Z.SPREAD(AD81,oisCurve,I81,,D81)</f>
        <v>56.490654640069181</v>
      </c>
      <c r="O81" s="124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2.4038965630502528E-2</v>
      </c>
      <c r="P81" s="124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2.1633658175941217E-2</v>
      </c>
      <c r="Q81" s="143">
        <f t="shared" ca="1" si="5"/>
        <v>-510.54998880115284</v>
      </c>
      <c r="R81" s="199" t="str">
        <f>IF(F81&lt;&gt;"","",IF(G81="","",-G81*(SUMIF('bench Comparison'!$A:$A,"RESINV1USD",'bench Comparison'!$G:$G)+SUMIF('bench Comparison'!$A:$A,"RESSWAPORUSD",'bench Comparison'!$G:$G))/(36500*J81)))</f>
        <v/>
      </c>
      <c r="S81" s="210" t="str">
        <f>IF(G81&lt;&gt;"","",IF(F81="","",-36500*J81*F81/(SUMIF('bench Comparison'!$A:$A,"RESINV1USD",'bench Comparison'!$G:$G)+SUMIF('bench Comparison'!$A:$A,"RESSWAPORUSD",'bench Comparison'!$G:$G))))</f>
        <v/>
      </c>
      <c r="T81" s="125">
        <f>SUMIF('bench Comparison'!$E:$E,A81,'bench Comparison'!$N:$N)</f>
        <v>0</v>
      </c>
      <c r="U81" s="126">
        <f ca="1">VALUE(_xll.BDP($A81 &amp; " Corp",U$1))</f>
        <v>40459</v>
      </c>
      <c r="V81" s="127">
        <f ca="1">VALUE(_xll.BDP($A81 &amp; " Corp",V$1))</f>
        <v>40459</v>
      </c>
      <c r="W81" s="127">
        <f ca="1">VALUE(_xll.BDP($A81 &amp; " Corp",W$1))</f>
        <v>40709</v>
      </c>
      <c r="X81" s="127">
        <f ca="1">VALUE(_xll.BDP($A81 &amp; " Corp",X$1))</f>
        <v>42901</v>
      </c>
      <c r="Y81" s="127">
        <f ca="1">VALUE(_xll.BDP($A81 &amp; " Corp",Y$1))</f>
        <v>43084</v>
      </c>
      <c r="Z81" s="128">
        <f ca="1">_xll.BDP($A81 &amp; " Corp",Z$1)/100</f>
        <v>2.1250000000000002E-2</v>
      </c>
      <c r="AA81" s="129">
        <f ca="1">_xll.BDP($A81 &amp; " Corp",AA$1)</f>
        <v>2</v>
      </c>
      <c r="AB81" s="129">
        <f ca="1">_xll.BDP($A81 &amp; " Corp",AB$1)</f>
        <v>1000000000</v>
      </c>
      <c r="AC81" s="129" t="str">
        <f ca="1">_xll.BDP($A81 &amp; " Corp",AC$1)</f>
        <v>ISMA-30/360</v>
      </c>
      <c r="AD81" s="130" t="str">
        <f ca="1">_xll.INSTANCE.YANKEE(A81,U81,V81,W81,X81,Y81,Z81,AA81,LEFT(AC81,11),3,IF(RIGHT(AC81,6)="NONEOM",FALSE,TRUE),TODAY())</f>
        <v>XS0547845205#0026</v>
      </c>
      <c r="AE81" s="130" t="str">
        <f ca="1">_xll.INSTANCE.CONVENTION.TAUX("conv_" &amp; A81,LEFT(AC81,11),"Compounded",IF(AA81=1,"Annual",IF(AA81=2,"Semi-Annual","")),"Unadjusted",TODAY())</f>
        <v>conv_XS0547845205#0026</v>
      </c>
    </row>
    <row r="82" spans="1:31" x14ac:dyDescent="0.2">
      <c r="A82" s="131" t="s">
        <v>833</v>
      </c>
      <c r="B82" s="115" t="str">
        <f ca="1">_xll.BDP($A82 &amp; " Govt",B$1)</f>
        <v>EIB 2 1/8 03/15/19</v>
      </c>
      <c r="C82" s="209" t="str">
        <f t="shared" ca="1" si="4"/>
        <v>EIB</v>
      </c>
      <c r="D82" s="116"/>
      <c r="E82" s="117"/>
      <c r="F82" s="118"/>
      <c r="G82" s="119"/>
      <c r="H82" s="120">
        <f ca="1">IF(E82="",_xll.BDP(A82 &amp; " Corp","YLD_YTM_BID")/100,E82)</f>
        <v>2.0348920999999999E-2</v>
      </c>
      <c r="I82" s="121">
        <f ca="1">_xll.INSTRUMENT.PRIX(AD82,D82,H82,AE82)</f>
        <v>100.5595450906208</v>
      </c>
      <c r="J82" s="122">
        <f ca="1">_xll.INSTRUMENT.DV01(AD82,,,I82,cContinuous,I82)</f>
        <v>-6.3105837034551207E-2</v>
      </c>
      <c r="K82" s="123">
        <f ca="1">_xll.INSTRUMENT.CONVEXITE(AD82,,,I82,cContinuous,I82)</f>
        <v>40.745374261307845</v>
      </c>
      <c r="L82" s="123">
        <f ca="1">_xll.INSTRUMENT.Z.SPREAD(AD82,swapCurve,I82,,D82)</f>
        <v>75.695203894445342</v>
      </c>
      <c r="M82" s="123">
        <f ca="1">_xll.INSTRUMENT.Z.SPREAD(AD82,ustCurve,I82,,D82)</f>
        <v>97.212094582152133</v>
      </c>
      <c r="N82" s="123">
        <f ca="1">_xll.INSTRUMENT.Z.SPREAD(AD82,oisCurve,I82,,D82)</f>
        <v>110.72264097042915</v>
      </c>
      <c r="O82" s="124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3.6252268773387997E-2</v>
      </c>
      <c r="P82" s="124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3.2680160171486942E-2</v>
      </c>
      <c r="Q82" s="143">
        <f t="shared" ca="1" si="5"/>
        <v>-645.66728176031097</v>
      </c>
      <c r="R82" s="199" t="str">
        <f>IF(F82&lt;&gt;"","",IF(G82="","",-G82*(SUMIF('bench Comparison'!$A:$A,"RESINV1USD",'bench Comparison'!$G:$G)+SUMIF('bench Comparison'!$A:$A,"RESSWAPORUSD",'bench Comparison'!$G:$G))/(36500*J82)))</f>
        <v/>
      </c>
      <c r="S82" s="210" t="str">
        <f>IF(G82&lt;&gt;"","",IF(F82="","",-36500*J82*F82/(SUMIF('bench Comparison'!$A:$A,"RESINV1USD",'bench Comparison'!$G:$G)+SUMIF('bench Comparison'!$A:$A,"RESSWAPORUSD",'bench Comparison'!$G:$G))))</f>
        <v/>
      </c>
      <c r="T82" s="125">
        <f>SUMIF('bench Comparison'!$E:$E,A82,'bench Comparison'!$N:$N)</f>
        <v>0</v>
      </c>
      <c r="U82" s="126">
        <f ca="1">VALUE(_xll.BDP($A82 &amp; " Corp",U$1))</f>
        <v>40946</v>
      </c>
      <c r="V82" s="127">
        <f ca="1">VALUE(_xll.BDP($A82 &amp; " Corp",V$1))</f>
        <v>40946</v>
      </c>
      <c r="W82" s="127">
        <f ca="1">VALUE(_xll.BDP($A82 &amp; " Corp",W$1))</f>
        <v>40983</v>
      </c>
      <c r="X82" s="127">
        <f ca="1">VALUE(_xll.BDP($A82 &amp; " Corp",X$1))</f>
        <v>43358</v>
      </c>
      <c r="Y82" s="127">
        <f ca="1">VALUE(_xll.BDP($A82 &amp; " Corp",Y$1))</f>
        <v>43539</v>
      </c>
      <c r="Z82" s="128">
        <f ca="1">_xll.BDP($A82 &amp; " Corp",Z$1)/100</f>
        <v>2.1250000000000002E-2</v>
      </c>
      <c r="AA82" s="129">
        <f ca="1">_xll.BDP($A82 &amp; " Corp",AA$1)</f>
        <v>2</v>
      </c>
      <c r="AB82" s="129">
        <f ca="1">_xll.BDP($A82 &amp; " Corp",AB$1)</f>
        <v>1500000000</v>
      </c>
      <c r="AC82" s="129" t="str">
        <f ca="1">_xll.BDP($A82 &amp; " Corp",AC$1)</f>
        <v>ISMA-30/360</v>
      </c>
      <c r="AD82" s="130" t="str">
        <f ca="1">_xll.INSTANCE.YANKEE(A82,U82,V82,W82,X82,Y82,Z82,AA82,LEFT(AC82,11),3,IF(RIGHT(AC82,6)="NONEOM",FALSE,TRUE),TODAY())</f>
        <v>XS0742416380#0027</v>
      </c>
      <c r="AE82" s="130" t="str">
        <f ca="1">_xll.INSTANCE.CONVENTION.TAUX("conv_" &amp; A82,LEFT(AC82,11),"Compounded",IF(AA82=1,"Annual",IF(AA82=2,"Semi-Annual","")),"Unadjusted",TODAY())</f>
        <v>conv_XS0742416380#0027</v>
      </c>
    </row>
    <row r="83" spans="1:31" x14ac:dyDescent="0.2">
      <c r="A83" s="131" t="s">
        <v>834</v>
      </c>
      <c r="B83" s="115" t="str">
        <f ca="1">_xll.BDP($A83 &amp; " Govt",B$1)</f>
        <v>EIB 2 1/8 03/15/19</v>
      </c>
      <c r="C83" s="209" t="str">
        <f t="shared" ca="1" si="4"/>
        <v>EIB</v>
      </c>
      <c r="D83" s="116"/>
      <c r="E83" s="117"/>
      <c r="F83" s="118"/>
      <c r="G83" s="119"/>
      <c r="H83" s="120">
        <f ca="1">IF(E83="",_xll.BDP(A83 &amp; " Corp","YLD_YTM_BID")/100,E83)</f>
        <v>2.0376127000000001E-2</v>
      </c>
      <c r="I83" s="121">
        <f ca="1">_xll.INSTRUMENT.PRIX(AD83,D83,H83,AE83)</f>
        <v>100.54254467676431</v>
      </c>
      <c r="J83" s="122">
        <f ca="1">_xll.INSTRUMENT.DV01(AD83,,,I83,cContinuous,I83)</f>
        <v>-6.3094726683254332E-2</v>
      </c>
      <c r="K83" s="123">
        <f ca="1">_xll.INSTRUMENT.CONVEXITE(AD83,,,I83,cContinuous,I83)</f>
        <v>40.744959708317467</v>
      </c>
      <c r="L83" s="123">
        <f ca="1">_xll.INSTRUMENT.Z.SPREAD(AD83,swapCurve,I83,,D83)</f>
        <v>75.964691914917438</v>
      </c>
      <c r="M83" s="123">
        <f ca="1">_xll.INSTRUMENT.Z.SPREAD(AD83,ustCurve,I83,,D83)</f>
        <v>97.481679465540836</v>
      </c>
      <c r="N83" s="123">
        <f ca="1">_xll.INSTRUMENT.Z.SPREAD(AD83,oisCurve,I83,,D83)</f>
        <v>110.99212431649799</v>
      </c>
      <c r="O83" s="124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3.6281103724975172E-2</v>
      </c>
      <c r="P83" s="124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3.2707307062621586E-2</v>
      </c>
      <c r="Q83" s="143">
        <f t="shared" ca="1" si="5"/>
        <v>-645.77440699384772</v>
      </c>
      <c r="R83" s="199" t="str">
        <f>IF(F83&lt;&gt;"","",IF(G83="","",-G83*(SUMIF('bench Comparison'!$A:$A,"RESINV1USD",'bench Comparison'!$G:$G)+SUMIF('bench Comparison'!$A:$A,"RESSWAPORUSD",'bench Comparison'!$G:$G))/(36500*J83)))</f>
        <v/>
      </c>
      <c r="S83" s="210" t="str">
        <f>IF(G83&lt;&gt;"","",IF(F83="","",-36500*J83*F83/(SUMIF('bench Comparison'!$A:$A,"RESINV1USD",'bench Comparison'!$G:$G)+SUMIF('bench Comparison'!$A:$A,"RESSWAPORUSD",'bench Comparison'!$G:$G))))</f>
        <v/>
      </c>
      <c r="T83" s="125">
        <f>SUMIF('bench Comparison'!$E:$E,A83,'bench Comparison'!$N:$N)</f>
        <v>0</v>
      </c>
      <c r="U83" s="126">
        <f ca="1">VALUE(_xll.BDP($A83 &amp; " Corp",U$1))</f>
        <v>40946</v>
      </c>
      <c r="V83" s="127">
        <f ca="1">VALUE(_xll.BDP($A83 &amp; " Corp",V$1))</f>
        <v>40946</v>
      </c>
      <c r="W83" s="127">
        <f ca="1">VALUE(_xll.BDP($A83 &amp; " Corp",W$1))</f>
        <v>40983</v>
      </c>
      <c r="X83" s="127">
        <f ca="1">VALUE(_xll.BDP($A83 &amp; " Corp",X$1))</f>
        <v>43358</v>
      </c>
      <c r="Y83" s="127">
        <f ca="1">VALUE(_xll.BDP($A83 &amp; " Corp",Y$1))</f>
        <v>43539</v>
      </c>
      <c r="Z83" s="128">
        <f ca="1">_xll.BDP($A83 &amp; " Corp",Z$1)/100</f>
        <v>2.1250000000000002E-2</v>
      </c>
      <c r="AA83" s="129">
        <f ca="1">_xll.BDP($A83 &amp; " Corp",AA$1)</f>
        <v>2</v>
      </c>
      <c r="AB83" s="129">
        <f ca="1">_xll.BDP($A83 &amp; " Corp",AB$1)</f>
        <v>1500000000</v>
      </c>
      <c r="AC83" s="129" t="str">
        <f ca="1">_xll.BDP($A83 &amp; " Corp",AC$1)</f>
        <v>30/360</v>
      </c>
      <c r="AD83" s="130" t="str">
        <f ca="1">_xll.INSTANCE.YANKEE(A83,U83,V83,W83,X83,Y83,Z83,AA83,LEFT(AC83,11),3,IF(RIGHT(AC83,6)="NONEOM",FALSE,TRUE),TODAY())</f>
        <v>US29878TCC62#0027</v>
      </c>
      <c r="AE83" s="130" t="str">
        <f ca="1">_xll.INSTANCE.CONVENTION.TAUX("conv_" &amp; A83,LEFT(AC83,11),"Compounded",IF(AA83=1,"Annual",IF(AA83=2,"Semi-Annual","")),"Unadjusted",TODAY())</f>
        <v>conv_US29878TCC62#0027</v>
      </c>
    </row>
    <row r="84" spans="1:31" x14ac:dyDescent="0.2">
      <c r="A84" s="131" t="s">
        <v>841</v>
      </c>
      <c r="B84" s="115" t="str">
        <f ca="1">_xll.BDP($A84 &amp; " Govt",B$1)</f>
        <v>EIB 2 7/8 09/15/20</v>
      </c>
      <c r="C84" s="209" t="str">
        <f t="shared" ca="1" si="4"/>
        <v>EIB</v>
      </c>
      <c r="D84" s="116"/>
      <c r="E84" s="117"/>
      <c r="F84" s="118"/>
      <c r="G84" s="119"/>
      <c r="H84" s="120">
        <f ca="1">IF(E84="",_xll.BDP(A84 &amp; " Corp","YLD_YTM_BID")/100,E84)</f>
        <v>2.2822939E-2</v>
      </c>
      <c r="I84" s="121">
        <f ca="1">_xll.INSTRUMENT.PRIX(AD84,D84,H84,AE84)</f>
        <v>104.40416138522912</v>
      </c>
      <c r="J84" s="122">
        <f ca="1">_xll.INSTRUMENT.DV01(AD84,,,I84,cContinuous,I84)</f>
        <v>-7.7091583037554298E-2</v>
      </c>
      <c r="K84" s="123">
        <f ca="1">_xll.INSTRUMENT.CONVEXITE(AD84,,,I84,cContinuous,I84)</f>
        <v>57.735034623417633</v>
      </c>
      <c r="L84" s="123">
        <f ca="1">_xll.INSTRUMENT.Z.SPREAD(AD84,swapCurve,I84,,D84)</f>
        <v>77.438641228300355</v>
      </c>
      <c r="M84" s="123">
        <f ca="1">_xll.INSTRUMENT.Z.SPREAD(AD84,ustCurve,I84,,D84)</f>
        <v>95.398566102605116</v>
      </c>
      <c r="N84" s="123">
        <f ca="1">_xll.INSTRUMENT.Z.SPREAD(AD84,oisCurve,I84,,D84)</f>
        <v>111.80236683935833</v>
      </c>
      <c r="O84" s="124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3.6671068078703885E-2</v>
      </c>
      <c r="P84" s="124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3.3352768206925863E-2</v>
      </c>
      <c r="Q84" s="143">
        <f t="shared" ca="1" si="5"/>
        <v>-748.91489250250129</v>
      </c>
      <c r="R84" s="199" t="str">
        <f>IF(F84&lt;&gt;"","",IF(G84="","",-G84*(SUMIF('bench Comparison'!$A:$A,"RESINV1USD",'bench Comparison'!$G:$G)+SUMIF('bench Comparison'!$A:$A,"RESSWAPORUSD",'bench Comparison'!$G:$G))/(36500*J84)))</f>
        <v/>
      </c>
      <c r="S84" s="210" t="str">
        <f>IF(G84&lt;&gt;"","",IF(F84="","",-36500*J84*F84/(SUMIF('bench Comparison'!$A:$A,"RESINV1USD",'bench Comparison'!$G:$G)+SUMIF('bench Comparison'!$A:$A,"RESSWAPORUSD",'bench Comparison'!$G:$G))))</f>
        <v/>
      </c>
      <c r="T84" s="125">
        <f>SUMIF('bench Comparison'!$E:$E,A84,'bench Comparison'!$N:$N)</f>
        <v>0</v>
      </c>
      <c r="U84" s="126">
        <f ca="1">VALUE(_xll.BDP($A84 &amp; " Corp",U$1))</f>
        <v>40436</v>
      </c>
      <c r="V84" s="127">
        <f ca="1">VALUE(_xll.BDP($A84 &amp; " Corp",V$1))</f>
        <v>40436</v>
      </c>
      <c r="W84" s="127">
        <f ca="1">VALUE(_xll.BDP($A84 &amp; " Corp",W$1))</f>
        <v>40617</v>
      </c>
      <c r="X84" s="127">
        <f ca="1">VALUE(_xll.BDP($A84 &amp; " Corp",X$1))</f>
        <v>43905</v>
      </c>
      <c r="Y84" s="127">
        <f ca="1">VALUE(_xll.BDP($A84 &amp; " Corp",Y$1))</f>
        <v>44089</v>
      </c>
      <c r="Z84" s="128">
        <f ca="1">_xll.BDP($A84 &amp; " Corp",Z$1)/100</f>
        <v>2.8750000000000001E-2</v>
      </c>
      <c r="AA84" s="129">
        <f ca="1">_xll.BDP($A84 &amp; " Corp",AA$1)</f>
        <v>2</v>
      </c>
      <c r="AB84" s="129">
        <f ca="1">_xll.BDP($A84 &amp; " Corp",AB$1)</f>
        <v>3000000000</v>
      </c>
      <c r="AC84" s="129" t="str">
        <f ca="1">_xll.BDP($A84 &amp; " Corp",AC$1)</f>
        <v>30/360</v>
      </c>
      <c r="AD84" s="130" t="str">
        <f ca="1">_xll.INSTANCE.YANKEE(A84,U84,V84,W84,X84,Y84,Z84,AA84,LEFT(AC84,11),3,IF(RIGHT(AC84,6)="NONEOM",FALSE,TRUE),TODAY())</f>
        <v>US298785FH49#0027</v>
      </c>
      <c r="AE84" s="130" t="str">
        <f ca="1">_xll.INSTANCE.CONVENTION.TAUX("conv_" &amp; A84,LEFT(AC84,11),"Compounded",IF(AA84=1,"Annual",IF(AA84=2,"Semi-Annual","")),"Unadjusted",TODAY())</f>
        <v>conv_US298785FH49#0027</v>
      </c>
    </row>
    <row r="85" spans="1:31" x14ac:dyDescent="0.2">
      <c r="A85" s="131" t="s">
        <v>850</v>
      </c>
      <c r="B85" s="115" t="str">
        <f ca="1">_xll.BDP($A85 &amp; " Govt",B$1)</f>
        <v>EIB 4 02/16/21</v>
      </c>
      <c r="C85" s="209" t="str">
        <f t="shared" ca="1" si="4"/>
        <v>EIB</v>
      </c>
      <c r="D85" s="116"/>
      <c r="E85" s="117"/>
      <c r="F85" s="118"/>
      <c r="G85" s="119"/>
      <c r="H85" s="120">
        <f ca="1">IF(E85="",_xll.BDP(A85 &amp; " Corp","YLD_YTM_BID")/100,E85)</f>
        <v>2.4177710000000002E-2</v>
      </c>
      <c r="I85" s="121">
        <f ca="1">_xll.INSTRUMENT.PRIX(AD85,D85,H85,AE85)</f>
        <v>112.23317179894023</v>
      </c>
      <c r="J85" s="122">
        <f ca="1">_xll.INSTRUMENT.DV01(AD85,,,I85,cContinuous,I85)</f>
        <v>-8.3725339595723161E-2</v>
      </c>
      <c r="K85" s="123">
        <f ca="1">_xll.INSTRUMENT.CONVEXITE(AD85,,,I85,cContinuous,I85)</f>
        <v>60.035224785121613</v>
      </c>
      <c r="L85" s="123">
        <f ca="1">_xll.INSTRUMENT.Z.SPREAD(AD85,swapCurve,I85,,D85)</f>
        <v>86.941965482660478</v>
      </c>
      <c r="M85" s="123">
        <f ca="1">_xll.INSTRUMENT.Z.SPREAD(AD85,ustCurve,I85,,D85)</f>
        <v>103.59586010498127</v>
      </c>
      <c r="N85" s="123">
        <f ca="1">_xll.INSTRUMENT.Z.SPREAD(AD85,oisCurve,I85,,D85)</f>
        <v>121.01380623684626</v>
      </c>
      <c r="O85" s="124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3.734842458464821E-2</v>
      </c>
      <c r="P85" s="124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3.4390419648376545E-2</v>
      </c>
      <c r="Q85" s="143">
        <f t="shared" ca="1" si="5"/>
        <v>-717.04964202006431</v>
      </c>
      <c r="R85" s="199" t="str">
        <f>IF(F85&lt;&gt;"","",IF(G85="","",-G85*(SUMIF('bench Comparison'!$A:$A,"RESINV1USD",'bench Comparison'!$G:$G)+SUMIF('bench Comparison'!$A:$A,"RESSWAPORUSD",'bench Comparison'!$G:$G))/(36500*J85)))</f>
        <v/>
      </c>
      <c r="S85" s="210" t="str">
        <f>IF(G85&lt;&gt;"","",IF(F85="","",-36500*J85*F85/(SUMIF('bench Comparison'!$A:$A,"RESINV1USD",'bench Comparison'!$G:$G)+SUMIF('bench Comparison'!$A:$A,"RESSWAPORUSD",'bench Comparison'!$G:$G))))</f>
        <v/>
      </c>
      <c r="T85" s="125">
        <f>SUMIF('bench Comparison'!$E:$E,A85,'bench Comparison'!$N:$N)</f>
        <v>0</v>
      </c>
      <c r="U85" s="126">
        <f ca="1">VALUE(_xll.BDP($A85 &amp; " Corp",U$1))</f>
        <v>40590</v>
      </c>
      <c r="V85" s="127">
        <f ca="1">VALUE(_xll.BDP($A85 &amp; " Corp",V$1))</f>
        <v>40590</v>
      </c>
      <c r="W85" s="127">
        <f ca="1">VALUE(_xll.BDP($A85 &amp; " Corp",W$1))</f>
        <v>40771</v>
      </c>
      <c r="X85" s="127">
        <f ca="1">VALUE(_xll.BDP($A85 &amp; " Corp",X$1))</f>
        <v>44059</v>
      </c>
      <c r="Y85" s="127">
        <f ca="1">VALUE(_xll.BDP($A85 &amp; " Corp",Y$1))</f>
        <v>44243</v>
      </c>
      <c r="Z85" s="128">
        <f ca="1">_xll.BDP($A85 &amp; " Corp",Z$1)/100</f>
        <v>0.04</v>
      </c>
      <c r="AA85" s="129">
        <f ca="1">_xll.BDP($A85 &amp; " Corp",AA$1)</f>
        <v>2</v>
      </c>
      <c r="AB85" s="129">
        <f ca="1">_xll.BDP($A85 &amp; " Corp",AB$1)</f>
        <v>2000000000</v>
      </c>
      <c r="AC85" s="129" t="str">
        <f ca="1">_xll.BDP($A85 &amp; " Corp",AC$1)</f>
        <v>30/360</v>
      </c>
      <c r="AD85" s="130" t="str">
        <f ca="1">_xll.INSTANCE.YANKEE(A85,U85,V85,W85,X85,Y85,Z85,AA85,LEFT(AC85,11),3,IF(RIGHT(AC85,6)="NONEOM",FALSE,TRUE),TODAY())</f>
        <v>US298785FM34#0027</v>
      </c>
      <c r="AE85" s="130" t="str">
        <f ca="1">_xll.INSTANCE.CONVENTION.TAUX("conv_" &amp; A85,LEFT(AC85,11),"Compounded",IF(AA85=1,"Annual",IF(AA85=2,"Semi-Annual","")),"Unadjusted",TODAY())</f>
        <v>conv_US298785FM34#0027</v>
      </c>
    </row>
    <row r="86" spans="1:31" x14ac:dyDescent="0.2">
      <c r="A86" s="131" t="s">
        <v>858</v>
      </c>
      <c r="B86" s="115" t="str">
        <f ca="1">_xll.BDP($A86 &amp; " Govt",B$1)</f>
        <v>EIB 4 7/8 02/15/36</v>
      </c>
      <c r="C86" s="209" t="str">
        <f t="shared" ca="1" si="4"/>
        <v>EIB</v>
      </c>
      <c r="D86" s="116"/>
      <c r="E86" s="117"/>
      <c r="F86" s="118"/>
      <c r="G86" s="119"/>
      <c r="H86" s="120">
        <f ca="1">IF(E86="",_xll.BDP(A86 &amp; " Corp","YLD_YTM_BID")/100,E86)</f>
        <v>3.7608391999999997E-2</v>
      </c>
      <c r="I86" s="121">
        <f ca="1">_xll.INSTRUMENT.PRIX(AD86,D86,H86,AE86)</f>
        <v>117.32474914295156</v>
      </c>
      <c r="J86" s="122">
        <f ca="1">_xll.INSTRUMENT.DV01(AD86,,,I86,cContinuous,I86)</f>
        <v>-0.17649160193549585</v>
      </c>
      <c r="K86" s="123">
        <f ca="1">_xll.INSTRUMENT.CONVEXITE(AD86,,,I86,cContinuous,I86)</f>
        <v>290.66134380904879</v>
      </c>
      <c r="L86" s="123">
        <f ca="1">_xll.INSTRUMENT.Z.SPREAD(AD86,swapCurve,I86,,D86)</f>
        <v>143.14899180280381</v>
      </c>
      <c r="M86" s="123">
        <f ca="1">_xll.INSTRUMENT.Z.SPREAD(AD86,ustCurve,I86,,D86)</f>
        <v>122.37158966134206</v>
      </c>
      <c r="N86" s="123">
        <f ca="1">_xll.INSTRUMENT.Z.SPREAD(AD86,oisCurve,I86,,D86)</f>
        <v>171.04478966505093</v>
      </c>
      <c r="O86" s="124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4.3250008359965751E-2</v>
      </c>
      <c r="P86" s="124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4.029678379928088E-2</v>
      </c>
      <c r="Q86" s="143">
        <f t="shared" ca="1" si="5"/>
        <v>-1646.8848411001431</v>
      </c>
      <c r="R86" s="199" t="str">
        <f>IF(F86&lt;&gt;"","",IF(G86="","",-G86*(SUMIF('bench Comparison'!$A:$A,"RESINV1USD",'bench Comparison'!$G:$G)+SUMIF('bench Comparison'!$A:$A,"RESSWAPORUSD",'bench Comparison'!$G:$G))/(36500*J86)))</f>
        <v/>
      </c>
      <c r="S86" s="210" t="str">
        <f>IF(G86&lt;&gt;"","",IF(F86="","",-36500*J86*F86/(SUMIF('bench Comparison'!$A:$A,"RESINV1USD",'bench Comparison'!$G:$G)+SUMIF('bench Comparison'!$A:$A,"RESSWAPORUSD",'bench Comparison'!$G:$G))))</f>
        <v/>
      </c>
      <c r="T86" s="125">
        <f>SUMIF('bench Comparison'!$E:$E,A86,'bench Comparison'!$N:$N)</f>
        <v>0</v>
      </c>
      <c r="U86" s="126">
        <f ca="1">VALUE(_xll.BDP($A86 &amp; " Corp",U$1))</f>
        <v>38778</v>
      </c>
      <c r="V86" s="127">
        <f ca="1">VALUE(_xll.BDP($A86 &amp; " Corp",V$1))</f>
        <v>38778</v>
      </c>
      <c r="W86" s="127">
        <f ca="1">VALUE(_xll.BDP($A86 &amp; " Corp",W$1))</f>
        <v>38944</v>
      </c>
      <c r="X86" s="127">
        <f ca="1">VALUE(_xll.BDP($A86 &amp; " Corp",X$1))</f>
        <v>49536</v>
      </c>
      <c r="Y86" s="127">
        <f ca="1">VALUE(_xll.BDP($A86 &amp; " Corp",Y$1))</f>
        <v>49720</v>
      </c>
      <c r="Z86" s="128">
        <f ca="1">_xll.BDP($A86 &amp; " Corp",Z$1)/100</f>
        <v>4.8750000000000002E-2</v>
      </c>
      <c r="AA86" s="129">
        <f ca="1">_xll.BDP($A86 &amp; " Corp",AA$1)</f>
        <v>2</v>
      </c>
      <c r="AB86" s="129">
        <f ca="1">_xll.BDP($A86 &amp; " Corp",AB$1)</f>
        <v>1000000000</v>
      </c>
      <c r="AC86" s="129" t="str">
        <f ca="1">_xll.BDP($A86 &amp; " Corp",AC$1)</f>
        <v>ISMA-30/360</v>
      </c>
      <c r="AD86" s="130" t="str">
        <f ca="1">_xll.INSTANCE.YANKEE(A86,U86,V86,W86,X86,Y86,Z86,AA86,LEFT(AC86,11),3,IF(RIGHT(AC86,6)="NONEOM",FALSE,TRUE),TODAY())</f>
        <v>US298785DV50#0026</v>
      </c>
      <c r="AE86" s="130" t="str">
        <f ca="1">_xll.INSTANCE.CONVENTION.TAUX("conv_" &amp; A86,LEFT(AC86,11),"Compounded",IF(AA86=1,"Annual",IF(AA86=2,"Semi-Annual","")),"Unadjusted",TODAY())</f>
        <v>conv_US298785DV50#0026</v>
      </c>
    </row>
    <row r="87" spans="1:31" x14ac:dyDescent="0.2">
      <c r="A87" s="131" t="s">
        <v>334</v>
      </c>
      <c r="B87" s="115" t="str">
        <f ca="1">_xll.BDP($A87 &amp; " Govt",B$1)</f>
        <v>CDCEPS 1 5/8 03/10/14</v>
      </c>
      <c r="C87" s="209" t="str">
        <f t="shared" ca="1" si="4"/>
        <v>CDCEPS</v>
      </c>
      <c r="D87" s="116"/>
      <c r="E87" s="117"/>
      <c r="F87" s="118"/>
      <c r="G87" s="119"/>
      <c r="H87" s="120">
        <f ca="1">IF(E87="",_xll.BDP(A87 &amp; " Corp","YLD_YTM_BID")/100,E87)</f>
        <v>1.3437053999999999E-2</v>
      </c>
      <c r="I87" s="121">
        <f ca="1">_xll.INSTRUMENT.PRIX(AD87,D87,H87,AE87)</f>
        <v>100.46194029872555</v>
      </c>
      <c r="J87" s="122">
        <f ca="1">_xll.INSTRUMENT.DV01(AD87,,,I87,cContinuous,I87)</f>
        <v>-1.6785074170342248E-2</v>
      </c>
      <c r="K87" s="123">
        <f ca="1">_xll.INSTRUMENT.CONVEXITE(AD87,,,I87,cContinuous,I87)</f>
        <v>2.7785216681845486</v>
      </c>
      <c r="L87" s="123">
        <f ca="1">_xll.INSTRUMENT.Z.SPREAD(AD87,swapCurve,I87,,D87)</f>
        <v>81.493944511246852</v>
      </c>
      <c r="M87" s="123">
        <f ca="1">_xll.INSTRUMENT.Z.SPREAD(AD87,ustCurve,I87,,D87)</f>
        <v>102.13302475886907</v>
      </c>
      <c r="N87" s="123">
        <f ca="1">_xll.INSTRUMENT.Z.SPREAD(AD87,oisCurve,I87,,D87)</f>
        <v>113.78542919866112</v>
      </c>
      <c r="O87" s="124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1.4954588355986606E-2</v>
      </c>
      <c r="P87" s="124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1.4348423226523639E-2</v>
      </c>
      <c r="Q87" s="143">
        <f t="shared" ca="1" si="5"/>
        <v>-165.53526305495583</v>
      </c>
      <c r="R87" s="199" t="str">
        <f>IF(F87&lt;&gt;"","",IF(G87="","",-G87*(SUMIF('bench Comparison'!$A:$A,"RESINV1USD",'bench Comparison'!$G:$G)+SUMIF('bench Comparison'!$A:$A,"RESSWAPORUSD",'bench Comparison'!$G:$G))/(36500*J87)))</f>
        <v/>
      </c>
      <c r="S87" s="210" t="str">
        <f>IF(G87&lt;&gt;"","",IF(F87="","",-36500*J87*F87/(SUMIF('bench Comparison'!$A:$A,"RESINV1USD",'bench Comparison'!$G:$G)+SUMIF('bench Comparison'!$A:$A,"RESSWAPORUSD",'bench Comparison'!$G:$G))))</f>
        <v/>
      </c>
      <c r="T87" s="125">
        <f>SUMIF('bench Comparison'!$E:$E,A87,'bench Comparison'!$N:$N)</f>
        <v>94000000</v>
      </c>
      <c r="U87" s="126">
        <f ca="1">VALUE(_xll.BDP($A87 &amp; " Corp",U$1))</f>
        <v>40610</v>
      </c>
      <c r="V87" s="127">
        <f ca="1">VALUE(_xll.BDP($A87 &amp; " Corp",V$1))</f>
        <v>40610</v>
      </c>
      <c r="W87" s="127">
        <f ca="1">VALUE(_xll.BDP($A87 &amp; " Corp",W$1))</f>
        <v>40978</v>
      </c>
      <c r="X87" s="127">
        <f ca="1">VALUE(_xll.BDP($A87 &amp; " Corp",X$1))</f>
        <v>41343</v>
      </c>
      <c r="Y87" s="127">
        <f ca="1">VALUE(_xll.BDP($A87 &amp; " Corp",Y$1))</f>
        <v>41708</v>
      </c>
      <c r="Z87" s="128">
        <f ca="1">_xll.BDP($A87 &amp; " Corp",Z$1)/100</f>
        <v>1.6250000000000001E-2</v>
      </c>
      <c r="AA87" s="129">
        <f ca="1">_xll.BDP($A87 &amp; " Corp",AA$1)</f>
        <v>1</v>
      </c>
      <c r="AB87" s="129">
        <f ca="1">_xll.BDP($A87 &amp; " Corp",AB$1)</f>
        <v>1000000000</v>
      </c>
      <c r="AC87" s="129" t="str">
        <f ca="1">_xll.BDP($A87 &amp; " Corp",AC$1)</f>
        <v>ISMA-30/360</v>
      </c>
      <c r="AD87" s="130" t="str">
        <f ca="1">_xll.INSTANCE.YANKEE(A87,U87,V87,W87,X87,Y87,Z87,AA87,LEFT(AC87,11),3,IF(RIGHT(AC87,6)="NONEOM",FALSE,TRUE),TODAY())</f>
        <v>FR0011018332#0027</v>
      </c>
      <c r="AE87" s="130" t="str">
        <f ca="1">_xll.INSTANCE.CONVENTION.TAUX("conv_" &amp; A87,LEFT(AC87,11),"Compounded",IF(AA87=1,"Annual",IF(AA87=2,"Semi-Annual","")),"Unadjusted",TODAY())</f>
        <v>conv_FR0011018332#0026</v>
      </c>
    </row>
    <row r="88" spans="1:31" x14ac:dyDescent="0.2">
      <c r="A88" s="131" t="s">
        <v>682</v>
      </c>
      <c r="B88" s="115" t="str">
        <f ca="1">_xll.BDP($A88 &amp; " Govt",B$1)</f>
        <v>CDCEPS 1 3/4 03/26/13</v>
      </c>
      <c r="C88" s="209" t="str">
        <f t="shared" ca="1" si="4"/>
        <v>CDCEPS</v>
      </c>
      <c r="D88" s="116"/>
      <c r="E88" s="117"/>
      <c r="F88" s="118"/>
      <c r="G88" s="119"/>
      <c r="H88" s="120">
        <f ca="1">IF(E88="",_xll.BDP(A88 &amp; " Corp","YLD_YTM_BID")/100,E88)</f>
        <v>1.0266480376879272E-2</v>
      </c>
      <c r="I88" s="121">
        <f ca="1">_xll.INSTRUMENT.PRIX(AD88,D88,H88,AE88)</f>
        <v>100.51804880225532</v>
      </c>
      <c r="J88" s="122">
        <f ca="1">_xll.INSTRUMENT.DV01(AD88,,,I88,cContinuous,I88)</f>
        <v>-7.2915434084470238E-3</v>
      </c>
      <c r="K88" s="123">
        <f ca="1">_xll.INSTRUMENT.CONVEXITE(AD88,,,I88,cContinuous,I88)</f>
        <v>0.52119774621367909</v>
      </c>
      <c r="L88" s="123">
        <f ca="1">_xll.INSTRUMENT.Z.SPREAD(AD88,swapCurve,I88,,D88)</f>
        <v>54.964246214487837</v>
      </c>
      <c r="M88" s="123">
        <f ca="1">_xll.INSTRUMENT.Z.SPREAD(AD88,ustCurve,I88,,D88)</f>
        <v>81.305758128526833</v>
      </c>
      <c r="N88" s="123">
        <f ca="1">_xll.INSTRUMENT.Z.SPREAD(AD88,oisCurve,I88,,D88)</f>
        <v>84.231669269184962</v>
      </c>
      <c r="O88" s="124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1.1333821982850495E-2</v>
      </c>
      <c r="P88" s="124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1.0889512488872896E-2</v>
      </c>
      <c r="Q88" s="143">
        <f t="shared" ca="1" si="5"/>
        <v>-71.479756344848454</v>
      </c>
      <c r="R88" s="199" t="str">
        <f>IF(F88&lt;&gt;"","",IF(G88="","",-G88*(SUMIF('bench Comparison'!$A:$A,"RESINV1USD",'bench Comparison'!$G:$G)+SUMIF('bench Comparison'!$A:$A,"RESSWAPORUSD",'bench Comparison'!$G:$G))/(36500*J88)))</f>
        <v/>
      </c>
      <c r="S88" s="210" t="str">
        <f>IF(G88&lt;&gt;"","",IF(F88="","",-36500*J88*F88/(SUMIF('bench Comparison'!$A:$A,"RESINV1USD",'bench Comparison'!$G:$G)+SUMIF('bench Comparison'!$A:$A,"RESSWAPORUSD",'bench Comparison'!$G:$G))))</f>
        <v/>
      </c>
      <c r="T88" s="125">
        <f>SUMIF('bench Comparison'!$E:$E,A88,'bench Comparison'!$N:$N)</f>
        <v>0</v>
      </c>
      <c r="U88" s="126">
        <f ca="1">VALUE(_xll.BDP($A88 &amp; " Corp",U$1))</f>
        <v>40263</v>
      </c>
      <c r="V88" s="127">
        <f ca="1">VALUE(_xll.BDP($A88 &amp; " Corp",V$1))</f>
        <v>40263</v>
      </c>
      <c r="W88" s="127">
        <f ca="1">VALUE(_xll.BDP($A88 &amp; " Corp",W$1))</f>
        <v>40628</v>
      </c>
      <c r="X88" s="127">
        <f ca="1">VALUE(_xll.BDP($A88 &amp; " Corp",X$1))</f>
        <v>40994</v>
      </c>
      <c r="Y88" s="127">
        <f ca="1">VALUE(_xll.BDP($A88 &amp; " Corp",Y$1))</f>
        <v>41359</v>
      </c>
      <c r="Z88" s="128">
        <f ca="1">_xll.BDP($A88 &amp; " Corp",Z$1)/100</f>
        <v>1.7500000000000002E-2</v>
      </c>
      <c r="AA88" s="129">
        <f ca="1">_xll.BDP($A88 &amp; " Corp",AA$1)</f>
        <v>1</v>
      </c>
      <c r="AB88" s="129">
        <f ca="1">_xll.BDP($A88 &amp; " Corp",AB$1)</f>
        <v>1000000000</v>
      </c>
      <c r="AC88" s="129" t="str">
        <f ca="1">_xll.BDP($A88 &amp; " Corp",AC$1)</f>
        <v>ISMA-30/360</v>
      </c>
      <c r="AD88" s="130" t="str">
        <f ca="1">_xll.INSTANCE.YANKEE(A88,U88,V88,W88,X88,Y88,Z88,AA88,LEFT(AC88,11),3,IF(RIGHT(AC88,6)="NONEOM",FALSE,TRUE),TODAY())</f>
        <v>FR0010875302#0026</v>
      </c>
      <c r="AE88" s="130" t="str">
        <f ca="1">_xll.INSTANCE.CONVENTION.TAUX("conv_" &amp; A88,LEFT(AC88,11),"Compounded",IF(AA88=1,"Annual",IF(AA88=2,"Semi-Annual","")),"Unadjusted",TODAY())</f>
        <v>conv_FR0010875302#0027</v>
      </c>
    </row>
    <row r="89" spans="1:31" x14ac:dyDescent="0.2">
      <c r="A89" s="131" t="s">
        <v>328</v>
      </c>
      <c r="B89" s="115" t="str">
        <f ca="1">_xll.BDP($A89 &amp; " Govt",B$1)</f>
        <v>CDCEPS 1 1/4 09/20/13</v>
      </c>
      <c r="C89" s="209" t="str">
        <f t="shared" ca="1" si="4"/>
        <v>CDCEPS</v>
      </c>
      <c r="D89" s="116"/>
      <c r="E89" s="117"/>
      <c r="F89" s="118"/>
      <c r="G89" s="119"/>
      <c r="H89" s="120">
        <f ca="1">IF(E89="",_xll.BDP(A89 &amp; " Corp","YLD_YTM_BID")/100,E89)</f>
        <v>1.1743793000000001E-2</v>
      </c>
      <c r="I89" s="121">
        <f ca="1">_xll.INSTRUMENT.PRIX(AD89,D89,H89,AE89)</f>
        <v>100.08899996303931</v>
      </c>
      <c r="J89" s="122">
        <f ca="1">_xll.INSTRUMENT.DV01(AD89,,,I89,cContinuous,I89)</f>
        <v>-1.2101976845614692E-2</v>
      </c>
      <c r="K89" s="123">
        <f ca="1">_xll.INSTRUMENT.CONVEXITE(AD89,,,I89,cContinuous,I89)</f>
        <v>1.445655996341717</v>
      </c>
      <c r="L89" s="123">
        <f ca="1">_xll.INSTRUMENT.Z.SPREAD(AD89,swapCurve,I89,,D89)</f>
        <v>66.651851966878098</v>
      </c>
      <c r="M89" s="123">
        <f ca="1">_xll.INSTRUMENT.Z.SPREAD(AD89,ustCurve,I89,,D89)</f>
        <v>89.246974675527156</v>
      </c>
      <c r="N89" s="123">
        <f ca="1">_xll.INSTRUMENT.Z.SPREAD(AD89,oisCurve,I89,,D89)</f>
        <v>97.843091422507214</v>
      </c>
      <c r="O89" s="124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1.3044186236438529E-2</v>
      </c>
      <c r="P89" s="124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1.238581024044379E-2</v>
      </c>
      <c r="Q89" s="143">
        <f t="shared" ca="1" si="5"/>
        <v>-119.45618594251147</v>
      </c>
      <c r="R89" s="199" t="str">
        <f>IF(F89&lt;&gt;"","",IF(G89="","",-G89*(SUMIF('bench Comparison'!$A:$A,"RESINV1USD",'bench Comparison'!$G:$G)+SUMIF('bench Comparison'!$A:$A,"RESSWAPORUSD",'bench Comparison'!$G:$G))/(36500*J89)))</f>
        <v/>
      </c>
      <c r="S89" s="210" t="str">
        <f>IF(G89&lt;&gt;"","",IF(F89="","",-36500*J89*F89/(SUMIF('bench Comparison'!$A:$A,"RESINV1USD",'bench Comparison'!$G:$G)+SUMIF('bench Comparison'!$A:$A,"RESSWAPORUSD",'bench Comparison'!$G:$G))))</f>
        <v/>
      </c>
      <c r="T89" s="125">
        <f>SUMIF('bench Comparison'!$E:$E,A89,'bench Comparison'!$N:$N)</f>
        <v>185000000</v>
      </c>
      <c r="U89" s="126">
        <f ca="1">VALUE(_xll.BDP($A89 &amp; " Corp",U$1))</f>
        <v>40441</v>
      </c>
      <c r="V89" s="127">
        <f ca="1">VALUE(_xll.BDP($A89 &amp; " Corp",V$1))</f>
        <v>40441</v>
      </c>
      <c r="W89" s="127">
        <f ca="1">VALUE(_xll.BDP($A89 &amp; " Corp",W$1))</f>
        <v>40806</v>
      </c>
      <c r="X89" s="127">
        <f ca="1">VALUE(_xll.BDP($A89 &amp; " Corp",X$1))</f>
        <v>41172</v>
      </c>
      <c r="Y89" s="127">
        <f ca="1">VALUE(_xll.BDP($A89 &amp; " Corp",Y$1))</f>
        <v>41537</v>
      </c>
      <c r="Z89" s="128">
        <f ca="1">_xll.BDP($A89 &amp; " Corp",Z$1)/100</f>
        <v>1.2500000000000001E-2</v>
      </c>
      <c r="AA89" s="129">
        <f ca="1">_xll.BDP($A89 &amp; " Corp",AA$1)</f>
        <v>1</v>
      </c>
      <c r="AB89" s="129">
        <f ca="1">_xll.BDP($A89 &amp; " Corp",AB$1)</f>
        <v>1000000000</v>
      </c>
      <c r="AC89" s="129" t="str">
        <f ca="1">_xll.BDP($A89 &amp; " Corp",AC$1)</f>
        <v>ISMA-30/360</v>
      </c>
      <c r="AD89" s="130" t="str">
        <f ca="1">_xll.INSTANCE.YANKEE(A89,U89,V89,W89,X89,Y89,Z89,AA89,LEFT(AC89,11),3,IF(RIGHT(AC89,6)="NONEOM",FALSE,TRUE),TODAY())</f>
        <v>FR0010945279#0027</v>
      </c>
      <c r="AE89" s="130" t="str">
        <f ca="1">_xll.INSTANCE.CONVENTION.TAUX("conv_" &amp; A89,LEFT(AC89,11),"Compounded",IF(AA89=1,"Annual",IF(AA89=2,"Semi-Annual","")),"Unadjusted",TODAY())</f>
        <v>conv_FR0010945279#0027</v>
      </c>
    </row>
    <row r="90" spans="1:31" x14ac:dyDescent="0.2">
      <c r="A90" s="131" t="s">
        <v>675</v>
      </c>
      <c r="B90" s="115" t="str">
        <f ca="1">_xll.BDP($A90 &amp; " Govt",B$1)</f>
        <v>CADES 3 10/26/20</v>
      </c>
      <c r="C90" s="209" t="str">
        <f t="shared" ref="C90:C112" ca="1" si="6">LEFT(B90,SEARCH(" ",B90)-1)</f>
        <v>CADES</v>
      </c>
      <c r="D90" s="116"/>
      <c r="E90" s="117"/>
      <c r="F90" s="118"/>
      <c r="G90" s="119"/>
      <c r="H90" s="120">
        <f ca="1">IF(E90="",_xll.BDP(A90 &amp; " Corp","YLD_YTM_ASK")/100,E90)</f>
        <v>2.6338825999999996E-2</v>
      </c>
      <c r="I90" s="121">
        <f ca="1">_xll.INSTRUMENT.PRIX(AD90,D90,H90,AE90)</f>
        <v>102.69101902649656</v>
      </c>
      <c r="J90" s="122">
        <f ca="1">_xll.INSTRUMENT.DV01(AD90,,,I90,cContinuous,I90)</f>
        <v>-7.6954129778618208E-2</v>
      </c>
      <c r="K90" s="123">
        <f ca="1">_xll.INSTRUMENT.CONVEXITE(AD90,,,I90,cContinuous,I90)</f>
        <v>58.580288828374293</v>
      </c>
      <c r="L90" s="123">
        <f ca="1">_xll.INSTRUMENT.Z.SPREAD(AD90,swapCurve,I90,,D90)</f>
        <v>109.16525580919691</v>
      </c>
      <c r="M90" s="123">
        <f ca="1">_xll.INSTRUMENT.Z.SPREAD(AD90,ustCurve,I90,,D90)</f>
        <v>126.76064460126403</v>
      </c>
      <c r="N90" s="123">
        <f ca="1">_xll.INSTRUMENT.Z.SPREAD(AD90,oisCurve,I90,,D90)</f>
        <v>143.43585756679772</v>
      </c>
      <c r="O90" s="124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4.0563183934382033E-2</v>
      </c>
      <c r="P90" s="124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3.7105146626294647E-2</v>
      </c>
      <c r="Q90" s="143">
        <f t="shared" ref="Q90:Q112" ca="1" si="7">K90/J90</f>
        <v>-761.23645341579697</v>
      </c>
      <c r="R90" s="199" t="str">
        <f>IF(F90&lt;&gt;"","",IF(G90="","",-G90*(SUMIF('bench Comparison'!$A:$A,"RESINV1USD",'bench Comparison'!$G:$G)+SUMIF('bench Comparison'!$A:$A,"RESSWAPORUSD",'bench Comparison'!$G:$G))/(36500*J90)))</f>
        <v/>
      </c>
      <c r="S90" s="210" t="str">
        <f>IF(G90&lt;&gt;"","",IF(F90="","",-36500*J90*F90/(SUMIF('bench Comparison'!$A:$A,"RESINV1USD",'bench Comparison'!$G:$G)+SUMIF('bench Comparison'!$A:$A,"RESSWAPORUSD",'bench Comparison'!$G:$G))))</f>
        <v/>
      </c>
      <c r="T90" s="125">
        <f>SUMIF('bench Comparison'!$E:$E,A90,'bench Comparison'!$N:$N)</f>
        <v>0</v>
      </c>
      <c r="U90" s="126">
        <f ca="1">VALUE(_xll.BDP($A90 &amp; " Corp",U$1))</f>
        <v>40477</v>
      </c>
      <c r="V90" s="127">
        <f ca="1">VALUE(_xll.BDP($A90 &amp; " Corp",V$1))</f>
        <v>40477</v>
      </c>
      <c r="W90" s="127">
        <f ca="1">VALUE(_xll.BDP($A90 &amp; " Corp",W$1))</f>
        <v>40842</v>
      </c>
      <c r="X90" s="127">
        <f ca="1">VALUE(_xll.BDP($A90 &amp; " Corp",X$1))</f>
        <v>43764</v>
      </c>
      <c r="Y90" s="127">
        <f ca="1">VALUE(_xll.BDP($A90 &amp; " Corp",Y$1))</f>
        <v>44130</v>
      </c>
      <c r="Z90" s="128">
        <f ca="1">_xll.BDP($A90 &amp; " Corp",Z$1)/100</f>
        <v>0.03</v>
      </c>
      <c r="AA90" s="129">
        <f ca="1">_xll.BDP($A90 &amp; " Corp",AA$1)</f>
        <v>1</v>
      </c>
      <c r="AB90" s="129">
        <f ca="1">_xll.BDP($A90 &amp; " Corp",AB$1)</f>
        <v>1000000000</v>
      </c>
      <c r="AC90" s="129" t="str">
        <f ca="1">_xll.BDP($A90 &amp; " Corp",AC$1)</f>
        <v>ISMA-30/360</v>
      </c>
      <c r="AD90" s="130" t="str">
        <f ca="1">_xll.INSTANCE.YANKEE(A90,U90,V90,W90,X90,Y90,Z90,AA90,LEFT(AC90,11),3,IF(RIGHT(AC90,6)="NONEOM",FALSE,TRUE),TODAY())</f>
        <v>FR0010956565#0027</v>
      </c>
      <c r="AE90" s="130" t="str">
        <f ca="1">_xll.INSTANCE.CONVENTION.TAUX("conv_" &amp; A90,LEFT(AC90,11),"Compounded",IF(AA90=1,"Annual",IF(AA90=2,"Semi-Annual","")),"Unadjusted",TODAY())</f>
        <v>conv_FR0010956565#0026</v>
      </c>
    </row>
    <row r="91" spans="1:31" x14ac:dyDescent="0.2">
      <c r="A91" s="131" t="s">
        <v>668</v>
      </c>
      <c r="B91" s="115" t="str">
        <f ca="1">_xll.BDP($A91 &amp; " Govt",B$1)</f>
        <v>CADES 2 1/8 04/12/17</v>
      </c>
      <c r="C91" s="209" t="str">
        <f t="shared" ca="1" si="6"/>
        <v>CADES</v>
      </c>
      <c r="D91" s="116"/>
      <c r="E91" s="117"/>
      <c r="F91" s="118"/>
      <c r="G91" s="119"/>
      <c r="H91" s="120">
        <f ca="1">IF(E91="",_xll.BDP(A91 &amp; " Corp","YLD_YTM_ASK")/100,E91)</f>
        <v>1.9632797E-2</v>
      </c>
      <c r="I91" s="121">
        <f ca="1">_xll.INSTRUMENT.PRIX(AD91,D91,H91,AE91)</f>
        <v>100.73109088170894</v>
      </c>
      <c r="J91" s="122">
        <f ca="1">_xll.INSTRUMENT.DV01(AD91,,,I91,cContinuous,I91)</f>
        <v>-4.5953518351268124E-2</v>
      </c>
      <c r="K91" s="123">
        <f ca="1">_xll.INSTRUMENT.CONVEXITE(AD91,,,I91,cContinuous,I91)</f>
        <v>21.287267654510913</v>
      </c>
      <c r="L91" s="123">
        <f ca="1">_xll.INSTRUMENT.Z.SPREAD(AD91,swapCurve,I91,,D91)</f>
        <v>104.29596779214853</v>
      </c>
      <c r="M91" s="123">
        <f ca="1">_xll.INSTRUMENT.Z.SPREAD(AD91,ustCurve,I91,,D91)</f>
        <v>125.20301448221549</v>
      </c>
      <c r="N91" s="123">
        <f ca="1">_xll.INSTRUMENT.Z.SPREAD(AD91,oisCurve,I91,,D91)</f>
        <v>139.21269307671238</v>
      </c>
      <c r="O91" s="124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3.0438318818076227E-2</v>
      </c>
      <c r="P91" s="124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2.7878988710429247E-2</v>
      </c>
      <c r="Q91" s="143">
        <f t="shared" ca="1" si="7"/>
        <v>-463.23477327222918</v>
      </c>
      <c r="R91" s="199" t="str">
        <f>IF(F91&lt;&gt;"","",IF(G91="","",-G91*(SUMIF('bench Comparison'!$A:$A,"RESINV1USD",'bench Comparison'!$G:$G)+SUMIF('bench Comparison'!$A:$A,"RESSWAPORUSD",'bench Comparison'!$G:$G))/(36500*J91)))</f>
        <v/>
      </c>
      <c r="S91" s="210" t="str">
        <f>IF(G91&lt;&gt;"","",IF(F91="","",-36500*J91*F91/(SUMIF('bench Comparison'!$A:$A,"RESINV1USD",'bench Comparison'!$G:$G)+SUMIF('bench Comparison'!$A:$A,"RESSWAPORUSD",'bench Comparison'!$G:$G))))</f>
        <v/>
      </c>
      <c r="T91" s="125">
        <f>SUMIF('bench Comparison'!$E:$E,A91,'bench Comparison'!$N:$N)</f>
        <v>0</v>
      </c>
      <c r="U91" s="126">
        <f ca="1">VALUE(_xll.BDP($A91 &amp; " Corp",U$1))</f>
        <v>41011</v>
      </c>
      <c r="V91" s="127">
        <f ca="1">VALUE(_xll.BDP($A91 &amp; " Corp",V$1))</f>
        <v>41011</v>
      </c>
      <c r="W91" s="127">
        <f ca="1">VALUE(_xll.BDP($A91 &amp; " Corp",W$1))</f>
        <v>41194</v>
      </c>
      <c r="X91" s="127">
        <f ca="1">VALUE(_xll.BDP($A91 &amp; " Corp",X$1))</f>
        <v>42655</v>
      </c>
      <c r="Y91" s="127">
        <f ca="1">VALUE(_xll.BDP($A91 &amp; " Corp",Y$1))</f>
        <v>42837</v>
      </c>
      <c r="Z91" s="128">
        <f ca="1">_xll.BDP($A91 &amp; " Corp",Z$1)/100</f>
        <v>2.1250000000000002E-2</v>
      </c>
      <c r="AA91" s="129">
        <f ca="1">_xll.BDP($A91 &amp; " Corp",AA$1)</f>
        <v>2</v>
      </c>
      <c r="AB91" s="129">
        <f ca="1">_xll.BDP($A91 &amp; " Corp",AB$1)</f>
        <v>2000000000</v>
      </c>
      <c r="AC91" s="129" t="str">
        <f ca="1">_xll.BDP($A91 &amp; " Corp",AC$1)</f>
        <v>30/360</v>
      </c>
      <c r="AD91" s="130" t="str">
        <f ca="1">_xll.INSTANCE.YANKEE(A91,U91,V91,W91,X91,Y91,Z91,AA91,LEFT(AC91,11),3,IF(RIGHT(AC91,6)="NONEOM",FALSE,TRUE),TODAY())</f>
        <v>US12802DAD84#0026</v>
      </c>
      <c r="AE91" s="130" t="str">
        <f ca="1">_xll.INSTANCE.CONVENTION.TAUX("conv_" &amp; A91,LEFT(AC91,11),"Compounded",IF(AA91=1,"Annual",IF(AA91=2,"Semi-Annual","")),"Unadjusted",TODAY())</f>
        <v>conv_US12802DAD84#0027</v>
      </c>
    </row>
    <row r="92" spans="1:31" x14ac:dyDescent="0.2">
      <c r="A92" s="131" t="s">
        <v>669</v>
      </c>
      <c r="B92" s="115" t="str">
        <f ca="1">_xll.BDP($A92 &amp; " Govt",B$1)</f>
        <v>CADES 2 1/8 04/12/17</v>
      </c>
      <c r="C92" s="209" t="str">
        <f t="shared" ca="1" si="6"/>
        <v>CADES</v>
      </c>
      <c r="D92" s="116"/>
      <c r="E92" s="117"/>
      <c r="F92" s="118"/>
      <c r="G92" s="119"/>
      <c r="H92" s="120">
        <f ca="1">IF(E92="",_xll.BDP(A92 &amp; " Corp","YLD_YTM_ASK")/100,E92)</f>
        <v>1.9634094000000001E-2</v>
      </c>
      <c r="I92" s="121">
        <f ca="1">_xll.INSTRUMENT.PRIX(AD92,D92,H92,AE92)</f>
        <v>100.73050055104156</v>
      </c>
      <c r="J92" s="122">
        <f ca="1">_xll.INSTRUMENT.DV01(AD92,,,I92,cContinuous,I92)</f>
        <v>-4.5953240703905086E-2</v>
      </c>
      <c r="K92" s="123">
        <f ca="1">_xll.INSTRUMENT.CONVEXITE(AD92,,,I92,cContinuous,I92)</f>
        <v>21.287262476723015</v>
      </c>
      <c r="L92" s="123">
        <f ca="1">_xll.INSTRUMENT.Z.SPREAD(AD92,swapCurve,I92,,D92)</f>
        <v>104.30880644840811</v>
      </c>
      <c r="M92" s="123">
        <f ca="1">_xll.INSTRUMENT.Z.SPREAD(AD92,ustCurve,I92,,D92)</f>
        <v>125.21586010089717</v>
      </c>
      <c r="N92" s="123">
        <f ca="1">_xll.INSTRUMENT.Z.SPREAD(AD92,oisCurve,I92,,D92)</f>
        <v>139.22553158681734</v>
      </c>
      <c r="O92" s="124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3.0439698747567492E-2</v>
      </c>
      <c r="P92" s="124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2.7880286376131724E-2</v>
      </c>
      <c r="Q92" s="143">
        <f t="shared" ca="1" si="7"/>
        <v>-463.23745944024427</v>
      </c>
      <c r="R92" s="199" t="str">
        <f>IF(F92&lt;&gt;"","",IF(G92="","",-G92*(SUMIF('bench Comparison'!$A:$A,"RESINV1USD",'bench Comparison'!$G:$G)+SUMIF('bench Comparison'!$A:$A,"RESSWAPORUSD",'bench Comparison'!$G:$G))/(36500*J92)))</f>
        <v/>
      </c>
      <c r="S92" s="210" t="str">
        <f>IF(G92&lt;&gt;"","",IF(F92="","",-36500*J92*F92/(SUMIF('bench Comparison'!$A:$A,"RESINV1USD",'bench Comparison'!$G:$G)+SUMIF('bench Comparison'!$A:$A,"RESSWAPORUSD",'bench Comparison'!$G:$G))))</f>
        <v/>
      </c>
      <c r="T92" s="125">
        <f>SUMIF('bench Comparison'!$E:$E,A92,'bench Comparison'!$N:$N)</f>
        <v>0</v>
      </c>
      <c r="U92" s="126">
        <f ca="1">VALUE(_xll.BDP($A92 &amp; " Corp",U$1))</f>
        <v>41011</v>
      </c>
      <c r="V92" s="127">
        <f ca="1">VALUE(_xll.BDP($A92 &amp; " Corp",V$1))</f>
        <v>41011</v>
      </c>
      <c r="W92" s="127">
        <f ca="1">VALUE(_xll.BDP($A92 &amp; " Corp",W$1))</f>
        <v>41194</v>
      </c>
      <c r="X92" s="127">
        <f ca="1">VALUE(_xll.BDP($A92 &amp; " Corp",X$1))</f>
        <v>42655</v>
      </c>
      <c r="Y92" s="127">
        <f ca="1">VALUE(_xll.BDP($A92 &amp; " Corp",Y$1))</f>
        <v>42837</v>
      </c>
      <c r="Z92" s="128">
        <f ca="1">_xll.BDP($A92 &amp; " Corp",Z$1)/100</f>
        <v>2.1250000000000002E-2</v>
      </c>
      <c r="AA92" s="129">
        <f ca="1">_xll.BDP($A92 &amp; " Corp",AA$1)</f>
        <v>2</v>
      </c>
      <c r="AB92" s="129">
        <f ca="1">_xll.BDP($A92 &amp; " Corp",AB$1)</f>
        <v>2000000000</v>
      </c>
      <c r="AC92" s="129" t="str">
        <f ca="1">_xll.BDP($A92 &amp; " Corp",AC$1)</f>
        <v>ISMA-30/360</v>
      </c>
      <c r="AD92" s="130" t="str">
        <f ca="1">_xll.INSTANCE.YANKEE(A92,U92,V92,W92,X92,Y92,Z92,AA92,LEFT(AC92,11),3,IF(RIGHT(AC92,6)="NONEOM",FALSE,TRUE),TODAY())</f>
        <v>XS0771920856#0026</v>
      </c>
      <c r="AE92" s="130" t="str">
        <f ca="1">_xll.INSTANCE.CONVENTION.TAUX("conv_" &amp; A92,LEFT(AC92,11),"Compounded",IF(AA92=1,"Annual",IF(AA92=2,"Semi-Annual","")),"Unadjusted",TODAY())</f>
        <v>conv_XS0771920856#0027</v>
      </c>
    </row>
    <row r="93" spans="1:31" x14ac:dyDescent="0.2">
      <c r="A93" s="131" t="s">
        <v>679</v>
      </c>
      <c r="B93" s="115" t="str">
        <f ca="1">_xll.BDP($A93 &amp; " Govt",B$1)</f>
        <v>CADES 5 1/4 11/02/16</v>
      </c>
      <c r="C93" s="209" t="str">
        <f t="shared" ca="1" si="6"/>
        <v>CADES</v>
      </c>
      <c r="D93" s="116"/>
      <c r="E93" s="117"/>
      <c r="F93" s="118"/>
      <c r="G93" s="119"/>
      <c r="H93" s="120">
        <f ca="1">IF(E93="",_xll.BDP(A93 &amp; " Corp","YLD_YTM_ASK")/100,E93)</f>
        <v>1.9499479E-2</v>
      </c>
      <c r="I93" s="121">
        <f ca="1">_xll.INSTRUMENT.PRIX(AD93,D93,H93,AE93)</f>
        <v>113.54918159062861</v>
      </c>
      <c r="J93" s="122">
        <f ca="1">_xll.INSTRUMENT.DV01(AD93,,,I93,cContinuous,I93)</f>
        <v>-4.5561753528874774E-2</v>
      </c>
      <c r="K93" s="123">
        <f ca="1">_xll.INSTRUMENT.CONVEXITE(AD93,,,I93,cContinuous,I93)</f>
        <v>16.267725141272599</v>
      </c>
      <c r="L93" s="123">
        <f ca="1">_xll.INSTRUMENT.Z.SPREAD(AD93,swapCurve,I93,,D93)</f>
        <v>110.99258857648528</v>
      </c>
      <c r="M93" s="123">
        <f ca="1">_xll.INSTRUMENT.Z.SPREAD(AD93,ustCurve,I93,,D93)</f>
        <v>131.09414455234986</v>
      </c>
      <c r="N93" s="123">
        <f ca="1">_xll.INSTRUMENT.Z.SPREAD(AD93,oisCurve,I93,,D93)</f>
        <v>146.01735041301029</v>
      </c>
      <c r="O93" s="124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2.7875130793997061E-2</v>
      </c>
      <c r="P93" s="124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2.7077678062629857E-2</v>
      </c>
      <c r="Q93" s="143">
        <f t="shared" ca="1" si="7"/>
        <v>-357.04782808596082</v>
      </c>
      <c r="R93" s="199" t="str">
        <f>IF(F93&lt;&gt;"","",IF(G93="","",-G93*(SUMIF('bench Comparison'!$A:$A,"RESINV1USD",'bench Comparison'!$G:$G)+SUMIF('bench Comparison'!$A:$A,"RESSWAPORUSD",'bench Comparison'!$G:$G))/(36500*J93)))</f>
        <v/>
      </c>
      <c r="S93" s="210" t="str">
        <f>IF(G93&lt;&gt;"","",IF(F93="","",-36500*J93*F93/(SUMIF('bench Comparison'!$A:$A,"RESINV1USD",'bench Comparison'!$G:$G)+SUMIF('bench Comparison'!$A:$A,"RESSWAPORUSD",'bench Comparison'!$G:$G))))</f>
        <v/>
      </c>
      <c r="T93" s="125">
        <f>SUMIF('bench Comparison'!$E:$E,A93,'bench Comparison'!$N:$N)</f>
        <v>0</v>
      </c>
      <c r="U93" s="126">
        <f ca="1">VALUE(_xll.BDP($A93 &amp; " Corp",U$1))</f>
        <v>39023</v>
      </c>
      <c r="V93" s="127">
        <f ca="1">VALUE(_xll.BDP($A93 &amp; " Corp",V$1))</f>
        <v>39023</v>
      </c>
      <c r="W93" s="127">
        <f ca="1">VALUE(_xll.BDP($A93 &amp; " Corp",W$1))</f>
        <v>39388</v>
      </c>
      <c r="X93" s="127">
        <f ca="1">VALUE(_xll.BDP($A93 &amp; " Corp",X$1))</f>
        <v>42310</v>
      </c>
      <c r="Y93" s="127">
        <f ca="1">VALUE(_xll.BDP($A93 &amp; " Corp",Y$1))</f>
        <v>42676</v>
      </c>
      <c r="Z93" s="128">
        <f ca="1">_xll.BDP($A93 &amp; " Corp",Z$1)/100</f>
        <v>5.2499999999999998E-2</v>
      </c>
      <c r="AA93" s="129">
        <f ca="1">_xll.BDP($A93 &amp; " Corp",AA$1)</f>
        <v>1</v>
      </c>
      <c r="AB93" s="129">
        <f ca="1">_xll.BDP($A93 &amp; " Corp",AB$1)</f>
        <v>1250000000</v>
      </c>
      <c r="AC93" s="129" t="str">
        <f ca="1">_xll.BDP($A93 &amp; " Corp",AC$1)</f>
        <v>ISMA-30/360</v>
      </c>
      <c r="AD93" s="130" t="str">
        <f ca="1">_xll.INSTANCE.YANKEE(A93,U93,V93,W93,X93,Y93,Z93,AA93,LEFT(AC93,11),3,IF(RIGHT(AC93,6)="NONEOM",FALSE,TRUE),TODAY())</f>
        <v>FR0010394452#0026</v>
      </c>
      <c r="AE93" s="130" t="str">
        <f ca="1">_xll.INSTANCE.CONVENTION.TAUX("conv_" &amp; A93,LEFT(AC93,11),"Compounded",IF(AA93=1,"Annual",IF(AA93=2,"Semi-Annual","")),"Unadjusted",TODAY())</f>
        <v>conv_FR0010394452#0027</v>
      </c>
    </row>
    <row r="94" spans="1:31" x14ac:dyDescent="0.2">
      <c r="A94" s="131" t="s">
        <v>671</v>
      </c>
      <c r="B94" s="115" t="str">
        <f ca="1">_xll.BDP($A94 &amp; " Govt",B$1)</f>
        <v>CADES 2 3/8 03/31/16</v>
      </c>
      <c r="C94" s="209" t="str">
        <f t="shared" ca="1" si="6"/>
        <v>CADES</v>
      </c>
      <c r="D94" s="116"/>
      <c r="E94" s="117"/>
      <c r="F94" s="118"/>
      <c r="G94" s="119"/>
      <c r="H94" s="120">
        <f ca="1">IF(E94="",_xll.BDP(A94 &amp; " Corp","YLD_YTM_ASK")/100,E94)</f>
        <v>1.7136551999999999E-2</v>
      </c>
      <c r="I94" s="121">
        <f ca="1">_xll.INSTRUMENT.PRIX(AD94,D94,H94,AE94)</f>
        <v>102.38217358178862</v>
      </c>
      <c r="J94" s="122">
        <f ca="1">_xll.INSTRUMENT.DV01(AD94,,,I94,cContinuous,I94)</f>
        <v>-3.6873370139468661E-2</v>
      </c>
      <c r="K94" s="123">
        <f ca="1">_xll.INSTRUMENT.CONVEXITE(AD94,,,I94,cContinuous,I94)</f>
        <v>13.185856970203028</v>
      </c>
      <c r="L94" s="123">
        <f ca="1">_xll.INSTRUMENT.Z.SPREAD(AD94,swapCurve,I94,,D94)</f>
        <v>98.306389615888151</v>
      </c>
      <c r="M94" s="123">
        <f ca="1">_xll.INSTRUMENT.Z.SPREAD(AD94,ustCurve,I94,,D94)</f>
        <v>117.00359675267835</v>
      </c>
      <c r="N94" s="123">
        <f ca="1">_xll.INSTRUMENT.Z.SPREAD(AD94,oisCurve,I94,,D94)</f>
        <v>133.32187352610399</v>
      </c>
      <c r="O94" s="124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2.5050895768397034E-2</v>
      </c>
      <c r="P94" s="124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2.3126528967041832E-2</v>
      </c>
      <c r="Q94" s="143">
        <f t="shared" ca="1" si="7"/>
        <v>-357.59836761134829</v>
      </c>
      <c r="R94" s="199" t="str">
        <f>IF(F94&lt;&gt;"","",IF(G94="","",-G94*(SUMIF('bench Comparison'!$A:$A,"RESINV1USD",'bench Comparison'!$G:$G)+SUMIF('bench Comparison'!$A:$A,"RESSWAPORUSD",'bench Comparison'!$G:$G))/(36500*J94)))</f>
        <v/>
      </c>
      <c r="S94" s="210" t="str">
        <f>IF(G94&lt;&gt;"","",IF(F94="","",-36500*J94*F94/(SUMIF('bench Comparison'!$A:$A,"RESINV1USD",'bench Comparison'!$G:$G)+SUMIF('bench Comparison'!$A:$A,"RESSWAPORUSD",'bench Comparison'!$G:$G))))</f>
        <v/>
      </c>
      <c r="T94" s="125">
        <f>SUMIF('bench Comparison'!$E:$E,A94,'bench Comparison'!$N:$N)</f>
        <v>0</v>
      </c>
      <c r="U94" s="126">
        <f ca="1">VALUE(_xll.BDP($A94 &amp; " Corp",U$1))</f>
        <v>40633</v>
      </c>
      <c r="V94" s="127">
        <f ca="1">VALUE(_xll.BDP($A94 &amp; " Corp",V$1))</f>
        <v>40633</v>
      </c>
      <c r="W94" s="127">
        <f ca="1">VALUE(_xll.BDP($A94 &amp; " Corp",W$1))</f>
        <v>40816</v>
      </c>
      <c r="X94" s="127">
        <f ca="1">VALUE(_xll.BDP($A94 &amp; " Corp",X$1))</f>
        <v>42277</v>
      </c>
      <c r="Y94" s="127">
        <f ca="1">VALUE(_xll.BDP($A94 &amp; " Corp",Y$1))</f>
        <v>42460</v>
      </c>
      <c r="Z94" s="128">
        <f ca="1">_xll.BDP($A94 &amp; " Corp",Z$1)/100</f>
        <v>2.375E-2</v>
      </c>
      <c r="AA94" s="129">
        <f ca="1">_xll.BDP($A94 &amp; " Corp",AA$1)</f>
        <v>2</v>
      </c>
      <c r="AB94" s="129">
        <f ca="1">_xll.BDP($A94 &amp; " Corp",AB$1)</f>
        <v>2500000000</v>
      </c>
      <c r="AC94" s="129" t="str">
        <f ca="1">_xll.BDP($A94 &amp; " Corp",AC$1)</f>
        <v>30/360</v>
      </c>
      <c r="AD94" s="130" t="str">
        <f ca="1">_xll.INSTANCE.YANKEE(A94,U94,V94,W94,X94,Y94,Z94,AA94,LEFT(AC94,11),3,IF(RIGHT(AC94,6)="NONEOM",FALSE,TRUE),TODAY())</f>
        <v>US12802DAA46#0027</v>
      </c>
      <c r="AE94" s="130" t="str">
        <f ca="1">_xll.INSTANCE.CONVENTION.TAUX("conv_" &amp; A94,LEFT(AC94,11),"Compounded",IF(AA94=1,"Annual",IF(AA94=2,"Semi-Annual","")),"Unadjusted",TODAY())</f>
        <v>conv_US12802DAA46#0027</v>
      </c>
    </row>
    <row r="95" spans="1:31" x14ac:dyDescent="0.2">
      <c r="A95" s="131" t="s">
        <v>672</v>
      </c>
      <c r="B95" s="115" t="str">
        <f ca="1">_xll.BDP($A95 &amp; " Govt",B$1)</f>
        <v>CADES 2 3/8 03/31/16</v>
      </c>
      <c r="C95" s="209" t="str">
        <f t="shared" ca="1" si="6"/>
        <v>CADES</v>
      </c>
      <c r="D95" s="116"/>
      <c r="E95" s="117"/>
      <c r="F95" s="118"/>
      <c r="G95" s="119"/>
      <c r="H95" s="120">
        <f ca="1">IF(E95="",_xll.BDP(A95 &amp; " Corp","YLD_YTM_ASK")/100,E95)</f>
        <v>1.7115442000000002E-2</v>
      </c>
      <c r="I95" s="121">
        <f ca="1">_xll.INSTRUMENT.PRIX(AD95,D95,H95,AE95)</f>
        <v>102.38988853918288</v>
      </c>
      <c r="J95" s="122">
        <f ca="1">_xll.INSTRUMENT.DV01(AD95,,,I95,cContinuous,I95)</f>
        <v>-3.6876213257149598E-2</v>
      </c>
      <c r="K95" s="123">
        <f ca="1">_xll.INSTRUMENT.CONVEXITE(AD95,,,I95,cContinuous,I95)</f>
        <v>13.18589317145063</v>
      </c>
      <c r="L95" s="123">
        <f ca="1">_xll.INSTRUMENT.Z.SPREAD(AD95,swapCurve,I95,,D95)</f>
        <v>98.097263355690387</v>
      </c>
      <c r="M95" s="123">
        <f ca="1">_xll.INSTRUMENT.Z.SPREAD(AD95,ustCurve,I95,,D95)</f>
        <v>116.79432073612681</v>
      </c>
      <c r="N95" s="123">
        <f ca="1">_xll.INSTRUMENT.Z.SPREAD(AD95,oisCurve,I95,,D95)</f>
        <v>133.11274996615774</v>
      </c>
      <c r="O95" s="124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2.5028357641418454E-2</v>
      </c>
      <c r="P95" s="124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2.3105373982726964E-2</v>
      </c>
      <c r="Q95" s="143">
        <f t="shared" ca="1" si="7"/>
        <v>-357.57177884565289</v>
      </c>
      <c r="R95" s="199" t="str">
        <f>IF(F95&lt;&gt;"","",IF(G95="","",-G95*(SUMIF('bench Comparison'!$A:$A,"RESINV1USD",'bench Comparison'!$G:$G)+SUMIF('bench Comparison'!$A:$A,"RESSWAPORUSD",'bench Comparison'!$G:$G))/(36500*J95)))</f>
        <v/>
      </c>
      <c r="S95" s="210" t="str">
        <f>IF(G95&lt;&gt;"","",IF(F95="","",-36500*J95*F95/(SUMIF('bench Comparison'!$A:$A,"RESINV1USD",'bench Comparison'!$G:$G)+SUMIF('bench Comparison'!$A:$A,"RESSWAPORUSD",'bench Comparison'!$G:$G))))</f>
        <v/>
      </c>
      <c r="T95" s="125">
        <f>SUMIF('bench Comparison'!$E:$E,A95,'bench Comparison'!$N:$N)</f>
        <v>0</v>
      </c>
      <c r="U95" s="126">
        <f ca="1">VALUE(_xll.BDP($A95 &amp; " Corp",U$1))</f>
        <v>40633</v>
      </c>
      <c r="V95" s="127">
        <f ca="1">VALUE(_xll.BDP($A95 &amp; " Corp",V$1))</f>
        <v>40633</v>
      </c>
      <c r="W95" s="127">
        <f ca="1">VALUE(_xll.BDP($A95 &amp; " Corp",W$1))</f>
        <v>40816</v>
      </c>
      <c r="X95" s="127">
        <f ca="1">VALUE(_xll.BDP($A95 &amp; " Corp",X$1))</f>
        <v>42277</v>
      </c>
      <c r="Y95" s="127">
        <f ca="1">VALUE(_xll.BDP($A95 &amp; " Corp",Y$1))</f>
        <v>42460</v>
      </c>
      <c r="Z95" s="128">
        <f ca="1">_xll.BDP($A95 &amp; " Corp",Z$1)/100</f>
        <v>2.375E-2</v>
      </c>
      <c r="AA95" s="129">
        <f ca="1">_xll.BDP($A95 &amp; " Corp",AA$1)</f>
        <v>2</v>
      </c>
      <c r="AB95" s="129">
        <f ca="1">_xll.BDP($A95 &amp; " Corp",AB$1)</f>
        <v>2500000000</v>
      </c>
      <c r="AC95" s="129" t="str">
        <f ca="1">_xll.BDP($A95 &amp; " Corp",AC$1)</f>
        <v>ISMA-30/360</v>
      </c>
      <c r="AD95" s="130" t="str">
        <f ca="1">_xll.INSTANCE.YANKEE(A95,U95,V95,W95,X95,Y95,Z95,AA95,LEFT(AC95,11),3,IF(RIGHT(AC95,6)="NONEOM",FALSE,TRUE),TODAY())</f>
        <v>US12802NAA28#0027</v>
      </c>
      <c r="AE95" s="130" t="str">
        <f ca="1">_xll.INSTANCE.CONVENTION.TAUX("conv_" &amp; A95,LEFT(AC95,11),"Compounded",IF(AA95=1,"Annual",IF(AA95=2,"Semi-Annual","")),"Unadjusted",TODAY())</f>
        <v>conv_US12802NAA28#0027</v>
      </c>
    </row>
    <row r="96" spans="1:31" x14ac:dyDescent="0.2">
      <c r="A96" s="131" t="s">
        <v>667</v>
      </c>
      <c r="B96" s="115" t="str">
        <f ca="1">_xll.BDP($A96 &amp; " Govt",B$1)</f>
        <v>CADES 1 7/8 09/15/15</v>
      </c>
      <c r="C96" s="209" t="str">
        <f t="shared" ca="1" si="6"/>
        <v>CADES</v>
      </c>
      <c r="D96" s="116"/>
      <c r="E96" s="117"/>
      <c r="F96" s="118"/>
      <c r="G96" s="119"/>
      <c r="H96" s="120">
        <f ca="1">IF(E96="",_xll.BDP(A96 &amp; " Corp","YLD_YTM_ASK")/100,E96)</f>
        <v>1.543924E-2</v>
      </c>
      <c r="I96" s="121">
        <f ca="1">_xll.INSTRUMENT.PRIX(AD96,D96,H96,AE96)</f>
        <v>101.02176239273393</v>
      </c>
      <c r="J96" s="122">
        <f ca="1">_xll.INSTRUMENT.DV01(AD96,,,I96,cContinuous,I96)</f>
        <v>-3.1659777426262609E-2</v>
      </c>
      <c r="K96" s="123">
        <f ca="1">_xll.INSTRUMENT.CONVEXITE(AD96,,,I96,cContinuous,I96)</f>
        <v>9.77547529646443</v>
      </c>
      <c r="L96" s="123">
        <f ca="1">_xll.INSTRUMENT.Z.SPREAD(AD96,swapCurve,I96,,D96)</f>
        <v>89.188740353590731</v>
      </c>
      <c r="M96" s="123">
        <f ca="1">_xll.INSTRUMENT.Z.SPREAD(AD96,ustCurve,I96,,D96)</f>
        <v>106.84169296178464</v>
      </c>
      <c r="N96" s="123">
        <f ca="1">_xll.INSTRUMENT.Z.SPREAD(AD96,oisCurve,I96,,D96)</f>
        <v>124.44559446088094</v>
      </c>
      <c r="O96" s="124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2.0599544836816072E-2</v>
      </c>
      <c r="P96" s="124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1.8965240519106006E-2</v>
      </c>
      <c r="Q96" s="143">
        <f t="shared" ca="1" si="7"/>
        <v>-308.76639354878785</v>
      </c>
      <c r="R96" s="199" t="str">
        <f>IF(F96&lt;&gt;"","",IF(G96="","",-G96*(SUMIF('bench Comparison'!$A:$A,"RESINV1USD",'bench Comparison'!$G:$G)+SUMIF('bench Comparison'!$A:$A,"RESSWAPORUSD",'bench Comparison'!$G:$G))/(36500*J96)))</f>
        <v/>
      </c>
      <c r="S96" s="210" t="str">
        <f>IF(G96&lt;&gt;"","",IF(F96="","",-36500*J96*F96/(SUMIF('bench Comparison'!$A:$A,"RESINV1USD",'bench Comparison'!$G:$G)+SUMIF('bench Comparison'!$A:$A,"RESSWAPORUSD",'bench Comparison'!$G:$G))))</f>
        <v/>
      </c>
      <c r="T96" s="125">
        <f>SUMIF('bench Comparison'!$E:$E,A96,'bench Comparison'!$N:$N)</f>
        <v>0</v>
      </c>
      <c r="U96" s="126">
        <f ca="1">VALUE(_xll.BDP($A96 &amp; " Corp",U$1))</f>
        <v>40436</v>
      </c>
      <c r="V96" s="127">
        <f ca="1">VALUE(_xll.BDP($A96 &amp; " Corp",V$1))</f>
        <v>40436</v>
      </c>
      <c r="W96" s="127">
        <f ca="1">VALUE(_xll.BDP($A96 &amp; " Corp",W$1))</f>
        <v>40801</v>
      </c>
      <c r="X96" s="127">
        <f ca="1">VALUE(_xll.BDP($A96 &amp; " Corp",X$1))</f>
        <v>41897</v>
      </c>
      <c r="Y96" s="127">
        <f ca="1">VALUE(_xll.BDP($A96 &amp; " Corp",Y$1))</f>
        <v>42262</v>
      </c>
      <c r="Z96" s="128">
        <f ca="1">_xll.BDP($A96 &amp; " Corp",Z$1)/100</f>
        <v>1.8749999999999999E-2</v>
      </c>
      <c r="AA96" s="129">
        <f ca="1">_xll.BDP($A96 &amp; " Corp",AA$1)</f>
        <v>1</v>
      </c>
      <c r="AB96" s="129">
        <f ca="1">_xll.BDP($A96 &amp; " Corp",AB$1)</f>
        <v>1500000000</v>
      </c>
      <c r="AC96" s="129" t="str">
        <f ca="1">_xll.BDP($A96 &amp; " Corp",AC$1)</f>
        <v>ISMA-30/360</v>
      </c>
      <c r="AD96" s="130" t="str">
        <f ca="1">_xll.INSTANCE.YANKEE(A96,U96,V96,W96,X96,Y96,Z96,AA96,LEFT(AC96,11),3,IF(RIGHT(AC96,6)="NONEOM",FALSE,TRUE),TODAY())</f>
        <v>FR0010941732#0026</v>
      </c>
      <c r="AE96" s="130" t="str">
        <f ca="1">_xll.INSTANCE.CONVENTION.TAUX("conv_" &amp; A96,LEFT(AC96,11),"Compounded",IF(AA96=1,"Annual",IF(AA96=2,"Semi-Annual","")),"Unadjusted",TODAY())</f>
        <v>conv_FR0010941732#0026</v>
      </c>
    </row>
    <row r="97" spans="1:31" x14ac:dyDescent="0.2">
      <c r="A97" s="131" t="s">
        <v>674</v>
      </c>
      <c r="B97" s="115" t="str">
        <f ca="1">_xll.BDP($A97 &amp; " Govt",B$1)</f>
        <v>CADES 2 7/8 03/02/15</v>
      </c>
      <c r="C97" s="209" t="str">
        <f t="shared" ca="1" si="6"/>
        <v>CADES</v>
      </c>
      <c r="D97" s="116"/>
      <c r="E97" s="117"/>
      <c r="F97" s="118"/>
      <c r="G97" s="119"/>
      <c r="H97" s="120">
        <f ca="1">IF(E97="",_xll.BDP(A97 &amp; " Corp","YLD_YTM_ASK")/100,E97)</f>
        <v>1.4587339E-2</v>
      </c>
      <c r="I97" s="121">
        <f ca="1">_xll.INSTRUMENT.PRIX(AD97,D97,H97,AE97)</f>
        <v>103.66165800438586</v>
      </c>
      <c r="J97" s="122">
        <f ca="1">_xll.INSTRUMENT.DV01(AD97,,,I97,cContinuous,I97)</f>
        <v>-2.69475002501754E-2</v>
      </c>
      <c r="K97" s="123">
        <f ca="1">_xll.INSTRUMENT.CONVEXITE(AD97,,,I97,cContinuous,I97)</f>
        <v>6.7598328620682233</v>
      </c>
      <c r="L97" s="123">
        <f ca="1">_xll.INSTRUMENT.Z.SPREAD(AD97,swapCurve,I97,,D97)</f>
        <v>86.575075937777072</v>
      </c>
      <c r="M97" s="123">
        <f ca="1">_xll.INSTRUMENT.Z.SPREAD(AD97,ustCurve,I97,,D97)</f>
        <v>104.78907866589557</v>
      </c>
      <c r="N97" s="123">
        <f ca="1">_xll.INSTRUMENT.Z.SPREAD(AD97,oisCurve,I97,,D97)</f>
        <v>121.71080006064605</v>
      </c>
      <c r="O97" s="124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1.7365199353585187E-2</v>
      </c>
      <c r="P97" s="124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1.6895384233914176E-2</v>
      </c>
      <c r="Q97" s="143">
        <f t="shared" ca="1" si="7"/>
        <v>-250.85194542392568</v>
      </c>
      <c r="R97" s="199" t="str">
        <f>IF(F97&lt;&gt;"","",IF(G97="","",-G97*(SUMIF('bench Comparison'!$A:$A,"RESINV1USD",'bench Comparison'!$G:$G)+SUMIF('bench Comparison'!$A:$A,"RESSWAPORUSD",'bench Comparison'!$G:$G))/(36500*J97)))</f>
        <v/>
      </c>
      <c r="S97" s="210" t="str">
        <f>IF(G97&lt;&gt;"","",IF(F97="","",-36500*J97*F97/(SUMIF('bench Comparison'!$A:$A,"RESINV1USD",'bench Comparison'!$G:$G)+SUMIF('bench Comparison'!$A:$A,"RESSWAPORUSD",'bench Comparison'!$G:$G))))</f>
        <v/>
      </c>
      <c r="T97" s="125">
        <f>SUMIF('bench Comparison'!$E:$E,A97,'bench Comparison'!$N:$N)</f>
        <v>0</v>
      </c>
      <c r="U97" s="126">
        <f ca="1">VALUE(_xll.BDP($A97 &amp; " Corp",U$1))</f>
        <v>40239</v>
      </c>
      <c r="V97" s="127">
        <f ca="1">VALUE(_xll.BDP($A97 &amp; " Corp",V$1))</f>
        <v>40239</v>
      </c>
      <c r="W97" s="127">
        <f ca="1">VALUE(_xll.BDP($A97 &amp; " Corp",W$1))</f>
        <v>40604</v>
      </c>
      <c r="X97" s="127">
        <f ca="1">VALUE(_xll.BDP($A97 &amp; " Corp",X$1))</f>
        <v>41700</v>
      </c>
      <c r="Y97" s="127">
        <f ca="1">VALUE(_xll.BDP($A97 &amp; " Corp",Y$1))</f>
        <v>42065</v>
      </c>
      <c r="Z97" s="128">
        <f ca="1">_xll.BDP($A97 &amp; " Corp",Z$1)/100</f>
        <v>2.8750000000000001E-2</v>
      </c>
      <c r="AA97" s="129">
        <f ca="1">_xll.BDP($A97 &amp; " Corp",AA$1)</f>
        <v>1</v>
      </c>
      <c r="AB97" s="129">
        <f ca="1">_xll.BDP($A97 &amp; " Corp",AB$1)</f>
        <v>1000000000</v>
      </c>
      <c r="AC97" s="129" t="str">
        <f ca="1">_xll.BDP($A97 &amp; " Corp",AC$1)</f>
        <v>ISMA-30/360</v>
      </c>
      <c r="AD97" s="130" t="str">
        <f ca="1">_xll.INSTANCE.YANKEE(A97,U97,V97,W97,X97,Y97,Z97,AA97,LEFT(AC97,11),3,IF(RIGHT(AC97,6)="NONEOM",FALSE,TRUE),TODAY())</f>
        <v>FR0010862581#0026</v>
      </c>
      <c r="AE97" s="130" t="str">
        <f ca="1">_xll.INSTANCE.CONVENTION.TAUX("conv_" &amp; A97,LEFT(AC97,11),"Compounded",IF(AA97=1,"Annual",IF(AA97=2,"Semi-Annual","")),"Unadjusted",TODAY())</f>
        <v>conv_FR0010862581#0027</v>
      </c>
    </row>
    <row r="98" spans="1:31" x14ac:dyDescent="0.2">
      <c r="A98" s="131" t="s">
        <v>665</v>
      </c>
      <c r="B98" s="115" t="str">
        <f ca="1">_xll.BDP($A98 &amp; " Govt",B$1)</f>
        <v>CADES 1 3/4 02/24/15</v>
      </c>
      <c r="C98" s="209" t="str">
        <f t="shared" ca="1" si="6"/>
        <v>CADES</v>
      </c>
      <c r="D98" s="116"/>
      <c r="E98" s="117"/>
      <c r="F98" s="118"/>
      <c r="G98" s="119"/>
      <c r="H98" s="120">
        <f ca="1">IF(E98="",_xll.BDP(A98 &amp; " Corp","YLD_YTM_ASK")/100,E98)</f>
        <v>1.461408E-2</v>
      </c>
      <c r="I98" s="121">
        <f ca="1">_xll.INSTRUMENT.PRIX(AD98,D98,H98,AE98)</f>
        <v>100.74286103259428</v>
      </c>
      <c r="J98" s="122">
        <f ca="1">_xll.INSTRUMENT.DV01(AD98,,,I98,cContinuous,I98)</f>
        <v>-2.6112985580243608E-2</v>
      </c>
      <c r="K98" s="123">
        <f ca="1">_xll.INSTRUMENT.CONVEXITE(AD98,,,I98,cContinuous,I98)</f>
        <v>6.7481477206503628</v>
      </c>
      <c r="L98" s="123">
        <f ca="1">_xll.INSTRUMENT.Z.SPREAD(AD98,swapCurve,I98,,D98)</f>
        <v>87.131676527310461</v>
      </c>
      <c r="M98" s="123">
        <f ca="1">_xll.INSTRUMENT.Z.SPREAD(AD98,ustCurve,I98,,D98)</f>
        <v>105.4350364233682</v>
      </c>
      <c r="N98" s="123">
        <f ca="1">_xll.INSTRUMENT.Z.SPREAD(AD98,oisCurve,I98,,D98)</f>
        <v>122.24997127046692</v>
      </c>
      <c r="O98" s="124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1.7859441291679962E-2</v>
      </c>
      <c r="P98" s="124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1.6730164618073893E-2</v>
      </c>
      <c r="Q98" s="143">
        <f t="shared" ca="1" si="7"/>
        <v>-258.4211483560054</v>
      </c>
      <c r="R98" s="199" t="str">
        <f>IF(F98&lt;&gt;"","",IF(G98="","",-G98*(SUMIF('bench Comparison'!$A:$A,"RESINV1USD",'bench Comparison'!$G:$G)+SUMIF('bench Comparison'!$A:$A,"RESSWAPORUSD",'bench Comparison'!$G:$G))/(36500*J98)))</f>
        <v/>
      </c>
      <c r="S98" s="210" t="str">
        <f>IF(G98&lt;&gt;"","",IF(F98="","",-36500*J98*F98/(SUMIF('bench Comparison'!$A:$A,"RESINV1USD",'bench Comparison'!$G:$G)+SUMIF('bench Comparison'!$A:$A,"RESSWAPORUSD",'bench Comparison'!$G:$G))))</f>
        <v/>
      </c>
      <c r="T98" s="125">
        <f>SUMIF('bench Comparison'!$E:$E,A98,'bench Comparison'!$N:$N)</f>
        <v>0</v>
      </c>
      <c r="U98" s="126">
        <f ca="1">VALUE(_xll.BDP($A98 &amp; " Corp",U$1))</f>
        <v>40963</v>
      </c>
      <c r="V98" s="127">
        <f ca="1">VALUE(_xll.BDP($A98 &amp; " Corp",V$1))</f>
        <v>40963</v>
      </c>
      <c r="W98" s="127">
        <f ca="1">VALUE(_xll.BDP($A98 &amp; " Corp",W$1))</f>
        <v>41145</v>
      </c>
      <c r="X98" s="127">
        <f ca="1">VALUE(_xll.BDP($A98 &amp; " Corp",X$1))</f>
        <v>41875</v>
      </c>
      <c r="Y98" s="127">
        <f ca="1">VALUE(_xll.BDP($A98 &amp; " Corp",Y$1))</f>
        <v>42059</v>
      </c>
      <c r="Z98" s="128">
        <f ca="1">_xll.BDP($A98 &amp; " Corp",Z$1)/100</f>
        <v>1.7500000000000002E-2</v>
      </c>
      <c r="AA98" s="129">
        <f ca="1">_xll.BDP($A98 &amp; " Corp",AA$1)</f>
        <v>2</v>
      </c>
      <c r="AB98" s="129">
        <f ca="1">_xll.BDP($A98 &amp; " Corp",AB$1)</f>
        <v>3000000000</v>
      </c>
      <c r="AC98" s="129" t="str">
        <f ca="1">_xll.BDP($A98 &amp; " Corp",AC$1)</f>
        <v>30/360</v>
      </c>
      <c r="AD98" s="130" t="str">
        <f ca="1">_xll.INSTANCE.YANKEE(A98,U98,V98,W98,X98,Y98,Z98,AA98,LEFT(AC98,11),3,IF(RIGHT(AC98,6)="NONEOM",FALSE,TRUE),TODAY())</f>
        <v>US12802DAC02#0027</v>
      </c>
      <c r="AE98" s="130" t="str">
        <f ca="1">_xll.INSTANCE.CONVENTION.TAUX("conv_" &amp; A98,LEFT(AC98,11),"Compounded",IF(AA98=1,"Annual",IF(AA98=2,"Semi-Annual","")),"Unadjusted",TODAY())</f>
        <v>conv_US12802DAC02#0027</v>
      </c>
    </row>
    <row r="99" spans="1:31" x14ac:dyDescent="0.2">
      <c r="A99" s="131" t="s">
        <v>666</v>
      </c>
      <c r="B99" s="115" t="str">
        <f ca="1">_xll.BDP($A99 &amp; " Govt",B$1)</f>
        <v>CADES 1 3/4 02/24/15</v>
      </c>
      <c r="C99" s="209" t="str">
        <f t="shared" ca="1" si="6"/>
        <v>CADES</v>
      </c>
      <c r="D99" s="116"/>
      <c r="E99" s="117"/>
      <c r="F99" s="118"/>
      <c r="G99" s="119"/>
      <c r="H99" s="120">
        <f ca="1">IF(E99="",_xll.BDP(A99 &amp; " Corp","YLD_YTM_ASK")/100,E99)</f>
        <v>1.4606353999999998E-2</v>
      </c>
      <c r="I99" s="121">
        <f ca="1">_xll.INSTRUMENT.PRIX(AD99,D99,H99,AE99)</f>
        <v>100.74486116071323</v>
      </c>
      <c r="J99" s="122">
        <f ca="1">_xll.INSTRUMENT.DV01(AD99,,,I99,cContinuous,I99)</f>
        <v>-2.6113509490339616E-2</v>
      </c>
      <c r="K99" s="123">
        <f ca="1">_xll.INSTRUMENT.CONVEXITE(AD99,,,I99,cContinuous,I99)</f>
        <v>6.7481505227919873</v>
      </c>
      <c r="L99" s="123">
        <f ca="1">_xll.INSTRUMENT.Z.SPREAD(AD99,swapCurve,I99,,D99)</f>
        <v>87.055120707070515</v>
      </c>
      <c r="M99" s="123">
        <f ca="1">_xll.INSTRUMENT.Z.SPREAD(AD99,ustCurve,I99,,D99)</f>
        <v>105.35840214117199</v>
      </c>
      <c r="N99" s="123">
        <f ca="1">_xll.INSTRUMENT.Z.SPREAD(AD99,oisCurve,I99,,D99)</f>
        <v>122.17341620997652</v>
      </c>
      <c r="O99" s="124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1.7851172444729918E-2</v>
      </c>
      <c r="P99" s="124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1.6722456300411602E-2</v>
      </c>
      <c r="Q99" s="143">
        <f t="shared" ca="1" si="7"/>
        <v>-258.41607101061561</v>
      </c>
      <c r="R99" s="199" t="str">
        <f>IF(F99&lt;&gt;"","",IF(G99="","",-G99*(SUMIF('bench Comparison'!$A:$A,"RESINV1USD",'bench Comparison'!$G:$G)+SUMIF('bench Comparison'!$A:$A,"RESSWAPORUSD",'bench Comparison'!$G:$G))/(36500*J99)))</f>
        <v/>
      </c>
      <c r="S99" s="210" t="str">
        <f>IF(G99&lt;&gt;"","",IF(F99="","",-36500*J99*F99/(SUMIF('bench Comparison'!$A:$A,"RESINV1USD",'bench Comparison'!$G:$G)+SUMIF('bench Comparison'!$A:$A,"RESSWAPORUSD",'bench Comparison'!$G:$G))))</f>
        <v/>
      </c>
      <c r="T99" s="125">
        <f>SUMIF('bench Comparison'!$E:$E,A99,'bench Comparison'!$N:$N)</f>
        <v>0</v>
      </c>
      <c r="U99" s="126">
        <f ca="1">VALUE(_xll.BDP($A99 &amp; " Corp",U$1))</f>
        <v>40963</v>
      </c>
      <c r="V99" s="127">
        <f ca="1">VALUE(_xll.BDP($A99 &amp; " Corp",V$1))</f>
        <v>40963</v>
      </c>
      <c r="W99" s="127">
        <f ca="1">VALUE(_xll.BDP($A99 &amp; " Corp",W$1))</f>
        <v>41145</v>
      </c>
      <c r="X99" s="127">
        <f ca="1">VALUE(_xll.BDP($A99 &amp; " Corp",X$1))</f>
        <v>41875</v>
      </c>
      <c r="Y99" s="127">
        <f ca="1">VALUE(_xll.BDP($A99 &amp; " Corp",Y$1))</f>
        <v>42059</v>
      </c>
      <c r="Z99" s="128">
        <f ca="1">_xll.BDP($A99 &amp; " Corp",Z$1)/100</f>
        <v>1.7500000000000002E-2</v>
      </c>
      <c r="AA99" s="129">
        <f ca="1">_xll.BDP($A99 &amp; " Corp",AA$1)</f>
        <v>2</v>
      </c>
      <c r="AB99" s="129">
        <f ca="1">_xll.BDP($A99 &amp; " Corp",AB$1)</f>
        <v>3000000000</v>
      </c>
      <c r="AC99" s="129" t="str">
        <f ca="1">_xll.BDP($A99 &amp; " Corp",AC$1)</f>
        <v>ISMA-30/360</v>
      </c>
      <c r="AD99" s="130" t="str">
        <f ca="1">_xll.INSTANCE.YANKEE(A99,U99,V99,W99,X99,Y99,Z99,AA99,LEFT(AC99,11),3,IF(RIGHT(AC99,6)="NONEOM",FALSE,TRUE),TODAY())</f>
        <v>XS0749451398#0027</v>
      </c>
      <c r="AE99" s="130" t="str">
        <f ca="1">_xll.INSTANCE.CONVENTION.TAUX("conv_" &amp; A99,LEFT(AC99,11),"Compounded",IF(AA99=1,"Annual",IF(AA99=2,"Semi-Annual","")),"Unadjusted",TODAY())</f>
        <v>conv_XS0749451398#0027</v>
      </c>
    </row>
    <row r="100" spans="1:31" x14ac:dyDescent="0.2">
      <c r="A100" s="131" t="s">
        <v>673</v>
      </c>
      <c r="B100" s="115" t="str">
        <f ca="1">_xll.BDP($A100 &amp; " Govt",B$1)</f>
        <v>CADES 2 7/8 10/22/14</v>
      </c>
      <c r="C100" s="209" t="str">
        <f t="shared" ca="1" si="6"/>
        <v>CADES</v>
      </c>
      <c r="D100" s="116"/>
      <c r="E100" s="117"/>
      <c r="F100" s="118"/>
      <c r="G100" s="119"/>
      <c r="H100" s="120">
        <f ca="1">IF(E100="",_xll.BDP(A100 &amp; " Corp","YLD_YTM_ASK")/100,E100)</f>
        <v>1.1988897E-2</v>
      </c>
      <c r="I100" s="121">
        <f ca="1">_xll.INSTRUMENT.PRIX(AD100,D100,H100,AE100)</f>
        <v>103.77199975065056</v>
      </c>
      <c r="J100" s="122">
        <f ca="1">_xll.INSTRUMENT.DV01(AD100,,,I100,cContinuous,I100)</f>
        <v>-2.3447598403170782E-2</v>
      </c>
      <c r="K100" s="123">
        <f ca="1">_xll.INSTRUMENT.CONVEXITE(AD100,,,I100,cContinuous,I100)</f>
        <v>5.0408103587909476</v>
      </c>
      <c r="L100" s="123">
        <f ca="1">_xll.INSTRUMENT.Z.SPREAD(AD100,swapCurve,I100,,D100)</f>
        <v>63.607433031036805</v>
      </c>
      <c r="M100" s="123">
        <f ca="1">_xll.INSTRUMENT.Z.SPREAD(AD100,ustCurve,I100,,D100)</f>
        <v>82.427148048658452</v>
      </c>
      <c r="N100" s="123">
        <f ca="1">_xll.INSTRUMENT.Z.SPREAD(AD100,oisCurve,I100,,D100)</f>
        <v>97.538293501744008</v>
      </c>
      <c r="O100" s="124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1.3741899383543164E-2</v>
      </c>
      <c r="P100" s="124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1.3694921565630134E-2</v>
      </c>
      <c r="Q100" s="143">
        <f t="shared" ca="1" si="7"/>
        <v>-214.98194706837381</v>
      </c>
      <c r="R100" s="199" t="str">
        <f>IF(F100&lt;&gt;"","",IF(G100="","",-G100*(SUMIF('bench Comparison'!$A:$A,"RESINV1USD",'bench Comparison'!$G:$G)+SUMIF('bench Comparison'!$A:$A,"RESSWAPORUSD",'bench Comparison'!$G:$G))/(36500*J100)))</f>
        <v/>
      </c>
      <c r="S100" s="210" t="str">
        <f>IF(G100&lt;&gt;"","",IF(F100="","",-36500*J100*F100/(SUMIF('bench Comparison'!$A:$A,"RESINV1USD",'bench Comparison'!$G:$G)+SUMIF('bench Comparison'!$A:$A,"RESSWAPORUSD",'bench Comparison'!$G:$G))))</f>
        <v/>
      </c>
      <c r="T100" s="125">
        <f>SUMIF('bench Comparison'!$E:$E,A100,'bench Comparison'!$N:$N)</f>
        <v>0</v>
      </c>
      <c r="U100" s="126">
        <f ca="1">VALUE(_xll.BDP($A100 &amp; " Corp",U$1))</f>
        <v>40108</v>
      </c>
      <c r="V100" s="127">
        <f ca="1">VALUE(_xll.BDP($A100 &amp; " Corp",V$1))</f>
        <v>40108</v>
      </c>
      <c r="W100" s="127">
        <f ca="1">VALUE(_xll.BDP($A100 &amp; " Corp",W$1))</f>
        <v>40473</v>
      </c>
      <c r="X100" s="127">
        <f ca="1">VALUE(_xll.BDP($A100 &amp; " Corp",X$1))</f>
        <v>41569</v>
      </c>
      <c r="Y100" s="127">
        <f ca="1">VALUE(_xll.BDP($A100 &amp; " Corp",Y$1))</f>
        <v>41934</v>
      </c>
      <c r="Z100" s="128">
        <f ca="1">_xll.BDP($A100 &amp; " Corp",Z$1)/100</f>
        <v>2.8750000000000001E-2</v>
      </c>
      <c r="AA100" s="129">
        <f ca="1">_xll.BDP($A100 &amp; " Corp",AA$1)</f>
        <v>1</v>
      </c>
      <c r="AB100" s="129">
        <f ca="1">_xll.BDP($A100 &amp; " Corp",AB$1)</f>
        <v>1250000000</v>
      </c>
      <c r="AC100" s="129" t="str">
        <f ca="1">_xll.BDP($A100 &amp; " Corp",AC$1)</f>
        <v>ISMA-30/360</v>
      </c>
      <c r="AD100" s="130" t="str">
        <f ca="1">_xll.INSTANCE.YANKEE(A100,U100,V100,W100,X100,Y100,Z100,AA100,LEFT(AC100,11),3,IF(RIGHT(AC100,6)="NONEOM",FALSE,TRUE),TODAY())</f>
        <v>FR0010815332#0026</v>
      </c>
      <c r="AE100" s="130" t="str">
        <f ca="1">_xll.INSTANCE.CONVENTION.TAUX("conv_" &amp; A100,LEFT(AC100,11),"Compounded",IF(AA100=1,"Annual",IF(AA100=2,"Semi-Annual","")),"Unadjusted",TODAY())</f>
        <v>conv_FR0010815332#0026</v>
      </c>
    </row>
    <row r="101" spans="1:31" x14ac:dyDescent="0.2">
      <c r="A101" s="131" t="s">
        <v>659</v>
      </c>
      <c r="B101" s="115" t="str">
        <f ca="1">_xll.BDP($A101 &amp; " Govt",B$1)</f>
        <v>CADES 1 1/4 07/11/14</v>
      </c>
      <c r="C101" s="209" t="str">
        <f t="shared" ca="1" si="6"/>
        <v>CADES</v>
      </c>
      <c r="D101" s="116"/>
      <c r="E101" s="117"/>
      <c r="F101" s="118"/>
      <c r="G101" s="119"/>
      <c r="H101" s="120">
        <f ca="1">IF(E101="",_xll.BDP(A101 &amp; " Corp","YLD_YTM_ASK")/100,E101)</f>
        <v>1.1126993E-2</v>
      </c>
      <c r="I101" s="121">
        <f ca="1">_xll.INSTRUMENT.PRIX(AD101,D101,H101,AE101)</f>
        <v>100.27296204105347</v>
      </c>
      <c r="J101" s="122">
        <f ca="1">_xll.INSTRUMENT.DV01(AD101,,,I101,cContinuous,I101)</f>
        <v>-2.001785208125522E-2</v>
      </c>
      <c r="K101" s="123">
        <f ca="1">_xll.INSTRUMENT.CONVEXITE(AD101,,,I101,cContinuous,I101)</f>
        <v>3.9829486463250863</v>
      </c>
      <c r="L101" s="123">
        <f ca="1">_xll.INSTRUMENT.Z.SPREAD(AD101,swapCurve,I101,,D101)</f>
        <v>57.152916103493958</v>
      </c>
      <c r="M101" s="123">
        <f ca="1">_xll.INSTRUMENT.Z.SPREAD(AD101,ustCurve,I101,,D101)</f>
        <v>76.79378451075263</v>
      </c>
      <c r="N101" s="123">
        <f ca="1">_xll.INSTRUMENT.Z.SPREAD(AD101,oisCurve,I101,,D101)</f>
        <v>90.113320180307198</v>
      </c>
      <c r="O101" s="124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1.2919513596479262E-2</v>
      </c>
      <c r="P101" s="124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1.218313048585745E-2</v>
      </c>
      <c r="Q101" s="143">
        <f t="shared" ca="1" si="7"/>
        <v>-198.96983103670408</v>
      </c>
      <c r="R101" s="199" t="str">
        <f>IF(F101&lt;&gt;"","",IF(G101="","",-G101*(SUMIF('bench Comparison'!$A:$A,"RESINV1USD",'bench Comparison'!$G:$G)+SUMIF('bench Comparison'!$A:$A,"RESSWAPORUSD",'bench Comparison'!$G:$G))/(36500*J101)))</f>
        <v/>
      </c>
      <c r="S101" s="210" t="str">
        <f>IF(G101&lt;&gt;"","",IF(F101="","",-36500*J101*F101/(SUMIF('bench Comparison'!$A:$A,"RESINV1USD",'bench Comparison'!$G:$G)+SUMIF('bench Comparison'!$A:$A,"RESSWAPORUSD",'bench Comparison'!$G:$G))))</f>
        <v/>
      </c>
      <c r="T101" s="125">
        <f>SUMIF('bench Comparison'!$E:$E,A101,'bench Comparison'!$N:$N)</f>
        <v>0</v>
      </c>
      <c r="U101" s="126">
        <f ca="1">VALUE(_xll.BDP($A101 &amp; " Corp",U$1))</f>
        <v>40735</v>
      </c>
      <c r="V101" s="127">
        <f ca="1">VALUE(_xll.BDP($A101 &amp; " Corp",V$1))</f>
        <v>40735</v>
      </c>
      <c r="W101" s="127">
        <f ca="1">VALUE(_xll.BDP($A101 &amp; " Corp",W$1))</f>
        <v>40919</v>
      </c>
      <c r="X101" s="127">
        <f ca="1">VALUE(_xll.BDP($A101 &amp; " Corp",X$1))</f>
        <v>41650</v>
      </c>
      <c r="Y101" s="127">
        <f ca="1">VALUE(_xll.BDP($A101 &amp; " Corp",Y$1))</f>
        <v>41831</v>
      </c>
      <c r="Z101" s="128">
        <f ca="1">_xll.BDP($A101 &amp; " Corp",Z$1)/100</f>
        <v>1.2500000000000001E-2</v>
      </c>
      <c r="AA101" s="129">
        <f ca="1">_xll.BDP($A101 &amp; " Corp",AA$1)</f>
        <v>2</v>
      </c>
      <c r="AB101" s="129">
        <f ca="1">_xll.BDP($A101 &amp; " Corp",AB$1)</f>
        <v>2500000000</v>
      </c>
      <c r="AC101" s="129" t="str">
        <f ca="1">_xll.BDP($A101 &amp; " Corp",AC$1)</f>
        <v>ISMA-30/360</v>
      </c>
      <c r="AD101" s="130" t="str">
        <f ca="1">_xll.INSTANCE.YANKEE(A101,U101,V101,W101,X101,Y101,Z101,AA101,LEFT(AC101,11),3,IF(RIGHT(AC101,6)="NONEOM",FALSE,TRUE),TODAY())</f>
        <v>US12802NAB01#0027</v>
      </c>
      <c r="AE101" s="130" t="str">
        <f ca="1">_xll.INSTANCE.CONVENTION.TAUX("conv_" &amp; A101,LEFT(AC101,11),"Compounded",IF(AA101=1,"Annual",IF(AA101=2,"Semi-Annual","")),"Unadjusted",TODAY())</f>
        <v>conv_US12802NAB01#0027</v>
      </c>
    </row>
    <row r="102" spans="1:31" x14ac:dyDescent="0.2">
      <c r="A102" s="131" t="s">
        <v>660</v>
      </c>
      <c r="B102" s="115" t="str">
        <f ca="1">_xll.BDP($A102 &amp; " Govt",B$1)</f>
        <v>CADES 1 1/4 07/11/14</v>
      </c>
      <c r="C102" s="209" t="str">
        <f t="shared" ca="1" si="6"/>
        <v>CADES</v>
      </c>
      <c r="D102" s="116"/>
      <c r="E102" s="117"/>
      <c r="F102" s="118"/>
      <c r="G102" s="119"/>
      <c r="H102" s="120">
        <f ca="1">IF(E102="",_xll.BDP(A102 &amp; " Corp","YLD_YTM_ASK")/100,E102)</f>
        <v>1.1183956E-2</v>
      </c>
      <c r="I102" s="121">
        <f ca="1">_xll.INSTRUMENT.PRIX(AD102,D102,H102,AE102)</f>
        <v>100.26161448406468</v>
      </c>
      <c r="J102" s="122">
        <f ca="1">_xll.INSTRUMENT.DV01(AD102,,,I102,cContinuous,I102)</f>
        <v>-2.0015574006294393E-2</v>
      </c>
      <c r="K102" s="123">
        <f ca="1">_xll.INSTRUMENT.CONVEXITE(AD102,,,I102,cContinuous,I102)</f>
        <v>3.9829426034094531</v>
      </c>
      <c r="L102" s="123">
        <f ca="1">_xll.INSTRUMENT.Z.SPREAD(AD102,swapCurve,I102,,D102)</f>
        <v>57.719439808815544</v>
      </c>
      <c r="M102" s="123">
        <f ca="1">_xll.INSTRUMENT.Z.SPREAD(AD102,ustCurve,I102,,D102)</f>
        <v>77.361073489127378</v>
      </c>
      <c r="N102" s="123">
        <f ca="1">_xll.INSTRUMENT.Z.SPREAD(AD102,oisCurve,I102,,D102)</f>
        <v>90.679842337587814</v>
      </c>
      <c r="O102" s="124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1.2980415869889021E-2</v>
      </c>
      <c r="P102" s="124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1.2239974432626477E-2</v>
      </c>
      <c r="Q102" s="143">
        <f t="shared" ca="1" si="7"/>
        <v>-198.99217490125031</v>
      </c>
      <c r="R102" s="199" t="str">
        <f>IF(F102&lt;&gt;"","",IF(G102="","",-G102*(SUMIF('bench Comparison'!$A:$A,"RESINV1USD",'bench Comparison'!$G:$G)+SUMIF('bench Comparison'!$A:$A,"RESSWAPORUSD",'bench Comparison'!$G:$G))/(36500*J102)))</f>
        <v/>
      </c>
      <c r="S102" s="210" t="str">
        <f>IF(G102&lt;&gt;"","",IF(F102="","",-36500*J102*F102/(SUMIF('bench Comparison'!$A:$A,"RESINV1USD",'bench Comparison'!$G:$G)+SUMIF('bench Comparison'!$A:$A,"RESSWAPORUSD",'bench Comparison'!$G:$G))))</f>
        <v/>
      </c>
      <c r="T102" s="125">
        <f>SUMIF('bench Comparison'!$E:$E,A102,'bench Comparison'!$N:$N)</f>
        <v>0</v>
      </c>
      <c r="U102" s="126">
        <f ca="1">VALUE(_xll.BDP($A102 &amp; " Corp",U$1))</f>
        <v>40735</v>
      </c>
      <c r="V102" s="127">
        <f ca="1">VALUE(_xll.BDP($A102 &amp; " Corp",V$1))</f>
        <v>40735</v>
      </c>
      <c r="W102" s="127">
        <f ca="1">VALUE(_xll.BDP($A102 &amp; " Corp",W$1))</f>
        <v>40919</v>
      </c>
      <c r="X102" s="127">
        <f ca="1">VALUE(_xll.BDP($A102 &amp; " Corp",X$1))</f>
        <v>41650</v>
      </c>
      <c r="Y102" s="127">
        <f ca="1">VALUE(_xll.BDP($A102 &amp; " Corp",Y$1))</f>
        <v>41831</v>
      </c>
      <c r="Z102" s="128">
        <f ca="1">_xll.BDP($A102 &amp; " Corp",Z$1)/100</f>
        <v>1.2500000000000001E-2</v>
      </c>
      <c r="AA102" s="129">
        <f ca="1">_xll.BDP($A102 &amp; " Corp",AA$1)</f>
        <v>2</v>
      </c>
      <c r="AB102" s="129">
        <f ca="1">_xll.BDP($A102 &amp; " Corp",AB$1)</f>
        <v>2500000000</v>
      </c>
      <c r="AC102" s="129" t="str">
        <f ca="1">_xll.BDP($A102 &amp; " Corp",AC$1)</f>
        <v>30/360</v>
      </c>
      <c r="AD102" s="130" t="str">
        <f ca="1">_xll.INSTANCE.YANKEE(A102,U102,V102,W102,X102,Y102,Z102,AA102,LEFT(AC102,11),3,IF(RIGHT(AC102,6)="NONEOM",FALSE,TRUE),TODAY())</f>
        <v>US12802DAB29#0027</v>
      </c>
      <c r="AE102" s="130" t="str">
        <f ca="1">_xll.INSTANCE.CONVENTION.TAUX("conv_" &amp; A102,LEFT(AC102,11),"Compounded",IF(AA102=1,"Annual",IF(AA102=2,"Semi-Annual","")),"Unadjusted",TODAY())</f>
        <v>conv_US12802DAB29#0026</v>
      </c>
    </row>
    <row r="103" spans="1:31" x14ac:dyDescent="0.2">
      <c r="A103" s="131" t="s">
        <v>677</v>
      </c>
      <c r="B103" s="115" t="str">
        <f ca="1">_xll.BDP($A103 &amp; " Govt",B$1)</f>
        <v>CADES 3 1/2 07/01/14</v>
      </c>
      <c r="C103" s="209" t="str">
        <f t="shared" ca="1" si="6"/>
        <v>CADES</v>
      </c>
      <c r="D103" s="116"/>
      <c r="E103" s="117"/>
      <c r="F103" s="118"/>
      <c r="G103" s="119"/>
      <c r="H103" s="120">
        <f ca="1">IF(E103="",_xll.BDP(A103 &amp; " Corp","YLD_YTM_ASK")/100,E103)</f>
        <v>1.1226057000000001E-2</v>
      </c>
      <c r="I103" s="121">
        <f ca="1">_xll.INSTRUMENT.PRIX(AD103,D103,H103,AE103)</f>
        <v>104.64999996676835</v>
      </c>
      <c r="J103" s="122">
        <f ca="1">_xll.INSTRUMENT.DV01(AD103,,,I103,cContinuous,I103)</f>
        <v>-2.0462764359945516E-2</v>
      </c>
      <c r="K103" s="123">
        <f ca="1">_xll.INSTRUMENT.CONVEXITE(AD103,,,I103,cContinuous,I103)</f>
        <v>3.8525433409928387</v>
      </c>
      <c r="L103" s="123">
        <f ca="1">_xll.INSTRUMENT.Z.SPREAD(AD103,swapCurve,I103,,D103)</f>
        <v>58.001009214674845</v>
      </c>
      <c r="M103" s="123">
        <f ca="1">_xll.INSTRUMENT.Z.SPREAD(AD103,ustCurve,I103,,D103)</f>
        <v>77.457385954074383</v>
      </c>
      <c r="N103" s="123">
        <f ca="1">_xll.INSTRUMENT.Z.SPREAD(AD103,oisCurve,I103,,D103)</f>
        <v>90.861771907338081</v>
      </c>
      <c r="O103" s="124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1.1855372144021272E-2</v>
      </c>
      <c r="P103" s="124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1.2401624664263016E-2</v>
      </c>
      <c r="Q103" s="143">
        <f t="shared" ca="1" si="7"/>
        <v>-188.270913608033</v>
      </c>
      <c r="R103" s="199" t="str">
        <f>IF(F103&lt;&gt;"","",IF(G103="","",-G103*(SUMIF('bench Comparison'!$A:$A,"RESINV1USD",'bench Comparison'!$G:$G)+SUMIF('bench Comparison'!$A:$A,"RESSWAPORUSD",'bench Comparison'!$G:$G))/(36500*J103)))</f>
        <v/>
      </c>
      <c r="S103" s="210" t="str">
        <f>IF(G103&lt;&gt;"","",IF(F103="","",-36500*J103*F103/(SUMIF('bench Comparison'!$A:$A,"RESINV1USD",'bench Comparison'!$G:$G)+SUMIF('bench Comparison'!$A:$A,"RESSWAPORUSD",'bench Comparison'!$G:$G))))</f>
        <v/>
      </c>
      <c r="T103" s="125">
        <f>SUMIF('bench Comparison'!$E:$E,A103,'bench Comparison'!$N:$N)</f>
        <v>0</v>
      </c>
      <c r="U103" s="126">
        <f ca="1">VALUE(_xll.BDP($A103 &amp; " Corp",U$1))</f>
        <v>39995</v>
      </c>
      <c r="V103" s="127">
        <f ca="1">VALUE(_xll.BDP($A103 &amp; " Corp",V$1))</f>
        <v>39995</v>
      </c>
      <c r="W103" s="127">
        <f ca="1">VALUE(_xll.BDP($A103 &amp; " Corp",W$1))</f>
        <v>40360</v>
      </c>
      <c r="X103" s="127">
        <f ca="1">VALUE(_xll.BDP($A103 &amp; " Corp",X$1))</f>
        <v>41456</v>
      </c>
      <c r="Y103" s="127">
        <f ca="1">VALUE(_xll.BDP($A103 &amp; " Corp",Y$1))</f>
        <v>41821</v>
      </c>
      <c r="Z103" s="128">
        <f ca="1">_xll.BDP($A103 &amp; " Corp",Z$1)/100</f>
        <v>3.5000000000000003E-2</v>
      </c>
      <c r="AA103" s="129">
        <f ca="1">_xll.BDP($A103 &amp; " Corp",AA$1)</f>
        <v>1</v>
      </c>
      <c r="AB103" s="129">
        <f ca="1">_xll.BDP($A103 &amp; " Corp",AB$1)</f>
        <v>1000000000</v>
      </c>
      <c r="AC103" s="129" t="str">
        <f ca="1">_xll.BDP($A103 &amp; " Corp",AC$1)</f>
        <v>ISMA-30/360</v>
      </c>
      <c r="AD103" s="130" t="str">
        <f ca="1">_xll.INSTANCE.YANKEE(A103,U103,V103,W103,X103,Y103,Z103,AA103,LEFT(AC103,11),3,IF(RIGHT(AC103,6)="NONEOM",FALSE,TRUE),TODAY())</f>
        <v>FR0010775239#0026</v>
      </c>
      <c r="AE103" s="130" t="str">
        <f ca="1">_xll.INSTANCE.CONVENTION.TAUX("conv_" &amp; A103,LEFT(AC103,11),"Compounded",IF(AA103=1,"Annual",IF(AA103=2,"Semi-Annual","")),"Unadjusted",TODAY())</f>
        <v>conv_FR0010775239#0026</v>
      </c>
    </row>
    <row r="104" spans="1:31" x14ac:dyDescent="0.2">
      <c r="A104" s="131" t="s">
        <v>664</v>
      </c>
      <c r="B104" s="115" t="str">
        <f ca="1">_xll.BDP($A104 &amp; " Govt",B$1)</f>
        <v>CADES 1 5/8 03/17/14</v>
      </c>
      <c r="C104" s="209" t="str">
        <f t="shared" ca="1" si="6"/>
        <v>CADES</v>
      </c>
      <c r="D104" s="116"/>
      <c r="E104" s="117"/>
      <c r="F104" s="118"/>
      <c r="G104" s="119"/>
      <c r="H104" s="120">
        <f ca="1">IF(E104="",_xll.BDP(A104 &amp; " Corp","YLD_YTM_ASK")/100,E104)</f>
        <v>9.8383970000000005E-3</v>
      </c>
      <c r="I104" s="121">
        <f ca="1">_xll.INSTRUMENT.PRIX(AD104,D104,H104,AE104)</f>
        <v>101.07395605865784</v>
      </c>
      <c r="J104" s="122">
        <f ca="1">_xll.INSTRUMENT.DV01(AD104,,,I104,cContinuous,I104)</f>
        <v>-1.7076889931824511E-2</v>
      </c>
      <c r="K104" s="123">
        <f ca="1">_xll.INSTRUMENT.CONVEXITE(AD104,,,I104,cContinuous,I104)</f>
        <v>2.8427781628950033</v>
      </c>
      <c r="L104" s="123">
        <f ca="1">_xll.INSTRUMENT.Z.SPREAD(AD104,swapCurve,I104,,D104)</f>
        <v>45.813558989920054</v>
      </c>
      <c r="M104" s="123">
        <f ca="1">_xll.INSTRUMENT.Z.SPREAD(AD104,ustCurve,I104,,D104)</f>
        <v>66.337765948639671</v>
      </c>
      <c r="N104" s="123">
        <f ca="1">_xll.INSTRUMENT.Z.SPREAD(AD104,oisCurve,I104,,D104)</f>
        <v>78.137441259034702</v>
      </c>
      <c r="O104" s="124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1.1120988361940001E-2</v>
      </c>
      <c r="P104" s="124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1.0773515250283475E-2</v>
      </c>
      <c r="Q104" s="143">
        <f t="shared" ca="1" si="7"/>
        <v>-166.46931462603146</v>
      </c>
      <c r="R104" s="199" t="str">
        <f>IF(F104&lt;&gt;"","",IF(G104="","",-G104*(SUMIF('bench Comparison'!$A:$A,"RESINV1USD",'bench Comparison'!$G:$G)+SUMIF('bench Comparison'!$A:$A,"RESSWAPORUSD",'bench Comparison'!$G:$G))/(36500*J104)))</f>
        <v/>
      </c>
      <c r="S104" s="210" t="str">
        <f>IF(G104&lt;&gt;"","",IF(F104="","",-36500*J104*F104/(SUMIF('bench Comparison'!$A:$A,"RESINV1USD",'bench Comparison'!$G:$G)+SUMIF('bench Comparison'!$A:$A,"RESSWAPORUSD",'bench Comparison'!$G:$G))))</f>
        <v/>
      </c>
      <c r="T104" s="125">
        <f>SUMIF('bench Comparison'!$E:$E,A104,'bench Comparison'!$N:$N)</f>
        <v>0</v>
      </c>
      <c r="U104" s="126">
        <f ca="1">VALUE(_xll.BDP($A104 &amp; " Corp",U$1))</f>
        <v>40599</v>
      </c>
      <c r="V104" s="127">
        <f ca="1">VALUE(_xll.BDP($A104 &amp; " Corp",V$1))</f>
        <v>40599</v>
      </c>
      <c r="W104" s="127">
        <f ca="1">VALUE(_xll.BDP($A104 &amp; " Corp",W$1))</f>
        <v>40985</v>
      </c>
      <c r="X104" s="127">
        <f ca="1">VALUE(_xll.BDP($A104 &amp; " Corp",X$1))</f>
        <v>41350</v>
      </c>
      <c r="Y104" s="127">
        <f ca="1">VALUE(_xll.BDP($A104 &amp; " Corp",Y$1))</f>
        <v>41715</v>
      </c>
      <c r="Z104" s="128">
        <f ca="1">_xll.BDP($A104 &amp; " Corp",Z$1)/100</f>
        <v>1.6250000000000001E-2</v>
      </c>
      <c r="AA104" s="129">
        <f ca="1">_xll.BDP($A104 &amp; " Corp",AA$1)</f>
        <v>1</v>
      </c>
      <c r="AB104" s="129">
        <f ca="1">_xll.BDP($A104 &amp; " Corp",AB$1)</f>
        <v>1500000000</v>
      </c>
      <c r="AC104" s="129" t="str">
        <f ca="1">_xll.BDP($A104 &amp; " Corp",AC$1)</f>
        <v>ISMA-30/360</v>
      </c>
      <c r="AD104" s="130" t="str">
        <f ca="1">_xll.INSTANCE.YANKEE(A104,U104,V104,W104,X104,Y104,Z104,AA104,LEFT(AC104,11),3,IF(RIGHT(AC104,6)="NONEOM",FALSE,TRUE),TODAY())</f>
        <v>FR0011012731#0027</v>
      </c>
      <c r="AE104" s="130" t="str">
        <f ca="1">_xll.INSTANCE.CONVENTION.TAUX("conv_" &amp; A104,LEFT(AC104,11),"Compounded",IF(AA104=1,"Annual",IF(AA104=2,"Semi-Annual","")),"Unadjusted",TODAY())</f>
        <v>conv_FR0011012731#0027</v>
      </c>
    </row>
    <row r="105" spans="1:31" x14ac:dyDescent="0.2">
      <c r="A105" s="131" t="s">
        <v>662</v>
      </c>
      <c r="B105" s="115" t="str">
        <f ca="1">_xll.BDP($A105 &amp; " Govt",B$1)</f>
        <v>CADES 1 3/8 01/27/14</v>
      </c>
      <c r="C105" s="209" t="str">
        <f t="shared" ca="1" si="6"/>
        <v>CADES</v>
      </c>
      <c r="D105" s="116"/>
      <c r="E105" s="117"/>
      <c r="F105" s="118"/>
      <c r="G105" s="119"/>
      <c r="H105" s="120">
        <f ca="1">IF(E105="",_xll.BDP(A105 &amp; " Corp","YLD_YTM_ASK")/100,E105)</f>
        <v>1.0137564999999999E-2</v>
      </c>
      <c r="I105" s="121">
        <f ca="1">_xll.INSTRUMENT.PRIX(AD105,D105,H105,AE105)</f>
        <v>100.55496173100741</v>
      </c>
      <c r="J105" s="122">
        <f ca="1">_xll.INSTRUMENT.DV01(AD105,,,I105,cContinuous,I105)</f>
        <v>-1.5675072887861345E-2</v>
      </c>
      <c r="K105" s="123">
        <f ca="1">_xll.INSTRUMENT.CONVEXITE(AD105,,,I105,cContinuous,I105)</f>
        <v>2.4143893427442014</v>
      </c>
      <c r="L105" s="123">
        <f ca="1">_xll.INSTRUMENT.Z.SPREAD(AD105,swapCurve,I105,,D105)</f>
        <v>49.174628324442828</v>
      </c>
      <c r="M105" s="123">
        <f ca="1">_xll.INSTRUMENT.Z.SPREAD(AD105,ustCurve,I105,,D105)</f>
        <v>70.147987861994281</v>
      </c>
      <c r="N105" s="123">
        <f ca="1">_xll.INSTRUMENT.Z.SPREAD(AD105,oisCurve,I105,,D105)</f>
        <v>81.257651484357325</v>
      </c>
      <c r="O105" s="124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1.1423999592922283E-2</v>
      </c>
      <c r="P105" s="124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1.0906185662514974E-2</v>
      </c>
      <c r="Q105" s="143">
        <f t="shared" ca="1" si="7"/>
        <v>-154.02731202697538</v>
      </c>
      <c r="R105" s="199" t="str">
        <f>IF(F105&lt;&gt;"","",IF(G105="","",-G105*(SUMIF('bench Comparison'!$A:$A,"RESINV1USD",'bench Comparison'!$G:$G)+SUMIF('bench Comparison'!$A:$A,"RESSWAPORUSD",'bench Comparison'!$G:$G))/(36500*J105)))</f>
        <v/>
      </c>
      <c r="S105" s="210" t="str">
        <f>IF(G105&lt;&gt;"","",IF(F105="","",-36500*J105*F105/(SUMIF('bench Comparison'!$A:$A,"RESINV1USD",'bench Comparison'!$G:$G)+SUMIF('bench Comparison'!$A:$A,"RESSWAPORUSD",'bench Comparison'!$G:$G))))</f>
        <v/>
      </c>
      <c r="T105" s="125">
        <f>SUMIF('bench Comparison'!$E:$E,A105,'bench Comparison'!$N:$N)</f>
        <v>0</v>
      </c>
      <c r="U105" s="126">
        <f ca="1">VALUE(_xll.BDP($A105 &amp; " Corp",U$1))</f>
        <v>40568</v>
      </c>
      <c r="V105" s="127">
        <f ca="1">VALUE(_xll.BDP($A105 &amp; " Corp",V$1))</f>
        <v>40568</v>
      </c>
      <c r="W105" s="127">
        <f ca="1">VALUE(_xll.BDP($A105 &amp; " Corp",W$1))</f>
        <v>40935</v>
      </c>
      <c r="X105" s="127">
        <f ca="1">VALUE(_xll.BDP($A105 &amp; " Corp",X$1))</f>
        <v>41301</v>
      </c>
      <c r="Y105" s="127">
        <f ca="1">VALUE(_xll.BDP($A105 &amp; " Corp",Y$1))</f>
        <v>41666</v>
      </c>
      <c r="Z105" s="128">
        <f ca="1">_xll.BDP($A105 &amp; " Corp",Z$1)/100</f>
        <v>1.375E-2</v>
      </c>
      <c r="AA105" s="129">
        <f ca="1">_xll.BDP($A105 &amp; " Corp",AA$1)</f>
        <v>1</v>
      </c>
      <c r="AB105" s="129">
        <f ca="1">_xll.BDP($A105 &amp; " Corp",AB$1)</f>
        <v>2500000000</v>
      </c>
      <c r="AC105" s="129" t="str">
        <f ca="1">_xll.BDP($A105 &amp; " Corp",AC$1)</f>
        <v>ISMA-30/360</v>
      </c>
      <c r="AD105" s="130" t="str">
        <f ca="1">_xll.INSTANCE.YANKEE(A105,U105,V105,W105,X105,Y105,Z105,AA105,LEFT(AC105,11),3,IF(RIGHT(AC105,6)="NONEOM",FALSE,TRUE),TODAY())</f>
        <v>FR0010998104#0027</v>
      </c>
      <c r="AE105" s="130" t="str">
        <f ca="1">_xll.INSTANCE.CONVENTION.TAUX("conv_" &amp; A105,LEFT(AC105,11),"Compounded",IF(AA105=1,"Annual",IF(AA105=2,"Semi-Annual","")),"Unadjusted",TODAY())</f>
        <v>conv_FR0010998104#0027</v>
      </c>
    </row>
    <row r="106" spans="1:31" x14ac:dyDescent="0.2">
      <c r="A106" s="131" t="s">
        <v>658</v>
      </c>
      <c r="B106" s="115" t="str">
        <f ca="1">_xll.BDP($A106 &amp; " Govt",B$1)</f>
        <v>CADES 0 7/8 10/15/13</v>
      </c>
      <c r="C106" s="209" t="str">
        <f t="shared" ca="1" si="6"/>
        <v>CADES</v>
      </c>
      <c r="D106" s="116"/>
      <c r="E106" s="117"/>
      <c r="F106" s="118"/>
      <c r="G106" s="119"/>
      <c r="H106" s="120">
        <f ca="1">IF(E106="",_xll.BDP(A106 &amp; " Corp","YLD_YTM_ASK")/100,E106)</f>
        <v>8.3334220000000001E-3</v>
      </c>
      <c r="I106" s="121">
        <f ca="1">_xll.INSTRUMENT.PRIX(AD106,D106,H106,AE106)</f>
        <v>100.05199993726755</v>
      </c>
      <c r="J106" s="122">
        <f ca="1">_xll.INSTRUMENT.DV01(AD106,,,I106,cContinuous,I106)</f>
        <v>-1.278120656371207E-2</v>
      </c>
      <c r="K106" s="123">
        <f ca="1">_xll.INSTRUMENT.CONVEXITE(AD106,,,I106,cContinuous,I106)</f>
        <v>1.6200612137628707</v>
      </c>
      <c r="L106" s="123">
        <f ca="1">_xll.INSTRUMENT.Z.SPREAD(AD106,swapCurve,I106,,D106)</f>
        <v>32.707598769575448</v>
      </c>
      <c r="M106" s="123">
        <f ca="1">_xll.INSTRUMENT.Z.SPREAD(AD106,ustCurve,I106,,D106)</f>
        <v>54.94824829542295</v>
      </c>
      <c r="N106" s="123">
        <f ca="1">_xll.INSTRUMENT.Z.SPREAD(AD106,oisCurve,I106,,D106)</f>
        <v>64.136946148787544</v>
      </c>
      <c r="O106" s="124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9.5437181851071723E-3</v>
      </c>
      <c r="P106" s="124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8.9780476426332897E-3</v>
      </c>
      <c r="Q106" s="143">
        <f t="shared" ca="1" si="7"/>
        <v>-126.7533863635761</v>
      </c>
      <c r="R106" s="199" t="str">
        <f>IF(F106&lt;&gt;"","",IF(G106="","",-G106*(SUMIF('bench Comparison'!$A:$A,"RESINV1USD",'bench Comparison'!$G:$G)+SUMIF('bench Comparison'!$A:$A,"RESSWAPORUSD",'bench Comparison'!$G:$G))/(36500*J106)))</f>
        <v/>
      </c>
      <c r="S106" s="210" t="str">
        <f>IF(G106&lt;&gt;"","",IF(F106="","",-36500*J106*F106/(SUMIF('bench Comparison'!$A:$A,"RESINV1USD",'bench Comparison'!$G:$G)+SUMIF('bench Comparison'!$A:$A,"RESSWAPORUSD",'bench Comparison'!$G:$G))))</f>
        <v/>
      </c>
      <c r="T106" s="125">
        <f>SUMIF('bench Comparison'!$E:$E,A106,'bench Comparison'!$N:$N)</f>
        <v>0</v>
      </c>
      <c r="U106" s="126">
        <f ca="1">VALUE(_xll.BDP($A106 &amp; " Corp",U$1))</f>
        <v>40466</v>
      </c>
      <c r="V106" s="127">
        <f ca="1">VALUE(_xll.BDP($A106 &amp; " Corp",V$1))</f>
        <v>40466</v>
      </c>
      <c r="W106" s="127">
        <f ca="1">VALUE(_xll.BDP($A106 &amp; " Corp",W$1))</f>
        <v>40831</v>
      </c>
      <c r="X106" s="127">
        <f ca="1">VALUE(_xll.BDP($A106 &amp; " Corp",X$1))</f>
        <v>41197</v>
      </c>
      <c r="Y106" s="127">
        <f ca="1">VALUE(_xll.BDP($A106 &amp; " Corp",Y$1))</f>
        <v>41562</v>
      </c>
      <c r="Z106" s="128">
        <f ca="1">_xll.BDP($A106 &amp; " Corp",Z$1)/100</f>
        <v>8.7500000000000008E-3</v>
      </c>
      <c r="AA106" s="129">
        <f ca="1">_xll.BDP($A106 &amp; " Corp",AA$1)</f>
        <v>1</v>
      </c>
      <c r="AB106" s="129">
        <f ca="1">_xll.BDP($A106 &amp; " Corp",AB$1)</f>
        <v>1500000000</v>
      </c>
      <c r="AC106" s="129" t="str">
        <f ca="1">_xll.BDP($A106 &amp; " Corp",AC$1)</f>
        <v>ISMA-30/360</v>
      </c>
      <c r="AD106" s="130" t="str">
        <f ca="1">_xll.INSTANCE.YANKEE(A106,U106,V106,W106,X106,Y106,Z106,AA106,LEFT(AC106,11),3,IF(RIGHT(AC106,6)="NONEOM",FALSE,TRUE),TODAY())</f>
        <v>FR0010950675#0026</v>
      </c>
      <c r="AE106" s="130" t="str">
        <f ca="1">_xll.INSTANCE.CONVENTION.TAUX("conv_" &amp; A106,LEFT(AC106,11),"Compounded",IF(AA106=1,"Annual",IF(AA106=2,"Semi-Annual","")),"Unadjusted",TODAY())</f>
        <v>conv_FR0010950675#0027</v>
      </c>
    </row>
    <row r="107" spans="1:31" x14ac:dyDescent="0.2">
      <c r="A107" s="131" t="s">
        <v>661</v>
      </c>
      <c r="B107" s="115" t="str">
        <f ca="1">_xll.BDP($A107 &amp; " Govt",B$1)</f>
        <v>CADES 1 3/8 07/29/13</v>
      </c>
      <c r="C107" s="209" t="str">
        <f t="shared" ca="1" si="6"/>
        <v>CADES</v>
      </c>
      <c r="D107" s="116"/>
      <c r="E107" s="117"/>
      <c r="F107" s="118"/>
      <c r="G107" s="119"/>
      <c r="H107" s="120">
        <f ca="1">IF(E107="",_xll.BDP(A107 &amp; " Corp","YLD_YTM_ASK")/100,E107)</f>
        <v>7.5677490000000004E-3</v>
      </c>
      <c r="I107" s="121">
        <f ca="1">_xll.INSTRUMENT.PRIX(AD107,D107,H107,AE107)</f>
        <v>100.65397122363092</v>
      </c>
      <c r="J107" s="122">
        <f ca="1">_xll.INSTRUMENT.DV01(AD107,,,I107,cContinuous,I107)</f>
        <v>-1.0713369231868976E-2</v>
      </c>
      <c r="K107" s="123">
        <f ca="1">_xll.INSTRUMENT.CONVEXITE(AD107,,,I107,cContinuous,I107)</f>
        <v>1.1177488177911521</v>
      </c>
      <c r="L107" s="123">
        <f ca="1">_xll.INSTRUMENT.Z.SPREAD(AD107,swapCurve,I107,,D107)</f>
        <v>26.357878023568666</v>
      </c>
      <c r="M107" s="123">
        <f ca="1">_xll.INSTRUMENT.Z.SPREAD(AD107,ustCurve,I107,,D107)</f>
        <v>49.628792124453682</v>
      </c>
      <c r="N107" s="123">
        <f ca="1">_xll.INSTRUMENT.Z.SPREAD(AD107,oisCurve,I107,,D107)</f>
        <v>56.9366187997759</v>
      </c>
      <c r="O107" s="124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8.3871210992658655E-3</v>
      </c>
      <c r="P107" s="124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8.0888253124687393E-3</v>
      </c>
      <c r="Q107" s="143">
        <f t="shared" ca="1" si="7"/>
        <v>-104.33214739450904</v>
      </c>
      <c r="R107" s="199" t="str">
        <f>IF(F107&lt;&gt;"","",IF(G107="","",-G107*(SUMIF('bench Comparison'!$A:$A,"RESINV1USD",'bench Comparison'!$G:$G)+SUMIF('bench Comparison'!$A:$A,"RESSWAPORUSD",'bench Comparison'!$G:$G))/(36500*J107)))</f>
        <v/>
      </c>
      <c r="S107" s="210" t="str">
        <f>IF(G107&lt;&gt;"","",IF(F107="","",-36500*J107*F107/(SUMIF('bench Comparison'!$A:$A,"RESINV1USD",'bench Comparison'!$G:$G)+SUMIF('bench Comparison'!$A:$A,"RESSWAPORUSD",'bench Comparison'!$G:$G))))</f>
        <v/>
      </c>
      <c r="T107" s="125">
        <f>SUMIF('bench Comparison'!$E:$E,A107,'bench Comparison'!$N:$N)</f>
        <v>18000000</v>
      </c>
      <c r="U107" s="126">
        <f ca="1">VALUE(_xll.BDP($A107 &amp; " Corp",U$1))</f>
        <v>40387</v>
      </c>
      <c r="V107" s="127">
        <f ca="1">VALUE(_xll.BDP($A107 &amp; " Corp",V$1))</f>
        <v>40387</v>
      </c>
      <c r="W107" s="127">
        <f ca="1">VALUE(_xll.BDP($A107 &amp; " Corp",W$1))</f>
        <v>40753</v>
      </c>
      <c r="X107" s="127">
        <f ca="1">VALUE(_xll.BDP($A107 &amp; " Corp",X$1))</f>
        <v>41119</v>
      </c>
      <c r="Y107" s="127">
        <f ca="1">VALUE(_xll.BDP($A107 &amp; " Corp",Y$1))</f>
        <v>41484</v>
      </c>
      <c r="Z107" s="128">
        <f ca="1">_xll.BDP($A107 &amp; " Corp",Z$1)/100</f>
        <v>1.375E-2</v>
      </c>
      <c r="AA107" s="129">
        <f ca="1">_xll.BDP($A107 &amp; " Corp",AA$1)</f>
        <v>1</v>
      </c>
      <c r="AB107" s="129">
        <f ca="1">_xll.BDP($A107 &amp; " Corp",AB$1)</f>
        <v>2000000000</v>
      </c>
      <c r="AC107" s="129" t="str">
        <f ca="1">_xll.BDP($A107 &amp; " Corp",AC$1)</f>
        <v>ISMA-30/360</v>
      </c>
      <c r="AD107" s="130" t="str">
        <f ca="1">_xll.INSTANCE.YANKEE(A107,U107,V107,W107,X107,Y107,Z107,AA107,LEFT(AC107,11),3,IF(RIGHT(AC107,6)="NONEOM",FALSE,TRUE),TODAY())</f>
        <v>FR0010925446#0026</v>
      </c>
      <c r="AE107" s="130" t="str">
        <f ca="1">_xll.INSTANCE.CONVENTION.TAUX("conv_" &amp; A107,LEFT(AC107,11),"Compounded",IF(AA107=1,"Annual",IF(AA107=2,"Semi-Annual","")),"Unadjusted",TODAY())</f>
        <v>conv_FR0010925446#0026</v>
      </c>
    </row>
    <row r="108" spans="1:31" x14ac:dyDescent="0.2">
      <c r="A108" s="131" t="s">
        <v>676</v>
      </c>
      <c r="B108" s="115" t="str">
        <f ca="1">_xll.BDP($A108 &amp; " Govt",B$1)</f>
        <v>CADES 3 1/4 07/15/13</v>
      </c>
      <c r="C108" s="209" t="str">
        <f t="shared" ca="1" si="6"/>
        <v>CADES</v>
      </c>
      <c r="D108" s="116"/>
      <c r="E108" s="117"/>
      <c r="F108" s="118"/>
      <c r="G108" s="119"/>
      <c r="H108" s="120">
        <f ca="1">IF(E108="",_xll.BDP(A108 &amp; " Corp","YLD_YTM_ASK")/100,E108)</f>
        <v>7.4973660000000001E-3</v>
      </c>
      <c r="I108" s="121">
        <f ca="1">_xll.INSTRUMENT.PRIX(AD108,D108,H108,AE108)</f>
        <v>102.54993258341658</v>
      </c>
      <c r="J108" s="122">
        <f ca="1">_xll.INSTRUMENT.DV01(AD108,,,I108,cContinuous,I108)</f>
        <v>-1.0522706480922068E-2</v>
      </c>
      <c r="K108" s="123">
        <f ca="1">_xll.INSTRUMENT.CONVEXITE(AD108,,,I108,cContinuous,I108)</f>
        <v>1.0204461079051779</v>
      </c>
      <c r="L108" s="123">
        <f ca="1">_xll.INSTRUMENT.Z.SPREAD(AD108,swapCurve,I108,,D108)</f>
        <v>25.82244488161675</v>
      </c>
      <c r="M108" s="123">
        <f ca="1">_xll.INSTRUMENT.Z.SPREAD(AD108,ustCurve,I108,,D108)</f>
        <v>48.858183847325428</v>
      </c>
      <c r="N108" s="123">
        <f ca="1">_xll.INSTRUMENT.Z.SPREAD(AD108,oisCurve,I108,,D108)</f>
        <v>56.233104881144762</v>
      </c>
      <c r="O108" s="124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7.3184350229077893E-3</v>
      </c>
      <c r="P108" s="124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8.154720938124093E-3</v>
      </c>
      <c r="Q108" s="143">
        <f t="shared" ca="1" si="7"/>
        <v>-96.975631673778267</v>
      </c>
      <c r="R108" s="199" t="str">
        <f>IF(F108&lt;&gt;"","",IF(G108="","",-G108*(SUMIF('bench Comparison'!$A:$A,"RESINV1USD",'bench Comparison'!$G:$G)+SUMIF('bench Comparison'!$A:$A,"RESSWAPORUSD",'bench Comparison'!$G:$G))/(36500*J108)))</f>
        <v/>
      </c>
      <c r="S108" s="210" t="str">
        <f>IF(G108&lt;&gt;"","",IF(F108="","",-36500*J108*F108/(SUMIF('bench Comparison'!$A:$A,"RESINV1USD",'bench Comparison'!$G:$G)+SUMIF('bench Comparison'!$A:$A,"RESSWAPORUSD",'bench Comparison'!$G:$G))))</f>
        <v/>
      </c>
      <c r="T108" s="125">
        <f>SUMIF('bench Comparison'!$E:$E,A108,'bench Comparison'!$N:$N)</f>
        <v>0</v>
      </c>
      <c r="U108" s="126">
        <f ca="1">VALUE(_xll.BDP($A108 &amp; " Corp",U$1))</f>
        <v>39546</v>
      </c>
      <c r="V108" s="127">
        <f ca="1">VALUE(_xll.BDP($A108 &amp; " Corp",V$1))</f>
        <v>39546</v>
      </c>
      <c r="W108" s="127">
        <f ca="1">VALUE(_xll.BDP($A108 &amp; " Corp",W$1))</f>
        <v>39644</v>
      </c>
      <c r="X108" s="127">
        <f ca="1">VALUE(_xll.BDP($A108 &amp; " Corp",X$1))</f>
        <v>41105</v>
      </c>
      <c r="Y108" s="127">
        <f ca="1">VALUE(_xll.BDP($A108 &amp; " Corp",Y$1))</f>
        <v>41470</v>
      </c>
      <c r="Z108" s="128">
        <f ca="1">_xll.BDP($A108 &amp; " Corp",Z$1)/100</f>
        <v>3.2500000000000001E-2</v>
      </c>
      <c r="AA108" s="129">
        <f ca="1">_xll.BDP($A108 &amp; " Corp",AA$1)</f>
        <v>1</v>
      </c>
      <c r="AB108" s="129">
        <f ca="1">_xll.BDP($A108 &amp; " Corp",AB$1)</f>
        <v>1000000000</v>
      </c>
      <c r="AC108" s="129" t="str">
        <f ca="1">_xll.BDP($A108 &amp; " Corp",AC$1)</f>
        <v>ISMA-30/360</v>
      </c>
      <c r="AD108" s="130" t="str">
        <f ca="1">_xll.INSTANCE.YANKEE(A108,U108,V108,W108,X108,Y108,Z108,AA108,LEFT(AC108,11),3,IF(RIGHT(AC108,6)="NONEOM",FALSE,TRUE),TODAY())</f>
        <v>FR0010606442#0027</v>
      </c>
      <c r="AE108" s="130" t="str">
        <f ca="1">_xll.INSTANCE.CONVENTION.TAUX("conv_" &amp; A108,LEFT(AC108,11),"Compounded",IF(AA108=1,"Annual",IF(AA108=2,"Semi-Annual","")),"Unadjusted",TODAY())</f>
        <v>conv_FR0010606442#0026</v>
      </c>
    </row>
    <row r="109" spans="1:31" x14ac:dyDescent="0.2">
      <c r="A109" s="131" t="s">
        <v>678</v>
      </c>
      <c r="B109" s="115" t="str">
        <f ca="1">_xll.BDP($A109 &amp; " Govt",B$1)</f>
        <v>CADES 5 01/15/13</v>
      </c>
      <c r="C109" s="209" t="str">
        <f t="shared" ca="1" si="6"/>
        <v>CADES</v>
      </c>
      <c r="D109" s="116"/>
      <c r="E109" s="117"/>
      <c r="F109" s="118"/>
      <c r="G109" s="119"/>
      <c r="H109" s="120">
        <f ca="1">IF(E109="",_xll.BDP(A109 &amp; " Corp","YLD_YTM_ASK")/100,E109)</f>
        <v>5.2274148869626558E-3</v>
      </c>
      <c r="I109" s="121">
        <f ca="1">_xll.INSTRUMENT.PRIX(AD109,D109,H109,AE109)</f>
        <v>102.35035467227446</v>
      </c>
      <c r="J109" s="122">
        <f ca="1">_xll.INSTRUMENT.DV01(AD109,,,I109,cContinuous,I109)</f>
        <v>-5.551375771058558E-3</v>
      </c>
      <c r="K109" s="123">
        <f ca="1">_xll.INSTRUMENT.CONVEXITE(AD109,,,I109,cContinuous,I109)</f>
        <v>0.28106903507850461</v>
      </c>
      <c r="L109" s="123">
        <f ca="1">_xll.INSTRUMENT.Z.SPREAD(AD109,swapCurve,I109,,D109)</f>
        <v>6.4664297576135299</v>
      </c>
      <c r="M109" s="123">
        <f ca="1">_xll.INSTRUMENT.Z.SPREAD(AD109,ustCurve,I109,,D109)</f>
        <v>32.570579621580514</v>
      </c>
      <c r="N109" s="123">
        <f ca="1">_xll.INSTRUMENT.Z.SPREAD(AD109,oisCurve,I109,,D109)</f>
        <v>33.647938199258597</v>
      </c>
      <c r="O109" s="124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3.2267858540077684E-3</v>
      </c>
      <c r="P109" s="124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5.3108623174504474E-3</v>
      </c>
      <c r="Q109" s="143">
        <f t="shared" ca="1" si="7"/>
        <v>-50.630518752454989</v>
      </c>
      <c r="R109" s="199" t="str">
        <f>IF(F109&lt;&gt;"","",IF(G109="","",-G109*(SUMIF('bench Comparison'!$A:$A,"RESINV1USD",'bench Comparison'!$G:$G)+SUMIF('bench Comparison'!$A:$A,"RESSWAPORUSD",'bench Comparison'!$G:$G))/(36500*J109)))</f>
        <v/>
      </c>
      <c r="S109" s="210" t="str">
        <f>IF(G109&lt;&gt;"","",IF(F109="","",-36500*J109*F109/(SUMIF('bench Comparison'!$A:$A,"RESINV1USD",'bench Comparison'!$G:$G)+SUMIF('bench Comparison'!$A:$A,"RESSWAPORUSD",'bench Comparison'!$G:$G))))</f>
        <v/>
      </c>
      <c r="T109" s="125">
        <f>SUMIF('bench Comparison'!$E:$E,A109,'bench Comparison'!$N:$N)</f>
        <v>0</v>
      </c>
      <c r="U109" s="126">
        <f ca="1">VALUE(_xll.BDP($A109 &amp; " Corp",U$1))</f>
        <v>38799</v>
      </c>
      <c r="V109" s="127">
        <f ca="1">VALUE(_xll.BDP($A109 &amp; " Corp",V$1))</f>
        <v>38799</v>
      </c>
      <c r="W109" s="127">
        <f ca="1">VALUE(_xll.BDP($A109 &amp; " Corp",W$1))</f>
        <v>39097</v>
      </c>
      <c r="X109" s="127">
        <f ca="1">VALUE(_xll.BDP($A109 &amp; " Corp",X$1))</f>
        <v>40923</v>
      </c>
      <c r="Y109" s="127">
        <f ca="1">VALUE(_xll.BDP($A109 &amp; " Corp",Y$1))</f>
        <v>41289</v>
      </c>
      <c r="Z109" s="128">
        <f ca="1">_xll.BDP($A109 &amp; " Corp",Z$1)/100</f>
        <v>0.05</v>
      </c>
      <c r="AA109" s="129">
        <f ca="1">_xll.BDP($A109 &amp; " Corp",AA$1)</f>
        <v>1</v>
      </c>
      <c r="AB109" s="129">
        <f ca="1">_xll.BDP($A109 &amp; " Corp",AB$1)</f>
        <v>1000000000</v>
      </c>
      <c r="AC109" s="129" t="str">
        <f ca="1">_xll.BDP($A109 &amp; " Corp",AC$1)</f>
        <v>ISMA-30/360</v>
      </c>
      <c r="AD109" s="130" t="str">
        <f ca="1">_xll.INSTANCE.YANKEE(A109,U109,V109,W109,X109,Y109,Z109,AA109,LEFT(AC109,11),3,IF(RIGHT(AC109,6)="NONEOM",FALSE,TRUE),TODAY())</f>
        <v>FR0010306340#0027</v>
      </c>
      <c r="AE109" s="130" t="str">
        <f ca="1">_xll.INSTANCE.CONVENTION.TAUX("conv_" &amp; A109,LEFT(AC109,11),"Compounded",IF(AA109=1,"Annual",IF(AA109=2,"Semi-Annual","")),"Unadjusted",TODAY())</f>
        <v>conv_FR0010306340#0027</v>
      </c>
    </row>
    <row r="110" spans="1:31" x14ac:dyDescent="0.2">
      <c r="A110" s="131" t="s">
        <v>663</v>
      </c>
      <c r="B110" s="115" t="str">
        <f ca="1">_xll.BDP($A110 &amp; " Govt",B$1)</f>
        <v>CADES 1 5/8 11/27/12</v>
      </c>
      <c r="C110" s="209" t="str">
        <f t="shared" ca="1" si="6"/>
        <v>CADES</v>
      </c>
      <c r="D110" s="116"/>
      <c r="E110" s="117"/>
      <c r="F110" s="118"/>
      <c r="G110" s="119"/>
      <c r="H110" s="120">
        <f ca="1">IF(E110="",_xll.BDP(A110 &amp; " Corp","YLD_YTM_ASK")/100,E110)</f>
        <v>5.1487685302577272E-3</v>
      </c>
      <c r="I110" s="121">
        <f ca="1">_xll.INSTRUMENT.PRIX(AD110,D110,H110,AE110)</f>
        <v>100.4353195669905</v>
      </c>
      <c r="J110" s="122">
        <f ca="1">_xll.INSTRUMENT.DV01(AD110,,,I110,cContinuous,I110)</f>
        <v>-4.017978816707065E-3</v>
      </c>
      <c r="K110" s="123">
        <f ca="1">_xll.INSTRUMENT.CONVEXITE(AD110,,,I110,cContinuous,I110)</f>
        <v>0.15695452238048313</v>
      </c>
      <c r="L110" s="123">
        <f ca="1">_xll.INSTRUMENT.Z.SPREAD(AD110,swapCurve,I110,,D110)</f>
        <v>4.0568132407740585</v>
      </c>
      <c r="M110" s="123">
        <f ca="1">_xll.INSTRUMENT.Z.SPREAD(AD110,ustCurve,I110,,D110)</f>
        <v>36.621947475194368</v>
      </c>
      <c r="N110" s="123">
        <f ca="1">_xll.INSTRUMENT.Z.SPREAD(AD110,oisCurve,I110,,D110)</f>
        <v>32.911002644206903</v>
      </c>
      <c r="O110" s="124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4.0644049811666199E-3</v>
      </c>
      <c r="P110" s="124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6.213434121105566E-3</v>
      </c>
      <c r="Q110" s="143">
        <f t="shared" ca="1" si="7"/>
        <v>-39.063053724388531</v>
      </c>
      <c r="R110" s="199" t="str">
        <f>IF(F110&lt;&gt;"","",IF(G110="","",-G110*(SUMIF('bench Comparison'!$A:$A,"RESINV1USD",'bench Comparison'!$G:$G)+SUMIF('bench Comparison'!$A:$A,"RESSWAPORUSD",'bench Comparison'!$G:$G))/(36500*J110)))</f>
        <v/>
      </c>
      <c r="S110" s="210" t="str">
        <f>IF(G110&lt;&gt;"","",IF(F110="","",-36500*J110*F110/(SUMIF('bench Comparison'!$A:$A,"RESINV1USD",'bench Comparison'!$G:$G)+SUMIF('bench Comparison'!$A:$A,"RESSWAPORUSD",'bench Comparison'!$G:$G))))</f>
        <v/>
      </c>
      <c r="T110" s="125">
        <f>SUMIF('bench Comparison'!$E:$E,A110,'bench Comparison'!$N:$N)</f>
        <v>0</v>
      </c>
      <c r="U110" s="126">
        <f ca="1">VALUE(_xll.BDP($A110 &amp; " Corp",U$1))</f>
        <v>40144</v>
      </c>
      <c r="V110" s="127">
        <f ca="1">VALUE(_xll.BDP($A110 &amp; " Corp",V$1))</f>
        <v>40144</v>
      </c>
      <c r="W110" s="127">
        <f ca="1">VALUE(_xll.BDP($A110 &amp; " Corp",W$1))</f>
        <v>40509</v>
      </c>
      <c r="X110" s="127">
        <f ca="1">VALUE(_xll.BDP($A110 &amp; " Corp",X$1))</f>
        <v>40874</v>
      </c>
      <c r="Y110" s="127">
        <f ca="1">VALUE(_xll.BDP($A110 &amp; " Corp",Y$1))</f>
        <v>41240</v>
      </c>
      <c r="Z110" s="128">
        <f ca="1">_xll.BDP($A110 &amp; " Corp",Z$1)/100</f>
        <v>1.6250000000000001E-2</v>
      </c>
      <c r="AA110" s="129">
        <f ca="1">_xll.BDP($A110 &amp; " Corp",AA$1)</f>
        <v>1</v>
      </c>
      <c r="AB110" s="129">
        <f ca="1">_xll.BDP($A110 &amp; " Corp",AB$1)</f>
        <v>1000000000</v>
      </c>
      <c r="AC110" s="129" t="str">
        <f ca="1">_xll.BDP($A110 &amp; " Corp",AC$1)</f>
        <v>30/360</v>
      </c>
      <c r="AD110" s="130" t="str">
        <f ca="1">_xll.INSTANCE.YANKEE(A110,U110,V110,W110,X110,Y110,Z110,AA110,LEFT(AC110,11),3,IF(RIGHT(AC110,6)="NONEOM",FALSE,TRUE),TODAY())</f>
        <v>FR0010827246#0027</v>
      </c>
      <c r="AE110" s="130" t="str">
        <f ca="1">_xll.INSTANCE.CONVENTION.TAUX("conv_" &amp; A110,LEFT(AC110,11),"Compounded",IF(AA110=1,"Annual",IF(AA110=2,"Semi-Annual","")),"Unadjusted",TODAY())</f>
        <v>conv_FR0010827246#0026</v>
      </c>
    </row>
    <row r="111" spans="1:31" x14ac:dyDescent="0.2">
      <c r="A111" s="131" t="s">
        <v>680</v>
      </c>
      <c r="B111" s="115" t="str">
        <f ca="1">_xll.BDP($A111 &amp; " Govt",B$1)</f>
        <v>CADES 5 3/8 07/17/12</v>
      </c>
      <c r="C111" s="209" t="str">
        <f t="shared" ca="1" si="6"/>
        <v>CADES</v>
      </c>
      <c r="D111" s="116"/>
      <c r="E111" s="117"/>
      <c r="F111" s="118"/>
      <c r="G111" s="119"/>
      <c r="H111" s="120">
        <f ca="1">IF(E111="",_xll.BDP(A111 &amp; " Corp","YLD_YTM_ASK")/100,E111)</f>
        <v>-5.6454380274806315E-3</v>
      </c>
      <c r="I111" s="121">
        <f ca="1">_xll.INSTRUMENT.PRIX(AD111,D111,H111,AE111)</f>
        <v>100.19905432917477</v>
      </c>
      <c r="J111" s="122">
        <f ca="1">_xll.INSTRUMENT.DV01(AD111,,,I111,cContinuous,I111)</f>
        <v>-3.4555700304665616E-4</v>
      </c>
      <c r="K111" s="123">
        <f ca="1">_xll.INSTRUMENT.CONVEXITE(AD111,,,I111,cContinuous,I111)</f>
        <v>1.0749798441279249E-3</v>
      </c>
      <c r="L111" s="123">
        <f ca="1">_xll.INSTRUMENT.Z.SPREAD(AD111,swapCurve,I111,,D111)</f>
        <v>-80.18100913987945</v>
      </c>
      <c r="M111" s="123">
        <f ca="1">_xll.INSTRUMENT.Z.SPREAD(AD111,ustCurve,I111,,D111)</f>
        <v>-110.02502426973066</v>
      </c>
      <c r="N111" s="123">
        <f ca="1">_xll.INSTRUMENT.Z.SPREAD(AD111,oisCurve,I111,,D111)</f>
        <v>-73.383321277039471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>
        <f t="shared" ca="1" si="7"/>
        <v>-3.1108611159669772</v>
      </c>
      <c r="R111" s="199" t="str">
        <f>IF(F111&lt;&gt;"","",IF(G111="","",-G111*(SUMIF('bench Comparison'!$A:$A,"RESINV1USD",'bench Comparison'!$G:$G)+SUMIF('bench Comparison'!$A:$A,"RESSWAPORUSD",'bench Comparison'!$G:$G))/(36500*J111)))</f>
        <v/>
      </c>
      <c r="S111" s="210" t="str">
        <f>IF(G111&lt;&gt;"","",IF(F111="","",-36500*J111*F111/(SUMIF('bench Comparison'!$A:$A,"RESINV1USD",'bench Comparison'!$G:$G)+SUMIF('bench Comparison'!$A:$A,"RESSWAPORUSD",'bench Comparison'!$G:$G))))</f>
        <v/>
      </c>
      <c r="T111" s="125">
        <f>SUMIF('bench Comparison'!$E:$E,A111,'bench Comparison'!$N:$N)</f>
        <v>0</v>
      </c>
      <c r="U111" s="126">
        <f ca="1">VALUE(_xll.BDP($A111 &amp; " Corp",U$1))</f>
        <v>39280</v>
      </c>
      <c r="V111" s="127">
        <f ca="1">VALUE(_xll.BDP($A111 &amp; " Corp",V$1))</f>
        <v>39280</v>
      </c>
      <c r="W111" s="127">
        <f ca="1">VALUE(_xll.BDP($A111 &amp; " Corp",W$1))</f>
        <v>39646</v>
      </c>
      <c r="X111" s="127">
        <f ca="1">VALUE(_xll.BDP($A111 &amp; " Corp",X$1))</f>
        <v>40741</v>
      </c>
      <c r="Y111" s="127">
        <f ca="1">VALUE(_xll.BDP($A111 &amp; " Corp",Y$1))</f>
        <v>41107</v>
      </c>
      <c r="Z111" s="128">
        <f ca="1">_xll.BDP($A111 &amp; " Corp",Z$1)/100</f>
        <v>5.3749999999999999E-2</v>
      </c>
      <c r="AA111" s="129">
        <f ca="1">_xll.BDP($A111 &amp; " Corp",AA$1)</f>
        <v>1</v>
      </c>
      <c r="AB111" s="129">
        <f ca="1">_xll.BDP($A111 &amp; " Corp",AB$1)</f>
        <v>1000000000</v>
      </c>
      <c r="AC111" s="129" t="str">
        <f ca="1">_xll.BDP($A111 &amp; " Corp",AC$1)</f>
        <v>ISMA-30/360</v>
      </c>
      <c r="AD111" s="130" t="str">
        <f ca="1">_xll.INSTANCE.YANKEE(A111,U111,V111,W111,X111,Y111,Z111,AA111,LEFT(AC111,11),3,IF(RIGHT(AC111,6)="NONEOM",FALSE,TRUE),TODAY())</f>
        <v>FR0010500843#0027</v>
      </c>
      <c r="AE111" s="130" t="str">
        <f ca="1">_xll.INSTANCE.CONVENTION.TAUX("conv_" &amp; A111,LEFT(AC111,11),"Compounded",IF(AA111=1,"Annual",IF(AA111=2,"Semi-Annual","")),"Unadjusted",TODAY())</f>
        <v>conv_FR0010500843#0027</v>
      </c>
    </row>
    <row r="112" spans="1:31" x14ac:dyDescent="0.2">
      <c r="A112" s="131" t="s">
        <v>670</v>
      </c>
      <c r="B112" s="115" t="str">
        <f ca="1">_xll.BDP($A112 &amp; " Govt",B$1)</f>
        <v>CADES 2 1/4 07/06/12</v>
      </c>
      <c r="C112" s="209" t="str">
        <f t="shared" ca="1" si="6"/>
        <v>CADES</v>
      </c>
      <c r="D112" s="116"/>
      <c r="E112" s="117"/>
      <c r="F112" s="118"/>
      <c r="G112" s="119"/>
      <c r="H112" s="120">
        <f ca="1">IF(E112="",_xll.BDP(A112 &amp; " Corp","YLD_YTM_ASK")/100,E112)</f>
        <v>8.8019775108527654E-4</v>
      </c>
      <c r="I112" s="121">
        <f ca="1">_xll.INSTRUMENT.PRIX(AD112,D112,H112,AE112)</f>
        <v>100.00600010965458</v>
      </c>
      <c r="J112" s="122">
        <f ca="1">_xll.INSTRUMENT.DV01(AD112,,,I112,cContinuous,I112)</f>
        <v>-2.793709015541929E-5</v>
      </c>
      <c r="K112" s="123">
        <f ca="1">_xll.INSTRUMENT.CONVEXITE(AD112,,,I112,cContinuous,I112)</f>
        <v>7.4651378064439232E-6</v>
      </c>
      <c r="L112" s="123">
        <f ca="1">_xll.INSTRUMENT.Z.SPREAD(AD112,swapCurve,I112,,D112)</f>
        <v>-10.096803800828315</v>
      </c>
      <c r="M112" s="123" t="e">
        <f ca="1">_xll.INSTRUMENT.Z.SPREAD(AD112,ustCurve,I112,,D112)</f>
        <v>#VALUE!</v>
      </c>
      <c r="N112" s="123">
        <f ca="1">_xll.INSTRUMENT.Z.SPREAD(AD112,oisCurve,I112,,D112)</f>
        <v>-8.7319412776522665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>
        <f t="shared" ca="1" si="7"/>
        <v>-0.26721243210778062</v>
      </c>
      <c r="R112" s="199" t="str">
        <f>IF(F112&lt;&gt;"","",IF(G112="","",-G112*(SUMIF('bench Comparison'!$A:$A,"RESINV1USD",'bench Comparison'!$G:$G)+SUMIF('bench Comparison'!$A:$A,"RESSWAPORUSD",'bench Comparison'!$G:$G))/(36500*J112)))</f>
        <v/>
      </c>
      <c r="S112" s="210" t="str">
        <f>IF(G112&lt;&gt;"","",IF(F112="","",-36500*J112*F112/(SUMIF('bench Comparison'!$A:$A,"RESINV1USD",'bench Comparison'!$G:$G)+SUMIF('bench Comparison'!$A:$A,"RESSWAPORUSD",'bench Comparison'!$G:$G))))</f>
        <v/>
      </c>
      <c r="T112" s="125">
        <f>SUMIF('bench Comparison'!$E:$E,A112,'bench Comparison'!$N:$N)</f>
        <v>0</v>
      </c>
      <c r="U112" s="126">
        <f ca="1">VALUE(_xll.BDP($A112 &amp; " Corp",U$1))</f>
        <v>40000</v>
      </c>
      <c r="V112" s="127">
        <f ca="1">VALUE(_xll.BDP($A112 &amp; " Corp",V$1))</f>
        <v>40000</v>
      </c>
      <c r="W112" s="127">
        <f ca="1">VALUE(_xll.BDP($A112 &amp; " Corp",W$1))</f>
        <v>40365</v>
      </c>
      <c r="X112" s="127">
        <f ca="1">VALUE(_xll.BDP($A112 &amp; " Corp",X$1))</f>
        <v>40730</v>
      </c>
      <c r="Y112" s="127">
        <f ca="1">VALUE(_xll.BDP($A112 &amp; " Corp",Y$1))</f>
        <v>41096</v>
      </c>
      <c r="Z112" s="128">
        <f ca="1">_xll.BDP($A112 &amp; " Corp",Z$1)/100</f>
        <v>2.2499999999999999E-2</v>
      </c>
      <c r="AA112" s="129">
        <f ca="1">_xll.BDP($A112 &amp; " Corp",AA$1)</f>
        <v>1</v>
      </c>
      <c r="AB112" s="129">
        <f ca="1">_xll.BDP($A112 &amp; " Corp",AB$1)</f>
        <v>1000000000</v>
      </c>
      <c r="AC112" s="129" t="str">
        <f ca="1">_xll.BDP($A112 &amp; " Corp",AC$1)</f>
        <v>ISMA-30/360</v>
      </c>
      <c r="AD112" s="130" t="str">
        <f ca="1">_xll.INSTANCE.YANKEE(A112,U112,V112,W112,X112,Y112,Z112,AA112,LEFT(AC112,11),3,IF(RIGHT(AC112,6)="NONEOM",FALSE,TRUE),TODAY())</f>
        <v>FR0010776674#0026</v>
      </c>
      <c r="AE112" s="130" t="str">
        <f ca="1">_xll.INSTANCE.CONVENTION.TAUX("conv_" &amp; A112,LEFT(AC112,11),"Compounded",IF(AA112=1,"Annual",IF(AA112=2,"Semi-Annual","")),"Unadjusted",TODAY())</f>
        <v>conv_FR0010776674#0026</v>
      </c>
    </row>
    <row r="113" spans="1:31" x14ac:dyDescent="0.2">
      <c r="A113" s="131" t="s">
        <v>696</v>
      </c>
      <c r="B113" s="115" t="str">
        <f ca="1">_xll.BDP($A113 &amp; " Govt",B$1)</f>
        <v>BNG 4 3/8 02/16/21</v>
      </c>
      <c r="C113" s="209" t="str">
        <f t="shared" ref="C113:C129" ca="1" si="8">LEFT(B113,SEARCH(" ",B113)-1)</f>
        <v>BNG</v>
      </c>
      <c r="D113" s="116"/>
      <c r="E113" s="117"/>
      <c r="F113" s="118"/>
      <c r="G113" s="119"/>
      <c r="H113" s="120">
        <f ca="1">IF(E113="",_xll.BDP(A113 &amp; " Corp","YLD_YTM_ASK")/100,E113)</f>
        <v>2.7522370000000001E-2</v>
      </c>
      <c r="I113" s="121">
        <f ca="1">_xll.INSTRUMENT.PRIX(AD113,D113,H113,AE113)</f>
        <v>112.36475323607935</v>
      </c>
      <c r="J113" s="122">
        <f ca="1">_xll.INSTRUMENT.DV01(AD113,,,I113,cContinuous,I113)</f>
        <v>-8.2758357880720168E-2</v>
      </c>
      <c r="K113" s="123">
        <f ca="1">_xll.INSTRUMENT.CONVEXITE(AD113,,,I113,cContinuous,I113)</f>
        <v>58.893755195563479</v>
      </c>
      <c r="L113" s="123">
        <f ca="1">_xll.INSTRUMENT.Z.SPREAD(AD113,swapCurve,I113,,D113)</f>
        <v>120.64302269415093</v>
      </c>
      <c r="M113" s="123">
        <f ca="1">_xll.INSTRUMENT.Z.SPREAD(AD113,ustCurve,I113,,D113)</f>
        <v>137.34922186217386</v>
      </c>
      <c r="N113" s="123">
        <f ca="1">_xll.INSTRUMENT.Z.SPREAD(AD113,oisCurve,I113,,D113)</f>
        <v>154.72080805566051</v>
      </c>
      <c r="O113" s="124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4.0536517630781192E-2</v>
      </c>
      <c r="P113" s="124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3.7542224364696661E-2</v>
      </c>
      <c r="Q113" s="143">
        <f t="shared" ref="Q113:Q129" ca="1" si="9">K113/J113</f>
        <v>-711.63513515392845</v>
      </c>
      <c r="R113" s="199" t="str">
        <f>IF(F113&lt;&gt;"","",IF(G113="","",-G113*(SUMIF('bench Comparison'!$A:$A,"RESINV1USD",'bench Comparison'!$G:$G)+SUMIF('bench Comparison'!$A:$A,"RESSWAPORUSD",'bench Comparison'!$G:$G))/(36500*J113)))</f>
        <v/>
      </c>
      <c r="S113" s="210" t="str">
        <f>IF(G113&lt;&gt;"","",IF(F113="","",-36500*J113*F113/(SUMIF('bench Comparison'!$A:$A,"RESINV1USD",'bench Comparison'!$G:$G)+SUMIF('bench Comparison'!$A:$A,"RESSWAPORUSD",'bench Comparison'!$G:$G))))</f>
        <v/>
      </c>
      <c r="T113" s="125">
        <f>SUMIF('bench Comparison'!$E:$E,A113,'bench Comparison'!$N:$N)</f>
        <v>0</v>
      </c>
      <c r="U113" s="126">
        <f ca="1">VALUE(_xll.BDP($A113 &amp; " Corp",U$1))</f>
        <v>40590</v>
      </c>
      <c r="V113" s="127">
        <f ca="1">VALUE(_xll.BDP($A113 &amp; " Corp",V$1))</f>
        <v>40590</v>
      </c>
      <c r="W113" s="127">
        <f ca="1">VALUE(_xll.BDP($A113 &amp; " Corp",W$1))</f>
        <v>40771</v>
      </c>
      <c r="X113" s="127">
        <f ca="1">VALUE(_xll.BDP($A113 &amp; " Corp",X$1))</f>
        <v>44059</v>
      </c>
      <c r="Y113" s="127">
        <f ca="1">VALUE(_xll.BDP($A113 &amp; " Corp",Y$1))</f>
        <v>44243</v>
      </c>
      <c r="Z113" s="128">
        <f ca="1">_xll.BDP($A113 &amp; " Corp",Z$1)/100</f>
        <v>4.3749999999999997E-2</v>
      </c>
      <c r="AA113" s="129">
        <f ca="1">_xll.BDP($A113 &amp; " Corp",AA$1)</f>
        <v>2</v>
      </c>
      <c r="AB113" s="129">
        <f ca="1">_xll.BDP($A113 &amp; " Corp",AB$1)</f>
        <v>1000000000</v>
      </c>
      <c r="AC113" s="129" t="str">
        <f ca="1">_xll.BDP($A113 &amp; " Corp",AC$1)</f>
        <v>ISMA-30/360</v>
      </c>
      <c r="AD113" s="130" t="str">
        <f ca="1">_xll.INSTANCE.YANKEE(A113,U113,V113,W113,X113,Y113,Z113,AA113,LEFT(AC113,11),3,IF(RIGHT(AC113,6)="NONEOM",FALSE,TRUE),TODAY())</f>
        <v>XS0592582653#0027</v>
      </c>
      <c r="AE113" s="130" t="str">
        <f ca="1">_xll.INSTANCE.CONVENTION.TAUX("conv_" &amp; A113,LEFT(AC113,11),"Compounded",IF(AA113=1,"Annual",IF(AA113=2,"Semi-Annual","")),"Unadjusted",TODAY())</f>
        <v>conv_XS0592582653#0027</v>
      </c>
    </row>
    <row r="114" spans="1:31" x14ac:dyDescent="0.2">
      <c r="A114" s="131" t="s">
        <v>698</v>
      </c>
      <c r="B114" s="115" t="str">
        <f ca="1">_xll.BDP($A114 &amp; " Govt",B$1)</f>
        <v>BNG 5 1/4 01/31/17</v>
      </c>
      <c r="C114" s="209" t="str">
        <f t="shared" ca="1" si="8"/>
        <v>BNG</v>
      </c>
      <c r="D114" s="116"/>
      <c r="E114" s="117"/>
      <c r="F114" s="118"/>
      <c r="G114" s="119"/>
      <c r="H114" s="120">
        <f ca="1">IF(E114="",_xll.BDP(A114 &amp; " Corp","YLD_YTM_ASK")/100,E114)</f>
        <v>1.8199673E-2</v>
      </c>
      <c r="I114" s="121">
        <f ca="1">_xll.INSTRUMENT.PRIX(AD114,D114,H114,AE114)</f>
        <v>114.89725122031699</v>
      </c>
      <c r="J114" s="122">
        <f ca="1">_xll.INSTRUMENT.DV01(AD114,,,I114,cContinuous,I114)</f>
        <v>-4.8487815680071912E-2</v>
      </c>
      <c r="K114" s="123">
        <f ca="1">_xll.INSTRUMENT.CONVEXITE(AD114,,,I114,cContinuous,I114)</f>
        <v>18.252867821705397</v>
      </c>
      <c r="L114" s="123">
        <f ca="1">_xll.INSTRUMENT.Z.SPREAD(AD114,swapCurve,I114,,D114)</f>
        <v>93.889360141897328</v>
      </c>
      <c r="M114" s="123">
        <f ca="1">_xll.INSTRUMENT.Z.SPREAD(AD114,ustCurve,I114,,D114)</f>
        <v>114.36106454539966</v>
      </c>
      <c r="N114" s="123">
        <f ca="1">_xll.INSTRUMENT.Z.SPREAD(AD114,oisCurve,I114,,D114)</f>
        <v>128.85362480939207</v>
      </c>
      <c r="O114" s="124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2.6707230883601871E-2</v>
      </c>
      <c r="P114" s="124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2.5872406669803671E-2</v>
      </c>
      <c r="Q114" s="143">
        <f t="shared" ca="1" si="9"/>
        <v>-376.44236115192075</v>
      </c>
      <c r="R114" s="199" t="str">
        <f>IF(F114&lt;&gt;"","",IF(G114="","",-G114*(SUMIF('bench Comparison'!$A:$A,"RESINV1USD",'bench Comparison'!$G:$G)+SUMIF('bench Comparison'!$A:$A,"RESSWAPORUSD",'bench Comparison'!$G:$G))/(36500*J114)))</f>
        <v/>
      </c>
      <c r="S114" s="210" t="str">
        <f>IF(G114&lt;&gt;"","",IF(F114="","",-36500*J114*F114/(SUMIF('bench Comparison'!$A:$A,"RESINV1USD",'bench Comparison'!$G:$G)+SUMIF('bench Comparison'!$A:$A,"RESSWAPORUSD",'bench Comparison'!$G:$G))))</f>
        <v/>
      </c>
      <c r="T114" s="125">
        <f>SUMIF('bench Comparison'!$E:$E,A114,'bench Comparison'!$N:$N)</f>
        <v>0</v>
      </c>
      <c r="U114" s="126">
        <f ca="1">VALUE(_xll.BDP($A114 &amp; " Corp",U$1))</f>
        <v>39113</v>
      </c>
      <c r="V114" s="127">
        <f ca="1">VALUE(_xll.BDP($A114 &amp; " Corp",V$1))</f>
        <v>39113</v>
      </c>
      <c r="W114" s="127">
        <f ca="1">VALUE(_xll.BDP($A114 &amp; " Corp",W$1))</f>
        <v>39478</v>
      </c>
      <c r="X114" s="127">
        <f ca="1">VALUE(_xll.BDP($A114 &amp; " Corp",X$1))</f>
        <v>42400</v>
      </c>
      <c r="Y114" s="127">
        <f ca="1">VALUE(_xll.BDP($A114 &amp; " Corp",Y$1))</f>
        <v>42766</v>
      </c>
      <c r="Z114" s="128">
        <f ca="1">_xll.BDP($A114 &amp; " Corp",Z$1)/100</f>
        <v>5.2499999999999998E-2</v>
      </c>
      <c r="AA114" s="129">
        <f ca="1">_xll.BDP($A114 &amp; " Corp",AA$1)</f>
        <v>1</v>
      </c>
      <c r="AB114" s="129">
        <f ca="1">_xll.BDP($A114 &amp; " Corp",AB$1)</f>
        <v>1250000000</v>
      </c>
      <c r="AC114" s="129" t="str">
        <f ca="1">_xll.BDP($A114 &amp; " Corp",AC$1)</f>
        <v>ISMA-30/360</v>
      </c>
      <c r="AD114" s="130" t="str">
        <f ca="1">_xll.INSTANCE.YANKEE(A114,U114,V114,W114,X114,Y114,Z114,AA114,LEFT(AC114,11),3,IF(RIGHT(AC114,6)="NONEOM",FALSE,TRUE),TODAY())</f>
        <v>XS0284982922#0027</v>
      </c>
      <c r="AE114" s="130" t="str">
        <f ca="1">_xll.INSTANCE.CONVENTION.TAUX("conv_" &amp; A114,LEFT(AC114,11),"Compounded",IF(AA114=1,"Annual",IF(AA114=2,"Semi-Annual","")),"Unadjusted",TODAY())</f>
        <v>conv_XS0284982922#0027</v>
      </c>
    </row>
    <row r="115" spans="1:31" x14ac:dyDescent="0.2">
      <c r="A115" s="131" t="s">
        <v>697</v>
      </c>
      <c r="B115" s="115" t="str">
        <f ca="1">_xll.BDP($A115 &amp; " Govt",B$1)</f>
        <v>BNG 5 1/8 10/05/16</v>
      </c>
      <c r="C115" s="209" t="str">
        <f t="shared" ca="1" si="8"/>
        <v>BNG</v>
      </c>
      <c r="D115" s="116"/>
      <c r="E115" s="117"/>
      <c r="F115" s="118"/>
      <c r="G115" s="119"/>
      <c r="H115" s="120">
        <f ca="1">IF(E115="",_xll.BDP(A115 &amp; " Corp","YLD_YTM_ASK")/100,E115)</f>
        <v>1.7705617999999999E-2</v>
      </c>
      <c r="I115" s="121">
        <f ca="1">_xll.INSTRUMENT.PRIX(AD115,D115,H115,AE115)</f>
        <v>113.60827096128817</v>
      </c>
      <c r="J115" s="122">
        <f ca="1">_xll.INSTRUMENT.DV01(AD115,,,I115,cContinuous,I115)</f>
        <v>-4.4921865766223319E-2</v>
      </c>
      <c r="K115" s="123">
        <f ca="1">_xll.INSTRUMENT.CONVEXITE(AD115,,,I115,cContinuous,I115)</f>
        <v>15.733046516725736</v>
      </c>
      <c r="L115" s="123">
        <f ca="1">_xll.INSTRUMENT.Z.SPREAD(AD115,swapCurve,I115,,D115)</f>
        <v>94.776496455391339</v>
      </c>
      <c r="M115" s="123">
        <f ca="1">_xll.INSTRUMENT.Z.SPREAD(AD115,ustCurve,I115,,D115)</f>
        <v>114.71261013896965</v>
      </c>
      <c r="N115" s="123">
        <f ca="1">_xll.INSTRUMENT.Z.SPREAD(AD115,oisCurve,I115,,D115)</f>
        <v>129.80080737321137</v>
      </c>
      <c r="O115" s="124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2.5997544150625156E-2</v>
      </c>
      <c r="P115" s="124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2.5147883624348454E-2</v>
      </c>
      <c r="Q115" s="143">
        <f t="shared" ca="1" si="9"/>
        <v>-350.23136836305201</v>
      </c>
      <c r="R115" s="199" t="str">
        <f>IF(F115&lt;&gt;"","",IF(G115="","",-G115*(SUMIF('bench Comparison'!$A:$A,"RESINV1USD",'bench Comparison'!$G:$G)+SUMIF('bench Comparison'!$A:$A,"RESSWAPORUSD",'bench Comparison'!$G:$G))/(36500*J115)))</f>
        <v/>
      </c>
      <c r="S115" s="210" t="str">
        <f>IF(G115&lt;&gt;"","",IF(F115="","",-36500*J115*F115/(SUMIF('bench Comparison'!$A:$A,"RESINV1USD",'bench Comparison'!$G:$G)+SUMIF('bench Comparison'!$A:$A,"RESSWAPORUSD",'bench Comparison'!$G:$G))))</f>
        <v/>
      </c>
      <c r="T115" s="125">
        <f>SUMIF('bench Comparison'!$E:$E,A115,'bench Comparison'!$N:$N)</f>
        <v>0</v>
      </c>
      <c r="U115" s="126">
        <f ca="1">VALUE(_xll.BDP($A115 &amp; " Corp",U$1))</f>
        <v>38995</v>
      </c>
      <c r="V115" s="127">
        <f ca="1">VALUE(_xll.BDP($A115 &amp; " Corp",V$1))</f>
        <v>38995</v>
      </c>
      <c r="W115" s="127">
        <f ca="1">VALUE(_xll.BDP($A115 &amp; " Corp",W$1))</f>
        <v>39360</v>
      </c>
      <c r="X115" s="127">
        <f ca="1">VALUE(_xll.BDP($A115 &amp; " Corp",X$1))</f>
        <v>42282</v>
      </c>
      <c r="Y115" s="127">
        <f ca="1">VALUE(_xll.BDP($A115 &amp; " Corp",Y$1))</f>
        <v>42648</v>
      </c>
      <c r="Z115" s="128">
        <f ca="1">_xll.BDP($A115 &amp; " Corp",Z$1)/100</f>
        <v>5.1249999999999997E-2</v>
      </c>
      <c r="AA115" s="129">
        <f ca="1">_xll.BDP($A115 &amp; " Corp",AA$1)</f>
        <v>1</v>
      </c>
      <c r="AB115" s="129">
        <f ca="1">_xll.BDP($A115 &amp; " Corp",AB$1)</f>
        <v>1000000000</v>
      </c>
      <c r="AC115" s="129" t="str">
        <f ca="1">_xll.BDP($A115 &amp; " Corp",AC$1)</f>
        <v>ISMA-30/360</v>
      </c>
      <c r="AD115" s="130" t="str">
        <f ca="1">_xll.INSTANCE.YANKEE(A115,U115,V115,W115,X115,Y115,Z115,AA115,LEFT(AC115,11),3,IF(RIGHT(AC115,6)="NONEOM",FALSE,TRUE),TODAY())</f>
        <v>XS0270250136#0027</v>
      </c>
      <c r="AE115" s="130" t="str">
        <f ca="1">_xll.INSTANCE.CONVENTION.TAUX("conv_" &amp; A115,LEFT(AC115,11),"Compounded",IF(AA115=1,"Annual",IF(AA115=2,"Semi-Annual","")),"Unadjusted",TODAY())</f>
        <v>conv_XS0270250136#0026</v>
      </c>
    </row>
    <row r="116" spans="1:31" x14ac:dyDescent="0.2">
      <c r="A116" s="131" t="s">
        <v>369</v>
      </c>
      <c r="B116" s="115" t="str">
        <f ca="1">_xll.BDP($A116 &amp; " Govt",B$1)</f>
        <v>BNG 2 1/2 01/11/16</v>
      </c>
      <c r="C116" s="209" t="str">
        <f t="shared" ca="1" si="8"/>
        <v>BNG</v>
      </c>
      <c r="D116" s="116"/>
      <c r="E116" s="117"/>
      <c r="F116" s="118"/>
      <c r="G116" s="119"/>
      <c r="H116" s="120">
        <f ca="1">IF(E116="",_xll.BDP(A116 &amp; " Corp","YLD_YTM_ASK")/100,E116)</f>
        <v>1.5866027000000001E-2</v>
      </c>
      <c r="I116" s="121">
        <f ca="1">_xll.INSTRUMENT.PRIX(AD116,D116,H116,AE116)</f>
        <v>103.11173542041325</v>
      </c>
      <c r="J116" s="122">
        <f ca="1">_xll.INSTRUMENT.DV01(AD116,,,I116,cContinuous,I116)</f>
        <v>-3.4989111905412006E-2</v>
      </c>
      <c r="K116" s="123">
        <f ca="1">_xll.INSTRUMENT.CONVEXITE(AD116,,,I116,cContinuous,I116)</f>
        <v>11.637141398994279</v>
      </c>
      <c r="L116" s="123">
        <f ca="1">_xll.INSTRUMENT.Z.SPREAD(AD116,swapCurve,I116,,D116)</f>
        <v>89.398897846454702</v>
      </c>
      <c r="M116" s="123">
        <f ca="1">_xll.INSTRUMENT.Z.SPREAD(AD116,ustCurve,I116,,D116)</f>
        <v>107.47462024266794</v>
      </c>
      <c r="N116" s="123">
        <f ca="1">_xll.INSTRUMENT.Z.SPREAD(AD116,oisCurve,I116,,D116)</f>
        <v>124.42733719669025</v>
      </c>
      <c r="O116" s="124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2.246292267551071E-2</v>
      </c>
      <c r="P116" s="124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2.0835487517123087E-2</v>
      </c>
      <c r="Q116" s="143">
        <f t="shared" ca="1" si="9"/>
        <v>-332.59322015527584</v>
      </c>
      <c r="R116" s="199" t="str">
        <f>IF(F116&lt;&gt;"","",IF(G116="","",-G116*(SUMIF('bench Comparison'!$A:$A,"RESINV1USD",'bench Comparison'!$G:$G)+SUMIF('bench Comparison'!$A:$A,"RESSWAPORUSD",'bench Comparison'!$G:$G))/(36500*J116)))</f>
        <v/>
      </c>
      <c r="S116" s="210" t="str">
        <f>IF(G116&lt;&gt;"","",IF(F116="","",-36500*J116*F116/(SUMIF('bench Comparison'!$A:$A,"RESINV1USD",'bench Comparison'!$G:$G)+SUMIF('bench Comparison'!$A:$A,"RESSWAPORUSD",'bench Comparison'!$G:$G))))</f>
        <v/>
      </c>
      <c r="T116" s="125">
        <f>SUMIF('bench Comparison'!$E:$E,A116,'bench Comparison'!$N:$N)</f>
        <v>30000000</v>
      </c>
      <c r="U116" s="126">
        <f ca="1">VALUE(_xll.BDP($A116 &amp; " Corp",U$1))</f>
        <v>40554</v>
      </c>
      <c r="V116" s="127">
        <f ca="1">VALUE(_xll.BDP($A116 &amp; " Corp",V$1))</f>
        <v>40554</v>
      </c>
      <c r="W116" s="127">
        <f ca="1">VALUE(_xll.BDP($A116 &amp; " Corp",W$1))</f>
        <v>40735</v>
      </c>
      <c r="X116" s="127">
        <f ca="1">VALUE(_xll.BDP($A116 &amp; " Corp",X$1))</f>
        <v>42196</v>
      </c>
      <c r="Y116" s="127">
        <f ca="1">VALUE(_xll.BDP($A116 &amp; " Corp",Y$1))</f>
        <v>42380</v>
      </c>
      <c r="Z116" s="128">
        <f ca="1">_xll.BDP($A116 &amp; " Corp",Z$1)/100</f>
        <v>2.5000000000000001E-2</v>
      </c>
      <c r="AA116" s="129">
        <f ca="1">_xll.BDP($A116 &amp; " Corp",AA$1)</f>
        <v>2</v>
      </c>
      <c r="AB116" s="129">
        <f ca="1">_xll.BDP($A116 &amp; " Corp",AB$1)</f>
        <v>1500000000</v>
      </c>
      <c r="AC116" s="129" t="str">
        <f ca="1">_xll.BDP($A116 &amp; " Corp",AC$1)</f>
        <v>ISMA-30/360</v>
      </c>
      <c r="AD116" s="130" t="str">
        <f ca="1">_xll.INSTANCE.YANKEE(A116,U116,V116,W116,X116,Y116,Z116,AA116,LEFT(AC116,11),3,IF(RIGHT(AC116,6)="NONEOM",FALSE,TRUE),TODAY())</f>
        <v>XS0576210289#0027</v>
      </c>
      <c r="AE116" s="130" t="str">
        <f ca="1">_xll.INSTANCE.CONVENTION.TAUX("conv_" &amp; A116,LEFT(AC116,11),"Compounded",IF(AA116=1,"Annual",IF(AA116=2,"Semi-Annual","")),"Unadjusted",TODAY())</f>
        <v>conv_XS0576210289#0026</v>
      </c>
    </row>
    <row r="117" spans="1:31" x14ac:dyDescent="0.2">
      <c r="A117" s="131" t="s">
        <v>367</v>
      </c>
      <c r="B117" s="115" t="str">
        <f ca="1">_xll.BDP($A117 &amp; " Govt",B$1)</f>
        <v>BNG 1 3/4 10/06/15</v>
      </c>
      <c r="C117" s="209" t="str">
        <f t="shared" ca="1" si="8"/>
        <v>BNG</v>
      </c>
      <c r="D117" s="116"/>
      <c r="E117" s="117"/>
      <c r="F117" s="118"/>
      <c r="G117" s="119"/>
      <c r="H117" s="120">
        <f ca="1">IF(E117="",_xll.BDP(A117 &amp; " Corp","YLD_YTM_ASK")/100,E117)</f>
        <v>1.4116890999999999E-2</v>
      </c>
      <c r="I117" s="121">
        <f ca="1">_xll.INSTRUMENT.PRIX(AD117,D117,H117,AE117)</f>
        <v>101.07086828255726</v>
      </c>
      <c r="J117" s="122">
        <f ca="1">_xll.INSTRUMENT.DV01(AD117,,,I117,cContinuous,I117)</f>
        <v>-3.2120131510599337E-2</v>
      </c>
      <c r="K117" s="123">
        <f ca="1">_xll.INSTRUMENT.CONVEXITE(AD117,,,I117,cContinuous,I117)</f>
        <v>10.198846675939615</v>
      </c>
      <c r="L117" s="123">
        <f ca="1">_xll.INSTRUMENT.Z.SPREAD(AD117,swapCurve,I117,,D117)</f>
        <v>75.945914652188094</v>
      </c>
      <c r="M117" s="123">
        <f ca="1">_xll.INSTRUMENT.Z.SPREAD(AD117,ustCurve,I117,,D117)</f>
        <v>93.617840138902139</v>
      </c>
      <c r="N117" s="123">
        <f ca="1">_xll.INSTRUMENT.Z.SPREAD(AD117,oisCurve,I117,,D117)</f>
        <v>111.15302264764031</v>
      </c>
      <c r="O117" s="124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1.951514947586204E-2</v>
      </c>
      <c r="P117" s="124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1.7841161039447342E-2</v>
      </c>
      <c r="Q117" s="143">
        <f t="shared" ca="1" si="9"/>
        <v>-317.52194640218374</v>
      </c>
      <c r="R117" s="199" t="str">
        <f>IF(F117&lt;&gt;"","",IF(G117="","",-G117*(SUMIF('bench Comparison'!$A:$A,"RESINV1USD",'bench Comparison'!$G:$G)+SUMIF('bench Comparison'!$A:$A,"RESSWAPORUSD",'bench Comparison'!$G:$G))/(36500*J117)))</f>
        <v/>
      </c>
      <c r="S117" s="210" t="str">
        <f>IF(G117&lt;&gt;"","",IF(F117="","",-36500*J117*F117/(SUMIF('bench Comparison'!$A:$A,"RESINV1USD",'bench Comparison'!$G:$G)+SUMIF('bench Comparison'!$A:$A,"RESSWAPORUSD",'bench Comparison'!$G:$G))))</f>
        <v/>
      </c>
      <c r="T117" s="125">
        <f>SUMIF('bench Comparison'!$E:$E,A117,'bench Comparison'!$N:$N)</f>
        <v>57000000</v>
      </c>
      <c r="U117" s="126">
        <f ca="1">VALUE(_xll.BDP($A117 &amp; " Corp",U$1))</f>
        <v>40457</v>
      </c>
      <c r="V117" s="127">
        <f ca="1">VALUE(_xll.BDP($A117 &amp; " Corp",V$1))</f>
        <v>40457</v>
      </c>
      <c r="W117" s="127">
        <f ca="1">VALUE(_xll.BDP($A117 &amp; " Corp",W$1))</f>
        <v>40639</v>
      </c>
      <c r="X117" s="127">
        <f ca="1">VALUE(_xll.BDP($A117 &amp; " Corp",X$1))</f>
        <v>42100</v>
      </c>
      <c r="Y117" s="127">
        <f ca="1">VALUE(_xll.BDP($A117 &amp; " Corp",Y$1))</f>
        <v>42283</v>
      </c>
      <c r="Z117" s="128">
        <f ca="1">_xll.BDP($A117 &amp; " Corp",Z$1)/100</f>
        <v>1.7500000000000002E-2</v>
      </c>
      <c r="AA117" s="129">
        <f ca="1">_xll.BDP($A117 &amp; " Corp",AA$1)</f>
        <v>2</v>
      </c>
      <c r="AB117" s="129">
        <f ca="1">_xll.BDP($A117 &amp; " Corp",AB$1)</f>
        <v>1500000000</v>
      </c>
      <c r="AC117" s="129" t="str">
        <f ca="1">_xll.BDP($A117 &amp; " Corp",AC$1)</f>
        <v>ISMA-30/360</v>
      </c>
      <c r="AD117" s="130" t="str">
        <f ca="1">_xll.INSTANCE.YANKEE(A117,U117,V117,W117,X117,Y117,Z117,AA117,LEFT(AC117,11),3,IF(RIGHT(AC117,6)="NONEOM",FALSE,TRUE),TODAY())</f>
        <v>XS0546548636#0027</v>
      </c>
      <c r="AE117" s="130" t="str">
        <f ca="1">_xll.INSTANCE.CONVENTION.TAUX("conv_" &amp; A117,LEFT(AC117,11),"Compounded",IF(AA117=1,"Annual",IF(AA117=2,"Semi-Annual","")),"Unadjusted",TODAY())</f>
        <v>conv_XS0546548636#0026</v>
      </c>
    </row>
    <row r="118" spans="1:31" x14ac:dyDescent="0.2">
      <c r="A118" s="131" t="s">
        <v>363</v>
      </c>
      <c r="B118" s="115" t="str">
        <f ca="1">_xll.BDP($A118 &amp; " Govt",B$1)</f>
        <v>BNG 2 3/4 07/01/15</v>
      </c>
      <c r="C118" s="209" t="str">
        <f t="shared" ca="1" si="8"/>
        <v>BNG</v>
      </c>
      <c r="D118" s="116"/>
      <c r="E118" s="117"/>
      <c r="F118" s="118"/>
      <c r="G118" s="119"/>
      <c r="H118" s="120">
        <f ca="1">IF(E118="",_xll.BDP(A118 &amp; " Corp","YLD_YTM_ASK")/100,E118)</f>
        <v>1.3369789999999999E-2</v>
      </c>
      <c r="I118" s="121">
        <f ca="1">_xll.INSTRUMENT.PRIX(AD118,D118,H118,AE118)</f>
        <v>104.11299996938838</v>
      </c>
      <c r="J118" s="122">
        <f ca="1">_xll.INSTRUMENT.DV01(AD118,,,I118,cContinuous,I118)</f>
        <v>-3.03041975914029E-2</v>
      </c>
      <c r="K118" s="123">
        <f ca="1">_xll.INSTRUMENT.CONVEXITE(AD118,,,I118,cContinuous,I118)</f>
        <v>8.5911486264216723</v>
      </c>
      <c r="L118" s="123">
        <f ca="1">_xll.INSTRUMENT.Z.SPREAD(AD118,swapCurve,I118,,D118)</f>
        <v>71.336499447606698</v>
      </c>
      <c r="M118" s="123">
        <f ca="1">_xll.INSTRUMENT.Z.SPREAD(AD118,ustCurve,I118,,D118)</f>
        <v>89.076178704621128</v>
      </c>
      <c r="N118" s="123">
        <f ca="1">_xll.INSTRUMENT.Z.SPREAD(AD118,oisCurve,I118,,D118)</f>
        <v>106.81738714197665</v>
      </c>
      <c r="O118" s="124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1.6770487957496014E-2</v>
      </c>
      <c r="P118" s="124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1.6205512413097055E-2</v>
      </c>
      <c r="Q118" s="143">
        <f t="shared" ca="1" si="9"/>
        <v>-283.49698422171468</v>
      </c>
      <c r="R118" s="199" t="str">
        <f>IF(F118&lt;&gt;"","",IF(G118="","",-G118*(SUMIF('bench Comparison'!$A:$A,"RESINV1USD",'bench Comparison'!$G:$G)+SUMIF('bench Comparison'!$A:$A,"RESSWAPORUSD",'bench Comparison'!$G:$G))/(36500*J118)))</f>
        <v/>
      </c>
      <c r="S118" s="210" t="str">
        <f>IF(G118&lt;&gt;"","",IF(F118="","",-36500*J118*F118/(SUMIF('bench Comparison'!$A:$A,"RESINV1USD",'bench Comparison'!$G:$G)+SUMIF('bench Comparison'!$A:$A,"RESSWAPORUSD",'bench Comparison'!$G:$G))))</f>
        <v/>
      </c>
      <c r="T118" s="125">
        <f>SUMIF('bench Comparison'!$E:$E,A118,'bench Comparison'!$N:$N)</f>
        <v>27000000</v>
      </c>
      <c r="U118" s="126">
        <f ca="1">VALUE(_xll.BDP($A118 &amp; " Corp",U$1))</f>
        <v>40360</v>
      </c>
      <c r="V118" s="127">
        <f ca="1">VALUE(_xll.BDP($A118 &amp; " Corp",V$1))</f>
        <v>40360</v>
      </c>
      <c r="W118" s="127">
        <f ca="1">VALUE(_xll.BDP($A118 &amp; " Corp",W$1))</f>
        <v>40725</v>
      </c>
      <c r="X118" s="127">
        <f ca="1">VALUE(_xll.BDP($A118 &amp; " Corp",X$1))</f>
        <v>41821</v>
      </c>
      <c r="Y118" s="127">
        <f ca="1">VALUE(_xll.BDP($A118 &amp; " Corp",Y$1))</f>
        <v>42186</v>
      </c>
      <c r="Z118" s="128">
        <f ca="1">_xll.BDP($A118 &amp; " Corp",Z$1)/100</f>
        <v>2.75E-2</v>
      </c>
      <c r="AA118" s="129">
        <f ca="1">_xll.BDP($A118 &amp; " Corp",AA$1)</f>
        <v>1</v>
      </c>
      <c r="AB118" s="129">
        <f ca="1">_xll.BDP($A118 &amp; " Corp",AB$1)</f>
        <v>1000000000</v>
      </c>
      <c r="AC118" s="129" t="str">
        <f ca="1">_xll.BDP($A118 &amp; " Corp",AC$1)</f>
        <v>ISMA-30/360</v>
      </c>
      <c r="AD118" s="130" t="str">
        <f ca="1">_xll.INSTANCE.YANKEE(A118,U118,V118,W118,X118,Y118,Z118,AA118,LEFT(AC118,11),3,IF(RIGHT(AC118,6)="NONEOM",FALSE,TRUE),TODAY())</f>
        <v>XS0521024132#0026</v>
      </c>
      <c r="AE118" s="130" t="str">
        <f ca="1">_xll.INSTANCE.CONVENTION.TAUX("conv_" &amp; A118,LEFT(AC118,11),"Compounded",IF(AA118=1,"Annual",IF(AA118=2,"Semi-Annual","")),"Unadjusted",TODAY())</f>
        <v>conv_XS0521024132#0027</v>
      </c>
    </row>
    <row r="119" spans="1:31" x14ac:dyDescent="0.2">
      <c r="A119" s="131" t="s">
        <v>689</v>
      </c>
      <c r="B119" s="115" t="str">
        <f ca="1">_xll.BDP($A119 &amp; " Govt",B$1)</f>
        <v>BNG 1 3/8 03/23/15</v>
      </c>
      <c r="C119" s="209" t="str">
        <f t="shared" ca="1" si="8"/>
        <v>BNG</v>
      </c>
      <c r="D119" s="116"/>
      <c r="E119" s="117"/>
      <c r="F119" s="118"/>
      <c r="G119" s="119"/>
      <c r="H119" s="120">
        <f ca="1">IF(E119="",_xll.BDP(A119 &amp; " Corp","YLD_YTM_ASK")/100,E119)</f>
        <v>1.2415078E-2</v>
      </c>
      <c r="I119" s="121">
        <f ca="1">_xll.INSTRUMENT.PRIX(AD119,D119,H119,AE119)</f>
        <v>100.35490643425294</v>
      </c>
      <c r="J119" s="122">
        <f ca="1">_xll.INSTRUMENT.DV01(AD119,,,I119,cContinuous,I119)</f>
        <v>-2.6830828137717668E-2</v>
      </c>
      <c r="K119" s="123">
        <f ca="1">_xll.INSTRUMENT.CONVEXITE(AD119,,,I119,cContinuous,I119)</f>
        <v>7.1829021346041531</v>
      </c>
      <c r="L119" s="123">
        <f ca="1">_xll.INSTRUMENT.Z.SPREAD(AD119,swapCurve,I119,,D119)</f>
        <v>64.929393917991732</v>
      </c>
      <c r="M119" s="123">
        <f ca="1">_xll.INSTRUMENT.Z.SPREAD(AD119,ustCurve,I119,,D119)</f>
        <v>83.142058542753972</v>
      </c>
      <c r="N119" s="123">
        <f ca="1">_xll.INSTRUMENT.Z.SPREAD(AD119,oisCurve,I119,,D119)</f>
        <v>100.25235105590889</v>
      </c>
      <c r="O119" s="124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1.5915352105347055E-2</v>
      </c>
      <c r="P119" s="124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1.4738518982191796E-2</v>
      </c>
      <c r="Q119" s="143">
        <f t="shared" ca="1" si="9"/>
        <v>-267.71078767064688</v>
      </c>
      <c r="R119" s="199" t="str">
        <f>IF(F119&lt;&gt;"","",IF(G119="","",-G119*(SUMIF('bench Comparison'!$A:$A,"RESINV1USD",'bench Comparison'!$G:$G)+SUMIF('bench Comparison'!$A:$A,"RESSWAPORUSD",'bench Comparison'!$G:$G))/(36500*J119)))</f>
        <v/>
      </c>
      <c r="S119" s="210" t="str">
        <f>IF(G119&lt;&gt;"","",IF(F119="","",-36500*J119*F119/(SUMIF('bench Comparison'!$A:$A,"RESINV1USD",'bench Comparison'!$G:$G)+SUMIF('bench Comparison'!$A:$A,"RESSWAPORUSD",'bench Comparison'!$G:$G))))</f>
        <v/>
      </c>
      <c r="T119" s="125">
        <f>SUMIF('bench Comparison'!$E:$E,A119,'bench Comparison'!$N:$N)</f>
        <v>0</v>
      </c>
      <c r="U119" s="126">
        <f ca="1">VALUE(_xll.BDP($A119 &amp; " Corp",U$1))</f>
        <v>40991</v>
      </c>
      <c r="V119" s="127">
        <f ca="1">VALUE(_xll.BDP($A119 &amp; " Corp",V$1))</f>
        <v>40991</v>
      </c>
      <c r="W119" s="127">
        <f ca="1">VALUE(_xll.BDP($A119 &amp; " Corp",W$1))</f>
        <v>41175</v>
      </c>
      <c r="X119" s="127">
        <f ca="1">VALUE(_xll.BDP($A119 &amp; " Corp",X$1))</f>
        <v>41905</v>
      </c>
      <c r="Y119" s="127">
        <f ca="1">VALUE(_xll.BDP($A119 &amp; " Corp",Y$1))</f>
        <v>42086</v>
      </c>
      <c r="Z119" s="128">
        <f ca="1">_xll.BDP($A119 &amp; " Corp",Z$1)/100</f>
        <v>1.375E-2</v>
      </c>
      <c r="AA119" s="129">
        <f ca="1">_xll.BDP($A119 &amp; " Corp",AA$1)</f>
        <v>2</v>
      </c>
      <c r="AB119" s="129">
        <f ca="1">_xll.BDP($A119 &amp; " Corp",AB$1)</f>
        <v>2500000000</v>
      </c>
      <c r="AC119" s="129" t="str">
        <f ca="1">_xll.BDP($A119 &amp; " Corp",AC$1)</f>
        <v>ISMA-30/360</v>
      </c>
      <c r="AD119" s="130" t="str">
        <f ca="1">_xll.INSTANCE.YANKEE(A119,U119,V119,W119,X119,Y119,Z119,AA119,LEFT(AC119,11),3,IF(RIGHT(AC119,6)="NONEOM",FALSE,TRUE),TODAY())</f>
        <v>XS0760314103#0027</v>
      </c>
      <c r="AE119" s="130" t="str">
        <f ca="1">_xll.INSTANCE.CONVENTION.TAUX("conv_" &amp; A119,LEFT(AC119,11),"Compounded",IF(AA119=1,"Annual",IF(AA119=2,"Semi-Annual","")),"Unadjusted",TODAY())</f>
        <v>conv_XS0760314103#0026</v>
      </c>
    </row>
    <row r="120" spans="1:31" x14ac:dyDescent="0.2">
      <c r="A120" s="131" t="s">
        <v>692</v>
      </c>
      <c r="B120" s="115" t="str">
        <f ca="1">_xll.BDP($A120 &amp; " Govt",B$1)</f>
        <v>BNG 3 1/8 01/12/15</v>
      </c>
      <c r="C120" s="209" t="str">
        <f t="shared" ca="1" si="8"/>
        <v>BNG</v>
      </c>
      <c r="D120" s="116"/>
      <c r="E120" s="117"/>
      <c r="F120" s="118"/>
      <c r="G120" s="119"/>
      <c r="H120" s="120">
        <f ca="1">IF(E120="",_xll.BDP(A120 &amp; " Corp","YLD_YTM_ASK")/100,E120)</f>
        <v>1.1822584000000001E-2</v>
      </c>
      <c r="I120" s="121">
        <f ca="1">_xll.INSTRUMENT.PRIX(AD120,D120,H120,AE120)</f>
        <v>104.78969707398241</v>
      </c>
      <c r="J120" s="122">
        <f ca="1">_xll.INSTRUMENT.DV01(AD120,,,I120,cContinuous,I120)</f>
        <v>-2.5880478104623083E-2</v>
      </c>
      <c r="K120" s="123">
        <f ca="1">_xll.INSTRUMENT.CONVEXITE(AD120,,,I120,cContinuous,I120)</f>
        <v>6.0659327908689677</v>
      </c>
      <c r="L120" s="123">
        <f ca="1">_xll.INSTRUMENT.Z.SPREAD(AD120,swapCurve,I120,,D120)</f>
        <v>60.233750310986679</v>
      </c>
      <c r="M120" s="123">
        <f ca="1">_xll.INSTRUMENT.Z.SPREAD(AD120,ustCurve,I120,,D120)</f>
        <v>78.58324110023122</v>
      </c>
      <c r="N120" s="123">
        <f ca="1">_xll.INSTRUMENT.Z.SPREAD(AD120,oisCurve,I120,,D120)</f>
        <v>94.940066733443729</v>
      </c>
      <c r="O120" s="124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1.390959624042111E-2</v>
      </c>
      <c r="P120" s="124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1.3837979892809616E-2</v>
      </c>
      <c r="Q120" s="143">
        <f t="shared" ca="1" si="9"/>
        <v>-234.38256304026308</v>
      </c>
      <c r="R120" s="199" t="str">
        <f>IF(F120&lt;&gt;"","",IF(G120="","",-G120*(SUMIF('bench Comparison'!$A:$A,"RESINV1USD",'bench Comparison'!$G:$G)+SUMIF('bench Comparison'!$A:$A,"RESSWAPORUSD",'bench Comparison'!$G:$G))/(36500*J120)))</f>
        <v/>
      </c>
      <c r="S120" s="210" t="str">
        <f>IF(G120&lt;&gt;"","",IF(F120="","",-36500*J120*F120/(SUMIF('bench Comparison'!$A:$A,"RESINV1USD",'bench Comparison'!$G:$G)+SUMIF('bench Comparison'!$A:$A,"RESSWAPORUSD",'bench Comparison'!$G:$G))))</f>
        <v/>
      </c>
      <c r="T120" s="125">
        <f>SUMIF('bench Comparison'!$E:$E,A120,'bench Comparison'!$N:$N)</f>
        <v>0</v>
      </c>
      <c r="U120" s="126">
        <f ca="1">VALUE(_xll.BDP($A120 &amp; " Corp",U$1))</f>
        <v>40190</v>
      </c>
      <c r="V120" s="127">
        <f ca="1">VALUE(_xll.BDP($A120 &amp; " Corp",V$1))</f>
        <v>40190</v>
      </c>
      <c r="W120" s="127">
        <f ca="1">VALUE(_xll.BDP($A120 &amp; " Corp",W$1))</f>
        <v>40555</v>
      </c>
      <c r="X120" s="127">
        <f ca="1">VALUE(_xll.BDP($A120 &amp; " Corp",X$1))</f>
        <v>41651</v>
      </c>
      <c r="Y120" s="127">
        <f ca="1">VALUE(_xll.BDP($A120 &amp; " Corp",Y$1))</f>
        <v>42016</v>
      </c>
      <c r="Z120" s="128">
        <f ca="1">_xll.BDP($A120 &amp; " Corp",Z$1)/100</f>
        <v>3.125E-2</v>
      </c>
      <c r="AA120" s="129">
        <f ca="1">_xll.BDP($A120 &amp; " Corp",AA$1)</f>
        <v>1</v>
      </c>
      <c r="AB120" s="129">
        <f ca="1">_xll.BDP($A120 &amp; " Corp",AB$1)</f>
        <v>1000000000</v>
      </c>
      <c r="AC120" s="129" t="str">
        <f ca="1">_xll.BDP($A120 &amp; " Corp",AC$1)</f>
        <v>ISMA-30/360</v>
      </c>
      <c r="AD120" s="130" t="str">
        <f ca="1">_xll.INSTANCE.YANKEE(A120,U120,V120,W120,X120,Y120,Z120,AA120,LEFT(AC120,11),3,IF(RIGHT(AC120,6)="NONEOM",FALSE,TRUE),TODAY())</f>
        <v>XS0477137813#0027</v>
      </c>
      <c r="AE120" s="130" t="str">
        <f ca="1">_xll.INSTANCE.CONVENTION.TAUX("conv_" &amp; A120,LEFT(AC120,11),"Compounded",IF(AA120=1,"Annual",IF(AA120=2,"Semi-Annual","")),"Unadjusted",TODAY())</f>
        <v>conv_XS0477137813#0027</v>
      </c>
    </row>
    <row r="121" spans="1:31" x14ac:dyDescent="0.2">
      <c r="A121" s="131" t="s">
        <v>688</v>
      </c>
      <c r="B121" s="115" t="str">
        <f ca="1">_xll.BDP($A121 &amp; " Govt",B$1)</f>
        <v>BNG 1 11/17/14</v>
      </c>
      <c r="C121" s="209" t="str">
        <f t="shared" ca="1" si="8"/>
        <v>BNG</v>
      </c>
      <c r="D121" s="116"/>
      <c r="E121" s="117"/>
      <c r="F121" s="118"/>
      <c r="G121" s="119"/>
      <c r="H121" s="120">
        <f ca="1">IF(E121="",_xll.BDP(A121 &amp; " Corp","YLD_YTM_ASK")/100,E121)</f>
        <v>1.0668152E-2</v>
      </c>
      <c r="I121" s="121">
        <f ca="1">_xll.INSTRUMENT.PRIX(AD121,D121,H121,AE121)</f>
        <v>99.84392704703842</v>
      </c>
      <c r="J121" s="122">
        <f ca="1">_xll.INSTRUMENT.DV01(AD121,,,I121,cContinuous,I121)</f>
        <v>-2.3432328919924042E-2</v>
      </c>
      <c r="K121" s="123">
        <f ca="1">_xll.INSTRUMENT.CONVEXITE(AD121,,,I121,cContinuous,I121)</f>
        <v>5.5297801835549079</v>
      </c>
      <c r="L121" s="123">
        <f ca="1">_xll.INSTRUMENT.Z.SPREAD(AD121,swapCurve,I121,,D121)</f>
        <v>50.207236189974665</v>
      </c>
      <c r="M121" s="123">
        <f ca="1">_xll.INSTRUMENT.Z.SPREAD(AD121,ustCurve,I121,,D121)</f>
        <v>68.977826068703834</v>
      </c>
      <c r="N121" s="123">
        <f ca="1">_xll.INSTRUMENT.Z.SPREAD(AD121,oisCurve,I121,,D121)</f>
        <v>84.424939878172083</v>
      </c>
      <c r="O121" s="124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1.3179775283932882E-2</v>
      </c>
      <c r="P121" s="124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1.216615357734605E-2</v>
      </c>
      <c r="Q121" s="143">
        <f t="shared" ca="1" si="9"/>
        <v>-235.98935481197714</v>
      </c>
      <c r="R121" s="199" t="str">
        <f>IF(F121&lt;&gt;"","",IF(G121="","",-G121*(SUMIF('bench Comparison'!$A:$A,"RESINV1USD",'bench Comparison'!$G:$G)+SUMIF('bench Comparison'!$A:$A,"RESSWAPORUSD",'bench Comparison'!$G:$G))/(36500*J121)))</f>
        <v/>
      </c>
      <c r="S121" s="210" t="str">
        <f>IF(G121&lt;&gt;"","",IF(F121="","",-36500*J121*F121/(SUMIF('bench Comparison'!$A:$A,"RESINV1USD",'bench Comparison'!$G:$G)+SUMIF('bench Comparison'!$A:$A,"RESSWAPORUSD",'bench Comparison'!$G:$G))))</f>
        <v/>
      </c>
      <c r="T121" s="125">
        <f>SUMIF('bench Comparison'!$E:$E,A121,'bench Comparison'!$N:$N)</f>
        <v>0</v>
      </c>
      <c r="U121" s="126">
        <f ca="1">VALUE(_xll.BDP($A121 &amp; " Corp",U$1))</f>
        <v>40864</v>
      </c>
      <c r="V121" s="127">
        <f ca="1">VALUE(_xll.BDP($A121 &amp; " Corp",V$1))</f>
        <v>40864</v>
      </c>
      <c r="W121" s="127">
        <f ca="1">VALUE(_xll.BDP($A121 &amp; " Corp",W$1))</f>
        <v>41046</v>
      </c>
      <c r="X121" s="127">
        <f ca="1">VALUE(_xll.BDP($A121 &amp; " Corp",X$1))</f>
        <v>41776</v>
      </c>
      <c r="Y121" s="127">
        <f ca="1">VALUE(_xll.BDP($A121 &amp; " Corp",Y$1))</f>
        <v>41960</v>
      </c>
      <c r="Z121" s="128">
        <f ca="1">_xll.BDP($A121 &amp; " Corp",Z$1)/100</f>
        <v>0.01</v>
      </c>
      <c r="AA121" s="129">
        <f ca="1">_xll.BDP($A121 &amp; " Corp",AA$1)</f>
        <v>2</v>
      </c>
      <c r="AB121" s="129">
        <f ca="1">_xll.BDP($A121 &amp; " Corp",AB$1)</f>
        <v>2000000000</v>
      </c>
      <c r="AC121" s="129" t="str">
        <f ca="1">_xll.BDP($A121 &amp; " Corp",AC$1)</f>
        <v>ISMA-30/360</v>
      </c>
      <c r="AD121" s="130" t="str">
        <f ca="1">_xll.INSTANCE.YANKEE(A121,U121,V121,W121,X121,Y121,Z121,AA121,LEFT(AC121,11),3,IF(RIGHT(AC121,6)="NONEOM",FALSE,TRUE),TODAY())</f>
        <v>XS0705646452#0027</v>
      </c>
      <c r="AE121" s="130" t="str">
        <f ca="1">_xll.INSTANCE.CONVENTION.TAUX("conv_" &amp; A121,LEFT(AC121,11),"Compounded",IF(AA121=1,"Annual",IF(AA121=2,"Semi-Annual","")),"Unadjusted",TODAY())</f>
        <v>conv_XS0705646452#0027</v>
      </c>
    </row>
    <row r="122" spans="1:31" x14ac:dyDescent="0.2">
      <c r="A122" s="131" t="s">
        <v>342</v>
      </c>
      <c r="B122" s="115" t="str">
        <f ca="1">_xll.BDP($A122 &amp; " Govt",B$1)</f>
        <v>BNG 5 05/16/14</v>
      </c>
      <c r="C122" s="209" t="str">
        <f t="shared" ca="1" si="8"/>
        <v>BNG</v>
      </c>
      <c r="D122" s="116"/>
      <c r="E122" s="117"/>
      <c r="F122" s="118"/>
      <c r="G122" s="119"/>
      <c r="H122" s="120">
        <f ca="1">IF(E122="",_xll.BDP(A122 &amp; " Corp","YLD_YTM_ASK")/100,E122)</f>
        <v>9.7184620000000006E-3</v>
      </c>
      <c r="I122" s="121">
        <f ca="1">_xll.INSTRUMENT.PRIX(AD122,D122,H122,AE122)</f>
        <v>107.40199993232535</v>
      </c>
      <c r="J122" s="122">
        <f ca="1">_xll.INSTRUMENT.DV01(AD122,,,I122,cContinuous,I122)</f>
        <v>-1.9625501679232601E-2</v>
      </c>
      <c r="K122" s="123">
        <f ca="1">_xll.INSTRUMENT.CONVEXITE(AD122,,,I122,cContinuous,I122)</f>
        <v>3.3408642913626156</v>
      </c>
      <c r="L122" s="123">
        <f ca="1">_xll.INSTRUMENT.Z.SPREAD(AD122,swapCurve,I122,,D122)</f>
        <v>43.829651133708595</v>
      </c>
      <c r="M122" s="123">
        <f ca="1">_xll.INSTRUMENT.Z.SPREAD(AD122,ustCurve,I122,,D122)</f>
        <v>63.455239569167581</v>
      </c>
      <c r="N122" s="123">
        <f ca="1">_xll.INSTRUMENT.Z.SPREAD(AD122,oisCurve,I122,,D122)</f>
        <v>76.386309914045015</v>
      </c>
      <c r="O122" s="124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9.4937497260899114E-3</v>
      </c>
      <c r="P122" s="124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1.1005037146179876E-2</v>
      </c>
      <c r="Q122" s="143">
        <f t="shared" ca="1" si="9"/>
        <v>-170.23077147107358</v>
      </c>
      <c r="R122" s="199" t="str">
        <f>IF(F122&lt;&gt;"","",IF(G122="","",-G122*(SUMIF('bench Comparison'!$A:$A,"RESINV1USD",'bench Comparison'!$G:$G)+SUMIF('bench Comparison'!$A:$A,"RESSWAPORUSD",'bench Comparison'!$G:$G))/(36500*J122)))</f>
        <v/>
      </c>
      <c r="S122" s="210" t="str">
        <f>IF(G122&lt;&gt;"","",IF(F122="","",-36500*J122*F122/(SUMIF('bench Comparison'!$A:$A,"RESINV1USD",'bench Comparison'!$G:$G)+SUMIF('bench Comparison'!$A:$A,"RESSWAPORUSD",'bench Comparison'!$G:$G))))</f>
        <v/>
      </c>
      <c r="T122" s="125">
        <f>SUMIF('bench Comparison'!$E:$E,A122,'bench Comparison'!$N:$N)</f>
        <v>30000000</v>
      </c>
      <c r="U122" s="126">
        <f ca="1">VALUE(_xll.BDP($A122 &amp; " Corp",U$1))</f>
        <v>39218</v>
      </c>
      <c r="V122" s="127">
        <f ca="1">VALUE(_xll.BDP($A122 &amp; " Corp",V$1))</f>
        <v>39218</v>
      </c>
      <c r="W122" s="127">
        <f ca="1">VALUE(_xll.BDP($A122 &amp; " Corp",W$1))</f>
        <v>39584</v>
      </c>
      <c r="X122" s="127">
        <f ca="1">VALUE(_xll.BDP($A122 &amp; " Corp",X$1))</f>
        <v>41410</v>
      </c>
      <c r="Y122" s="127">
        <f ca="1">VALUE(_xll.BDP($A122 &amp; " Corp",Y$1))</f>
        <v>41775</v>
      </c>
      <c r="Z122" s="128">
        <f ca="1">_xll.BDP($A122 &amp; " Corp",Z$1)/100</f>
        <v>0.05</v>
      </c>
      <c r="AA122" s="129">
        <f ca="1">_xll.BDP($A122 &amp; " Corp",AA$1)</f>
        <v>1</v>
      </c>
      <c r="AB122" s="129">
        <f ca="1">_xll.BDP($A122 &amp; " Corp",AB$1)</f>
        <v>750000000</v>
      </c>
      <c r="AC122" s="129" t="str">
        <f ca="1">_xll.BDP($A122 &amp; " Corp",AC$1)</f>
        <v>ISMA-30/360</v>
      </c>
      <c r="AD122" s="130" t="str">
        <f ca="1">_xll.INSTANCE.YANKEE(A122,U122,V122,W122,X122,Y122,Z122,AA122,LEFT(AC122,11),3,IF(RIGHT(AC122,6)="NONEOM",FALSE,TRUE),TODAY())</f>
        <v>XS0300990529#0027</v>
      </c>
      <c r="AE122" s="130" t="str">
        <f ca="1">_xll.INSTANCE.CONVENTION.TAUX("conv_" &amp; A122,LEFT(AC122,11),"Compounded",IF(AA122=1,"Annual",IF(AA122=2,"Semi-Annual","")),"Unadjusted",TODAY())</f>
        <v>conv_XS0300990529#0027</v>
      </c>
    </row>
    <row r="123" spans="1:31" x14ac:dyDescent="0.2">
      <c r="A123" s="131" t="s">
        <v>336</v>
      </c>
      <c r="B123" s="115" t="str">
        <f ca="1">_xll.BDP($A123 &amp; " Govt",B$1)</f>
        <v>BNG 1 1/2 03/28/14</v>
      </c>
      <c r="C123" s="209" t="str">
        <f t="shared" ca="1" si="8"/>
        <v>BNG</v>
      </c>
      <c r="D123" s="116"/>
      <c r="E123" s="117"/>
      <c r="F123" s="118"/>
      <c r="G123" s="119"/>
      <c r="H123" s="120">
        <f ca="1">IF(E123="",_xll.BDP(A123 &amp; " Corp","YLD_YTM_ASK")/100,E123)</f>
        <v>9.2062710000000002E-3</v>
      </c>
      <c r="I123" s="121">
        <f ca="1">_xll.INSTRUMENT.PRIX(AD123,D123,H123,AE123)</f>
        <v>100.99196217700946</v>
      </c>
      <c r="J123" s="122">
        <f ca="1">_xll.INSTRUMENT.DV01(AD123,,,I123,cContinuous,I123)</f>
        <v>-1.7292588958102206E-2</v>
      </c>
      <c r="K123" s="123">
        <f ca="1">_xll.INSTRUMENT.CONVEXITE(AD123,,,I123,cContinuous,I123)</f>
        <v>2.9336841663965942</v>
      </c>
      <c r="L123" s="123">
        <f ca="1">_xll.INSTRUMENT.Z.SPREAD(AD123,swapCurve,I123,,D123)</f>
        <v>39.622842637499573</v>
      </c>
      <c r="M123" s="123">
        <f ca="1">_xll.INSTRUMENT.Z.SPREAD(AD123,ustCurve,I123,,D123)</f>
        <v>60.070260836067739</v>
      </c>
      <c r="N123" s="123">
        <f ca="1">_xll.INSTRUMENT.Z.SPREAD(AD123,oisCurve,I123,,D123)</f>
        <v>71.99668019375774</v>
      </c>
      <c r="O123" s="124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1.0544681173717688E-2</v>
      </c>
      <c r="P123" s="124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1.0158582817215437E-2</v>
      </c>
      <c r="Q123" s="143">
        <f t="shared" ca="1" si="9"/>
        <v>-169.64979468976833</v>
      </c>
      <c r="R123" s="199" t="str">
        <f>IF(F123&lt;&gt;"","",IF(G123="","",-G123*(SUMIF('bench Comparison'!$A:$A,"RESINV1USD",'bench Comparison'!$G:$G)+SUMIF('bench Comparison'!$A:$A,"RESSWAPORUSD",'bench Comparison'!$G:$G))/(36500*J123)))</f>
        <v/>
      </c>
      <c r="S123" s="210" t="str">
        <f>IF(G123&lt;&gt;"","",IF(F123="","",-36500*J123*F123/(SUMIF('bench Comparison'!$A:$A,"RESINV1USD",'bench Comparison'!$G:$G)+SUMIF('bench Comparison'!$A:$A,"RESSWAPORUSD",'bench Comparison'!$G:$G))))</f>
        <v/>
      </c>
      <c r="T123" s="125">
        <f>SUMIF('bench Comparison'!$E:$E,A123,'bench Comparison'!$N:$N)</f>
        <v>39000000</v>
      </c>
      <c r="U123" s="126">
        <f ca="1">VALUE(_xll.BDP($A123 &amp; " Corp",U$1))</f>
        <v>40632</v>
      </c>
      <c r="V123" s="127">
        <f ca="1">VALUE(_xll.BDP($A123 &amp; " Corp",V$1))</f>
        <v>40632</v>
      </c>
      <c r="W123" s="127">
        <f ca="1">VALUE(_xll.BDP($A123 &amp; " Corp",W$1))</f>
        <v>40814</v>
      </c>
      <c r="X123" s="127">
        <f ca="1">VALUE(_xll.BDP($A123 &amp; " Corp",X$1))</f>
        <v>41545</v>
      </c>
      <c r="Y123" s="127">
        <f ca="1">VALUE(_xll.BDP($A123 &amp; " Corp",Y$1))</f>
        <v>41726</v>
      </c>
      <c r="Z123" s="128">
        <f ca="1">_xll.BDP($A123 &amp; " Corp",Z$1)/100</f>
        <v>1.4999999999999999E-2</v>
      </c>
      <c r="AA123" s="129">
        <f ca="1">_xll.BDP($A123 &amp; " Corp",AA$1)</f>
        <v>2</v>
      </c>
      <c r="AB123" s="129">
        <f ca="1">_xll.BDP($A123 &amp; " Corp",AB$1)</f>
        <v>2000000000</v>
      </c>
      <c r="AC123" s="129" t="str">
        <f ca="1">_xll.BDP($A123 &amp; " Corp",AC$1)</f>
        <v>ISMA-30/360</v>
      </c>
      <c r="AD123" s="130" t="str">
        <f ca="1">_xll.INSTANCE.YANKEE(A123,U123,V123,W123,X123,Y123,Z123,AA123,LEFT(AC123,11),3,IF(RIGHT(AC123,6)="NONEOM",FALSE,TRUE),TODAY())</f>
        <v>XS0610555681#0027</v>
      </c>
      <c r="AE123" s="130" t="str">
        <f ca="1">_xll.INSTANCE.CONVENTION.TAUX("conv_" &amp; A123,LEFT(AC123,11),"Compounded",IF(AA123=1,"Annual",IF(AA123=2,"Semi-Annual","")),"Unadjusted",TODAY())</f>
        <v>conv_XS0610555681#0026</v>
      </c>
    </row>
    <row r="124" spans="1:31" x14ac:dyDescent="0.2">
      <c r="A124" s="131" t="s">
        <v>695</v>
      </c>
      <c r="B124" s="115" t="str">
        <f ca="1">_xll.BDP($A124 &amp; " Govt",B$1)</f>
        <v>BNG 4 3/8 07/24/13</v>
      </c>
      <c r="C124" s="209" t="str">
        <f t="shared" ca="1" si="8"/>
        <v>BNG</v>
      </c>
      <c r="D124" s="116"/>
      <c r="E124" s="117"/>
      <c r="F124" s="118"/>
      <c r="G124" s="119"/>
      <c r="H124" s="120">
        <f ca="1">IF(E124="",_xll.BDP(A124 &amp; " Corp","YLD_YTM_ASK")/100,E124)</f>
        <v>7.300356E-3</v>
      </c>
      <c r="I124" s="121">
        <f ca="1">_xll.INSTRUMENT.PRIX(AD124,D124,H124,AE124)</f>
        <v>103.80800005203487</v>
      </c>
      <c r="J124" s="122">
        <f ca="1">_xll.INSTRUMENT.DV01(AD124,,,I124,cContinuous,I124)</f>
        <v>-1.0905793440157626E-2</v>
      </c>
      <c r="K124" s="123">
        <f ca="1">_xll.INSTRUMENT.CONVEXITE(AD124,,,I124,cContinuous,I124)</f>
        <v>1.0593706164142807</v>
      </c>
      <c r="L124" s="123">
        <f ca="1">_xll.INSTRUMENT.Z.SPREAD(AD124,swapCurve,I124,,D124)</f>
        <v>23.792173066007081</v>
      </c>
      <c r="M124" s="123">
        <f ca="1">_xll.INSTRUMENT.Z.SPREAD(AD124,ustCurve,I124,,D124)</f>
        <v>46.392043393268025</v>
      </c>
      <c r="N124" s="123">
        <f ca="1">_xll.INSTRUMENT.Z.SPREAD(AD124,oisCurve,I124,,D124)</f>
        <v>54.283885402475555</v>
      </c>
      <c r="O124" s="124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6.6841083226094012E-3</v>
      </c>
      <c r="P124" s="124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8.0765056609788839E-3</v>
      </c>
      <c r="Q124" s="143">
        <f t="shared" ca="1" si="9"/>
        <v>-97.138334980143284</v>
      </c>
      <c r="R124" s="199" t="str">
        <f>IF(F124&lt;&gt;"","",IF(G124="","",-G124*(SUMIF('bench Comparison'!$A:$A,"RESINV1USD",'bench Comparison'!$G:$G)+SUMIF('bench Comparison'!$A:$A,"RESSWAPORUSD",'bench Comparison'!$G:$G))/(36500*J124)))</f>
        <v/>
      </c>
      <c r="S124" s="210" t="str">
        <f>IF(G124&lt;&gt;"","",IF(F124="","",-36500*J124*F124/(SUMIF('bench Comparison'!$A:$A,"RESINV1USD",'bench Comparison'!$G:$G)+SUMIF('bench Comparison'!$A:$A,"RESSWAPORUSD",'bench Comparison'!$G:$G))))</f>
        <v/>
      </c>
      <c r="T124" s="125">
        <f>SUMIF('bench Comparison'!$E:$E,A124,'bench Comparison'!$N:$N)</f>
        <v>0</v>
      </c>
      <c r="U124" s="126">
        <f ca="1">VALUE(_xll.BDP($A124 &amp; " Corp",U$1))</f>
        <v>39623</v>
      </c>
      <c r="V124" s="127">
        <f ca="1">VALUE(_xll.BDP($A124 &amp; " Corp",V$1))</f>
        <v>39623</v>
      </c>
      <c r="W124" s="127">
        <f ca="1">VALUE(_xll.BDP($A124 &amp; " Corp",W$1))</f>
        <v>40018</v>
      </c>
      <c r="X124" s="127">
        <f ca="1">VALUE(_xll.BDP($A124 &amp; " Corp",X$1))</f>
        <v>41114</v>
      </c>
      <c r="Y124" s="127">
        <f ca="1">VALUE(_xll.BDP($A124 &amp; " Corp",Y$1))</f>
        <v>41479</v>
      </c>
      <c r="Z124" s="128">
        <f ca="1">_xll.BDP($A124 &amp; " Corp",Z$1)/100</f>
        <v>4.3749999999999997E-2</v>
      </c>
      <c r="AA124" s="129">
        <f ca="1">_xll.BDP($A124 &amp; " Corp",AA$1)</f>
        <v>1</v>
      </c>
      <c r="AB124" s="129">
        <f ca="1">_xll.BDP($A124 &amp; " Corp",AB$1)</f>
        <v>1000000000</v>
      </c>
      <c r="AC124" s="129" t="str">
        <f ca="1">_xll.BDP($A124 &amp; " Corp",AC$1)</f>
        <v>ISMA-30/360</v>
      </c>
      <c r="AD124" s="130" t="str">
        <f ca="1">_xll.INSTANCE.YANKEE(A124,U124,V124,W124,X124,Y124,Z124,AA124,LEFT(AC124,11),3,IF(RIGHT(AC124,6)="NONEOM",FALSE,TRUE),TODAY())</f>
        <v>XS0372089572#0026</v>
      </c>
      <c r="AE124" s="130" t="str">
        <f ca="1">_xll.INSTANCE.CONVENTION.TAUX("conv_" &amp; A124,LEFT(AC124,11),"Compounded",IF(AA124=1,"Annual",IF(AA124=2,"Semi-Annual","")),"Unadjusted",TODAY())</f>
        <v>conv_XS0372089572#0027</v>
      </c>
    </row>
    <row r="125" spans="1:31" x14ac:dyDescent="0.2">
      <c r="A125" s="131" t="s">
        <v>694</v>
      </c>
      <c r="B125" s="115" t="str">
        <f ca="1">_xll.BDP($A125 &amp; " Govt",B$1)</f>
        <v>BNG 3 3/4 07/15/13</v>
      </c>
      <c r="C125" s="209" t="str">
        <f t="shared" ca="1" si="8"/>
        <v>BNG</v>
      </c>
      <c r="D125" s="116"/>
      <c r="E125" s="117"/>
      <c r="F125" s="118"/>
      <c r="G125" s="119"/>
      <c r="H125" s="120">
        <f ca="1">IF(E125="",_xll.BDP(A125 &amp; " Corp","YLD_YTM_ASK")/100,E125)</f>
        <v>6.9551209999999999E-3</v>
      </c>
      <c r="I125" s="121">
        <f ca="1">_xll.INSTRUMENT.PRIX(AD125,D125,H125,AE125)</f>
        <v>103.11692786080208</v>
      </c>
      <c r="J125" s="122">
        <f ca="1">_xll.INSTRUMENT.DV01(AD125,,,I125,cContinuous,I125)</f>
        <v>-1.0580965849378366E-2</v>
      </c>
      <c r="K125" s="123">
        <f ca="1">_xll.INSTRUMENT.CONVEXITE(AD125,,,I125,cContinuous,I125)</f>
        <v>1.0158393151395377</v>
      </c>
      <c r="L125" s="123">
        <f ca="1">_xll.INSTRUMENT.Z.SPREAD(AD125,swapCurve,I125,,D125)</f>
        <v>20.440582794728993</v>
      </c>
      <c r="M125" s="123">
        <f ca="1">_xll.INSTRUMENT.Z.SPREAD(AD125,ustCurve,I125,,D125)</f>
        <v>43.335100761805464</v>
      </c>
      <c r="N125" s="123">
        <f ca="1">_xll.INSTRUMENT.Z.SPREAD(AD125,oisCurve,I125,,D125)</f>
        <v>50.847932419321538</v>
      </c>
      <c r="O125" s="124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6.5002152658213659E-3</v>
      </c>
      <c r="P125" s="124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7.6558158705634588E-3</v>
      </c>
      <c r="Q125" s="143">
        <f t="shared" ca="1" si="9"/>
        <v>-96.006293716487008</v>
      </c>
      <c r="R125" s="199" t="str">
        <f>IF(F125&lt;&gt;"","",IF(G125="","",-G125*(SUMIF('bench Comparison'!$A:$A,"RESINV1USD",'bench Comparison'!$G:$G)+SUMIF('bench Comparison'!$A:$A,"RESSWAPORUSD",'bench Comparison'!$G:$G))/(36500*J125)))</f>
        <v/>
      </c>
      <c r="S125" s="210" t="str">
        <f>IF(G125&lt;&gt;"","",IF(F125="","",-36500*J125*F125/(SUMIF('bench Comparison'!$A:$A,"RESINV1USD",'bench Comparison'!$G:$G)+SUMIF('bench Comparison'!$A:$A,"RESSWAPORUSD",'bench Comparison'!$G:$G))))</f>
        <v/>
      </c>
      <c r="T125" s="125">
        <f>SUMIF('bench Comparison'!$E:$E,A125,'bench Comparison'!$N:$N)</f>
        <v>0</v>
      </c>
      <c r="U125" s="126">
        <f ca="1">VALUE(_xll.BDP($A125 &amp; " Corp",U$1))</f>
        <v>37817</v>
      </c>
      <c r="V125" s="127">
        <f ca="1">VALUE(_xll.BDP($A125 &amp; " Corp",V$1))</f>
        <v>37817</v>
      </c>
      <c r="W125" s="127">
        <f ca="1">VALUE(_xll.BDP($A125 &amp; " Corp",W$1))</f>
        <v>38183</v>
      </c>
      <c r="X125" s="127">
        <f ca="1">VALUE(_xll.BDP($A125 &amp; " Corp",X$1))</f>
        <v>41105</v>
      </c>
      <c r="Y125" s="127">
        <f ca="1">VALUE(_xll.BDP($A125 &amp; " Corp",Y$1))</f>
        <v>41470</v>
      </c>
      <c r="Z125" s="128">
        <f ca="1">_xll.BDP($A125 &amp; " Corp",Z$1)/100</f>
        <v>3.7499999999999999E-2</v>
      </c>
      <c r="AA125" s="129">
        <f ca="1">_xll.BDP($A125 &amp; " Corp",AA$1)</f>
        <v>1</v>
      </c>
      <c r="AB125" s="129">
        <f ca="1">_xll.BDP($A125 &amp; " Corp",AB$1)</f>
        <v>2500000000</v>
      </c>
      <c r="AC125" s="129" t="str">
        <f ca="1">_xll.BDP($A125 &amp; " Corp",AC$1)</f>
        <v>ISMA-30/360</v>
      </c>
      <c r="AD125" s="130" t="str">
        <f ca="1">_xll.INSTANCE.YANKEE(A125,U125,V125,W125,X125,Y125,Z125,AA125,LEFT(AC125,11),3,IF(RIGHT(AC125,6)="NONEOM",FALSE,TRUE),TODAY())</f>
        <v>XS0172157876#0027</v>
      </c>
      <c r="AE125" s="130" t="str">
        <f ca="1">_xll.INSTANCE.CONVENTION.TAUX("conv_" &amp; A125,LEFT(AC125,11),"Compounded",IF(AA125=1,"Annual",IF(AA125=2,"Semi-Annual","")),"Unadjusted",TODAY())</f>
        <v>conv_XS0172157876#0027</v>
      </c>
    </row>
    <row r="126" spans="1:31" x14ac:dyDescent="0.2">
      <c r="A126" s="131" t="s">
        <v>693</v>
      </c>
      <c r="B126" s="115" t="str">
        <f ca="1">_xll.BDP($A126 &amp; " Govt",B$1)</f>
        <v>BNG 3 3/8 05/15/13</v>
      </c>
      <c r="C126" s="209" t="str">
        <f t="shared" ca="1" si="8"/>
        <v>BNG</v>
      </c>
      <c r="D126" s="116"/>
      <c r="E126" s="117"/>
      <c r="F126" s="118"/>
      <c r="G126" s="119"/>
      <c r="H126" s="120">
        <f ca="1">IF(E126="",_xll.BDP(A126 &amp; " Corp","YLD_YTM_ASK")/100,E126)</f>
        <v>5.8285379613523336E-3</v>
      </c>
      <c r="I126" s="121">
        <f ca="1">_xll.INSTRUMENT.PRIX(AD126,D126,H126,AE126)</f>
        <v>102.3902074554107</v>
      </c>
      <c r="J126" s="122">
        <f ca="1">_xll.INSTRUMENT.DV01(AD126,,,I126,cContinuous,I126)</f>
        <v>-8.8348252997951585E-3</v>
      </c>
      <c r="K126" s="123">
        <f ca="1">_xll.INSTRUMENT.CONVEXITE(AD126,,,I126,cContinuous,I126)</f>
        <v>0.7377548463985627</v>
      </c>
      <c r="L126" s="123">
        <f ca="1">_xll.INSTRUMENT.Z.SPREAD(AD126,swapCurve,I126,,D126)</f>
        <v>9.9741535657923777</v>
      </c>
      <c r="M126" s="123">
        <f ca="1">_xll.INSTRUMENT.Z.SPREAD(AD126,ustCurve,I126,,D126)</f>
        <v>34.296541367236387</v>
      </c>
      <c r="N126" s="123">
        <f ca="1">_xll.INSTRUMENT.Z.SPREAD(AD126,oisCurve,I126,,D126)</f>
        <v>39.852124070250959</v>
      </c>
      <c r="O126" s="124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5.3657576801294585E-3</v>
      </c>
      <c r="P126" s="124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6.6839341798424412E-3</v>
      </c>
      <c r="Q126" s="143">
        <f t="shared" ca="1" si="9"/>
        <v>-83.505312370542072</v>
      </c>
      <c r="R126" s="199" t="str">
        <f>IF(F126&lt;&gt;"","",IF(G126="","",-G126*(SUMIF('bench Comparison'!$A:$A,"RESINV1USD",'bench Comparison'!$G:$G)+SUMIF('bench Comparison'!$A:$A,"RESSWAPORUSD",'bench Comparison'!$G:$G))/(36500*J126)))</f>
        <v/>
      </c>
      <c r="S126" s="210" t="str">
        <f>IF(G126&lt;&gt;"","",IF(F126="","",-36500*J126*F126/(SUMIF('bench Comparison'!$A:$A,"RESINV1USD",'bench Comparison'!$G:$G)+SUMIF('bench Comparison'!$A:$A,"RESSWAPORUSD",'bench Comparison'!$G:$G))))</f>
        <v/>
      </c>
      <c r="T126" s="125">
        <f>SUMIF('bench Comparison'!$E:$E,A126,'bench Comparison'!$N:$N)</f>
        <v>0</v>
      </c>
      <c r="U126" s="126">
        <f ca="1">VALUE(_xll.BDP($A126 &amp; " Corp",U$1))</f>
        <v>39526</v>
      </c>
      <c r="V126" s="127">
        <f ca="1">VALUE(_xll.BDP($A126 &amp; " Corp",V$1))</f>
        <v>39526</v>
      </c>
      <c r="W126" s="127">
        <f ca="1">VALUE(_xll.BDP($A126 &amp; " Corp",W$1))</f>
        <v>39583</v>
      </c>
      <c r="X126" s="127">
        <f ca="1">VALUE(_xll.BDP($A126 &amp; " Corp",X$1))</f>
        <v>41044</v>
      </c>
      <c r="Y126" s="127">
        <f ca="1">VALUE(_xll.BDP($A126 &amp; " Corp",Y$1))</f>
        <v>41409</v>
      </c>
      <c r="Z126" s="128">
        <f ca="1">_xll.BDP($A126 &amp; " Corp",Z$1)/100</f>
        <v>3.3750000000000002E-2</v>
      </c>
      <c r="AA126" s="129">
        <f ca="1">_xll.BDP($A126 &amp; " Corp",AA$1)</f>
        <v>1</v>
      </c>
      <c r="AB126" s="129">
        <f ca="1">_xll.BDP($A126 &amp; " Corp",AB$1)</f>
        <v>1000000000</v>
      </c>
      <c r="AC126" s="129" t="str">
        <f ca="1">_xll.BDP($A126 &amp; " Corp",AC$1)</f>
        <v>ISMA-30/360</v>
      </c>
      <c r="AD126" s="130" t="str">
        <f ca="1">_xll.INSTANCE.YANKEE(A126,U126,V126,W126,X126,Y126,Z126,AA126,LEFT(AC126,11),3,IF(RIGHT(AC126,6)="NONEOM",FALSE,TRUE),TODAY())</f>
        <v>XS0353485492#0026</v>
      </c>
      <c r="AE126" s="130" t="str">
        <f ca="1">_xll.INSTANCE.CONVENTION.TAUX("conv_" &amp; A126,LEFT(AC126,11),"Compounded",IF(AA126=1,"Annual",IF(AA126=2,"Semi-Annual","")),"Unadjusted",TODAY())</f>
        <v>conv_XS0353485492#0026</v>
      </c>
    </row>
    <row r="127" spans="1:31" x14ac:dyDescent="0.2">
      <c r="A127" s="131" t="s">
        <v>690</v>
      </c>
      <c r="B127" s="115" t="str">
        <f ca="1">_xll.BDP($A127 &amp; " Govt",B$1)</f>
        <v>BNG 1 7/8 03/01/13</v>
      </c>
      <c r="C127" s="209" t="str">
        <f t="shared" ca="1" si="8"/>
        <v>BNG</v>
      </c>
      <c r="D127" s="116"/>
      <c r="E127" s="117"/>
      <c r="F127" s="118"/>
      <c r="G127" s="119"/>
      <c r="H127" s="120">
        <f ca="1">IF(E127="",_xll.BDP(A127 &amp; " Corp","YLD_YTM_ASK")/100,E127)</f>
        <v>4.0560929096332106E-3</v>
      </c>
      <c r="I127" s="121">
        <f ca="1">_xll.INSTRUMENT.PRIX(AD127,D127,H127,AE127)</f>
        <v>100.9591878832756</v>
      </c>
      <c r="J127" s="122">
        <f ca="1">_xll.INSTRUMENT.DV01(AD127,,,I127,cContinuous,I127)</f>
        <v>-6.6393486451443986E-3</v>
      </c>
      <c r="K127" s="123">
        <f ca="1">_xll.INSTRUMENT.CONVEXITE(AD127,,,I127,cContinuous,I127)</f>
        <v>0.42699313119348331</v>
      </c>
      <c r="L127" s="123">
        <f ca="1">_xll.INSTRUMENT.Z.SPREAD(AD127,swapCurve,I127,,D127)</f>
        <v>-6.15713183319028</v>
      </c>
      <c r="M127" s="123">
        <f ca="1">_xll.INSTRUMENT.Z.SPREAD(AD127,ustCurve,I127,,D127)</f>
        <v>20.368212227427552</v>
      </c>
      <c r="N127" s="123">
        <f ca="1">_xll.INSTRUMENT.Z.SPREAD(AD127,oisCurve,I127,,D127)</f>
        <v>22.362130143613832</v>
      </c>
      <c r="O127" s="124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4.5800559557130178E-3</v>
      </c>
      <c r="P127" s="124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4.2719156186899598E-3</v>
      </c>
      <c r="Q127" s="143">
        <f t="shared" ca="1" si="9"/>
        <v>-64.312503231135366</v>
      </c>
      <c r="R127" s="199" t="str">
        <f>IF(F127&lt;&gt;"","",IF(G127="","",-G127*(SUMIF('bench Comparison'!$A:$A,"RESINV1USD",'bench Comparison'!$G:$G)+SUMIF('bench Comparison'!$A:$A,"RESSWAPORUSD",'bench Comparison'!$G:$G))/(36500*J127)))</f>
        <v/>
      </c>
      <c r="S127" s="210" t="str">
        <f>IF(G127&lt;&gt;"","",IF(F127="","",-36500*J127*F127/(SUMIF('bench Comparison'!$A:$A,"RESINV1USD",'bench Comparison'!$G:$G)+SUMIF('bench Comparison'!$A:$A,"RESSWAPORUSD",'bench Comparison'!$G:$G))))</f>
        <v/>
      </c>
      <c r="T127" s="125">
        <f>SUMIF('bench Comparison'!$E:$E,A127,'bench Comparison'!$N:$N)</f>
        <v>0</v>
      </c>
      <c r="U127" s="126">
        <f ca="1">VALUE(_xll.BDP($A127 &amp; " Corp",U$1))</f>
        <v>40238</v>
      </c>
      <c r="V127" s="127">
        <f ca="1">VALUE(_xll.BDP($A127 &amp; " Corp",V$1))</f>
        <v>40238</v>
      </c>
      <c r="W127" s="127">
        <f ca="1">VALUE(_xll.BDP($A127 &amp; " Corp",W$1))</f>
        <v>40603</v>
      </c>
      <c r="X127" s="127">
        <f ca="1">VALUE(_xll.BDP($A127 &amp; " Corp",X$1))</f>
        <v>40969</v>
      </c>
      <c r="Y127" s="127">
        <f ca="1">VALUE(_xll.BDP($A127 &amp; " Corp",Y$1))</f>
        <v>41334</v>
      </c>
      <c r="Z127" s="128">
        <f ca="1">_xll.BDP($A127 &amp; " Corp",Z$1)/100</f>
        <v>1.8749999999999999E-2</v>
      </c>
      <c r="AA127" s="129">
        <f ca="1">_xll.BDP($A127 &amp; " Corp",AA$1)</f>
        <v>1</v>
      </c>
      <c r="AB127" s="129">
        <f ca="1">_xll.BDP($A127 &amp; " Corp",AB$1)</f>
        <v>1000000000</v>
      </c>
      <c r="AC127" s="129" t="str">
        <f ca="1">_xll.BDP($A127 &amp; " Corp",AC$1)</f>
        <v>ISMA-30/360</v>
      </c>
      <c r="AD127" s="130" t="str">
        <f ca="1">_xll.INSTANCE.YANKEE(A127,U127,V127,W127,X127,Y127,Z127,AA127,LEFT(AC127,11),3,IF(RIGHT(AC127,6)="NONEOM",FALSE,TRUE),TODAY())</f>
        <v>XS0490844718#0027</v>
      </c>
      <c r="AE127" s="130" t="str">
        <f ca="1">_xll.INSTANCE.CONVENTION.TAUX("conv_" &amp; A127,LEFT(AC127,11),"Compounded",IF(AA127=1,"Annual",IF(AA127=2,"Semi-Annual","")),"Unadjusted",TODAY())</f>
        <v>conv_XS0490844718#0026</v>
      </c>
    </row>
    <row r="128" spans="1:31" x14ac:dyDescent="0.2">
      <c r="A128" s="131" t="s">
        <v>298</v>
      </c>
      <c r="B128" s="115" t="str">
        <f ca="1">_xll.BDP($A128 &amp; " Govt",B$1)</f>
        <v>BNG 0 3/4 11/23/12</v>
      </c>
      <c r="C128" s="209" t="str">
        <f t="shared" ca="1" si="8"/>
        <v>BNG</v>
      </c>
      <c r="D128" s="116"/>
      <c r="E128" s="117"/>
      <c r="F128" s="118"/>
      <c r="G128" s="119"/>
      <c r="H128" s="120">
        <f ca="1">IF(E128="",_xll.BDP(A128 &amp; " Corp","YLD_YTM_ASK")/100,E128)</f>
        <v>3.6430132256935212E-3</v>
      </c>
      <c r="I128" s="121">
        <f ca="1">_xll.INSTRUMENT.PRIX(AD128,D128,H128,AE128)</f>
        <v>100.14715728987223</v>
      </c>
      <c r="J128" s="122">
        <f ca="1">_xll.INSTRUMENT.DV01(AD128,,,I128,cContinuous,I128)</f>
        <v>-3.8759450667079187E-3</v>
      </c>
      <c r="K128" s="123">
        <f ca="1">_xll.INSTRUMENT.CONVEXITE(AD128,,,I128,cContinuous,I128)</f>
        <v>0.14841440472991133</v>
      </c>
      <c r="L128" s="123">
        <f ca="1">_xll.INSTRUMENT.Z.SPREAD(AD128,swapCurve,I128,,D128)</f>
        <v>-11.191987824236364</v>
      </c>
      <c r="M128" s="123">
        <f ca="1">_xll.INSTRUMENT.Z.SPREAD(AD128,ustCurve,I128,,D128)</f>
        <v>22.511013118548657</v>
      </c>
      <c r="N128" s="123">
        <f ca="1">_xll.INSTRUMENT.Z.SPREAD(AD128,oisCurve,I128,,D128)</f>
        <v>18.007170699929649</v>
      </c>
      <c r="O128" s="124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3.0375397219438963E-3</v>
      </c>
      <c r="P128" s="124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4.6455704096776953E-3</v>
      </c>
      <c r="Q128" s="143">
        <f t="shared" ca="1" si="9"/>
        <v>-38.291152783537491</v>
      </c>
      <c r="R128" s="199" t="str">
        <f>IF(F128&lt;&gt;"","",IF(G128="","",-G128*(SUMIF('bench Comparison'!$A:$A,"RESINV1USD",'bench Comparison'!$G:$G)+SUMIF('bench Comparison'!$A:$A,"RESSWAPORUSD",'bench Comparison'!$G:$G))/(36500*J128)))</f>
        <v/>
      </c>
      <c r="S128" s="210" t="str">
        <f>IF(G128&lt;&gt;"","",IF(F128="","",-36500*J128*F128/(SUMIF('bench Comparison'!$A:$A,"RESINV1USD",'bench Comparison'!$G:$G)+SUMIF('bench Comparison'!$A:$A,"RESSWAPORUSD",'bench Comparison'!$G:$G))))</f>
        <v/>
      </c>
      <c r="T128" s="125">
        <f>SUMIF('bench Comparison'!$E:$E,A128,'bench Comparison'!$N:$N)</f>
        <v>99500000</v>
      </c>
      <c r="U128" s="126">
        <f ca="1">VALUE(_xll.BDP($A128 &amp; " Corp",U$1))</f>
        <v>40505</v>
      </c>
      <c r="V128" s="127">
        <f ca="1">VALUE(_xll.BDP($A128 &amp; " Corp",V$1))</f>
        <v>40505</v>
      </c>
      <c r="W128" s="127">
        <f ca="1">VALUE(_xll.BDP($A128 &amp; " Corp",W$1))</f>
        <v>40870</v>
      </c>
      <c r="X128" s="127">
        <f ca="1">VALUE(_xll.BDP($A128 &amp; " Corp",X$1))</f>
        <v>40870</v>
      </c>
      <c r="Y128" s="127">
        <f ca="1">VALUE(_xll.BDP($A128 &amp; " Corp",Y$1))</f>
        <v>41236</v>
      </c>
      <c r="Z128" s="128">
        <f ca="1">_xll.BDP($A128 &amp; " Corp",Z$1)/100</f>
        <v>7.4999999999999997E-3</v>
      </c>
      <c r="AA128" s="129">
        <f ca="1">_xll.BDP($A128 &amp; " Corp",AA$1)</f>
        <v>1</v>
      </c>
      <c r="AB128" s="129">
        <f ca="1">_xll.BDP($A128 &amp; " Corp",AB$1)</f>
        <v>500000000</v>
      </c>
      <c r="AC128" s="129" t="str">
        <f ca="1">_xll.BDP($A128 &amp; " Corp",AC$1)</f>
        <v>ISMA-30/360</v>
      </c>
      <c r="AD128" s="130" t="str">
        <f ca="1">_xll.INSTANCE.YANKEE(A128,U128,V128,W128,X128,Y128,Z128,AA128,LEFT(AC128,11),3,IF(RIGHT(AC128,6)="NONEOM",FALSE,TRUE),TODAY())</f>
        <v>XS0561837013#0027</v>
      </c>
      <c r="AE128" s="130" t="str">
        <f ca="1">_xll.INSTANCE.CONVENTION.TAUX("conv_" &amp; A128,LEFT(AC128,11),"Compounded",IF(AA128=1,"Annual",IF(AA128=2,"Semi-Annual","")),"Unadjusted",TODAY())</f>
        <v>conv_XS0561837013#0026</v>
      </c>
    </row>
    <row r="129" spans="1:31" x14ac:dyDescent="0.2">
      <c r="A129" s="131" t="s">
        <v>691</v>
      </c>
      <c r="B129" s="115" t="str">
        <f ca="1">_xll.BDP($A129 &amp; " Govt",B$1)</f>
        <v>BNG 2 09/17/12</v>
      </c>
      <c r="C129" s="209" t="str">
        <f t="shared" ca="1" si="8"/>
        <v>BNG</v>
      </c>
      <c r="D129" s="116"/>
      <c r="E129" s="117"/>
      <c r="F129" s="118"/>
      <c r="G129" s="119"/>
      <c r="H129" s="120">
        <f ca="1">IF(E129="",_xll.BDP(A129 &amp; " Corp","YLD_YTM_ASK")/100,E129)</f>
        <v>2.3540489642182028E-3</v>
      </c>
      <c r="I129" s="121">
        <f ca="1">_xll.INSTRUMENT.PRIX(AD129,D129,H129,AE129)</f>
        <v>100.35204511278695</v>
      </c>
      <c r="J129" s="122">
        <f ca="1">_xll.INSTRUMENT.DV01(AD129,,,I129,cContinuous,I129)</f>
        <v>-2.0613252949055008E-3</v>
      </c>
      <c r="K129" s="123">
        <f ca="1">_xll.INSTRUMENT.CONVEXITE(AD129,,,I129,cContinuous,I129)</f>
        <v>4.0879094628086837E-2</v>
      </c>
      <c r="L129" s="123">
        <f ca="1">_xll.INSTRUMENT.Z.SPREAD(AD129,swapCurve,I129,,D129)</f>
        <v>-18.338117104451896</v>
      </c>
      <c r="M129" s="123">
        <f ca="1">_xll.INSTRUMENT.Z.SPREAD(AD129,ustCurve,I129,,D129)</f>
        <v>13.373477100464491</v>
      </c>
      <c r="N129" s="123">
        <f ca="1">_xll.INSTRUMENT.Z.SPREAD(AD129,oisCurve,I129,,D129)</f>
        <v>5.4984232079803306</v>
      </c>
      <c r="O129" s="124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3.8752286192834024E-3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>
        <f t="shared" ca="1" si="9"/>
        <v>-19.831462180723346</v>
      </c>
      <c r="R129" s="199" t="str">
        <f>IF(F129&lt;&gt;"","",IF(G129="","",-G129*(SUMIF('bench Comparison'!$A:$A,"RESINV1USD",'bench Comparison'!$G:$G)+SUMIF('bench Comparison'!$A:$A,"RESSWAPORUSD",'bench Comparison'!$G:$G))/(36500*J129)))</f>
        <v/>
      </c>
      <c r="S129" s="210" t="str">
        <f>IF(G129&lt;&gt;"","",IF(F129="","",-36500*J129*F129/(SUMIF('bench Comparison'!$A:$A,"RESINV1USD",'bench Comparison'!$G:$G)+SUMIF('bench Comparison'!$A:$A,"RESSWAPORUSD",'bench Comparison'!$G:$G))))</f>
        <v/>
      </c>
      <c r="T129" s="125">
        <f>SUMIF('bench Comparison'!$E:$E,A129,'bench Comparison'!$N:$N)</f>
        <v>0</v>
      </c>
      <c r="U129" s="126">
        <f ca="1">VALUE(_xll.BDP($A129 &amp; " Corp",U$1))</f>
        <v>40071</v>
      </c>
      <c r="V129" s="127">
        <f ca="1">VALUE(_xll.BDP($A129 &amp; " Corp",V$1))</f>
        <v>40071</v>
      </c>
      <c r="W129" s="127">
        <f ca="1">VALUE(_xll.BDP($A129 &amp; " Corp",W$1))</f>
        <v>40438</v>
      </c>
      <c r="X129" s="127">
        <f ca="1">VALUE(_xll.BDP($A129 &amp; " Corp",X$1))</f>
        <v>40803</v>
      </c>
      <c r="Y129" s="127">
        <f ca="1">VALUE(_xll.BDP($A129 &amp; " Corp",Y$1))</f>
        <v>41169</v>
      </c>
      <c r="Z129" s="128">
        <f ca="1">_xll.BDP($A129 &amp; " Corp",Z$1)/100</f>
        <v>0.02</v>
      </c>
      <c r="AA129" s="129">
        <f ca="1">_xll.BDP($A129 &amp; " Corp",AA$1)</f>
        <v>1</v>
      </c>
      <c r="AB129" s="129">
        <f ca="1">_xll.BDP($A129 &amp; " Corp",AB$1)</f>
        <v>1250000000</v>
      </c>
      <c r="AC129" s="129" t="str">
        <f ca="1">_xll.BDP($A129 &amp; " Corp",AC$1)</f>
        <v>ISMA-30/360</v>
      </c>
      <c r="AD129" s="130" t="str">
        <f ca="1">_xll.INSTANCE.YANKEE(A129,U129,V129,W129,X129,Y129,Z129,AA129,LEFT(AC129,11),3,IF(RIGHT(AC129,6)="NONEOM",FALSE,TRUE),TODAY())</f>
        <v>XS0451654189#0027</v>
      </c>
      <c r="AE129" s="130" t="str">
        <f ca="1">_xll.INSTANCE.CONVENTION.TAUX("conv_" &amp; A129,LEFT(AC129,11),"Compounded",IF(AA129=1,"Annual",IF(AA129=2,"Semi-Annual","")),"Unadjusted",TODAY())</f>
        <v>conv_XS0451654189#0027</v>
      </c>
    </row>
    <row r="130" spans="1:31" x14ac:dyDescent="0.2">
      <c r="A130" s="131" t="s">
        <v>893</v>
      </c>
      <c r="B130" s="115" t="str">
        <f ca="1">_xll.BDP($A130 &amp; " Govt",B$1)</f>
        <v>ASIA 1 3/4 03/21/19</v>
      </c>
      <c r="C130" s="209" t="str">
        <f t="shared" ref="C130:C146" ca="1" si="10">LEFT(B130,SEARCH(" ",B130)-1)</f>
        <v>ASIA</v>
      </c>
      <c r="D130" s="116"/>
      <c r="E130" s="117"/>
      <c r="F130" s="118"/>
      <c r="G130" s="119"/>
      <c r="H130" s="120">
        <f ca="1">IF(E130="",_xll.BDP(A130 &amp; " Corp","YLD_YTM_ASK")/100,E130)</f>
        <v>1.2831663E-2</v>
      </c>
      <c r="I130" s="121">
        <f ca="1">_xll.INSTRUMENT.PRIX(AD130,D130,H130,AE130)</f>
        <v>102.99184833579089</v>
      </c>
      <c r="J130" s="122">
        <f ca="1">_xll.INSTRUMENT.DV01(AD130,,,I130,cContinuous,I130)</f>
        <v>-6.5561314936944268E-2</v>
      </c>
      <c r="K130" s="123">
        <f ca="1">_xll.INSTRUMENT.CONVEXITE(AD130,,,I130,cContinuous,I130)</f>
        <v>41.679640650510422</v>
      </c>
      <c r="L130" s="123">
        <f ca="1">_xll.INSTRUMENT.Z.SPREAD(AD130,swapCurve,I130,,D130)</f>
        <v>0.3218004479880327</v>
      </c>
      <c r="M130" s="123">
        <f ca="1">_xll.INSTRUMENT.Z.SPREAD(AD130,ustCurve,I130,,D130)</f>
        <v>21.849255411395998</v>
      </c>
      <c r="N130" s="123">
        <f ca="1">_xll.INSTRUMENT.Z.SPREAD(AD130,oisCurve,I130,,D130)</f>
        <v>35.386339330601004</v>
      </c>
      <c r="O130" s="124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2.8688926645929296E-2</v>
      </c>
      <c r="P130" s="124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2.5371964986996044E-2</v>
      </c>
      <c r="Q130" s="143">
        <f t="shared" ref="Q130:Q146" ca="1" si="11">K130/J130</f>
        <v>-635.73527606328787</v>
      </c>
      <c r="R130" s="199" t="str">
        <f>IF(F130&lt;&gt;"","",IF(G130="","",-G130*(SUMIF('bench Comparison'!$A:$A,"RESINV1USD",'bench Comparison'!$G:$G)+SUMIF('bench Comparison'!$A:$A,"RESSWAPORUSD",'bench Comparison'!$G:$G))/(36500*J130)))</f>
        <v/>
      </c>
      <c r="S130" s="210" t="str">
        <f>IF(G130&lt;&gt;"","",IF(F130="","",-36500*J130*F130/(SUMIF('bench Comparison'!$A:$A,"RESINV1USD",'bench Comparison'!$G:$G)+SUMIF('bench Comparison'!$A:$A,"RESSWAPORUSD",'bench Comparison'!$G:$G))))</f>
        <v/>
      </c>
      <c r="T130" s="125">
        <f>SUMIF('bench Comparison'!$E:$E,A130,'bench Comparison'!$N:$N)</f>
        <v>0</v>
      </c>
      <c r="U130" s="126">
        <f ca="1">VALUE(_xll.BDP($A130 &amp; " Corp",U$1))</f>
        <v>40989</v>
      </c>
      <c r="V130" s="127">
        <f ca="1">VALUE(_xll.BDP($A130 &amp; " Corp",V$1))</f>
        <v>40989</v>
      </c>
      <c r="W130" s="127">
        <f ca="1">VALUE(_xll.BDP($A130 &amp; " Corp",W$1))</f>
        <v>41173</v>
      </c>
      <c r="X130" s="127">
        <f ca="1">VALUE(_xll.BDP($A130 &amp; " Corp",X$1))</f>
        <v>43364</v>
      </c>
      <c r="Y130" s="127">
        <f ca="1">VALUE(_xll.BDP($A130 &amp; " Corp",Y$1))</f>
        <v>43545</v>
      </c>
      <c r="Z130" s="128">
        <f ca="1">_xll.BDP($A130 &amp; " Corp",Z$1)/100</f>
        <v>1.7500000000000002E-2</v>
      </c>
      <c r="AA130" s="129">
        <f ca="1">_xll.BDP($A130 &amp; " Corp",AA$1)</f>
        <v>2</v>
      </c>
      <c r="AB130" s="129">
        <f ca="1">_xll.BDP($A130 &amp; " Corp",AB$1)</f>
        <v>1000000000</v>
      </c>
      <c r="AC130" s="129" t="str">
        <f ca="1">_xll.BDP($A130 &amp; " Corp",AC$1)</f>
        <v>30/360</v>
      </c>
      <c r="AD130" s="130" t="str">
        <f ca="1">_xll.INSTANCE.YANKEE(A130,U130,V130,W130,X130,Y130,Z130,AA130,LEFT(AC130,11),3,IF(RIGHT(AC130,6)="NONEOM",FALSE,TRUE),TODAY())</f>
        <v>EJ095994 Corp#0027</v>
      </c>
      <c r="AE130" s="130" t="str">
        <f ca="1">_xll.INSTANCE.CONVENTION.TAUX("conv_" &amp; A130,LEFT(AC130,11),"Compounded",IF(AA130=1,"Annual",IF(AA130=2,"Semi-Annual","")),"Unadjusted",TODAY())</f>
        <v>conv_EJ095994 Corp#0027</v>
      </c>
    </row>
    <row r="131" spans="1:31" x14ac:dyDescent="0.2">
      <c r="A131" s="131" t="s">
        <v>894</v>
      </c>
      <c r="B131" s="115" t="str">
        <f ca="1">_xll.BDP($A131 &amp; " Govt",B$1)</f>
        <v>ASIA 1 7/8 10/23/18</v>
      </c>
      <c r="C131" s="209" t="str">
        <f t="shared" ca="1" si="10"/>
        <v>ASIA</v>
      </c>
      <c r="D131" s="116"/>
      <c r="E131" s="117"/>
      <c r="F131" s="118"/>
      <c r="G131" s="119"/>
      <c r="H131" s="120">
        <f ca="1">IF(E131="",_xll.BDP(A131 &amp; " Corp","YLD_YTM_ASK")/100,E131)</f>
        <v>1.1038638E-2</v>
      </c>
      <c r="I131" s="121">
        <f ca="1">_xll.INSTRUMENT.PRIX(AD131,D131,H131,AE131)</f>
        <v>104.67989019328134</v>
      </c>
      <c r="J131" s="122">
        <f ca="1">_xll.INSTRUMENT.DV01(AD131,,,I131,cContinuous,I131)</f>
        <v>-6.2613288914836585E-2</v>
      </c>
      <c r="K131" s="123">
        <f ca="1">_xll.INSTRUMENT.CONVEXITE(AD131,,,I131,cContinuous,I131)</f>
        <v>36.831409624597185</v>
      </c>
      <c r="L131" s="123">
        <f ca="1">_xll.INSTRUMENT.Z.SPREAD(AD131,swapCurve,I131,,D131)</f>
        <v>-9.3109693150762496</v>
      </c>
      <c r="M131" s="123">
        <f ca="1">_xll.INSTRUMENT.Z.SPREAD(AD131,ustCurve,I131,,D131)</f>
        <v>11.77625921946038</v>
      </c>
      <c r="N131" s="123">
        <f ca="1">_xll.INSTRUMENT.Z.SPREAD(AD131,oisCurve,I131,,D131)</f>
        <v>25.000121101946444</v>
      </c>
      <c r="O131" s="124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2.6150632600253874E-2</v>
      </c>
      <c r="P131" s="124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2.2942772820893916E-2</v>
      </c>
      <c r="Q131" s="143">
        <f t="shared" ca="1" si="11"/>
        <v>-588.23630355360183</v>
      </c>
      <c r="R131" s="199" t="str">
        <f>IF(F131&lt;&gt;"","",IF(G131="","",-G131*(SUMIF('bench Comparison'!$A:$A,"RESINV1USD",'bench Comparison'!$G:$G)+SUMIF('bench Comparison'!$A:$A,"RESSWAPORUSD",'bench Comparison'!$G:$G))/(36500*J131)))</f>
        <v/>
      </c>
      <c r="S131" s="210" t="str">
        <f>IF(G131&lt;&gt;"","",IF(F131="","",-36500*J131*F131/(SUMIF('bench Comparison'!$A:$A,"RESINV1USD",'bench Comparison'!$G:$G)+SUMIF('bench Comparison'!$A:$A,"RESSWAPORUSD",'bench Comparison'!$G:$G))))</f>
        <v/>
      </c>
      <c r="T131" s="125">
        <f>SUMIF('bench Comparison'!$E:$E,A131,'bench Comparison'!$N:$N)</f>
        <v>0</v>
      </c>
      <c r="U131" s="126">
        <f ca="1">VALUE(_xll.BDP($A131 &amp; " Corp",U$1))</f>
        <v>40836</v>
      </c>
      <c r="V131" s="127">
        <f ca="1">VALUE(_xll.BDP($A131 &amp; " Corp",V$1))</f>
        <v>40836</v>
      </c>
      <c r="W131" s="127">
        <f ca="1">VALUE(_xll.BDP($A131 &amp; " Corp",W$1))</f>
        <v>41022</v>
      </c>
      <c r="X131" s="127">
        <f ca="1">VALUE(_xll.BDP($A131 &amp; " Corp",X$1))</f>
        <v>43213</v>
      </c>
      <c r="Y131" s="127">
        <f ca="1">VALUE(_xll.BDP($A131 &amp; " Corp",Y$1))</f>
        <v>43396</v>
      </c>
      <c r="Z131" s="128">
        <f ca="1">_xll.BDP($A131 &amp; " Corp",Z$1)/100</f>
        <v>1.8749999999999999E-2</v>
      </c>
      <c r="AA131" s="129">
        <f ca="1">_xll.BDP($A131 &amp; " Corp",AA$1)</f>
        <v>2</v>
      </c>
      <c r="AB131" s="129">
        <f ca="1">_xll.BDP($A131 &amp; " Corp",AB$1)</f>
        <v>1250000000</v>
      </c>
      <c r="AC131" s="129" t="str">
        <f ca="1">_xll.BDP($A131 &amp; " Corp",AC$1)</f>
        <v>30/360</v>
      </c>
      <c r="AD131" s="130" t="str">
        <f ca="1">_xll.INSTANCE.YANKEE(A131,U131,V131,W131,X131,Y131,Z131,AA131,LEFT(AC131,11),3,IF(RIGHT(AC131,6)="NONEOM",FALSE,TRUE),TODAY())</f>
        <v>EI791385 Corp#0027</v>
      </c>
      <c r="AE131" s="130" t="str">
        <f ca="1">_xll.INSTANCE.CONVENTION.TAUX("conv_" &amp; A131,LEFT(AC131,11),"Compounded",IF(AA131=1,"Annual",IF(AA131=2,"Semi-Annual","")),"Unadjusted",TODAY())</f>
        <v>conv_EI791385 Corp#0027</v>
      </c>
    </row>
    <row r="132" spans="1:31" x14ac:dyDescent="0.2">
      <c r="A132" s="131" t="s">
        <v>895</v>
      </c>
      <c r="B132" s="115" t="str">
        <f ca="1">_xll.BDP($A132 &amp; " Govt",B$1)</f>
        <v>ASIA 2 1/4 08/18/17</v>
      </c>
      <c r="C132" s="209" t="str">
        <f t="shared" ca="1" si="10"/>
        <v>ASIA</v>
      </c>
      <c r="D132" s="116"/>
      <c r="E132" s="117"/>
      <c r="F132" s="118"/>
      <c r="G132" s="119"/>
      <c r="H132" s="120">
        <f ca="1">IF(E132="",_xll.BDP(A132 &amp; " Corp","YLD_YTM_ASK")/100,E132)</f>
        <v>8.8628639999999998E-3</v>
      </c>
      <c r="I132" s="121">
        <f ca="1">_xll.INSTRUMENT.PRIX(AD132,D132,H132,AE132)</f>
        <v>106.79483504671261</v>
      </c>
      <c r="J132" s="122">
        <f ca="1">_xll.INSTRUMENT.DV01(AD132,,,I132,cContinuous,I132)</f>
        <v>-5.2354685731874864E-2</v>
      </c>
      <c r="K132" s="123">
        <f ca="1">_xll.INSTRUMENT.CONVEXITE(AD132,,,I132,cContinuous,I132)</f>
        <v>24.197608109052872</v>
      </c>
      <c r="L132" s="123">
        <f ca="1">_xll.INSTRUMENT.Z.SPREAD(AD132,swapCurve,I132,,D132)</f>
        <v>-8.9772030284909228</v>
      </c>
      <c r="M132" s="123">
        <f ca="1">_xll.INSTRUMENT.Z.SPREAD(AD132,ustCurve,I132,,D132)</f>
        <v>11.915802669502598</v>
      </c>
      <c r="N132" s="123">
        <f ca="1">_xll.INSTRUMENT.Z.SPREAD(AD132,oisCurve,I132,,D132)</f>
        <v>25.545440067733452</v>
      </c>
      <c r="O132" s="124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1.9385824470820281E-2</v>
      </c>
      <c r="P132" s="124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1.7475788498718878E-2</v>
      </c>
      <c r="Q132" s="143">
        <f t="shared" ca="1" si="11"/>
        <v>-462.18610179376464</v>
      </c>
      <c r="R132" s="199" t="str">
        <f>IF(F132&lt;&gt;"","",IF(G132="","",-G132*(SUMIF('bench Comparison'!$A:$A,"RESINV1USD",'bench Comparison'!$G:$G)+SUMIF('bench Comparison'!$A:$A,"RESSWAPORUSD",'bench Comparison'!$G:$G))/(36500*J132)))</f>
        <v/>
      </c>
      <c r="S132" s="210" t="str">
        <f>IF(G132&lt;&gt;"","",IF(F132="","",-36500*J132*F132/(SUMIF('bench Comparison'!$A:$A,"RESINV1USD",'bench Comparison'!$G:$G)+SUMIF('bench Comparison'!$A:$A,"RESSWAPORUSD",'bench Comparison'!$G:$G))))</f>
        <v/>
      </c>
      <c r="T132" s="125">
        <f>SUMIF('bench Comparison'!$E:$E,A132,'bench Comparison'!$N:$N)</f>
        <v>0</v>
      </c>
      <c r="U132" s="126">
        <f ca="1">VALUE(_xll.BDP($A132 &amp; " Corp",U$1))</f>
        <v>40409</v>
      </c>
      <c r="V132" s="127">
        <f ca="1">VALUE(_xll.BDP($A132 &amp; " Corp",V$1))</f>
        <v>40409</v>
      </c>
      <c r="W132" s="127">
        <f ca="1">VALUE(_xll.BDP($A132 &amp; " Corp",W$1))</f>
        <v>40773</v>
      </c>
      <c r="X132" s="127">
        <f ca="1">VALUE(_xll.BDP($A132 &amp; " Corp",X$1))</f>
        <v>42600</v>
      </c>
      <c r="Y132" s="127">
        <f ca="1">VALUE(_xll.BDP($A132 &amp; " Corp",Y$1))</f>
        <v>42965</v>
      </c>
      <c r="Z132" s="128">
        <f ca="1">_xll.BDP($A132 &amp; " Corp",Z$1)/100</f>
        <v>2.2499999999999999E-2</v>
      </c>
      <c r="AA132" s="129">
        <f ca="1">_xll.BDP($A132 &amp; " Corp",AA$1)</f>
        <v>1</v>
      </c>
      <c r="AB132" s="129">
        <f ca="1">_xll.BDP($A132 &amp; " Corp",AB$1)</f>
        <v>1000000000</v>
      </c>
      <c r="AC132" s="129" t="str">
        <f ca="1">_xll.BDP($A132 &amp; " Corp",AC$1)</f>
        <v>ISMA-30/360</v>
      </c>
      <c r="AD132" s="130" t="str">
        <f ca="1">_xll.INSTANCE.YANKEE(A132,U132,V132,W132,X132,Y132,Z132,AA132,LEFT(AC132,11),3,IF(RIGHT(AC132,6)="NONEOM",FALSE,TRUE),TODAY())</f>
        <v>EI355035 Corp#0027</v>
      </c>
      <c r="AE132" s="130" t="str">
        <f ca="1">_xll.INSTANCE.CONVENTION.TAUX("conv_" &amp; A132,LEFT(AC132,11),"Compounded",IF(AA132=1,"Annual",IF(AA132=2,"Semi-Annual","")),"Unadjusted",TODAY())</f>
        <v>conv_EI355035 Corp#0027</v>
      </c>
    </row>
    <row r="133" spans="1:31" x14ac:dyDescent="0.2">
      <c r="A133" s="131" t="s">
        <v>901</v>
      </c>
      <c r="B133" s="115" t="str">
        <f ca="1">_xll.BDP($A133 &amp; " Govt",B$1)</f>
        <v>ASIA 5 1/4 06/12/17</v>
      </c>
      <c r="C133" s="209" t="str">
        <f t="shared" ca="1" si="10"/>
        <v>ASIA</v>
      </c>
      <c r="D133" s="116"/>
      <c r="E133" s="117"/>
      <c r="F133" s="118"/>
      <c r="G133" s="119"/>
      <c r="H133" s="120">
        <f ca="1">IF(E133="",_xll.BDP(A133 &amp; " Corp","YLD_YTM_ASK")/100,E133)</f>
        <v>8.7648680000000003E-3</v>
      </c>
      <c r="I133" s="121">
        <f ca="1">_xll.INSTRUMENT.PRIX(AD133,D133,H133,AE133)</f>
        <v>121.08181470953413</v>
      </c>
      <c r="J133" s="122">
        <f ca="1">_xll.INSTRUMENT.DV01(AD133,,,I133,cContinuous,I133)</f>
        <v>-5.4115567739449449E-2</v>
      </c>
      <c r="K133" s="123">
        <f ca="1">_xll.INSTRUMENT.CONVEXITE(AD133,,,I133,cContinuous,I133)</f>
        <v>21.156415116543815</v>
      </c>
      <c r="L133" s="123">
        <f ca="1">_xll.INSTRUMENT.Z.SPREAD(AD133,swapCurve,I133,,D133)</f>
        <v>-4.9293944196298138</v>
      </c>
      <c r="M133" s="123">
        <f ca="1">_xll.INSTRUMENT.Z.SPREAD(AD133,ustCurve,I133,,D133)</f>
        <v>15.765592228639482</v>
      </c>
      <c r="N133" s="123">
        <f ca="1">_xll.INSTRUMENT.Z.SPREAD(AD133,oisCurve,I133,,D133)</f>
        <v>29.807815130379542</v>
      </c>
      <c r="O133" s="124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1.6860660234983966E-2</v>
      </c>
      <c r="P133" s="124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1.6582245268211025E-2</v>
      </c>
      <c r="Q133" s="143">
        <f t="shared" ca="1" si="11"/>
        <v>-390.94877870275212</v>
      </c>
      <c r="R133" s="199" t="str">
        <f>IF(F133&lt;&gt;"","",IF(G133="","",-G133*(SUMIF('bench Comparison'!$A:$A,"RESINV1USD",'bench Comparison'!$G:$G)+SUMIF('bench Comparison'!$A:$A,"RESSWAPORUSD",'bench Comparison'!$G:$G))/(36500*J133)))</f>
        <v/>
      </c>
      <c r="S133" s="210" t="str">
        <f>IF(G133&lt;&gt;"","",IF(F133="","",-36500*J133*F133/(SUMIF('bench Comparison'!$A:$A,"RESINV1USD",'bench Comparison'!$G:$G)+SUMIF('bench Comparison'!$A:$A,"RESSWAPORUSD",'bench Comparison'!$G:$G))))</f>
        <v/>
      </c>
      <c r="T133" s="125">
        <f>SUMIF('bench Comparison'!$E:$E,A133,'bench Comparison'!$N:$N)</f>
        <v>0</v>
      </c>
      <c r="U133" s="126">
        <f ca="1">VALUE(_xll.BDP($A133 &amp; " Corp",U$1))</f>
        <v>39245</v>
      </c>
      <c r="V133" s="127">
        <f ca="1">VALUE(_xll.BDP($A133 &amp; " Corp",V$1))</f>
        <v>39245</v>
      </c>
      <c r="W133" s="127">
        <f ca="1">VALUE(_xll.BDP($A133 &amp; " Corp",W$1))</f>
        <v>39428</v>
      </c>
      <c r="X133" s="127">
        <f ca="1">VALUE(_xll.BDP($A133 &amp; " Corp",X$1))</f>
        <v>42716</v>
      </c>
      <c r="Y133" s="127">
        <f ca="1">VALUE(_xll.BDP($A133 &amp; " Corp",Y$1))</f>
        <v>42898</v>
      </c>
      <c r="Z133" s="128">
        <f ca="1">_xll.BDP($A133 &amp; " Corp",Z$1)/100</f>
        <v>5.2499999999999998E-2</v>
      </c>
      <c r="AA133" s="129">
        <f ca="1">_xll.BDP($A133 &amp; " Corp",AA$1)</f>
        <v>2</v>
      </c>
      <c r="AB133" s="129">
        <f ca="1">_xll.BDP($A133 &amp; " Corp",AB$1)</f>
        <v>1000000000</v>
      </c>
      <c r="AC133" s="129" t="str">
        <f ca="1">_xll.BDP($A133 &amp; " Corp",AC$1)</f>
        <v>ISMA-30/360</v>
      </c>
      <c r="AD133" s="130" t="str">
        <f ca="1">_xll.INSTANCE.YANKEE(A133,U133,V133,W133,X133,Y133,Z133,AA133,LEFT(AC133,11),3,IF(RIGHT(AC133,6)="NONEOM",FALSE,TRUE),TODAY())</f>
        <v>EG524914 Corp#0027</v>
      </c>
      <c r="AE133" s="130" t="str">
        <f ca="1">_xll.INSTANCE.CONVENTION.TAUX("conv_" &amp; A133,LEFT(AC133,11),"Compounded",IF(AA133=1,"Annual",IF(AA133=2,"Semi-Annual","")),"Unadjusted",TODAY())</f>
        <v>conv_EG524914 Corp#0027</v>
      </c>
    </row>
    <row r="134" spans="1:31" x14ac:dyDescent="0.2">
      <c r="A134" s="131" t="s">
        <v>891</v>
      </c>
      <c r="B134" s="115" t="str">
        <f ca="1">_xll.BDP($A134 &amp; " Govt",B$1)</f>
        <v>ASIA 1 1/8 03/15/17</v>
      </c>
      <c r="C134" s="209" t="str">
        <f t="shared" ca="1" si="10"/>
        <v>ASIA</v>
      </c>
      <c r="D134" s="116"/>
      <c r="E134" s="117"/>
      <c r="F134" s="118"/>
      <c r="G134" s="119"/>
      <c r="H134" s="120">
        <f ca="1">IF(E134="",_xll.BDP(A134 &amp; " Corp","YLD_YTM_ASK")/100,E134)</f>
        <v>7.4620559999999999E-3</v>
      </c>
      <c r="I134" s="121">
        <f ca="1">_xll.INSTRUMENT.PRIX(AD134,D134,H134,AE134)</f>
        <v>101.74393052100785</v>
      </c>
      <c r="J134" s="122">
        <f ca="1">_xll.INSTRUMENT.DV01(AD134,,,I134,cContinuous,I134)</f>
        <v>-4.6648367223377479E-2</v>
      </c>
      <c r="K134" s="123">
        <f ca="1">_xll.INSTRUMENT.CONVEXITE(AD134,,,I134,cContinuous,I134)</f>
        <v>21.252941459094878</v>
      </c>
      <c r="L134" s="123">
        <f ca="1">_xll.INSTRUMENT.Z.SPREAD(AD134,swapCurve,I134,,D134)</f>
        <v>-15.640428873121648</v>
      </c>
      <c r="M134" s="123">
        <f ca="1">_xll.INSTRUMENT.Z.SPREAD(AD134,ustCurve,I134,,D134)</f>
        <v>5.2128957137199334</v>
      </c>
      <c r="N134" s="123">
        <f ca="1">_xll.INSTRUMENT.Z.SPREAD(AD134,oisCurve,I134,,D134)</f>
        <v>19.340185468764382</v>
      </c>
      <c r="O134" s="124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1.8113484923863242E-2</v>
      </c>
      <c r="P134" s="124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1.5779957754812349E-2</v>
      </c>
      <c r="Q134" s="143">
        <f t="shared" ca="1" si="11"/>
        <v>-455.59882851471218</v>
      </c>
      <c r="R134" s="199" t="str">
        <f>IF(F134&lt;&gt;"","",IF(G134="","",-G134*(SUMIF('bench Comparison'!$A:$A,"RESINV1USD",'bench Comparison'!$G:$G)+SUMIF('bench Comparison'!$A:$A,"RESSWAPORUSD",'bench Comparison'!$G:$G))/(36500*J134)))</f>
        <v/>
      </c>
      <c r="S134" s="210" t="str">
        <f>IF(G134&lt;&gt;"","",IF(F134="","",-36500*J134*F134/(SUMIF('bench Comparison'!$A:$A,"RESINV1USD",'bench Comparison'!$G:$G)+SUMIF('bench Comparison'!$A:$A,"RESSWAPORUSD",'bench Comparison'!$G:$G))))</f>
        <v/>
      </c>
      <c r="T134" s="125">
        <f>SUMIF('bench Comparison'!$E:$E,A134,'bench Comparison'!$N:$N)</f>
        <v>0</v>
      </c>
      <c r="U134" s="126">
        <f ca="1">VALUE(_xll.BDP($A134 &amp; " Corp",U$1))</f>
        <v>40926</v>
      </c>
      <c r="V134" s="127">
        <f ca="1">VALUE(_xll.BDP($A134 &amp; " Corp",V$1))</f>
        <v>40926</v>
      </c>
      <c r="W134" s="127">
        <f ca="1">VALUE(_xll.BDP($A134 &amp; " Corp",W$1))</f>
        <v>40983</v>
      </c>
      <c r="X134" s="127">
        <f ca="1">VALUE(_xll.BDP($A134 &amp; " Corp",X$1))</f>
        <v>42628</v>
      </c>
      <c r="Y134" s="127">
        <f ca="1">VALUE(_xll.BDP($A134 &amp; " Corp",Y$1))</f>
        <v>42809</v>
      </c>
      <c r="Z134" s="128">
        <f ca="1">_xll.BDP($A134 &amp; " Corp",Z$1)/100</f>
        <v>1.125E-2</v>
      </c>
      <c r="AA134" s="129">
        <f ca="1">_xll.BDP($A134 &amp; " Corp",AA$1)</f>
        <v>2</v>
      </c>
      <c r="AB134" s="129">
        <f ca="1">_xll.BDP($A134 &amp; " Corp",AB$1)</f>
        <v>3000000000</v>
      </c>
      <c r="AC134" s="129" t="str">
        <f ca="1">_xll.BDP($A134 &amp; " Corp",AC$1)</f>
        <v>ISMA-30/360</v>
      </c>
      <c r="AD134" s="130" t="str">
        <f ca="1">_xll.INSTANCE.YANKEE(A134,U134,V134,W134,X134,Y134,Z134,AA134,LEFT(AC134,11),3,IF(RIGHT(AC134,6)="NONEOM",FALSE,TRUE),TODAY())</f>
        <v>EI954150 Corp#0027</v>
      </c>
      <c r="AE134" s="130" t="str">
        <f ca="1">_xll.INSTANCE.CONVENTION.TAUX("conv_" &amp; A134,LEFT(AC134,11),"Compounded",IF(AA134=1,"Annual",IF(AA134=2,"Semi-Annual","")),"Unadjusted",TODAY())</f>
        <v>conv_EI954150 Corp#0027</v>
      </c>
    </row>
    <row r="135" spans="1:31" x14ac:dyDescent="0.2">
      <c r="A135" s="131" t="s">
        <v>902</v>
      </c>
      <c r="B135" s="115" t="str">
        <f ca="1">_xll.BDP($A135 &amp; " Govt",B$1)</f>
        <v>ASIA 5 1/2 06/27/16</v>
      </c>
      <c r="C135" s="209" t="str">
        <f t="shared" ca="1" si="10"/>
        <v>ASIA</v>
      </c>
      <c r="D135" s="116"/>
      <c r="E135" s="117"/>
      <c r="F135" s="118"/>
      <c r="G135" s="119"/>
      <c r="H135" s="120">
        <f ca="1">IF(E135="",_xll.BDP(A135 &amp; " Corp","YLD_YTM_ASK")/100,E135)</f>
        <v>7.4326410000000002E-3</v>
      </c>
      <c r="I135" s="121">
        <f ca="1">_xll.INSTRUMENT.PRIX(AD135,D135,H135,AE135)</f>
        <v>118.60972282924401</v>
      </c>
      <c r="J135" s="122">
        <f ca="1">_xll.INSTRUMENT.DV01(AD135,,,I135,cContinuous,I135)</f>
        <v>-4.3427605595511294E-2</v>
      </c>
      <c r="K135" s="123">
        <f ca="1">_xll.INSTRUMENT.CONVEXITE(AD135,,,I135,cContinuous,I135)</f>
        <v>14.078804556410093</v>
      </c>
      <c r="L135" s="123">
        <f ca="1">_xll.INSTRUMENT.Z.SPREAD(AD135,swapCurve,I135,,D135)</f>
        <v>-1.4720602020868017</v>
      </c>
      <c r="M135" s="123">
        <f ca="1">_xll.INSTRUMENT.Z.SPREAD(AD135,ustCurve,I135,,D135)</f>
        <v>17.673227745522027</v>
      </c>
      <c r="N135" s="123">
        <f ca="1">_xll.INSTRUMENT.Z.SPREAD(AD135,oisCurve,I135,,D135)</f>
        <v>33.512628498648354</v>
      </c>
      <c r="O135" s="124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1.3545144689080068E-2</v>
      </c>
      <c r="P135" s="124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1.3802356331234222E-2</v>
      </c>
      <c r="Q135" s="143">
        <f t="shared" ca="1" si="11"/>
        <v>-324.19020950732056</v>
      </c>
      <c r="R135" s="199" t="str">
        <f>IF(F135&lt;&gt;"","",IF(G135="","",-G135*(SUMIF('bench Comparison'!$A:$A,"RESINV1USD",'bench Comparison'!$G:$G)+SUMIF('bench Comparison'!$A:$A,"RESSWAPORUSD",'bench Comparison'!$G:$G))/(36500*J135)))</f>
        <v/>
      </c>
      <c r="S135" s="210" t="str">
        <f>IF(G135&lt;&gt;"","",IF(F135="","",-36500*J135*F135/(SUMIF('bench Comparison'!$A:$A,"RESINV1USD",'bench Comparison'!$G:$G)+SUMIF('bench Comparison'!$A:$A,"RESSWAPORUSD",'bench Comparison'!$G:$G))))</f>
        <v/>
      </c>
      <c r="T135" s="125">
        <f>SUMIF('bench Comparison'!$E:$E,A135,'bench Comparison'!$N:$N)</f>
        <v>0</v>
      </c>
      <c r="U135" s="126">
        <f ca="1">VALUE(_xll.BDP($A135 &amp; " Corp",U$1))</f>
        <v>38895</v>
      </c>
      <c r="V135" s="127">
        <f ca="1">VALUE(_xll.BDP($A135 &amp; " Corp",V$1))</f>
        <v>38895</v>
      </c>
      <c r="W135" s="127">
        <f ca="1">VALUE(_xll.BDP($A135 &amp; " Corp",W$1))</f>
        <v>39078</v>
      </c>
      <c r="X135" s="127">
        <f ca="1">VALUE(_xll.BDP($A135 &amp; " Corp",X$1))</f>
        <v>42365</v>
      </c>
      <c r="Y135" s="127">
        <f ca="1">VALUE(_xll.BDP($A135 &amp; " Corp",Y$1))</f>
        <v>42548</v>
      </c>
      <c r="Z135" s="128">
        <f ca="1">_xll.BDP($A135 &amp; " Corp",Z$1)/100</f>
        <v>5.5E-2</v>
      </c>
      <c r="AA135" s="129">
        <f ca="1">_xll.BDP($A135 &amp; " Corp",AA$1)</f>
        <v>2</v>
      </c>
      <c r="AB135" s="129">
        <f ca="1">_xll.BDP($A135 &amp; " Corp",AB$1)</f>
        <v>1000000000</v>
      </c>
      <c r="AC135" s="129" t="str">
        <f ca="1">_xll.BDP($A135 &amp; " Corp",AC$1)</f>
        <v>ISMA-30/360</v>
      </c>
      <c r="AD135" s="130" t="str">
        <f ca="1">_xll.INSTANCE.YANKEE(A135,U135,V135,W135,X135,Y135,Z135,AA135,LEFT(AC135,11),3,IF(RIGHT(AC135,6)="NONEOM",FALSE,TRUE),TODAY())</f>
        <v>EF501708 Corp#0027</v>
      </c>
      <c r="AE135" s="130" t="str">
        <f ca="1">_xll.INSTANCE.CONVENTION.TAUX("conv_" &amp; A135,LEFT(AC135,11),"Compounded",IF(AA135=1,"Annual",IF(AA135=2,"Semi-Annual","")),"Unadjusted",TODAY())</f>
        <v>conv_EF501708 Corp#0027</v>
      </c>
    </row>
    <row r="136" spans="1:31" x14ac:dyDescent="0.2">
      <c r="A136" s="131" t="s">
        <v>896</v>
      </c>
      <c r="B136" s="115" t="str">
        <f ca="1">_xll.BDP($A136 &amp; " Govt",B$1)</f>
        <v>ASIA 2 1/2 03/15/16</v>
      </c>
      <c r="C136" s="209" t="str">
        <f t="shared" ca="1" si="10"/>
        <v>ASIA</v>
      </c>
      <c r="D136" s="116"/>
      <c r="E136" s="117"/>
      <c r="F136" s="118"/>
      <c r="G136" s="119"/>
      <c r="H136" s="120">
        <f ca="1">IF(E136="",_xll.BDP(A136 &amp; " Corp","YLD_YTM_ASK")/100,E136)</f>
        <v>6.4973829999999998E-3</v>
      </c>
      <c r="I136" s="121">
        <f ca="1">_xll.INSTRUMENT.PRIX(AD136,D136,H136,AE136)</f>
        <v>106.74286610237823</v>
      </c>
      <c r="J136" s="122">
        <f ca="1">_xll.INSTRUMENT.DV01(AD136,,,I136,cContinuous,I136)</f>
        <v>-3.7978598168355783E-2</v>
      </c>
      <c r="K136" s="123">
        <f ca="1">_xll.INSTRUMENT.CONVEXITE(AD136,,,I136,cContinuous,I136)</f>
        <v>12.857345587323776</v>
      </c>
      <c r="L136" s="123">
        <f ca="1">_xll.INSTRUMENT.Z.SPREAD(AD136,swapCurve,I136,,D136)</f>
        <v>-6.5417309244428212</v>
      </c>
      <c r="M136" s="123">
        <f ca="1">_xll.INSTRUMENT.Z.SPREAD(AD136,ustCurve,I136,,D136)</f>
        <v>11.941273418374388</v>
      </c>
      <c r="N136" s="123">
        <f ca="1">_xll.INSTRUMENT.Z.SPREAD(AD136,oisCurve,I136,,D136)</f>
        <v>28.467493088101516</v>
      </c>
      <c r="O136" s="124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1.3398608021144506E-2</v>
      </c>
      <c r="P136" s="124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1.2270417229133366E-2</v>
      </c>
      <c r="Q136" s="143">
        <f t="shared" ca="1" si="11"/>
        <v>-338.5418685104778</v>
      </c>
      <c r="R136" s="199" t="str">
        <f>IF(F136&lt;&gt;"","",IF(G136="","",-G136*(SUMIF('bench Comparison'!$A:$A,"RESINV1USD",'bench Comparison'!$G:$G)+SUMIF('bench Comparison'!$A:$A,"RESSWAPORUSD",'bench Comparison'!$G:$G))/(36500*J136)))</f>
        <v/>
      </c>
      <c r="S136" s="210" t="str">
        <f>IF(G136&lt;&gt;"","",IF(F136="","",-36500*J136*F136/(SUMIF('bench Comparison'!$A:$A,"RESINV1USD",'bench Comparison'!$G:$G)+SUMIF('bench Comparison'!$A:$A,"RESSWAPORUSD",'bench Comparison'!$G:$G))))</f>
        <v/>
      </c>
      <c r="T136" s="125">
        <f>SUMIF('bench Comparison'!$E:$E,A136,'bench Comparison'!$N:$N)</f>
        <v>0</v>
      </c>
      <c r="U136" s="126">
        <f ca="1">VALUE(_xll.BDP($A136 &amp; " Corp",U$1))</f>
        <v>40596</v>
      </c>
      <c r="V136" s="127">
        <f ca="1">VALUE(_xll.BDP($A136 &amp; " Corp",V$1))</f>
        <v>40596</v>
      </c>
      <c r="W136" s="127">
        <f ca="1">VALUE(_xll.BDP($A136 &amp; " Corp",W$1))</f>
        <v>40801</v>
      </c>
      <c r="X136" s="127">
        <f ca="1">VALUE(_xll.BDP($A136 &amp; " Corp",X$1))</f>
        <v>42262</v>
      </c>
      <c r="Y136" s="127">
        <f ca="1">VALUE(_xll.BDP($A136 &amp; " Corp",Y$1))</f>
        <v>42444</v>
      </c>
      <c r="Z136" s="128">
        <f ca="1">_xll.BDP($A136 &amp; " Corp",Z$1)/100</f>
        <v>2.5000000000000001E-2</v>
      </c>
      <c r="AA136" s="129">
        <f ca="1">_xll.BDP($A136 &amp; " Corp",AA$1)</f>
        <v>2</v>
      </c>
      <c r="AB136" s="129">
        <f ca="1">_xll.BDP($A136 &amp; " Corp",AB$1)</f>
        <v>2750000000</v>
      </c>
      <c r="AC136" s="129" t="str">
        <f ca="1">_xll.BDP($A136 &amp; " Corp",AC$1)</f>
        <v>30/360</v>
      </c>
      <c r="AD136" s="130" t="str">
        <f ca="1">_xll.INSTANCE.YANKEE(A136,U136,V136,W136,X136,Y136,Z136,AA136,LEFT(AC136,11),3,IF(RIGHT(AC136,6)="NONEOM",FALSE,TRUE),TODAY())</f>
        <v>EI575402 Corp#0027</v>
      </c>
      <c r="AE136" s="130" t="str">
        <f ca="1">_xll.INSTANCE.CONVENTION.TAUX("conv_" &amp; A136,LEFT(AC136,11),"Compounded",IF(AA136=1,"Annual",IF(AA136=2,"Semi-Annual","")),"Unadjusted",TODAY())</f>
        <v>conv_EI575402 Corp#0027</v>
      </c>
    </row>
    <row r="137" spans="1:31" x14ac:dyDescent="0.2">
      <c r="A137" s="131" t="s">
        <v>888</v>
      </c>
      <c r="B137" s="115" t="str">
        <f ca="1">_xll.BDP($A137 &amp; " Govt",B$1)</f>
        <v>ASIA 0 3/4 09/01/15</v>
      </c>
      <c r="C137" s="209" t="str">
        <f t="shared" ca="1" si="10"/>
        <v>ASIA</v>
      </c>
      <c r="D137" s="116"/>
      <c r="E137" s="117"/>
      <c r="F137" s="118"/>
      <c r="G137" s="119"/>
      <c r="H137" s="120">
        <f ca="1">IF(E137="",_xll.BDP(A137 &amp; " Corp","YLD_YTM_ASK")/100,E137)</f>
        <v>4.810618E-3</v>
      </c>
      <c r="I137" s="121">
        <f ca="1">_xll.INSTRUMENT.PRIX(AD137,D137,H137,AE137)</f>
        <v>100.8399401745027</v>
      </c>
      <c r="J137" s="122">
        <f ca="1">_xll.INSTRUMENT.DV01(AD137,,,I137,cContinuous,I137)</f>
        <v>-3.1593793714716663E-2</v>
      </c>
      <c r="K137" s="123">
        <f ca="1">_xll.INSTRUMENT.CONVEXITE(AD137,,,I137,cContinuous,I137)</f>
        <v>9.7946059816315909</v>
      </c>
      <c r="L137" s="123">
        <f ca="1">_xll.INSTRUMENT.Z.SPREAD(AD137,swapCurve,I137,,D137)</f>
        <v>-15.610872903645678</v>
      </c>
      <c r="M137" s="123">
        <f ca="1">_xll.INSTRUMENT.Z.SPREAD(AD137,ustCurve,I137,,D137)</f>
        <v>2.0063531409897051</v>
      </c>
      <c r="N137" s="123">
        <f ca="1">_xll.INSTRUMENT.Z.SPREAD(AD137,oisCurve,I137,,D137)</f>
        <v>19.732046298323436</v>
      </c>
      <c r="O137" s="124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9.5040287400057141E-3</v>
      </c>
      <c r="P137" s="124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8.1061483978708895E-3</v>
      </c>
      <c r="Q137" s="143">
        <f t="shared" ca="1" si="11"/>
        <v>-310.01677323319291</v>
      </c>
      <c r="R137" s="199" t="str">
        <f>IF(F137&lt;&gt;"","",IF(G137="","",-G137*(SUMIF('bench Comparison'!$A:$A,"RESINV1USD",'bench Comparison'!$G:$G)+SUMIF('bench Comparison'!$A:$A,"RESSWAPORUSD",'bench Comparison'!$G:$G))/(36500*J137)))</f>
        <v/>
      </c>
      <c r="S137" s="210" t="str">
        <f>IF(G137&lt;&gt;"","",IF(F137="","",-36500*J137*F137/(SUMIF('bench Comparison'!$A:$A,"RESINV1USD",'bench Comparison'!$G:$G)+SUMIF('bench Comparison'!$A:$A,"RESSWAPORUSD",'bench Comparison'!$G:$G))))</f>
        <v/>
      </c>
      <c r="T137" s="125">
        <f>SUMIF('bench Comparison'!$E:$E,A137,'bench Comparison'!$N:$N)</f>
        <v>0</v>
      </c>
      <c r="U137" s="126">
        <f ca="1">VALUE(_xll.BDP($A137 &amp; " Corp",U$1))</f>
        <v>40787</v>
      </c>
      <c r="V137" s="127">
        <f ca="1">VALUE(_xll.BDP($A137 &amp; " Corp",V$1))</f>
        <v>40787</v>
      </c>
      <c r="W137" s="127">
        <f ca="1">VALUE(_xll.BDP($A137 &amp; " Corp",W$1))</f>
        <v>41153</v>
      </c>
      <c r="X137" s="127">
        <f ca="1">VALUE(_xll.BDP($A137 &amp; " Corp",X$1))</f>
        <v>41883</v>
      </c>
      <c r="Y137" s="127">
        <f ca="1">VALUE(_xll.BDP($A137 &amp; " Corp",Y$1))</f>
        <v>42248</v>
      </c>
      <c r="Z137" s="128">
        <f ca="1">_xll.BDP($A137 &amp; " Corp",Z$1)/100</f>
        <v>7.4999999999999997E-3</v>
      </c>
      <c r="AA137" s="129">
        <f ca="1">_xll.BDP($A137 &amp; " Corp",AA$1)</f>
        <v>1</v>
      </c>
      <c r="AB137" s="129">
        <f ca="1">_xll.BDP($A137 &amp; " Corp",AB$1)</f>
        <v>1200000000</v>
      </c>
      <c r="AC137" s="129" t="str">
        <f ca="1">_xll.BDP($A137 &amp; " Corp",AC$1)</f>
        <v>ISMA-30/360</v>
      </c>
      <c r="AD137" s="130" t="str">
        <f ca="1">_xll.INSTANCE.YANKEE(A137,U137,V137,W137,X137,Y137,Z137,AA137,LEFT(AC137,11),3,IF(RIGHT(AC137,6)="NONEOM",FALSE,TRUE),TODAY())</f>
        <v>EI791877 Corp#0027</v>
      </c>
      <c r="AE137" s="130" t="str">
        <f ca="1">_xll.INSTANCE.CONVENTION.TAUX("conv_" &amp; A137,LEFT(AC137,11),"Compounded",IF(AA137=1,"Annual",IF(AA137=2,"Semi-Annual","")),"Unadjusted",TODAY())</f>
        <v>conv_EI791877 Corp#0027</v>
      </c>
    </row>
    <row r="138" spans="1:31" x14ac:dyDescent="0.2">
      <c r="A138" s="131" t="s">
        <v>897</v>
      </c>
      <c r="B138" s="115" t="str">
        <f ca="1">_xll.BDP($A138 &amp; " Govt",B$1)</f>
        <v>ASIA 2 5/8 02/09/15</v>
      </c>
      <c r="C138" s="209" t="str">
        <f t="shared" ca="1" si="10"/>
        <v>ASIA</v>
      </c>
      <c r="D138" s="116"/>
      <c r="E138" s="117"/>
      <c r="F138" s="118"/>
      <c r="G138" s="119"/>
      <c r="H138" s="120">
        <f ca="1">IF(E138="",_xll.BDP(A138 &amp; " Corp","YLD_YTM_ASK")/100,E138)</f>
        <v>4.3408889999999997E-3</v>
      </c>
      <c r="I138" s="121">
        <f ca="1">_xll.INSTRUMENT.PRIX(AD138,D138,H138,AE138)</f>
        <v>105.64592131983832</v>
      </c>
      <c r="J138" s="122">
        <f ca="1">_xll.INSTRUMENT.DV01(AD138,,,I138,cContinuous,I138)</f>
        <v>-2.6749515557992005E-2</v>
      </c>
      <c r="K138" s="123">
        <f ca="1">_xll.INSTRUMENT.CONVEXITE(AD138,,,I138,cContinuous,I138)</f>
        <v>6.4439989762226242</v>
      </c>
      <c r="L138" s="123">
        <f ca="1">_xll.INSTRUMENT.Z.SPREAD(AD138,swapCurve,I138,,D138)</f>
        <v>-14.513130968673003</v>
      </c>
      <c r="M138" s="123">
        <f ca="1">_xll.INSTRUMENT.Z.SPREAD(AD138,ustCurve,I138,,D138)</f>
        <v>3.6780193613869607</v>
      </c>
      <c r="N138" s="123">
        <f ca="1">_xll.INSTRUMENT.Z.SPREAD(AD138,oisCurve,I138,,D138)</f>
        <v>20.452533072700053</v>
      </c>
      <c r="O138" s="124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6.2806753744452694E-3</v>
      </c>
      <c r="P138" s="124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6.3995946799003207E-3</v>
      </c>
      <c r="Q138" s="143">
        <f t="shared" ca="1" si="11"/>
        <v>-240.90152071174006</v>
      </c>
      <c r="R138" s="199" t="str">
        <f>IF(F138&lt;&gt;"","",IF(G138="","",-G138*(SUMIF('bench Comparison'!$A:$A,"RESINV1USD",'bench Comparison'!$G:$G)+SUMIF('bench Comparison'!$A:$A,"RESSWAPORUSD",'bench Comparison'!$G:$G))/(36500*J138)))</f>
        <v/>
      </c>
      <c r="S138" s="210" t="str">
        <f>IF(G138&lt;&gt;"","",IF(F138="","",-36500*J138*F138/(SUMIF('bench Comparison'!$A:$A,"RESINV1USD",'bench Comparison'!$G:$G)+SUMIF('bench Comparison'!$A:$A,"RESSWAPORUSD",'bench Comparison'!$G:$G))))</f>
        <v/>
      </c>
      <c r="T138" s="125">
        <f>SUMIF('bench Comparison'!$E:$E,A138,'bench Comparison'!$N:$N)</f>
        <v>0</v>
      </c>
      <c r="U138" s="126">
        <f ca="1">VALUE(_xll.BDP($A138 &amp; " Corp",U$1))</f>
        <v>40218</v>
      </c>
      <c r="V138" s="127">
        <f ca="1">VALUE(_xll.BDP($A138 &amp; " Corp",V$1))</f>
        <v>40218</v>
      </c>
      <c r="W138" s="127">
        <f ca="1">VALUE(_xll.BDP($A138 &amp; " Corp",W$1))</f>
        <v>40399</v>
      </c>
      <c r="X138" s="127">
        <f ca="1">VALUE(_xll.BDP($A138 &amp; " Corp",X$1))</f>
        <v>41860</v>
      </c>
      <c r="Y138" s="127">
        <f ca="1">VALUE(_xll.BDP($A138 &amp; " Corp",Y$1))</f>
        <v>42044</v>
      </c>
      <c r="Z138" s="128">
        <f ca="1">_xll.BDP($A138 &amp; " Corp",Z$1)/100</f>
        <v>2.6249999999999999E-2</v>
      </c>
      <c r="AA138" s="129">
        <f ca="1">_xll.BDP($A138 &amp; " Corp",AA$1)</f>
        <v>2</v>
      </c>
      <c r="AB138" s="129">
        <f ca="1">_xll.BDP($A138 &amp; " Corp",AB$1)</f>
        <v>2500000000</v>
      </c>
      <c r="AC138" s="129" t="str">
        <f ca="1">_xll.BDP($A138 &amp; " Corp",AC$1)</f>
        <v>ISMA-30/360</v>
      </c>
      <c r="AD138" s="130" t="str">
        <f ca="1">_xll.INSTANCE.YANKEE(A138,U138,V138,W138,X138,Y138,Z138,AA138,LEFT(AC138,11),3,IF(RIGHT(AC138,6)="NONEOM",FALSE,TRUE),TODAY())</f>
        <v>EI133522 Corp#0027</v>
      </c>
      <c r="AE138" s="130" t="str">
        <f ca="1">_xll.INSTANCE.CONVENTION.TAUX("conv_" &amp; A138,LEFT(AC138,11),"Compounded",IF(AA138=1,"Annual",IF(AA138=2,"Semi-Annual","")),"Unadjusted",TODAY())</f>
        <v>conv_EI133522 Corp#0027</v>
      </c>
    </row>
    <row r="139" spans="1:31" x14ac:dyDescent="0.2">
      <c r="A139" s="131" t="s">
        <v>890</v>
      </c>
      <c r="B139" s="115" t="str">
        <f ca="1">_xll.BDP($A139 &amp; " Govt",B$1)</f>
        <v>ASIA 1 1/8 11/25/14</v>
      </c>
      <c r="C139" s="209" t="str">
        <f t="shared" ca="1" si="10"/>
        <v>ASIA</v>
      </c>
      <c r="D139" s="116"/>
      <c r="E139" s="117"/>
      <c r="F139" s="118"/>
      <c r="G139" s="119"/>
      <c r="H139" s="120">
        <f ca="1">IF(E139="",_xll.BDP(A139 &amp; " Corp","YLD_YTM_ASK")/100,E139)</f>
        <v>4.0114030000000002E-3</v>
      </c>
      <c r="I139" s="121">
        <f ca="1">_xll.INSTRUMENT.PRIX(AD139,D139,H139,AE139)</f>
        <v>101.71698757323219</v>
      </c>
      <c r="J139" s="122">
        <f ca="1">_xll.INSTRUMENT.DV01(AD139,,,I139,cContinuous,I139)</f>
        <v>-2.4142898217722499E-2</v>
      </c>
      <c r="K139" s="123">
        <f ca="1">_xll.INSTRUMENT.CONVEXITE(AD139,,,I139,cContinuous,I139)</f>
        <v>5.611887926133849</v>
      </c>
      <c r="L139" s="123">
        <f ca="1">_xll.INSTRUMENT.Z.SPREAD(AD139,swapCurve,I139,,D139)</f>
        <v>-16.218744956247772</v>
      </c>
      <c r="M139" s="123">
        <f ca="1">_xll.INSTRUMENT.Z.SPREAD(AD139,ustCurve,I139,,D139)</f>
        <v>2.4239915585581135</v>
      </c>
      <c r="N139" s="123">
        <f ca="1">_xll.INSTRUMENT.Z.SPREAD(AD139,oisCurve,I139,,D139)</f>
        <v>18.078715654287802</v>
      </c>
      <c r="O139" s="124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6.0685722335504294E-3</v>
      </c>
      <c r="P139" s="124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5.587275451281023E-3</v>
      </c>
      <c r="Q139" s="143">
        <f t="shared" ca="1" si="11"/>
        <v>-232.44466656510809</v>
      </c>
      <c r="R139" s="199" t="str">
        <f>IF(F139&lt;&gt;"","",IF(G139="","",-G139*(SUMIF('bench Comparison'!$A:$A,"RESINV1USD",'bench Comparison'!$G:$G)+SUMIF('bench Comparison'!$A:$A,"RESSWAPORUSD",'bench Comparison'!$G:$G))/(36500*J139)))</f>
        <v/>
      </c>
      <c r="S139" s="210" t="str">
        <f>IF(G139&lt;&gt;"","",IF(F139="","",-36500*J139*F139/(SUMIF('bench Comparison'!$A:$A,"RESINV1USD",'bench Comparison'!$G:$G)+SUMIF('bench Comparison'!$A:$A,"RESSWAPORUSD",'bench Comparison'!$G:$G))))</f>
        <v/>
      </c>
      <c r="T139" s="125">
        <f>SUMIF('bench Comparison'!$E:$E,A139,'bench Comparison'!$N:$N)</f>
        <v>0</v>
      </c>
      <c r="U139" s="126">
        <f ca="1">VALUE(_xll.BDP($A139 &amp; " Corp",U$1))</f>
        <v>40506</v>
      </c>
      <c r="V139" s="127">
        <f ca="1">VALUE(_xll.BDP($A139 &amp; " Corp",V$1))</f>
        <v>40506</v>
      </c>
      <c r="W139" s="127">
        <f ca="1">VALUE(_xll.BDP($A139 &amp; " Corp",W$1))</f>
        <v>40872</v>
      </c>
      <c r="X139" s="127">
        <f ca="1">VALUE(_xll.BDP($A139 &amp; " Corp",X$1))</f>
        <v>41603</v>
      </c>
      <c r="Y139" s="127">
        <f ca="1">VALUE(_xll.BDP($A139 &amp; " Corp",Y$1))</f>
        <v>41968</v>
      </c>
      <c r="Z139" s="128">
        <f ca="1">_xll.BDP($A139 &amp; " Corp",Z$1)/100</f>
        <v>1.125E-2</v>
      </c>
      <c r="AA139" s="129">
        <f ca="1">_xll.BDP($A139 &amp; " Corp",AA$1)</f>
        <v>1</v>
      </c>
      <c r="AB139" s="129">
        <f ca="1">_xll.BDP($A139 &amp; " Corp",AB$1)</f>
        <v>1000000000</v>
      </c>
      <c r="AC139" s="129" t="str">
        <f ca="1">_xll.BDP($A139 &amp; " Corp",AC$1)</f>
        <v>ISMA-30/360</v>
      </c>
      <c r="AD139" s="130" t="str">
        <f ca="1">_xll.INSTANCE.YANKEE(A139,U139,V139,W139,X139,Y139,Z139,AA139,LEFT(AC139,11),3,IF(RIGHT(AC139,6)="NONEOM",FALSE,TRUE),TODAY())</f>
        <v>EI472618 Corp#0027</v>
      </c>
      <c r="AE139" s="130" t="str">
        <f ca="1">_xll.INSTANCE.CONVENTION.TAUX("conv_" &amp; A139,LEFT(AC139,11),"Compounded",IF(AA139=1,"Annual",IF(AA139=2,"Semi-Annual","")),"Unadjusted",TODAY())</f>
        <v>conv_EI472618 Corp#0027</v>
      </c>
    </row>
    <row r="140" spans="1:31" x14ac:dyDescent="0.2">
      <c r="A140" s="131" t="s">
        <v>900</v>
      </c>
      <c r="B140" s="115" t="str">
        <f ca="1">_xll.BDP($A140 &amp; " Govt",B$1)</f>
        <v>ASIA 4 1/4 10/20/14</v>
      </c>
      <c r="C140" s="209" t="str">
        <f t="shared" ca="1" si="10"/>
        <v>ASIA</v>
      </c>
      <c r="D140" s="116"/>
      <c r="E140" s="117"/>
      <c r="F140" s="118"/>
      <c r="G140" s="119"/>
      <c r="H140" s="120">
        <f ca="1">IF(E140="",_xll.BDP(A140 &amp; " Corp","YLD_YTM_ASK")/100,E140)</f>
        <v>4.2221669999999998E-3</v>
      </c>
      <c r="I140" s="121">
        <f ca="1">_xll.INSTRUMENT.PRIX(AD140,D140,H140,AE140)</f>
        <v>108.71985124868856</v>
      </c>
      <c r="J140" s="122">
        <f ca="1">_xll.INSTRUMENT.DV01(AD140,,,I140,cContinuous,I140)</f>
        <v>-2.4063417392688715E-2</v>
      </c>
      <c r="K140" s="123">
        <f ca="1">_xll.INSTRUMENT.CONVEXITE(AD140,,,I140,cContinuous,I140)</f>
        <v>4.9549698953035302</v>
      </c>
      <c r="L140" s="123">
        <f ca="1">_xll.INSTRUMENT.Z.SPREAD(AD140,swapCurve,I140,,D140)</f>
        <v>-13.237151893963929</v>
      </c>
      <c r="M140" s="123">
        <f ca="1">_xll.INSTRUMENT.Z.SPREAD(AD140,ustCurve,I140,,D140)</f>
        <v>5.3879231756170869</v>
      </c>
      <c r="N140" s="123">
        <f ca="1">_xll.INSTRUMENT.Z.SPREAD(AD140,oisCurve,I140,,D140)</f>
        <v>20.634073278339219</v>
      </c>
      <c r="O140" s="124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4.6041467501613479E-3</v>
      </c>
      <c r="P140" s="124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5.8443340314878276E-3</v>
      </c>
      <c r="Q140" s="143">
        <f t="shared" ca="1" si="11"/>
        <v>-205.91297630107263</v>
      </c>
      <c r="R140" s="199" t="str">
        <f>IF(F140&lt;&gt;"","",IF(G140="","",-G140*(SUMIF('bench Comparison'!$A:$A,"RESINV1USD",'bench Comparison'!$G:$G)+SUMIF('bench Comparison'!$A:$A,"RESSWAPORUSD",'bench Comparison'!$G:$G))/(36500*J140)))</f>
        <v/>
      </c>
      <c r="S140" s="210" t="str">
        <f>IF(G140&lt;&gt;"","",IF(F140="","",-36500*J140*F140/(SUMIF('bench Comparison'!$A:$A,"RESINV1USD",'bench Comparison'!$G:$G)+SUMIF('bench Comparison'!$A:$A,"RESSWAPORUSD",'bench Comparison'!$G:$G))))</f>
        <v/>
      </c>
      <c r="T140" s="125">
        <f>SUMIF('bench Comparison'!$E:$E,A140,'bench Comparison'!$N:$N)</f>
        <v>0</v>
      </c>
      <c r="U140" s="126">
        <f ca="1">VALUE(_xll.BDP($A140 &amp; " Corp",U$1))</f>
        <v>38280</v>
      </c>
      <c r="V140" s="127">
        <f ca="1">VALUE(_xll.BDP($A140 &amp; " Corp",V$1))</f>
        <v>38280</v>
      </c>
      <c r="W140" s="127">
        <f ca="1">VALUE(_xll.BDP($A140 &amp; " Corp",W$1))</f>
        <v>38462</v>
      </c>
      <c r="X140" s="127">
        <f ca="1">VALUE(_xll.BDP($A140 &amp; " Corp",X$1))</f>
        <v>41749</v>
      </c>
      <c r="Y140" s="127">
        <f ca="1">VALUE(_xll.BDP($A140 &amp; " Corp",Y$1))</f>
        <v>41932</v>
      </c>
      <c r="Z140" s="128">
        <f ca="1">_xll.BDP($A140 &amp; " Corp",Z$1)/100</f>
        <v>4.2500000000000003E-2</v>
      </c>
      <c r="AA140" s="129">
        <f ca="1">_xll.BDP($A140 &amp; " Corp",AA$1)</f>
        <v>2</v>
      </c>
      <c r="AB140" s="129">
        <f ca="1">_xll.BDP($A140 &amp; " Corp",AB$1)</f>
        <v>1000000000</v>
      </c>
      <c r="AC140" s="129" t="str">
        <f ca="1">_xll.BDP($A140 &amp; " Corp",AC$1)</f>
        <v>ISMA-30/360</v>
      </c>
      <c r="AD140" s="130" t="str">
        <f ca="1">_xll.INSTANCE.YANKEE(A140,U140,V140,W140,X140,Y140,Z140,AA140,LEFT(AC140,11),3,IF(RIGHT(AC140,6)="NONEOM",FALSE,TRUE),TODAY())</f>
        <v>ED650463 Corp#0027</v>
      </c>
      <c r="AE140" s="130" t="str">
        <f ca="1">_xll.INSTANCE.CONVENTION.TAUX("conv_" &amp; A140,LEFT(AC140,11),"Compounded",IF(AA140=1,"Annual",IF(AA140=2,"Semi-Annual","")),"Unadjusted",TODAY())</f>
        <v>conv_ED650463 Corp#0027</v>
      </c>
    </row>
    <row r="141" spans="1:31" x14ac:dyDescent="0.2">
      <c r="A141" s="131" t="s">
        <v>889</v>
      </c>
      <c r="B141" s="115" t="str">
        <f ca="1">_xll.BDP($A141 &amp; " Govt",B$1)</f>
        <v>ASIA 0 7/8 06/10/14</v>
      </c>
      <c r="C141" s="209" t="str">
        <f t="shared" ca="1" si="10"/>
        <v>ASIA</v>
      </c>
      <c r="D141" s="116"/>
      <c r="E141" s="117"/>
      <c r="F141" s="118"/>
      <c r="G141" s="119"/>
      <c r="H141" s="120">
        <f ca="1">IF(E141="",_xll.BDP(A141 &amp; " Corp","YLD_YTM_ASK")/100,E141)</f>
        <v>3.2633410000000003E-3</v>
      </c>
      <c r="I141" s="121">
        <f ca="1">_xll.INSTRUMENT.PRIX(AD141,D141,H141,AE141)</f>
        <v>101.05499994619063</v>
      </c>
      <c r="J141" s="122">
        <f ca="1">_xll.INSTRUMENT.DV01(AD141,,,I141,cContinuous,I141)</f>
        <v>-1.9386139342100095E-2</v>
      </c>
      <c r="K141" s="123">
        <f ca="1">_xll.INSTRUMENT.CONVEXITE(AD141,,,I141,cContinuous,I141)</f>
        <v>3.6906669014388154</v>
      </c>
      <c r="L141" s="123">
        <f ca="1">_xll.INSTRUMENT.Z.SPREAD(AD141,swapCurve,I141,,D141)</f>
        <v>-20.779721186620009</v>
      </c>
      <c r="M141" s="123">
        <f ca="1">_xll.INSTRUMENT.Z.SPREAD(AD141,ustCurve,I141,,D141)</f>
        <v>-0.96218428232583708</v>
      </c>
      <c r="N141" s="123">
        <f ca="1">_xll.INSTRUMENT.Z.SPREAD(AD141,oisCurve,I141,,D141)</f>
        <v>11.965466984046145</v>
      </c>
      <c r="O141" s="124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4.5708156806656694E-3</v>
      </c>
      <c r="P141" s="124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4.2406104995121657E-3</v>
      </c>
      <c r="Q141" s="143">
        <f t="shared" ca="1" si="11"/>
        <v>-190.3765796949547</v>
      </c>
      <c r="R141" s="199" t="str">
        <f>IF(F141&lt;&gt;"","",IF(G141="","",-G141*(SUMIF('bench Comparison'!$A:$A,"RESINV1USD",'bench Comparison'!$G:$G)+SUMIF('bench Comparison'!$A:$A,"RESSWAPORUSD",'bench Comparison'!$G:$G))/(36500*J141)))</f>
        <v/>
      </c>
      <c r="S141" s="210" t="str">
        <f>IF(G141&lt;&gt;"","",IF(F141="","",-36500*J141*F141/(SUMIF('bench Comparison'!$A:$A,"RESINV1USD",'bench Comparison'!$G:$G)+SUMIF('bench Comparison'!$A:$A,"RESSWAPORUSD",'bench Comparison'!$G:$G))))</f>
        <v/>
      </c>
      <c r="T141" s="125">
        <f>SUMIF('bench Comparison'!$E:$E,A141,'bench Comparison'!$N:$N)</f>
        <v>0</v>
      </c>
      <c r="U141" s="126">
        <f ca="1">VALUE(_xll.BDP($A141 &amp; " Corp",U$1))</f>
        <v>40703</v>
      </c>
      <c r="V141" s="127">
        <f ca="1">VALUE(_xll.BDP($A141 &amp; " Corp",V$1))</f>
        <v>40703</v>
      </c>
      <c r="W141" s="127">
        <f ca="1">VALUE(_xll.BDP($A141 &amp; " Corp",W$1))</f>
        <v>40887</v>
      </c>
      <c r="X141" s="127">
        <f ca="1">VALUE(_xll.BDP($A141 &amp; " Corp",X$1))</f>
        <v>41618</v>
      </c>
      <c r="Y141" s="127">
        <f ca="1">VALUE(_xll.BDP($A141 &amp; " Corp",Y$1))</f>
        <v>41800</v>
      </c>
      <c r="Z141" s="128">
        <f ca="1">_xll.BDP($A141 &amp; " Corp",Z$1)/100</f>
        <v>8.7500000000000008E-3</v>
      </c>
      <c r="AA141" s="129">
        <f ca="1">_xll.BDP($A141 &amp; " Corp",AA$1)</f>
        <v>2</v>
      </c>
      <c r="AB141" s="129">
        <f ca="1">_xll.BDP($A141 &amp; " Corp",AB$1)</f>
        <v>1500000000</v>
      </c>
      <c r="AC141" s="129" t="str">
        <f ca="1">_xll.BDP($A141 &amp; " Corp",AC$1)</f>
        <v>ISMA-30/360</v>
      </c>
      <c r="AD141" s="130" t="str">
        <f ca="1">_xll.INSTANCE.YANKEE(A141,U141,V141,W141,X141,Y141,Z141,AA141,LEFT(AC141,11),3,IF(RIGHT(AC141,6)="NONEOM",FALSE,TRUE),TODAY())</f>
        <v>EI697819 Corp#0027</v>
      </c>
      <c r="AE141" s="130" t="str">
        <f ca="1">_xll.INSTANCE.CONVENTION.TAUX("conv_" &amp; A141,LEFT(AC141,11),"Compounded",IF(AA141=1,"Annual",IF(AA141=2,"Semi-Annual","")),"Unadjusted",TODAY())</f>
        <v>conv_EI697819 Corp#0027</v>
      </c>
    </row>
    <row r="142" spans="1:31" x14ac:dyDescent="0.2">
      <c r="A142" s="131" t="s">
        <v>898</v>
      </c>
      <c r="B142" s="115" t="str">
        <f ca="1">_xll.BDP($A142 &amp; " Govt",B$1)</f>
        <v>ASIA 2 3/4 05/21/14</v>
      </c>
      <c r="C142" s="209" t="str">
        <f t="shared" ca="1" si="10"/>
        <v>ASIA</v>
      </c>
      <c r="D142" s="116"/>
      <c r="E142" s="117"/>
      <c r="F142" s="118"/>
      <c r="G142" s="119"/>
      <c r="H142" s="120">
        <f ca="1">IF(E142="",_xll.BDP(A142 &amp; " Corp","YLD_YTM_ASK")/100,E142)</f>
        <v>3.1558019999999997E-3</v>
      </c>
      <c r="I142" s="121">
        <f ca="1">_xll.INSTRUMENT.PRIX(AD142,D142,H142,AE142)</f>
        <v>104.55399996595955</v>
      </c>
      <c r="J142" s="122">
        <f ca="1">_xll.INSTRUMENT.DV01(AD142,,,I142,cContinuous,I142)</f>
        <v>-1.9260300207623038E-2</v>
      </c>
      <c r="K142" s="123">
        <f ca="1">_xll.INSTRUMENT.CONVEXITE(AD142,,,I142,cContinuous,I142)</f>
        <v>3.4158070568013521</v>
      </c>
      <c r="L142" s="123">
        <f ca="1">_xll.INSTRUMENT.Z.SPREAD(AD142,swapCurve,I142,,D142)</f>
        <v>-21.4886882631289</v>
      </c>
      <c r="M142" s="123">
        <f ca="1">_xll.INSTRUMENT.Z.SPREAD(AD142,ustCurve,I142,,D142)</f>
        <v>-1.7174146361012748</v>
      </c>
      <c r="N142" s="123">
        <f ca="1">_xll.INSTRUMENT.Z.SPREAD(AD142,oisCurve,I142,,D142)</f>
        <v>11.118623228592821</v>
      </c>
      <c r="O142" s="124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3.474086195777216E-3</v>
      </c>
      <c r="P142" s="124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4.2590960276563282E-3</v>
      </c>
      <c r="Q142" s="143">
        <f t="shared" ca="1" si="11"/>
        <v>-177.34962695178601</v>
      </c>
      <c r="R142" s="199" t="str">
        <f>IF(F142&lt;&gt;"","",IF(G142="","",-G142*(SUMIF('bench Comparison'!$A:$A,"RESINV1USD",'bench Comparison'!$G:$G)+SUMIF('bench Comparison'!$A:$A,"RESSWAPORUSD",'bench Comparison'!$G:$G))/(36500*J142)))</f>
        <v/>
      </c>
      <c r="S142" s="210" t="str">
        <f>IF(G142&lt;&gt;"","",IF(F142="","",-36500*J142*F142/(SUMIF('bench Comparison'!$A:$A,"RESINV1USD",'bench Comparison'!$G:$G)+SUMIF('bench Comparison'!$A:$A,"RESSWAPORUSD",'bench Comparison'!$G:$G))))</f>
        <v/>
      </c>
      <c r="T142" s="125">
        <f>SUMIF('bench Comparison'!$E:$E,A142,'bench Comparison'!$N:$N)</f>
        <v>0</v>
      </c>
      <c r="U142" s="126">
        <f ca="1">VALUE(_xll.BDP($A142 &amp; " Corp",U$1))</f>
        <v>39954</v>
      </c>
      <c r="V142" s="127">
        <f ca="1">VALUE(_xll.BDP($A142 &amp; " Corp",V$1))</f>
        <v>39954</v>
      </c>
      <c r="W142" s="127">
        <f ca="1">VALUE(_xll.BDP($A142 &amp; " Corp",W$1))</f>
        <v>40138</v>
      </c>
      <c r="X142" s="127">
        <f ca="1">VALUE(_xll.BDP($A142 &amp; " Corp",X$1))</f>
        <v>41599</v>
      </c>
      <c r="Y142" s="127">
        <f ca="1">VALUE(_xll.BDP($A142 &amp; " Corp",Y$1))</f>
        <v>41780</v>
      </c>
      <c r="Z142" s="128">
        <f ca="1">_xll.BDP($A142 &amp; " Corp",Z$1)/100</f>
        <v>2.75E-2</v>
      </c>
      <c r="AA142" s="129">
        <f ca="1">_xll.BDP($A142 &amp; " Corp",AA$1)</f>
        <v>2</v>
      </c>
      <c r="AB142" s="129">
        <f ca="1">_xll.BDP($A142 &amp; " Corp",AB$1)</f>
        <v>3000000000</v>
      </c>
      <c r="AC142" s="129" t="str">
        <f ca="1">_xll.BDP($A142 &amp; " Corp",AC$1)</f>
        <v>ISMA-30/360</v>
      </c>
      <c r="AD142" s="130" t="str">
        <f ca="1">_xll.INSTANCE.YANKEE(A142,U142,V142,W142,X142,Y142,Z142,AA142,LEFT(AC142,11),3,IF(RIGHT(AC142,6)="NONEOM",FALSE,TRUE),TODAY())</f>
        <v>EH828973 Corp#0027</v>
      </c>
      <c r="AE142" s="130" t="str">
        <f ca="1">_xll.INSTANCE.CONVENTION.TAUX("conv_" &amp; A142,LEFT(AC142,11),"Compounded",IF(AA142=1,"Annual",IF(AA142=2,"Semi-Annual","")),"Unadjusted",TODAY())</f>
        <v>conv_EH828973 Corp#0027</v>
      </c>
    </row>
    <row r="143" spans="1:31" x14ac:dyDescent="0.2">
      <c r="A143" s="131" t="s">
        <v>899</v>
      </c>
      <c r="B143" s="115" t="str">
        <f ca="1">_xll.BDP($A143 &amp; " Govt",B$1)</f>
        <v>ASIA 3 5/8 09/05/13</v>
      </c>
      <c r="C143" s="209" t="str">
        <f t="shared" ca="1" si="10"/>
        <v>ASIA</v>
      </c>
      <c r="D143" s="116"/>
      <c r="E143" s="117"/>
      <c r="F143" s="118"/>
      <c r="G143" s="119"/>
      <c r="H143" s="120">
        <f ca="1">IF(E143="",_xll.BDP(A143 &amp; " Corp","YLD_YTM_ASK")/100,E143)</f>
        <v>2.7593349999999999E-3</v>
      </c>
      <c r="I143" s="121">
        <f ca="1">_xll.INSTRUMENT.PRIX(AD143,D143,H143,AE143)</f>
        <v>103.89799994592303</v>
      </c>
      <c r="J143" s="122">
        <f ca="1">_xll.INSTRUMENT.DV01(AD143,,,I143,cContinuous,I143)</f>
        <v>-1.2009623726755514E-2</v>
      </c>
      <c r="K143" s="123">
        <f ca="1">_xll.INSTRUMENT.CONVEXITE(AD143,,,I143,cContinuous,I143)</f>
        <v>1.3264836330959655</v>
      </c>
      <c r="L143" s="123">
        <f ca="1">_xll.INSTRUMENT.Z.SPREAD(AD143,swapCurve,I143,,D143)</f>
        <v>-22.09703203766616</v>
      </c>
      <c r="M143" s="123">
        <f ca="1">_xll.INSTRUMENT.Z.SPREAD(AD143,ustCurve,I143,,D143)</f>
        <v>3.2158319652110701E-3</v>
      </c>
      <c r="N143" s="123">
        <f ca="1">_xll.INSTRUMENT.Z.SPREAD(AD143,oisCurve,I143,,D143)</f>
        <v>8.892419138551352</v>
      </c>
      <c r="O143" s="124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2.2040337864480154E-3</v>
      </c>
      <c r="P143" s="124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3.535977560366688E-3</v>
      </c>
      <c r="Q143" s="143">
        <f t="shared" ca="1" si="11"/>
        <v>-110.45172299118522</v>
      </c>
      <c r="R143" s="199" t="str">
        <f>IF(F143&lt;&gt;"","",IF(G143="","",-G143*(SUMIF('bench Comparison'!$A:$A,"RESINV1USD",'bench Comparison'!$G:$G)+SUMIF('bench Comparison'!$A:$A,"RESSWAPORUSD",'bench Comparison'!$G:$G))/(36500*J143)))</f>
        <v/>
      </c>
      <c r="S143" s="210" t="str">
        <f>IF(G143&lt;&gt;"","",IF(F143="","",-36500*J143*F143/(SUMIF('bench Comparison'!$A:$A,"RESINV1USD",'bench Comparison'!$G:$G)+SUMIF('bench Comparison'!$A:$A,"RESSWAPORUSD",'bench Comparison'!$G:$G))))</f>
        <v/>
      </c>
      <c r="T143" s="125">
        <f>SUMIF('bench Comparison'!$E:$E,A143,'bench Comparison'!$N:$N)</f>
        <v>0</v>
      </c>
      <c r="U143" s="126">
        <f ca="1">VALUE(_xll.BDP($A143 &amp; " Corp",U$1))</f>
        <v>39696</v>
      </c>
      <c r="V143" s="127">
        <f ca="1">VALUE(_xll.BDP($A143 &amp; " Corp",V$1))</f>
        <v>39696</v>
      </c>
      <c r="W143" s="127">
        <f ca="1">VALUE(_xll.BDP($A143 &amp; " Corp",W$1))</f>
        <v>39877</v>
      </c>
      <c r="X143" s="127">
        <f ca="1">VALUE(_xll.BDP($A143 &amp; " Corp",X$1))</f>
        <v>41338</v>
      </c>
      <c r="Y143" s="127">
        <f ca="1">VALUE(_xll.BDP($A143 &amp; " Corp",Y$1))</f>
        <v>41522</v>
      </c>
      <c r="Z143" s="128">
        <f ca="1">_xll.BDP($A143 &amp; " Corp",Z$1)/100</f>
        <v>3.6249999999999998E-2</v>
      </c>
      <c r="AA143" s="129">
        <f ca="1">_xll.BDP($A143 &amp; " Corp",AA$1)</f>
        <v>2</v>
      </c>
      <c r="AB143" s="129">
        <f ca="1">_xll.BDP($A143 &amp; " Corp",AB$1)</f>
        <v>1450000000</v>
      </c>
      <c r="AC143" s="129" t="str">
        <f ca="1">_xll.BDP($A143 &amp; " Corp",AC$1)</f>
        <v>30/360</v>
      </c>
      <c r="AD143" s="130" t="str">
        <f ca="1">_xll.INSTANCE.YANKEE(A143,U143,V143,W143,X143,Y143,Z143,AA143,LEFT(AC143,11),3,IF(RIGHT(AC143,6)="NONEOM",FALSE,TRUE),TODAY())</f>
        <v>EH531108 Corp#0027</v>
      </c>
      <c r="AE143" s="130" t="str">
        <f ca="1">_xll.INSTANCE.CONVENTION.TAUX("conv_" &amp; A143,LEFT(AC143,11),"Compounded",IF(AA143=1,"Annual",IF(AA143=2,"Semi-Annual","")),"Unadjusted",TODAY())</f>
        <v>conv_EH531108 Corp#0027</v>
      </c>
    </row>
    <row r="144" spans="1:31" x14ac:dyDescent="0.2">
      <c r="A144" s="131" t="s">
        <v>892</v>
      </c>
      <c r="B144" s="115" t="str">
        <f ca="1">_xll.BDP($A144 &amp; " Govt",B$1)</f>
        <v>ASIA 1 5/8 07/15/13</v>
      </c>
      <c r="C144" s="209" t="str">
        <f t="shared" ca="1" si="10"/>
        <v>ASIA</v>
      </c>
      <c r="D144" s="116"/>
      <c r="E144" s="117"/>
      <c r="F144" s="118"/>
      <c r="G144" s="119"/>
      <c r="H144" s="120">
        <f ca="1">IF(E144="",_xll.BDP(A144 &amp; " Corp","YLD_YTM_ASK")/100,E144)</f>
        <v>2.5335069999999999E-3</v>
      </c>
      <c r="I144" s="121">
        <f ca="1">_xll.INSTRUMENT.PRIX(AD144,D144,H144,AE144)</f>
        <v>101.40699431497403</v>
      </c>
      <c r="J144" s="122">
        <f ca="1">_xll.INSTRUMENT.DV01(AD144,,,I144,cContinuous,I144)</f>
        <v>-1.0362437489507416E-2</v>
      </c>
      <c r="K144" s="123">
        <f ca="1">_xll.INSTRUMENT.CONVEXITE(AD144,,,I144,cContinuous,I144)</f>
        <v>1.0382858736871576</v>
      </c>
      <c r="L144" s="123">
        <f ca="1">_xll.INSTRUMENT.Z.SPREAD(AD144,swapCurve,I144,,D144)</f>
        <v>-23.57570272997166</v>
      </c>
      <c r="M144" s="123">
        <f ca="1">_xll.INSTRUMENT.Z.SPREAD(AD144,ustCurve,I144,,D144)</f>
        <v>-0.2326853379476593</v>
      </c>
      <c r="N144" s="123">
        <f ca="1">_xll.INSTRUMENT.Z.SPREAD(AD144,oisCurve,I144,,D144)</f>
        <v>6.8381845296489692</v>
      </c>
      <c r="O144" s="124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2.7499857059771699E-3</v>
      </c>
      <c r="P144" s="124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3.0504869575299258E-3</v>
      </c>
      <c r="Q144" s="143">
        <f t="shared" ca="1" si="11"/>
        <v>-100.19706992090266</v>
      </c>
      <c r="R144" s="199" t="str">
        <f>IF(F144&lt;&gt;"","",IF(G144="","",-G144*(SUMIF('bench Comparison'!$A:$A,"RESINV1USD",'bench Comparison'!$G:$G)+SUMIF('bench Comparison'!$A:$A,"RESSWAPORUSD",'bench Comparison'!$G:$G))/(36500*J144)))</f>
        <v/>
      </c>
      <c r="S144" s="210" t="str">
        <f>IF(G144&lt;&gt;"","",IF(F144="","",-36500*J144*F144/(SUMIF('bench Comparison'!$A:$A,"RESINV1USD",'bench Comparison'!$G:$G)+SUMIF('bench Comparison'!$A:$A,"RESSWAPORUSD",'bench Comparison'!$G:$G))))</f>
        <v/>
      </c>
      <c r="T144" s="125">
        <f>SUMIF('bench Comparison'!$E:$E,A144,'bench Comparison'!$N:$N)</f>
        <v>0</v>
      </c>
      <c r="U144" s="126">
        <f ca="1">VALUE(_xll.BDP($A144 &amp; " Corp",U$1))</f>
        <v>40332</v>
      </c>
      <c r="V144" s="127">
        <f ca="1">VALUE(_xll.BDP($A144 &amp; " Corp",V$1))</f>
        <v>40332</v>
      </c>
      <c r="W144" s="127">
        <f ca="1">VALUE(_xll.BDP($A144 &amp; " Corp",W$1))</f>
        <v>40374</v>
      </c>
      <c r="X144" s="127">
        <f ca="1">VALUE(_xll.BDP($A144 &amp; " Corp",X$1))</f>
        <v>41289</v>
      </c>
      <c r="Y144" s="127">
        <f ca="1">VALUE(_xll.BDP($A144 &amp; " Corp",Y$1))</f>
        <v>41470</v>
      </c>
      <c r="Z144" s="128">
        <f ca="1">_xll.BDP($A144 &amp; " Corp",Z$1)/100</f>
        <v>1.6250000000000001E-2</v>
      </c>
      <c r="AA144" s="129">
        <f ca="1">_xll.BDP($A144 &amp; " Corp",AA$1)</f>
        <v>2</v>
      </c>
      <c r="AB144" s="129">
        <f ca="1">_xll.BDP($A144 &amp; " Corp",AB$1)</f>
        <v>3000000000</v>
      </c>
      <c r="AC144" s="129" t="str">
        <f ca="1">_xll.BDP($A144 &amp; " Corp",AC$1)</f>
        <v>ISMA-30/360</v>
      </c>
      <c r="AD144" s="130" t="str">
        <f ca="1">_xll.INSTANCE.YANKEE(A144,U144,V144,W144,X144,Y144,Z144,AA144,LEFT(AC144,11),3,IF(RIGHT(AC144,6)="NONEOM",FALSE,TRUE),TODAY())</f>
        <v>EI265078 Corp#0027</v>
      </c>
      <c r="AE144" s="130" t="str">
        <f ca="1">_xll.INSTANCE.CONVENTION.TAUX("conv_" &amp; A144,LEFT(AC144,11),"Compounded",IF(AA144=1,"Annual",IF(AA144=2,"Semi-Annual","")),"Unadjusted",TODAY())</f>
        <v>conv_EI265078 Corp#0027</v>
      </c>
    </row>
    <row r="145" spans="1:31" x14ac:dyDescent="0.2">
      <c r="A145" s="131" t="s">
        <v>330</v>
      </c>
      <c r="B145" s="115" t="str">
        <f ca="1">_xll.BDP($A145 &amp; " Govt",B$1)</f>
        <v>AGFRNC 1 1/4 11/25/13</v>
      </c>
      <c r="C145" s="209" t="str">
        <f t="shared" ca="1" si="10"/>
        <v>AGFRNC</v>
      </c>
      <c r="D145" s="116"/>
      <c r="E145" s="117"/>
      <c r="F145" s="118"/>
      <c r="G145" s="119"/>
      <c r="H145" s="120">
        <f ca="1">IF(E145="",_xll.BDP(A145 &amp; " Corp","YLD_YTM_ASK")/100,E145)</f>
        <v>8.3243999999999992E-3</v>
      </c>
      <c r="I145" s="121">
        <f ca="1">_xll.INSTRUMENT.PRIX(AD145,D145,H145,AE145)</f>
        <v>100.57297136502163</v>
      </c>
      <c r="J145" s="122">
        <f ca="1">_xll.INSTRUMENT.DV01(AD145,,,I145,cContinuous,I145)</f>
        <v>-1.3965987407469606E-2</v>
      </c>
      <c r="K145" s="123">
        <f ca="1">_xll.INSTRUMENT.CONVEXITE(AD145,,,I145,cContinuous,I145)</f>
        <v>1.9114383717572994</v>
      </c>
      <c r="L145" s="123">
        <f ca="1">_xll.INSTRUMENT.Z.SPREAD(AD145,swapCurve,I145,,D145)</f>
        <v>32.069523781956512</v>
      </c>
      <c r="M145" s="123">
        <f ca="1">_xll.INSTRUMENT.Z.SPREAD(AD145,ustCurve,I145,,D145)</f>
        <v>53.692551896379335</v>
      </c>
      <c r="N145" s="123">
        <f ca="1">_xll.INSTRUMENT.Z.SPREAD(AD145,oisCurve,I145,,D145)</f>
        <v>63.788380183160982</v>
      </c>
      <c r="O145" s="124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9.3452882306860625E-3</v>
      </c>
      <c r="P145" s="124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9.0257673763252336E-3</v>
      </c>
      <c r="Q145" s="143">
        <f t="shared" ca="1" si="11"/>
        <v>-136.86381893305881</v>
      </c>
      <c r="R145" s="199" t="str">
        <f>IF(F145&lt;&gt;"","",IF(G145="","",-G145*(SUMIF('bench Comparison'!$A:$A,"RESINV1USD",'bench Comparison'!$G:$G)+SUMIF('bench Comparison'!$A:$A,"RESSWAPORUSD",'bench Comparison'!$G:$G))/(36500*J145)))</f>
        <v/>
      </c>
      <c r="S145" s="210" t="str">
        <f>IF(G145&lt;&gt;"","",IF(F145="","",-36500*J145*F145/(SUMIF('bench Comparison'!$A:$A,"RESINV1USD",'bench Comparison'!$G:$G)+SUMIF('bench Comparison'!$A:$A,"RESSWAPORUSD",'bench Comparison'!$G:$G))))</f>
        <v/>
      </c>
      <c r="T145" s="125">
        <f>SUMIF('bench Comparison'!$E:$E,A145,'bench Comparison'!$N:$N)</f>
        <v>200000000</v>
      </c>
      <c r="U145" s="126">
        <f ca="1">VALUE(_xll.BDP($A145 &amp; " Corp",U$1))</f>
        <v>40505</v>
      </c>
      <c r="V145" s="127">
        <f ca="1">VALUE(_xll.BDP($A145 &amp; " Corp",V$1))</f>
        <v>40505</v>
      </c>
      <c r="W145" s="127">
        <f ca="1">VALUE(_xll.BDP($A145 &amp; " Corp",W$1))</f>
        <v>40872</v>
      </c>
      <c r="X145" s="127">
        <f ca="1">VALUE(_xll.BDP($A145 &amp; " Corp",X$1))</f>
        <v>41238</v>
      </c>
      <c r="Y145" s="127">
        <f ca="1">VALUE(_xll.BDP($A145 &amp; " Corp",Y$1))</f>
        <v>41603</v>
      </c>
      <c r="Z145" s="128">
        <f ca="1">_xll.BDP($A145 &amp; " Corp",Z$1)/100</f>
        <v>1.2500000000000001E-2</v>
      </c>
      <c r="AA145" s="129">
        <f ca="1">_xll.BDP($A145 &amp; " Corp",AA$1)</f>
        <v>1</v>
      </c>
      <c r="AB145" s="129">
        <f ca="1">_xll.BDP($A145 &amp; " Corp",AB$1)</f>
        <v>1250000000</v>
      </c>
      <c r="AC145" s="129" t="str">
        <f ca="1">_xll.BDP($A145 &amp; " Corp",AC$1)</f>
        <v>ISMA-30/360</v>
      </c>
      <c r="AD145" s="130" t="str">
        <f ca="1">_xll.INSTANCE.YANKEE(A145,U145,V145,W145,X145,Y145,Z145,AA145,LEFT(AC145,11),3,IF(RIGHT(AC145,6)="NONEOM",FALSE,TRUE),TODAY())</f>
        <v>XS0562102615#0027</v>
      </c>
      <c r="AE145" s="130" t="str">
        <f ca="1">_xll.INSTANCE.CONVENTION.TAUX("conv_" &amp; A145,LEFT(AC145,11),"Compounded",IF(AA145=1,"Annual",IF(AA145=2,"Semi-Annual","")),"Unadjusted",TODAY())</f>
        <v>conv_XS0562102615#0026</v>
      </c>
    </row>
    <row r="146" spans="1:31" x14ac:dyDescent="0.2">
      <c r="A146" s="131" t="s">
        <v>344</v>
      </c>
      <c r="B146" s="115" t="str">
        <f ca="1">_xll.BDP($A146 &amp; " Govt",B$1)</f>
        <v>AGFRNC 1 1/4 06/09/14</v>
      </c>
      <c r="C146" s="209" t="str">
        <f t="shared" ca="1" si="10"/>
        <v>AGFRNC</v>
      </c>
      <c r="D146" s="116"/>
      <c r="E146" s="117"/>
      <c r="F146" s="118"/>
      <c r="G146" s="119"/>
      <c r="H146" s="120">
        <f ca="1">IF(E146="",_xll.BDP(A146 &amp; " Corp","YLD_YTM_ASK")/100,E146)</f>
        <v>1.0832395999999999E-2</v>
      </c>
      <c r="I146" s="121">
        <f ca="1">_xll.INSTRUMENT.PRIX(AD146,D146,H146,AE146)</f>
        <v>100.3159629897616</v>
      </c>
      <c r="J146" s="122">
        <f ca="1">_xll.INSTRUMENT.DV01(AD146,,,I146,cContinuous,I146)</f>
        <v>-1.9229063814095365E-2</v>
      </c>
      <c r="K146" s="123">
        <f ca="1">_xll.INSTRUMENT.CONVEXITE(AD146,,,I146,cContinuous,I146)</f>
        <v>3.6798228499945531</v>
      </c>
      <c r="L146" s="123">
        <f ca="1">_xll.INSTRUMENT.Z.SPREAD(AD146,swapCurve,I146,,D146)</f>
        <v>54.333936785087246</v>
      </c>
      <c r="M146" s="123">
        <f ca="1">_xll.INSTRUMENT.Z.SPREAD(AD146,ustCurve,I146,,D146)</f>
        <v>74.213406539308352</v>
      </c>
      <c r="N146" s="123">
        <f ca="1">_xll.INSTRUMENT.Z.SPREAD(AD146,oisCurve,I146,,D146)</f>
        <v>87.070170534902132</v>
      </c>
      <c r="O146" s="124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1.2458770413430199E-2</v>
      </c>
      <c r="P146" s="124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1.180367261674169E-2</v>
      </c>
      <c r="Q146" s="143">
        <f t="shared" ca="1" si="11"/>
        <v>-191.36775901160382</v>
      </c>
      <c r="R146" s="199" t="str">
        <f>IF(F146&lt;&gt;"","",IF(G146="","",-G146*(SUMIF('bench Comparison'!$A:$A,"RESINV1USD",'bench Comparison'!$G:$G)+SUMIF('bench Comparison'!$A:$A,"RESSWAPORUSD",'bench Comparison'!$G:$G))/(36500*J146)))</f>
        <v/>
      </c>
      <c r="S146" s="210" t="str">
        <f>IF(G146&lt;&gt;"","",IF(F146="","",-36500*J146*F146/(SUMIF('bench Comparison'!$A:$A,"RESINV1USD",'bench Comparison'!$G:$G)+SUMIF('bench Comparison'!$A:$A,"RESSWAPORUSD",'bench Comparison'!$G:$G))))</f>
        <v/>
      </c>
      <c r="T146" s="125">
        <f>SUMIF('bench Comparison'!$E:$E,A146,'bench Comparison'!$N:$N)</f>
        <v>50000000</v>
      </c>
      <c r="U146" s="126">
        <f ca="1">VALUE(_xll.BDP($A146 &amp; " Corp",U$1))</f>
        <v>40703</v>
      </c>
      <c r="V146" s="127">
        <f ca="1">VALUE(_xll.BDP($A146 &amp; " Corp",V$1))</f>
        <v>40703</v>
      </c>
      <c r="W146" s="127">
        <f ca="1">VALUE(_xll.BDP($A146 &amp; " Corp",W$1))</f>
        <v>41069</v>
      </c>
      <c r="X146" s="127">
        <f ca="1">VALUE(_xll.BDP($A146 &amp; " Corp",X$1))</f>
        <v>41434</v>
      </c>
      <c r="Y146" s="127">
        <f ca="1">VALUE(_xll.BDP($A146 &amp; " Corp",Y$1))</f>
        <v>41799</v>
      </c>
      <c r="Z146" s="128">
        <f ca="1">_xll.BDP($A146 &amp; " Corp",Z$1)/100</f>
        <v>1.2500000000000001E-2</v>
      </c>
      <c r="AA146" s="129">
        <f ca="1">_xll.BDP($A146 &amp; " Corp",AA$1)</f>
        <v>1</v>
      </c>
      <c r="AB146" s="129">
        <f ca="1">_xll.BDP($A146 &amp; " Corp",AB$1)</f>
        <v>1250000000</v>
      </c>
      <c r="AC146" s="129" t="str">
        <f ca="1">_xll.BDP($A146 &amp; " Corp",AC$1)</f>
        <v>ISMA-30/360</v>
      </c>
      <c r="AD146" s="130" t="str">
        <f ca="1">_xll.INSTANCE.YANKEE(A146,U146,V146,W146,X146,Y146,Z146,AA146,LEFT(AC146,11),3,IF(RIGHT(AC146,6)="NONEOM",FALSE,TRUE),TODAY())</f>
        <v>XS0635033128#0027</v>
      </c>
      <c r="AE146" s="130" t="str">
        <f ca="1">_xll.INSTANCE.CONVENTION.TAUX("conv_" &amp; A146,LEFT(AC146,11),"Compounded",IF(AA146=1,"Annual",IF(AA146=2,"Semi-Annual","")),"Unadjusted",TODAY())</f>
        <v>conv_XS0635033128#0026</v>
      </c>
    </row>
    <row r="147" spans="1:31" x14ac:dyDescent="0.2">
      <c r="A147" s="131"/>
      <c r="B147" s="115"/>
      <c r="C147" s="209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9"/>
      <c r="S147" s="210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9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9"/>
      <c r="S148" s="210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9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9"/>
      <c r="S149" s="210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9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9"/>
      <c r="S150" s="210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9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9"/>
      <c r="S151" s="210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9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9"/>
      <c r="S152" s="210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9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9"/>
      <c r="S153" s="210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9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9"/>
      <c r="S154" s="210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9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9"/>
      <c r="S155" s="210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9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9"/>
      <c r="S156" s="210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9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9"/>
      <c r="S157" s="210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9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9"/>
      <c r="S158" s="210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9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9"/>
      <c r="S159" s="210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9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9"/>
      <c r="S160" s="210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9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9"/>
      <c r="S161" s="210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9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9"/>
      <c r="S162" s="210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9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9"/>
      <c r="S163" s="210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9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9"/>
      <c r="S164" s="210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9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9"/>
      <c r="S165" s="210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9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9"/>
      <c r="S166" s="210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9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9"/>
      <c r="S167" s="210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9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9"/>
      <c r="S168" s="210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9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9"/>
      <c r="S169" s="210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9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9"/>
      <c r="S170" s="210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9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9"/>
      <c r="S171" s="210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9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9"/>
      <c r="S172" s="210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9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9"/>
      <c r="S173" s="210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9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9"/>
      <c r="S174" s="210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9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9"/>
      <c r="S175" s="210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9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9"/>
      <c r="S176" s="210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9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9"/>
      <c r="S177" s="210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9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9"/>
      <c r="S178" s="210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9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9"/>
      <c r="S179" s="210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9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9"/>
      <c r="S180" s="210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9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9"/>
      <c r="S181" s="210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9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9"/>
      <c r="S182" s="210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9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9"/>
      <c r="S183" s="210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9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9"/>
      <c r="S184" s="210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9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9"/>
      <c r="S185" s="210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9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9"/>
      <c r="S186" s="210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9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9"/>
      <c r="S187" s="210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9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9"/>
      <c r="S188" s="210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9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9"/>
      <c r="S189" s="210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967</v>
      </c>
      <c r="L1" s="7" t="s">
        <v>968</v>
      </c>
    </row>
    <row r="2" spans="2:20" x14ac:dyDescent="0.2">
      <c r="B2" s="164" t="s">
        <v>605</v>
      </c>
      <c r="C2" s="165" t="s">
        <v>601</v>
      </c>
      <c r="D2" s="165" t="s">
        <v>277</v>
      </c>
      <c r="E2" s="165" t="s">
        <v>602</v>
      </c>
      <c r="F2" s="165" t="s">
        <v>138</v>
      </c>
      <c r="G2" s="165" t="s">
        <v>296</v>
      </c>
      <c r="H2" s="165" t="s">
        <v>315</v>
      </c>
      <c r="I2" s="165" t="s">
        <v>270</v>
      </c>
      <c r="J2" s="166" t="s">
        <v>268</v>
      </c>
      <c r="L2" s="164" t="s">
        <v>605</v>
      </c>
      <c r="M2" s="165" t="s">
        <v>601</v>
      </c>
      <c r="N2" s="165" t="s">
        <v>277</v>
      </c>
      <c r="O2" s="165" t="s">
        <v>602</v>
      </c>
      <c r="P2" s="165" t="s">
        <v>138</v>
      </c>
      <c r="Q2" s="165" t="s">
        <v>296</v>
      </c>
      <c r="R2" s="165" t="s">
        <v>315</v>
      </c>
      <c r="S2" s="165" t="s">
        <v>270</v>
      </c>
      <c r="T2" s="166" t="s">
        <v>268</v>
      </c>
    </row>
    <row r="3" spans="2:20" x14ac:dyDescent="0.2">
      <c r="B3" s="167" t="s">
        <v>99</v>
      </c>
      <c r="C3" s="168">
        <f>SUMIF('bench Comparison'!$L:$L,"RESINV1USD_" &amp; $B3 &amp; "_" &amp; C$2,'bench Comparison'!$H:$H)+SUMIF('bench Comparison'!$L:$L,"RESSWAPORUSD_" &amp; $B3 &amp; "_" &amp; C$2,'bench Comparison'!$H:$H)</f>
        <v>0</v>
      </c>
      <c r="D3" s="168">
        <f>SUMIF('bench Comparison'!$L:$L,"RESINV1USD_" &amp; $B3 &amp; "_" &amp; D$2,'bench Comparison'!$H:$H)+SUMIF('bench Comparison'!$L:$L,"RESSWAPORUSD_" &amp; $B3 &amp; "_" &amp; D$2,'bench Comparison'!$H:$H)</f>
        <v>0</v>
      </c>
      <c r="E3" s="168">
        <f>SUMIF('bench Comparison'!$L:$L,"RESINV1USD_" &amp; $B3 &amp; "_" &amp; E$2,'bench Comparison'!$H:$H)+SUMIF('bench Comparison'!$L:$L,"RESSWAPORUSD_" &amp; $B3 &amp; "_" &amp; E$2,'bench Comparison'!$H:$H)</f>
        <v>116.92</v>
      </c>
      <c r="F3" s="168">
        <f>SUMIF('bench Comparison'!$L:$L,"RESINV1USD_" &amp; $B3 &amp; "_" &amp; F$2,'bench Comparison'!$H:$H)+SUMIF('bench Comparison'!$L:$L,"RESSWAPORUSD_" &amp; $B3 &amp; "_" &amp; F$2,'bench Comparison'!$H:$H)</f>
        <v>0</v>
      </c>
      <c r="G3" s="168">
        <f>SUMIF('bench Comparison'!$L:$L,"RESINV1USD_" &amp; $B3 &amp; "_" &amp; G$2,'bench Comparison'!$H:$H)+SUMIF('bench Comparison'!$L:$L,"RESSWAPORUSD_" &amp; $B3 &amp; "_" &amp; G$2,'bench Comparison'!$H:$H)</f>
        <v>0</v>
      </c>
      <c r="H3" s="168">
        <f>SUMIF('bench Comparison'!$L:$L,"RESINV1USD_" &amp; $B3 &amp; "_" &amp; H$2,'bench Comparison'!$H:$H)+SUMIF('bench Comparison'!$L:$L,"RESSWAPORUSD_" &amp; $B3 &amp; "_" &amp; H$2,'bench Comparison'!$H:$H)</f>
        <v>0</v>
      </c>
      <c r="I3" s="168">
        <f>SUMIF('bench Comparison'!$L:$L,"RESINV1USD_" &amp; $B3 &amp; "_" &amp; I$2,'bench Comparison'!$H:$H)+SUMIF('bench Comparison'!$L:$L,"RESSWAPORUSD_" &amp; $B3 &amp; "_" &amp; I$2,'bench Comparison'!$H:$H)</f>
        <v>0</v>
      </c>
      <c r="J3" s="169">
        <f>SUMIF('bench Comparison'!$L:$L,"RESINV1USD_" &amp; $B3 &amp; "_" &amp; J$2,'bench Comparison'!$H:$H)+SUMIF('bench Comparison'!$L:$L,"RESSWAPORUSD_" &amp; $B3 &amp; "_" &amp; J$2,'bench Comparison'!$H:$H)</f>
        <v>-760.94</v>
      </c>
      <c r="L3" s="167" t="s">
        <v>99</v>
      </c>
      <c r="M3" s="168">
        <f ca="1">ratioPV*SUMIF('bench Comparison'!$L:$L,"BKINV1USD_" &amp; $L3 &amp; "_" &amp; M$2,'bench Comparison'!$H:$H)</f>
        <v>355.86182911691304</v>
      </c>
      <c r="N3" s="168">
        <f ca="1">ratioPV*SUMIF('bench Comparison'!$L:$L,"BKINV1USD_" &amp; $L3 &amp; "_" &amp; N$2,'bench Comparison'!$H:$H)</f>
        <v>0</v>
      </c>
      <c r="O3" s="168">
        <f ca="1">ratioPV*SUMIF('bench Comparison'!$L:$L,"BKINV1USD_" &amp; $L3 &amp; "_" &amp; O$2,'bench Comparison'!$H:$H)</f>
        <v>0</v>
      </c>
      <c r="P3" s="168">
        <f ca="1">ratioPV*SUMIF('bench Comparison'!$L:$L,"BKINV1USD_" &amp; $L3 &amp; "_" &amp; P$2,'bench Comparison'!$H:$H)</f>
        <v>0</v>
      </c>
      <c r="Q3" s="168">
        <f ca="1">ratioPV*SUMIF('bench Comparison'!$L:$L,"BKINV1USD_" &amp; $L3 &amp; "_" &amp; Q$2,'bench Comparison'!$H:$H)</f>
        <v>0</v>
      </c>
      <c r="R3" s="168">
        <f ca="1">ratioPV*SUMIF('bench Comparison'!$L:$L,"BKINV1USD_" &amp; $L3 &amp; "_" &amp; R$2,'bench Comparison'!$H:$H)</f>
        <v>0</v>
      </c>
      <c r="S3" s="168">
        <f ca="1">ratioPV*SUMIF('bench Comparison'!$L:$L,"BKINV1USD_" &amp; $L3 &amp; "_" &amp; S$2,'bench Comparison'!$H:$H)</f>
        <v>0</v>
      </c>
      <c r="T3" s="169">
        <f ca="1">ratioPV*SUMIF('bench Comparison'!$L:$L,"BKINV1USD_" &amp; $L3 &amp; "_" &amp; T$2,'bench Comparison'!$H:$H)</f>
        <v>0</v>
      </c>
    </row>
    <row r="4" spans="2:20" x14ac:dyDescent="0.2">
      <c r="B4" s="167" t="s">
        <v>140</v>
      </c>
      <c r="C4" s="168">
        <f>SUMIF('bench Comparison'!$L:$L,"RESINV1USD_" &amp; $B4 &amp; "_" &amp; C$2,'bench Comparison'!$H:$H)+SUMIF('bench Comparison'!$L:$L,"RESSWAPORUSD_" &amp; $B4 &amp; "_" &amp; C$2,'bench Comparison'!$H:$H)</f>
        <v>0</v>
      </c>
      <c r="D4" s="168">
        <f>SUMIF('bench Comparison'!$L:$L,"RESINV1USD_" &amp; $B4 &amp; "_" &amp; D$2,'bench Comparison'!$H:$H)+SUMIF('bench Comparison'!$L:$L,"RESSWAPORUSD_" &amp; $B4 &amp; "_" &amp; D$2,'bench Comparison'!$H:$H)</f>
        <v>0</v>
      </c>
      <c r="E4" s="168">
        <f>SUMIF('bench Comparison'!$L:$L,"RESINV1USD_" &amp; $B4 &amp; "_" &amp; E$2,'bench Comparison'!$H:$H)+SUMIF('bench Comparison'!$L:$L,"RESSWAPORUSD_" &amp; $B4 &amp; "_" &amp; E$2,'bench Comparison'!$H:$H)</f>
        <v>0</v>
      </c>
      <c r="F4" s="168">
        <f>SUMIF('bench Comparison'!$L:$L,"RESINV1USD_" &amp; $B4 &amp; "_" &amp; F$2,'bench Comparison'!$H:$H)+SUMIF('bench Comparison'!$L:$L,"RESSWAPORUSD_" &amp; $B4 &amp; "_" &amp; F$2,'bench Comparison'!$H:$H)</f>
        <v>445.36</v>
      </c>
      <c r="G4" s="168">
        <f>SUMIF('bench Comparison'!$L:$L,"RESINV1USD_" &amp; $B4 &amp; "_" &amp; G$2,'bench Comparison'!$H:$H)+SUMIF('bench Comparison'!$L:$L,"RESSWAPORUSD_" &amp; $B4 &amp; "_" &amp; G$2,'bench Comparison'!$H:$H)</f>
        <v>0</v>
      </c>
      <c r="H4" s="168">
        <f>SUMIF('bench Comparison'!$L:$L,"RESINV1USD_" &amp; $B4 &amp; "_" &amp; H$2,'bench Comparison'!$H:$H)+SUMIF('bench Comparison'!$L:$L,"RESSWAPORUSD_" &amp; $B4 &amp; "_" &amp; H$2,'bench Comparison'!$H:$H)</f>
        <v>0</v>
      </c>
      <c r="I4" s="168">
        <f>SUMIF('bench Comparison'!$L:$L,"RESINV1USD_" &amp; $B4 &amp; "_" &amp; I$2,'bench Comparison'!$H:$H)+SUMIF('bench Comparison'!$L:$L,"RESSWAPORUSD_" &amp; $B4 &amp; "_" &amp; I$2,'bench Comparison'!$H:$H)</f>
        <v>0</v>
      </c>
      <c r="J4" s="169">
        <f>SUMIF('bench Comparison'!$L:$L,"RESINV1USD_" &amp; $B4 &amp; "_" &amp; J$2,'bench Comparison'!$H:$H)+SUMIF('bench Comparison'!$L:$L,"RESSWAPORUSD_" &amp; $B4 &amp; "_" &amp; J$2,'bench Comparison'!$H:$H)</f>
        <v>0</v>
      </c>
      <c r="L4" s="167" t="s">
        <v>140</v>
      </c>
      <c r="M4" s="168">
        <f ca="1">ratioPV*SUMIF('bench Comparison'!$L:$L,"BKINV1USD_" &amp; $L4 &amp; "_" &amp; M$2,'bench Comparison'!$H:$H)</f>
        <v>0</v>
      </c>
      <c r="N4" s="168">
        <f ca="1">ratioPV*SUMIF('bench Comparison'!$L:$L,"BKINV1USD_" &amp; $L4 &amp; "_" &amp; N$2,'bench Comparison'!$H:$H)</f>
        <v>0</v>
      </c>
      <c r="O4" s="168">
        <f ca="1">ratioPV*SUMIF('bench Comparison'!$L:$L,"BKINV1USD_" &amp; $L4 &amp; "_" &amp; O$2,'bench Comparison'!$H:$H)</f>
        <v>0</v>
      </c>
      <c r="P4" s="168">
        <f ca="1">ratioPV*SUMIF('bench Comparison'!$L:$L,"BKINV1USD_" &amp; $L4 &amp; "_" &amp; P$2,'bench Comparison'!$H:$H)</f>
        <v>0</v>
      </c>
      <c r="Q4" s="168">
        <f ca="1">ratioPV*SUMIF('bench Comparison'!$L:$L,"BKINV1USD_" &amp; $L4 &amp; "_" &amp; Q$2,'bench Comparison'!$H:$H)</f>
        <v>0</v>
      </c>
      <c r="R4" s="168">
        <f ca="1">ratioPV*SUMIF('bench Comparison'!$L:$L,"BKINV1USD_" &amp; $L4 &amp; "_" &amp; R$2,'bench Comparison'!$H:$H)</f>
        <v>0</v>
      </c>
      <c r="S4" s="168">
        <f ca="1">ratioPV*SUMIF('bench Comparison'!$L:$L,"BKINV1USD_" &amp; $L4 &amp; "_" &amp; S$2,'bench Comparison'!$H:$H)</f>
        <v>0</v>
      </c>
      <c r="T4" s="169">
        <f ca="1">ratioPV*SUMIF('bench Comparison'!$L:$L,"BKINV1USD_" &amp; $L4 &amp; "_" &amp; T$2,'bench Comparison'!$H:$H)</f>
        <v>0</v>
      </c>
    </row>
    <row r="5" spans="2:20" x14ac:dyDescent="0.2">
      <c r="B5" s="167" t="s">
        <v>603</v>
      </c>
      <c r="C5" s="168">
        <f>SUMIF('bench Comparison'!$L:$L,"RESINV1USD_" &amp; $B5 &amp; "_" &amp; C$2,'bench Comparison'!$H:$H)+SUMIF('bench Comparison'!$L:$L,"RESSWAPORUSD_" &amp; $B5 &amp; "_" &amp; C$2,'bench Comparison'!$H:$H)</f>
        <v>0</v>
      </c>
      <c r="D5" s="168">
        <f>SUMIF('bench Comparison'!$L:$L,"RESINV1USD_" &amp; $B5 &amp; "_" &amp; D$2,'bench Comparison'!$H:$H)+SUMIF('bench Comparison'!$L:$L,"RESSWAPORUSD_" &amp; $B5 &amp; "_" &amp; D$2,'bench Comparison'!$H:$H)</f>
        <v>0</v>
      </c>
      <c r="E5" s="168">
        <f>SUMIF('bench Comparison'!$L:$L,"RESINV1USD_" &amp; $B5 &amp; "_" &amp; E$2,'bench Comparison'!$H:$H)+SUMIF('bench Comparison'!$L:$L,"RESSWAPORUSD_" &amp; $B5 &amp; "_" &amp; E$2,'bench Comparison'!$H:$H)</f>
        <v>0</v>
      </c>
      <c r="F5" s="168">
        <f>SUMIF('bench Comparison'!$L:$L,"RESINV1USD_" &amp; $B5 &amp; "_" &amp; F$2,'bench Comparison'!$H:$H)+SUMIF('bench Comparison'!$L:$L,"RESSWAPORUSD_" &amp; $B5 &amp; "_" &amp; F$2,'bench Comparison'!$H:$H)</f>
        <v>0</v>
      </c>
      <c r="G5" s="168">
        <f>SUMIF('bench Comparison'!$L:$L,"RESINV1USD_" &amp; $B5 &amp; "_" &amp; G$2,'bench Comparison'!$H:$H)+SUMIF('bench Comparison'!$L:$L,"RESSWAPORUSD_" &amp; $B5 &amp; "_" &amp; G$2,'bench Comparison'!$H:$H)</f>
        <v>0</v>
      </c>
      <c r="H5" s="168">
        <f>SUMIF('bench Comparison'!$L:$L,"RESINV1USD_" &amp; $B5 &amp; "_" &amp; H$2,'bench Comparison'!$H:$H)+SUMIF('bench Comparison'!$L:$L,"RESSWAPORUSD_" &amp; $B5 &amp; "_" &amp; H$2,'bench Comparison'!$H:$H)</f>
        <v>0</v>
      </c>
      <c r="I5" s="168">
        <f>SUMIF('bench Comparison'!$L:$L,"RESINV1USD_" &amp; $B5 &amp; "_" &amp; I$2,'bench Comparison'!$H:$H)+SUMIF('bench Comparison'!$L:$L,"RESSWAPORUSD_" &amp; $B5 &amp; "_" &amp; I$2,'bench Comparison'!$H:$H)</f>
        <v>0</v>
      </c>
      <c r="J5" s="169">
        <f>SUMIF('bench Comparison'!$L:$L,"RESINV1USD_" &amp; $B5 &amp; "_" &amp; J$2,'bench Comparison'!$H:$H)+SUMIF('bench Comparison'!$L:$L,"RESSWAPORUSD_" &amp; $B5 &amp; "_" &amp; J$2,'bench Comparison'!$H:$H)</f>
        <v>0</v>
      </c>
      <c r="L5" s="167" t="s">
        <v>603</v>
      </c>
      <c r="M5" s="168">
        <f ca="1">ratioPV*SUMIF('bench Comparison'!$L:$L,"BKINV1USD_" &amp; $L5 &amp; "_" &amp; M$2,'bench Comparison'!$H:$H)</f>
        <v>0</v>
      </c>
      <c r="N5" s="168">
        <f ca="1">ratioPV*SUMIF('bench Comparison'!$L:$L,"BKINV1USD_" &amp; $L5 &amp; "_" &amp; N$2,'bench Comparison'!$H:$H)</f>
        <v>0</v>
      </c>
      <c r="O5" s="168">
        <f ca="1">ratioPV*SUMIF('bench Comparison'!$L:$L,"BKINV1USD_" &amp; $L5 &amp; "_" &amp; O$2,'bench Comparison'!$H:$H)</f>
        <v>0</v>
      </c>
      <c r="P5" s="168">
        <f ca="1">ratioPV*SUMIF('bench Comparison'!$L:$L,"BKINV1USD_" &amp; $L5 &amp; "_" &amp; P$2,'bench Comparison'!$H:$H)</f>
        <v>0</v>
      </c>
      <c r="Q5" s="168">
        <f ca="1">ratioPV*SUMIF('bench Comparison'!$L:$L,"BKINV1USD_" &amp; $L5 &amp; "_" &amp; Q$2,'bench Comparison'!$H:$H)</f>
        <v>0</v>
      </c>
      <c r="R5" s="168">
        <f ca="1">ratioPV*SUMIF('bench Comparison'!$L:$L,"BKINV1USD_" &amp; $L5 &amp; "_" &amp; R$2,'bench Comparison'!$H:$H)</f>
        <v>0</v>
      </c>
      <c r="S5" s="168">
        <f ca="1">ratioPV*SUMIF('bench Comparison'!$L:$L,"BKINV1USD_" &amp; $L5 &amp; "_" &amp; S$2,'bench Comparison'!$H:$H)</f>
        <v>0</v>
      </c>
      <c r="T5" s="169">
        <f ca="1">ratioPV*SUMIF('bench Comparison'!$L:$L,"BKINV1USD_" &amp; $L5 &amp; "_" &amp; T$2,'bench Comparison'!$H:$H)</f>
        <v>0</v>
      </c>
    </row>
    <row r="6" spans="2:20" x14ac:dyDescent="0.2">
      <c r="B6" s="167" t="s">
        <v>79</v>
      </c>
      <c r="C6" s="168">
        <f>SUMIF('bench Comparison'!$L:$L,"RESINV1USD_" &amp; $B6 &amp; "_" &amp; C$2,'bench Comparison'!$H:$H)+SUMIF('bench Comparison'!$L:$L,"RESSWAPORUSD_" &amp; $B6 &amp; "_" &amp; C$2,'bench Comparison'!$H:$H)</f>
        <v>0</v>
      </c>
      <c r="D6" s="168">
        <f>SUMIF('bench Comparison'!$L:$L,"RESINV1USD_" &amp; $B6 &amp; "_" &amp; D$2,'bench Comparison'!$H:$H)+SUMIF('bench Comparison'!$L:$L,"RESSWAPORUSD_" &amp; $B6 &amp; "_" &amp; D$2,'bench Comparison'!$H:$H)</f>
        <v>0</v>
      </c>
      <c r="E6" s="168">
        <f>SUMIF('bench Comparison'!$L:$L,"RESINV1USD_" &amp; $B6 &amp; "_" &amp; E$2,'bench Comparison'!$H:$H)+SUMIF('bench Comparison'!$L:$L,"RESSWAPORUSD_" &amp; $B6 &amp; "_" &amp; E$2,'bench Comparison'!$H:$H)</f>
        <v>0</v>
      </c>
      <c r="F6" s="168">
        <f>SUMIF('bench Comparison'!$L:$L,"RESINV1USD_" &amp; $B6 &amp; "_" &amp; F$2,'bench Comparison'!$H:$H)+SUMIF('bench Comparison'!$L:$L,"RESSWAPORUSD_" &amp; $B6 &amp; "_" &amp; F$2,'bench Comparison'!$H:$H)</f>
        <v>0</v>
      </c>
      <c r="G6" s="168">
        <f>SUMIF('bench Comparison'!$L:$L,"RESINV1USD_" &amp; $B6 &amp; "_" &amp; G$2,'bench Comparison'!$H:$H)+SUMIF('bench Comparison'!$L:$L,"RESSWAPORUSD_" &amp; $B6 &amp; "_" &amp; G$2,'bench Comparison'!$H:$H)</f>
        <v>0</v>
      </c>
      <c r="H6" s="168">
        <f>SUMIF('bench Comparison'!$L:$L,"RESINV1USD_" &amp; $B6 &amp; "_" &amp; H$2,'bench Comparison'!$H:$H)+SUMIF('bench Comparison'!$L:$L,"RESSWAPORUSD_" &amp; $B6 &amp; "_" &amp; H$2,'bench Comparison'!$H:$H)</f>
        <v>0</v>
      </c>
      <c r="I6" s="168">
        <f>SUMIF('bench Comparison'!$L:$L,"RESINV1USD_" &amp; $B6 &amp; "_" &amp; I$2,'bench Comparison'!$H:$H)+SUMIF('bench Comparison'!$L:$L,"RESSWAPORUSD_" &amp; $B6 &amp; "_" &amp; I$2,'bench Comparison'!$H:$H)</f>
        <v>0</v>
      </c>
      <c r="J6" s="169">
        <f>SUMIF('bench Comparison'!$L:$L,"RESINV1USD_" &amp; $B6 &amp; "_" &amp; J$2,'bench Comparison'!$H:$H)+SUMIF('bench Comparison'!$L:$L,"RESSWAPORUSD_" &amp; $B6 &amp; "_" &amp; J$2,'bench Comparison'!$H:$H)</f>
        <v>-2165</v>
      </c>
      <c r="L6" s="167" t="s">
        <v>79</v>
      </c>
      <c r="M6" s="168">
        <f ca="1">ratioPV*SUMIF('bench Comparison'!$L:$L,"BKINV1USD_" &amp; $L6 &amp; "_" &amp; M$2,'bench Comparison'!$H:$H)</f>
        <v>611.07985302482371</v>
      </c>
      <c r="N6" s="168">
        <f ca="1">ratioPV*SUMIF('bench Comparison'!$L:$L,"BKINV1USD_" &amp; $L6 &amp; "_" &amp; N$2,'bench Comparison'!$H:$H)</f>
        <v>0</v>
      </c>
      <c r="O6" s="168">
        <f ca="1">ratioPV*SUMIF('bench Comparison'!$L:$L,"BKINV1USD_" &amp; $L6 &amp; "_" &amp; O$2,'bench Comparison'!$H:$H)</f>
        <v>0</v>
      </c>
      <c r="P6" s="168">
        <f ca="1">ratioPV*SUMIF('bench Comparison'!$L:$L,"BKINV1USD_" &amp; $L6 &amp; "_" &amp; P$2,'bench Comparison'!$H:$H)</f>
        <v>0</v>
      </c>
      <c r="Q6" s="168">
        <f ca="1">ratioPV*SUMIF('bench Comparison'!$L:$L,"BKINV1USD_" &amp; $L6 &amp; "_" &amp; Q$2,'bench Comparison'!$H:$H)</f>
        <v>0</v>
      </c>
      <c r="R6" s="168">
        <f ca="1">ratioPV*SUMIF('bench Comparison'!$L:$L,"BKINV1USD_" &amp; $L6 &amp; "_" &amp; R$2,'bench Comparison'!$H:$H)</f>
        <v>0</v>
      </c>
      <c r="S6" s="168">
        <f ca="1">ratioPV*SUMIF('bench Comparison'!$L:$L,"BKINV1USD_" &amp; $L6 &amp; "_" &amp; S$2,'bench Comparison'!$H:$H)</f>
        <v>0</v>
      </c>
      <c r="T6" s="169">
        <f ca="1">ratioPV*SUMIF('bench Comparison'!$L:$L,"BKINV1USD_" &amp; $L6 &amp; "_" &amp; T$2,'bench Comparison'!$H:$H)</f>
        <v>0</v>
      </c>
    </row>
    <row r="7" spans="2:20" x14ac:dyDescent="0.2">
      <c r="B7" s="167" t="s">
        <v>19</v>
      </c>
      <c r="C7" s="168">
        <f>SUMIF('bench Comparison'!$L:$L,"RESINV1USD_" &amp; $B7 &amp; "_" &amp; C$2,'bench Comparison'!$H:$H)+SUMIF('bench Comparison'!$L:$L,"RESSWAPORUSD_" &amp; $B7 &amp; "_" &amp; C$2,'bench Comparison'!$H:$H)</f>
        <v>0</v>
      </c>
      <c r="D7" s="168">
        <f>SUMIF('bench Comparison'!$L:$L,"RESINV1USD_" &amp; $B7 &amp; "_" &amp; D$2,'bench Comparison'!$H:$H)+SUMIF('bench Comparison'!$L:$L,"RESSWAPORUSD_" &amp; $B7 &amp; "_" &amp; D$2,'bench Comparison'!$H:$H)</f>
        <v>0</v>
      </c>
      <c r="E7" s="168">
        <f>SUMIF('bench Comparison'!$L:$L,"RESINV1USD_" &amp; $B7 &amp; "_" &amp; E$2,'bench Comparison'!$H:$H)+SUMIF('bench Comparison'!$L:$L,"RESSWAPORUSD_" &amp; $B7 &amp; "_" &amp; E$2,'bench Comparison'!$H:$H)</f>
        <v>583.25</v>
      </c>
      <c r="F7" s="168">
        <f>SUMIF('bench Comparison'!$L:$L,"RESINV1USD_" &amp; $B7 &amp; "_" &amp; F$2,'bench Comparison'!$H:$H)+SUMIF('bench Comparison'!$L:$L,"RESSWAPORUSD_" &amp; $B7 &amp; "_" &amp; F$2,'bench Comparison'!$H:$H)</f>
        <v>0</v>
      </c>
      <c r="G7" s="168">
        <f>SUMIF('bench Comparison'!$L:$L,"RESINV1USD_" &amp; $B7 &amp; "_" &amp; G$2,'bench Comparison'!$H:$H)+SUMIF('bench Comparison'!$L:$L,"RESSWAPORUSD_" &amp; $B7 &amp; "_" &amp; G$2,'bench Comparison'!$H:$H)</f>
        <v>0</v>
      </c>
      <c r="H7" s="168">
        <f>SUMIF('bench Comparison'!$L:$L,"RESINV1USD_" &amp; $B7 &amp; "_" &amp; H$2,'bench Comparison'!$H:$H)+SUMIF('bench Comparison'!$L:$L,"RESSWAPORUSD_" &amp; $B7 &amp; "_" &amp; H$2,'bench Comparison'!$H:$H)</f>
        <v>0</v>
      </c>
      <c r="I7" s="168">
        <f>SUMIF('bench Comparison'!$L:$L,"RESINV1USD_" &amp; $B7 &amp; "_" &amp; I$2,'bench Comparison'!$H:$H)+SUMIF('bench Comparison'!$L:$L,"RESSWAPORUSD_" &amp; $B7 &amp; "_" &amp; I$2,'bench Comparison'!$H:$H)</f>
        <v>1604.41</v>
      </c>
      <c r="J7" s="169">
        <f>SUMIF('bench Comparison'!$L:$L,"RESINV1USD_" &amp; $B7 &amp; "_" &amp; J$2,'bench Comparison'!$H:$H)+SUMIF('bench Comparison'!$L:$L,"RESSWAPORUSD_" &amp; $B7 &amp; "_" &amp; J$2,'bench Comparison'!$H:$H)</f>
        <v>-7882.39</v>
      </c>
      <c r="L7" s="167" t="s">
        <v>19</v>
      </c>
      <c r="M7" s="168">
        <f ca="1">ratioPV*SUMIF('bench Comparison'!$L:$L,"BKINV1USD_" &amp; $L7 &amp; "_" &amp; M$2,'bench Comparison'!$H:$H)</f>
        <v>402.22713296925042</v>
      </c>
      <c r="N7" s="168">
        <f ca="1">ratioPV*SUMIF('bench Comparison'!$L:$L,"BKINV1USD_" &amp; $L7 &amp; "_" &amp; N$2,'bench Comparison'!$H:$H)</f>
        <v>0</v>
      </c>
      <c r="O7" s="168">
        <f ca="1">ratioPV*SUMIF('bench Comparison'!$L:$L,"BKINV1USD_" &amp; $L7 &amp; "_" &amp; O$2,'bench Comparison'!$H:$H)</f>
        <v>0</v>
      </c>
      <c r="P7" s="168">
        <f ca="1">ratioPV*SUMIF('bench Comparison'!$L:$L,"BKINV1USD_" &amp; $L7 &amp; "_" &amp; P$2,'bench Comparison'!$H:$H)</f>
        <v>0</v>
      </c>
      <c r="Q7" s="168">
        <f ca="1">ratioPV*SUMIF('bench Comparison'!$L:$L,"BKINV1USD_" &amp; $L7 &amp; "_" &amp; Q$2,'bench Comparison'!$H:$H)</f>
        <v>0</v>
      </c>
      <c r="R7" s="168">
        <f ca="1">ratioPV*SUMIF('bench Comparison'!$L:$L,"BKINV1USD_" &amp; $L7 &amp; "_" &amp; R$2,'bench Comparison'!$H:$H)</f>
        <v>0</v>
      </c>
      <c r="S7" s="168">
        <f ca="1">ratioPV*SUMIF('bench Comparison'!$L:$L,"BKINV1USD_" &amp; $L7 &amp; "_" &amp; S$2,'bench Comparison'!$H:$H)</f>
        <v>0</v>
      </c>
      <c r="T7" s="169">
        <f ca="1">ratioPV*SUMIF('bench Comparison'!$L:$L,"BKINV1USD_" &amp; $L7 &amp; "_" &amp; T$2,'bench Comparison'!$H:$H)</f>
        <v>0</v>
      </c>
    </row>
    <row r="8" spans="2:20" x14ac:dyDescent="0.2">
      <c r="B8" s="167" t="s">
        <v>142</v>
      </c>
      <c r="C8" s="168">
        <f>SUMIF('bench Comparison'!$L:$L,"RESINV1USD_" &amp; $B8 &amp; "_" &amp; C$2,'bench Comparison'!$H:$H)+SUMIF('bench Comparison'!$L:$L,"RESSWAPORUSD_" &amp; $B8 &amp; "_" &amp; C$2,'bench Comparison'!$H:$H)</f>
        <v>0</v>
      </c>
      <c r="D8" s="168">
        <f>SUMIF('bench Comparison'!$L:$L,"RESINV1USD_" &amp; $B8 &amp; "_" &amp; D$2,'bench Comparison'!$H:$H)+SUMIF('bench Comparison'!$L:$L,"RESSWAPORUSD_" &amp; $B8 &amp; "_" &amp; D$2,'bench Comparison'!$H:$H)</f>
        <v>0</v>
      </c>
      <c r="E8" s="168">
        <f>SUMIF('bench Comparison'!$L:$L,"RESINV1USD_" &amp; $B8 &amp; "_" &amp; E$2,'bench Comparison'!$H:$H)+SUMIF('bench Comparison'!$L:$L,"RESSWAPORUSD_" &amp; $B8 &amp; "_" &amp; E$2,'bench Comparison'!$H:$H)</f>
        <v>3207.72</v>
      </c>
      <c r="F8" s="168">
        <f>SUMIF('bench Comparison'!$L:$L,"RESINV1USD_" &amp; $B8 &amp; "_" &amp; F$2,'bench Comparison'!$H:$H)+SUMIF('bench Comparison'!$L:$L,"RESSWAPORUSD_" &amp; $B8 &amp; "_" &amp; F$2,'bench Comparison'!$H:$H)</f>
        <v>876.62</v>
      </c>
      <c r="G8" s="168">
        <f>SUMIF('bench Comparison'!$L:$L,"RESINV1USD_" &amp; $B8 &amp; "_" &amp; G$2,'bench Comparison'!$H:$H)+SUMIF('bench Comparison'!$L:$L,"RESSWAPORUSD_" &amp; $B8 &amp; "_" &amp; G$2,'bench Comparison'!$H:$H)</f>
        <v>0</v>
      </c>
      <c r="H8" s="168">
        <f>SUMIF('bench Comparison'!$L:$L,"RESINV1USD_" &amp; $B8 &amp; "_" &amp; H$2,'bench Comparison'!$H:$H)+SUMIF('bench Comparison'!$L:$L,"RESSWAPORUSD_" &amp; $B8 &amp; "_" &amp; H$2,'bench Comparison'!$H:$H)</f>
        <v>0</v>
      </c>
      <c r="I8" s="168">
        <f>SUMIF('bench Comparison'!$L:$L,"RESINV1USD_" &amp; $B8 &amp; "_" &amp; I$2,'bench Comparison'!$H:$H)+SUMIF('bench Comparison'!$L:$L,"RESSWAPORUSD_" &amp; $B8 &amp; "_" &amp; I$2,'bench Comparison'!$H:$H)</f>
        <v>2246.29</v>
      </c>
      <c r="J8" s="169">
        <f>SUMIF('bench Comparison'!$L:$L,"RESINV1USD_" &amp; $B8 &amp; "_" &amp; J$2,'bench Comparison'!$H:$H)+SUMIF('bench Comparison'!$L:$L,"RESSWAPORUSD_" &amp; $B8 &amp; "_" &amp; J$2,'bench Comparison'!$H:$H)</f>
        <v>-3220.79</v>
      </c>
      <c r="L8" s="167" t="s">
        <v>142</v>
      </c>
      <c r="M8" s="168">
        <f ca="1">ratioPV*SUMIF('bench Comparison'!$L:$L,"BKINV1USD_" &amp; $L8 &amp; "_" &amp; M$2,'bench Comparison'!$H:$H)</f>
        <v>2036.8245494130874</v>
      </c>
      <c r="N8" s="168">
        <f ca="1">ratioPV*SUMIF('bench Comparison'!$L:$L,"BKINV1USD_" &amp; $L8 &amp; "_" &amp; N$2,'bench Comparison'!$H:$H)</f>
        <v>0</v>
      </c>
      <c r="O8" s="168">
        <f ca="1">ratioPV*SUMIF('bench Comparison'!$L:$L,"BKINV1USD_" &amp; $L8 &amp; "_" &amp; O$2,'bench Comparison'!$H:$H)</f>
        <v>0</v>
      </c>
      <c r="P8" s="168">
        <f ca="1">ratioPV*SUMIF('bench Comparison'!$L:$L,"BKINV1USD_" &amp; $L8 &amp; "_" &amp; P$2,'bench Comparison'!$H:$H)</f>
        <v>0</v>
      </c>
      <c r="Q8" s="168">
        <f ca="1">ratioPV*SUMIF('bench Comparison'!$L:$L,"BKINV1USD_" &amp; $L8 &amp; "_" &amp; Q$2,'bench Comparison'!$H:$H)</f>
        <v>0</v>
      </c>
      <c r="R8" s="168">
        <f ca="1">ratioPV*SUMIF('bench Comparison'!$L:$L,"BKINV1USD_" &amp; $L8 &amp; "_" &amp; R$2,'bench Comparison'!$H:$H)</f>
        <v>0</v>
      </c>
      <c r="S8" s="168">
        <f ca="1">ratioPV*SUMIF('bench Comparison'!$L:$L,"BKINV1USD_" &amp; $L8 &amp; "_" &amp; S$2,'bench Comparison'!$H:$H)</f>
        <v>0</v>
      </c>
      <c r="T8" s="169">
        <f ca="1">ratioPV*SUMIF('bench Comparison'!$L:$L,"BKINV1USD_" &amp; $L8 &amp; "_" &amp; T$2,'bench Comparison'!$H:$H)</f>
        <v>0</v>
      </c>
    </row>
    <row r="9" spans="2:20" x14ac:dyDescent="0.2">
      <c r="B9" s="167" t="s">
        <v>80</v>
      </c>
      <c r="C9" s="168">
        <f>SUMIF('bench Comparison'!$L:$L,"RESINV1USD_" &amp; $B9 &amp; "_" &amp; C$2,'bench Comparison'!$H:$H)+SUMIF('bench Comparison'!$L:$L,"RESSWAPORUSD_" &amp; $B9 &amp; "_" &amp; C$2,'bench Comparison'!$H:$H)</f>
        <v>0</v>
      </c>
      <c r="D9" s="168">
        <f>SUMIF('bench Comparison'!$L:$L,"RESINV1USD_" &amp; $B9 &amp; "_" &amp; D$2,'bench Comparison'!$H:$H)+SUMIF('bench Comparison'!$L:$L,"RESSWAPORUSD_" &amp; $B9 &amp; "_" &amp; D$2,'bench Comparison'!$H:$H)</f>
        <v>0</v>
      </c>
      <c r="E9" s="168">
        <f>SUMIF('bench Comparison'!$L:$L,"RESINV1USD_" &amp; $B9 &amp; "_" &amp; E$2,'bench Comparison'!$H:$H)+SUMIF('bench Comparison'!$L:$L,"RESSWAPORUSD_" &amp; $B9 &amp; "_" &amp; E$2,'bench Comparison'!$H:$H)</f>
        <v>3003.31</v>
      </c>
      <c r="F9" s="168">
        <f>SUMIF('bench Comparison'!$L:$L,"RESINV1USD_" &amp; $B9 &amp; "_" &amp; F$2,'bench Comparison'!$H:$H)+SUMIF('bench Comparison'!$L:$L,"RESSWAPORUSD_" &amp; $B9 &amp; "_" &amp; F$2,'bench Comparison'!$H:$H)</f>
        <v>0</v>
      </c>
      <c r="G9" s="168">
        <f>SUMIF('bench Comparison'!$L:$L,"RESINV1USD_" &amp; $B9 &amp; "_" &amp; G$2,'bench Comparison'!$H:$H)+SUMIF('bench Comparison'!$L:$L,"RESSWAPORUSD_" &amp; $B9 &amp; "_" &amp; G$2,'bench Comparison'!$H:$H)</f>
        <v>0</v>
      </c>
      <c r="H9" s="168">
        <f>SUMIF('bench Comparison'!$L:$L,"RESINV1USD_" &amp; $B9 &amp; "_" &amp; H$2,'bench Comparison'!$H:$H)+SUMIF('bench Comparison'!$L:$L,"RESSWAPORUSD_" &amp; $B9 &amp; "_" &amp; H$2,'bench Comparison'!$H:$H)</f>
        <v>0</v>
      </c>
      <c r="I9" s="168">
        <f>SUMIF('bench Comparison'!$L:$L,"RESINV1USD_" &amp; $B9 &amp; "_" &amp; I$2,'bench Comparison'!$H:$H)+SUMIF('bench Comparison'!$L:$L,"RESSWAPORUSD_" &amp; $B9 &amp; "_" &amp; I$2,'bench Comparison'!$H:$H)</f>
        <v>13649.23</v>
      </c>
      <c r="J9" s="169">
        <f>SUMIF('bench Comparison'!$L:$L,"RESINV1USD_" &amp; $B9 &amp; "_" &amp; J$2,'bench Comparison'!$H:$H)+SUMIF('bench Comparison'!$L:$L,"RESSWAPORUSD_" &amp; $B9 &amp; "_" &amp; J$2,'bench Comparison'!$H:$H)</f>
        <v>0</v>
      </c>
      <c r="L9" s="167" t="s">
        <v>80</v>
      </c>
      <c r="M9" s="168">
        <f ca="1">ratioPV*SUMIF('bench Comparison'!$L:$L,"BKINV1USD_" &amp; $L9 &amp; "_" &amp; M$2,'bench Comparison'!$H:$H)</f>
        <v>835.35866704227965</v>
      </c>
      <c r="N9" s="168">
        <f ca="1">ratioPV*SUMIF('bench Comparison'!$L:$L,"BKINV1USD_" &amp; $L9 &amp; "_" &amp; N$2,'bench Comparison'!$H:$H)</f>
        <v>0</v>
      </c>
      <c r="O9" s="168">
        <f ca="1">ratioPV*SUMIF('bench Comparison'!$L:$L,"BKINV1USD_" &amp; $L9 &amp; "_" &amp; O$2,'bench Comparison'!$H:$H)</f>
        <v>0</v>
      </c>
      <c r="P9" s="168">
        <f ca="1">ratioPV*SUMIF('bench Comparison'!$L:$L,"BKINV1USD_" &amp; $L9 &amp; "_" &amp; P$2,'bench Comparison'!$H:$H)</f>
        <v>0</v>
      </c>
      <c r="Q9" s="168">
        <f ca="1">ratioPV*SUMIF('bench Comparison'!$L:$L,"BKINV1USD_" &amp; $L9 &amp; "_" &amp; Q$2,'bench Comparison'!$H:$H)</f>
        <v>0</v>
      </c>
      <c r="R9" s="168">
        <f ca="1">ratioPV*SUMIF('bench Comparison'!$L:$L,"BKINV1USD_" &amp; $L9 &amp; "_" &amp; R$2,'bench Comparison'!$H:$H)</f>
        <v>0</v>
      </c>
      <c r="S9" s="168">
        <f ca="1">ratioPV*SUMIF('bench Comparison'!$L:$L,"BKINV1USD_" &amp; $L9 &amp; "_" &amp; S$2,'bench Comparison'!$H:$H)</f>
        <v>0</v>
      </c>
      <c r="T9" s="169">
        <f ca="1">ratioPV*SUMIF('bench Comparison'!$L:$L,"BKINV1USD_" &amp; $L9 &amp; "_" &amp; T$2,'bench Comparison'!$H:$H)</f>
        <v>0</v>
      </c>
    </row>
    <row r="10" spans="2:20" x14ac:dyDescent="0.2">
      <c r="B10" s="167" t="s">
        <v>20</v>
      </c>
      <c r="C10" s="168">
        <f>SUMIF('bench Comparison'!$L:$L,"RESINV1USD_" &amp; $B10 &amp; "_" &amp; C$2,'bench Comparison'!$H:$H)+SUMIF('bench Comparison'!$L:$L,"RESSWAPORUSD_" &amp; $B10 &amp; "_" &amp; C$2,'bench Comparison'!$H:$H)</f>
        <v>0</v>
      </c>
      <c r="D10" s="168">
        <f>SUMIF('bench Comparison'!$L:$L,"RESINV1USD_" &amp; $B10 &amp; "_" &amp; D$2,'bench Comparison'!$H:$H)+SUMIF('bench Comparison'!$L:$L,"RESSWAPORUSD_" &amp; $B10 &amp; "_" &amp; D$2,'bench Comparison'!$H:$H)</f>
        <v>0</v>
      </c>
      <c r="E10" s="168">
        <f>SUMIF('bench Comparison'!$L:$L,"RESINV1USD_" &amp; $B10 &amp; "_" &amp; E$2,'bench Comparison'!$H:$H)+SUMIF('bench Comparison'!$L:$L,"RESSWAPORUSD_" &amp; $B10 &amp; "_" &amp; E$2,'bench Comparison'!$H:$H)</f>
        <v>3529.8</v>
      </c>
      <c r="F10" s="168">
        <f>SUMIF('bench Comparison'!$L:$L,"RESINV1USD_" &amp; $B10 &amp; "_" &amp; F$2,'bench Comparison'!$H:$H)+SUMIF('bench Comparison'!$L:$L,"RESSWAPORUSD_" &amp; $B10 &amp; "_" &amp; F$2,'bench Comparison'!$H:$H)</f>
        <v>81712.45</v>
      </c>
      <c r="G10" s="168">
        <f>SUMIF('bench Comparison'!$L:$L,"RESINV1USD_" &amp; $B10 &amp; "_" &amp; G$2,'bench Comparison'!$H:$H)+SUMIF('bench Comparison'!$L:$L,"RESSWAPORUSD_" &amp; $B10 &amp; "_" &amp; G$2,'bench Comparison'!$H:$H)</f>
        <v>0</v>
      </c>
      <c r="H10" s="168">
        <f>SUMIF('bench Comparison'!$L:$L,"RESINV1USD_" &amp; $B10 &amp; "_" &amp; H$2,'bench Comparison'!$H:$H)+SUMIF('bench Comparison'!$L:$L,"RESSWAPORUSD_" &amp; $B10 &amp; "_" &amp; H$2,'bench Comparison'!$H:$H)</f>
        <v>0</v>
      </c>
      <c r="I10" s="168">
        <f>SUMIF('bench Comparison'!$L:$L,"RESINV1USD_" &amp; $B10 &amp; "_" &amp; I$2,'bench Comparison'!$H:$H)+SUMIF('bench Comparison'!$L:$L,"RESSWAPORUSD_" &amp; $B10 &amp; "_" &amp; I$2,'bench Comparison'!$H:$H)</f>
        <v>19982.37</v>
      </c>
      <c r="J10" s="169">
        <f>SUMIF('bench Comparison'!$L:$L,"RESINV1USD_" &amp; $B10 &amp; "_" &amp; J$2,'bench Comparison'!$H:$H)+SUMIF('bench Comparison'!$L:$L,"RESSWAPORUSD_" &amp; $B10 &amp; "_" &amp; J$2,'bench Comparison'!$H:$H)</f>
        <v>0</v>
      </c>
      <c r="L10" s="167" t="s">
        <v>20</v>
      </c>
      <c r="M10" s="168">
        <f ca="1">ratioPV*SUMIF('bench Comparison'!$L:$L,"BKINV1USD_" &amp; $L10 &amp; "_" &amp; M$2,'bench Comparison'!$H:$H)</f>
        <v>51953.871957551011</v>
      </c>
      <c r="N10" s="168">
        <f ca="1">ratioPV*SUMIF('bench Comparison'!$L:$L,"BKINV1USD_" &amp; $L10 &amp; "_" &amp; N$2,'bench Comparison'!$H:$H)</f>
        <v>0</v>
      </c>
      <c r="O10" s="168">
        <f ca="1">ratioPV*SUMIF('bench Comparison'!$L:$L,"BKINV1USD_" &amp; $L10 &amp; "_" &amp; O$2,'bench Comparison'!$H:$H)</f>
        <v>0</v>
      </c>
      <c r="P10" s="168">
        <f ca="1">ratioPV*SUMIF('bench Comparison'!$L:$L,"BKINV1USD_" &amp; $L10 &amp; "_" &amp; P$2,'bench Comparison'!$H:$H)</f>
        <v>0</v>
      </c>
      <c r="Q10" s="168">
        <f ca="1">ratioPV*SUMIF('bench Comparison'!$L:$L,"BKINV1USD_" &amp; $L10 &amp; "_" &amp; Q$2,'bench Comparison'!$H:$H)</f>
        <v>0</v>
      </c>
      <c r="R10" s="168">
        <f ca="1">ratioPV*SUMIF('bench Comparison'!$L:$L,"BKINV1USD_" &amp; $L10 &amp; "_" &amp; R$2,'bench Comparison'!$H:$H)</f>
        <v>0</v>
      </c>
      <c r="S10" s="168">
        <f ca="1">ratioPV*SUMIF('bench Comparison'!$L:$L,"BKINV1USD_" &amp; $L10 &amp; "_" &amp; S$2,'bench Comparison'!$H:$H)</f>
        <v>0</v>
      </c>
      <c r="T10" s="169">
        <f ca="1">ratioPV*SUMIF('bench Comparison'!$L:$L,"BKINV1USD_" &amp; $L10 &amp; "_" &amp; T$2,'bench Comparison'!$H:$H)</f>
        <v>0</v>
      </c>
    </row>
    <row r="11" spans="2:20" x14ac:dyDescent="0.2">
      <c r="B11" s="167" t="s">
        <v>21</v>
      </c>
      <c r="C11" s="168">
        <f>SUMIF('bench Comparison'!$L:$L,"RESINV1USD_" &amp; $B11 &amp; "_" &amp; C$2,'bench Comparison'!$H:$H)+SUMIF('bench Comparison'!$L:$L,"RESSWAPORUSD_" &amp; $B11 &amp; "_" &amp; C$2,'bench Comparison'!$H:$H)</f>
        <v>38509.760000000002</v>
      </c>
      <c r="D11" s="168">
        <f>SUMIF('bench Comparison'!$L:$L,"RESINV1USD_" &amp; $B11 &amp; "_" &amp; D$2,'bench Comparison'!$H:$H)+SUMIF('bench Comparison'!$L:$L,"RESSWAPORUSD_" &amp; $B11 &amp; "_" &amp; D$2,'bench Comparison'!$H:$H)</f>
        <v>0</v>
      </c>
      <c r="E11" s="168">
        <f>SUMIF('bench Comparison'!$L:$L,"RESINV1USD_" &amp; $B11 &amp; "_" &amp; E$2,'bench Comparison'!$H:$H)+SUMIF('bench Comparison'!$L:$L,"RESSWAPORUSD_" &amp; $B11 &amp; "_" &amp; E$2,'bench Comparison'!$H:$H)</f>
        <v>8874.0299999999988</v>
      </c>
      <c r="F11" s="168">
        <f>SUMIF('bench Comparison'!$L:$L,"RESINV1USD_" &amp; $B11 &amp; "_" &amp; F$2,'bench Comparison'!$H:$H)+SUMIF('bench Comparison'!$L:$L,"RESSWAPORUSD_" &amp; $B11 &amp; "_" &amp; F$2,'bench Comparison'!$H:$H)</f>
        <v>5224.88</v>
      </c>
      <c r="G11" s="168">
        <f>SUMIF('bench Comparison'!$L:$L,"RESINV1USD_" &amp; $B11 &amp; "_" &amp; G$2,'bench Comparison'!$H:$H)+SUMIF('bench Comparison'!$L:$L,"RESSWAPORUSD_" &amp; $B11 &amp; "_" &amp; G$2,'bench Comparison'!$H:$H)</f>
        <v>-31262.9</v>
      </c>
      <c r="H11" s="168">
        <f>SUMIF('bench Comparison'!$L:$L,"RESINV1USD_" &amp; $B11 &amp; "_" &amp; H$2,'bench Comparison'!$H:$H)+SUMIF('bench Comparison'!$L:$L,"RESSWAPORUSD_" &amp; $B11 &amp; "_" &amp; H$2,'bench Comparison'!$H:$H)</f>
        <v>0</v>
      </c>
      <c r="I11" s="168">
        <f>SUMIF('bench Comparison'!$L:$L,"RESINV1USD_" &amp; $B11 &amp; "_" &amp; I$2,'bench Comparison'!$H:$H)+SUMIF('bench Comparison'!$L:$L,"RESSWAPORUSD_" &amp; $B11 &amp; "_" &amp; I$2,'bench Comparison'!$H:$H)</f>
        <v>0</v>
      </c>
      <c r="J11" s="169">
        <f>SUMIF('bench Comparison'!$L:$L,"RESINV1USD_" &amp; $B11 &amp; "_" &amp; J$2,'bench Comparison'!$H:$H)+SUMIF('bench Comparison'!$L:$L,"RESSWAPORUSD_" &amp; $B11 &amp; "_" &amp; J$2,'bench Comparison'!$H:$H)</f>
        <v>0</v>
      </c>
      <c r="L11" s="167" t="s">
        <v>21</v>
      </c>
      <c r="M11" s="168">
        <f ca="1">ratioPV*SUMIF('bench Comparison'!$L:$L,"BKINV1USD_" &amp; $L11 &amp; "_" &amp; M$2,'bench Comparison'!$H:$H)</f>
        <v>178553.65535501778</v>
      </c>
      <c r="N11" s="168">
        <f ca="1">ratioPV*SUMIF('bench Comparison'!$L:$L,"BKINV1USD_" &amp; $L11 &amp; "_" &amp; N$2,'bench Comparison'!$H:$H)</f>
        <v>0</v>
      </c>
      <c r="O11" s="168">
        <f ca="1">ratioPV*SUMIF('bench Comparison'!$L:$L,"BKINV1USD_" &amp; $L11 &amp; "_" &amp; O$2,'bench Comparison'!$H:$H)</f>
        <v>0</v>
      </c>
      <c r="P11" s="168">
        <f ca="1">ratioPV*SUMIF('bench Comparison'!$L:$L,"BKINV1USD_" &amp; $L11 &amp; "_" &amp; P$2,'bench Comparison'!$H:$H)</f>
        <v>0</v>
      </c>
      <c r="Q11" s="168">
        <f ca="1">ratioPV*SUMIF('bench Comparison'!$L:$L,"BKINV1USD_" &amp; $L11 &amp; "_" &amp; Q$2,'bench Comparison'!$H:$H)</f>
        <v>0</v>
      </c>
      <c r="R11" s="168">
        <f ca="1">ratioPV*SUMIF('bench Comparison'!$L:$L,"BKINV1USD_" &amp; $L11 &amp; "_" &amp; R$2,'bench Comparison'!$H:$H)</f>
        <v>0</v>
      </c>
      <c r="S11" s="168">
        <f ca="1">ratioPV*SUMIF('bench Comparison'!$L:$L,"BKINV1USD_" &amp; $L11 &amp; "_" &amp; S$2,'bench Comparison'!$H:$H)</f>
        <v>0</v>
      </c>
      <c r="T11" s="169">
        <f ca="1">ratioPV*SUMIF('bench Comparison'!$L:$L,"BKINV1USD_" &amp; $L11 &amp; "_" &amp; T$2,'bench Comparison'!$H:$H)</f>
        <v>0</v>
      </c>
    </row>
    <row r="12" spans="2:20" x14ac:dyDescent="0.2">
      <c r="B12" s="167" t="s">
        <v>177</v>
      </c>
      <c r="C12" s="168">
        <f>SUMIF('bench Comparison'!$L:$L,"RESINV1USD_" &amp; $B12 &amp; "_" &amp; C$2,'bench Comparison'!$H:$H)+SUMIF('bench Comparison'!$L:$L,"RESSWAPORUSD_" &amp; $B12 &amp; "_" &amp; C$2,'bench Comparison'!$H:$H)</f>
        <v>0</v>
      </c>
      <c r="D12" s="168">
        <f>SUMIF('bench Comparison'!$L:$L,"RESINV1USD_" &amp; $B12 &amp; "_" &amp; D$2,'bench Comparison'!$H:$H)+SUMIF('bench Comparison'!$L:$L,"RESSWAPORUSD_" &amp; $B12 &amp; "_" &amp; D$2,'bench Comparison'!$H:$H)</f>
        <v>0</v>
      </c>
      <c r="E12" s="168">
        <f>SUMIF('bench Comparison'!$L:$L,"RESINV1USD_" &amp; $B12 &amp; "_" &amp; E$2,'bench Comparison'!$H:$H)+SUMIF('bench Comparison'!$L:$L,"RESSWAPORUSD_" &amp; $B12 &amp; "_" &amp; E$2,'bench Comparison'!$H:$H)</f>
        <v>24147.8</v>
      </c>
      <c r="F12" s="168">
        <f>SUMIF('bench Comparison'!$L:$L,"RESINV1USD_" &amp; $B12 &amp; "_" &amp; F$2,'bench Comparison'!$H:$H)+SUMIF('bench Comparison'!$L:$L,"RESSWAPORUSD_" &amp; $B12 &amp; "_" &amp; F$2,'bench Comparison'!$H:$H)</f>
        <v>0</v>
      </c>
      <c r="G12" s="168">
        <f>SUMIF('bench Comparison'!$L:$L,"RESINV1USD_" &amp; $B12 &amp; "_" &amp; G$2,'bench Comparison'!$H:$H)+SUMIF('bench Comparison'!$L:$L,"RESSWAPORUSD_" &amp; $B12 &amp; "_" &amp; G$2,'bench Comparison'!$H:$H)</f>
        <v>-28660.65</v>
      </c>
      <c r="H12" s="168">
        <f>SUMIF('bench Comparison'!$L:$L,"RESINV1USD_" &amp; $B12 &amp; "_" &amp; H$2,'bench Comparison'!$H:$H)+SUMIF('bench Comparison'!$L:$L,"RESSWAPORUSD_" &amp; $B12 &amp; "_" &amp; H$2,'bench Comparison'!$H:$H)</f>
        <v>0</v>
      </c>
      <c r="I12" s="168">
        <f>SUMIF('bench Comparison'!$L:$L,"RESINV1USD_" &amp; $B12 &amp; "_" &amp; I$2,'bench Comparison'!$H:$H)+SUMIF('bench Comparison'!$L:$L,"RESSWAPORUSD_" &amp; $B12 &amp; "_" &amp; I$2,'bench Comparison'!$H:$H)</f>
        <v>0</v>
      </c>
      <c r="J12" s="169">
        <f>SUMIF('bench Comparison'!$L:$L,"RESINV1USD_" &amp; $B12 &amp; "_" &amp; J$2,'bench Comparison'!$H:$H)+SUMIF('bench Comparison'!$L:$L,"RESSWAPORUSD_" &amp; $B12 &amp; "_" &amp; J$2,'bench Comparison'!$H:$H)</f>
        <v>0</v>
      </c>
      <c r="L12" s="167" t="s">
        <v>177</v>
      </c>
      <c r="M12" s="168">
        <f ca="1">ratioPV*SUMIF('bench Comparison'!$L:$L,"BKINV1USD_" &amp; $L12 &amp; "_" &amp; M$2,'bench Comparison'!$H:$H)</f>
        <v>76361.410278058916</v>
      </c>
      <c r="N12" s="168">
        <f ca="1">ratioPV*SUMIF('bench Comparison'!$L:$L,"BKINV1USD_" &amp; $L12 &amp; "_" &amp; N$2,'bench Comparison'!$H:$H)</f>
        <v>0</v>
      </c>
      <c r="O12" s="168">
        <f ca="1">ratioPV*SUMIF('bench Comparison'!$L:$L,"BKINV1USD_" &amp; $L12 &amp; "_" &amp; O$2,'bench Comparison'!$H:$H)</f>
        <v>0</v>
      </c>
      <c r="P12" s="168">
        <f ca="1">ratioPV*SUMIF('bench Comparison'!$L:$L,"BKINV1USD_" &amp; $L12 &amp; "_" &amp; P$2,'bench Comparison'!$H:$H)</f>
        <v>0</v>
      </c>
      <c r="Q12" s="168">
        <f ca="1">ratioPV*SUMIF('bench Comparison'!$L:$L,"BKINV1USD_" &amp; $L12 &amp; "_" &amp; Q$2,'bench Comparison'!$H:$H)</f>
        <v>0</v>
      </c>
      <c r="R12" s="168">
        <f ca="1">ratioPV*SUMIF('bench Comparison'!$L:$L,"BKINV1USD_" &amp; $L12 &amp; "_" &amp; R$2,'bench Comparison'!$H:$H)</f>
        <v>0</v>
      </c>
      <c r="S12" s="168">
        <f ca="1">ratioPV*SUMIF('bench Comparison'!$L:$L,"BKINV1USD_" &amp; $L12 &amp; "_" &amp; S$2,'bench Comparison'!$H:$H)</f>
        <v>0</v>
      </c>
      <c r="T12" s="169">
        <f ca="1">ratioPV*SUMIF('bench Comparison'!$L:$L,"BKINV1USD_" &amp; $L12 &amp; "_" &amp; T$2,'bench Comparison'!$H:$H)</f>
        <v>0</v>
      </c>
    </row>
    <row r="13" spans="2:20" x14ac:dyDescent="0.2">
      <c r="B13" s="167" t="s">
        <v>184</v>
      </c>
      <c r="C13" s="168">
        <f>SUMIF('bench Comparison'!$L:$L,"RESINV1USD_" &amp; $B13 &amp; "_" &amp; C$2,'bench Comparison'!$H:$H)+SUMIF('bench Comparison'!$L:$L,"RESSWAPORUSD_" &amp; $B13 &amp; "_" &amp; C$2,'bench Comparison'!$H:$H)</f>
        <v>200914.84999999998</v>
      </c>
      <c r="D13" s="168">
        <f>SUMIF('bench Comparison'!$L:$L,"RESINV1USD_" &amp; $B13 &amp; "_" &amp; D$2,'bench Comparison'!$H:$H)+SUMIF('bench Comparison'!$L:$L,"RESSWAPORUSD_" &amp; $B13 &amp; "_" &amp; D$2,'bench Comparison'!$H:$H)</f>
        <v>0</v>
      </c>
      <c r="E13" s="168">
        <f>SUMIF('bench Comparison'!$L:$L,"RESINV1USD_" &amp; $B13 &amp; "_" &amp; E$2,'bench Comparison'!$H:$H)+SUMIF('bench Comparison'!$L:$L,"RESSWAPORUSD_" &amp; $B13 &amp; "_" &amp; E$2,'bench Comparison'!$H:$H)</f>
        <v>18527.400000000001</v>
      </c>
      <c r="F13" s="168">
        <f>SUMIF('bench Comparison'!$L:$L,"RESINV1USD_" &amp; $B13 &amp; "_" &amp; F$2,'bench Comparison'!$H:$H)+SUMIF('bench Comparison'!$L:$L,"RESSWAPORUSD_" &amp; $B13 &amp; "_" &amp; F$2,'bench Comparison'!$H:$H)</f>
        <v>0</v>
      </c>
      <c r="G13" s="168">
        <f>SUMIF('bench Comparison'!$L:$L,"RESINV1USD_" &amp; $B13 &amp; "_" &amp; G$2,'bench Comparison'!$H:$H)+SUMIF('bench Comparison'!$L:$L,"RESSWAPORUSD_" &amp; $B13 &amp; "_" &amp; G$2,'bench Comparison'!$H:$H)</f>
        <v>-15545.42</v>
      </c>
      <c r="H13" s="168">
        <f>SUMIF('bench Comparison'!$L:$L,"RESINV1USD_" &amp; $B13 &amp; "_" &amp; H$2,'bench Comparison'!$H:$H)+SUMIF('bench Comparison'!$L:$L,"RESSWAPORUSD_" &amp; $B13 &amp; "_" &amp; H$2,'bench Comparison'!$H:$H)</f>
        <v>-15080.96</v>
      </c>
      <c r="I13" s="168">
        <f>SUMIF('bench Comparison'!$L:$L,"RESINV1USD_" &amp; $B13 &amp; "_" &amp; I$2,'bench Comparison'!$H:$H)+SUMIF('bench Comparison'!$L:$L,"RESSWAPORUSD_" &amp; $B13 &amp; "_" &amp; I$2,'bench Comparison'!$H:$H)</f>
        <v>0</v>
      </c>
      <c r="J13" s="169">
        <f>SUMIF('bench Comparison'!$L:$L,"RESINV1USD_" &amp; $B13 &amp; "_" &amp; J$2,'bench Comparison'!$H:$H)+SUMIF('bench Comparison'!$L:$L,"RESSWAPORUSD_" &amp; $B13 &amp; "_" &amp; J$2,'bench Comparison'!$H:$H)</f>
        <v>0</v>
      </c>
      <c r="L13" s="167" t="s">
        <v>184</v>
      </c>
      <c r="M13" s="168">
        <f ca="1">ratioPV*SUMIF('bench Comparison'!$L:$L,"BKINV1USD_" &amp; $L13 &amp; "_" &amp; M$2,'bench Comparison'!$H:$H)</f>
        <v>108475.022219244</v>
      </c>
      <c r="N13" s="168">
        <f ca="1">ratioPV*SUMIF('bench Comparison'!$L:$L,"BKINV1USD_" &amp; $L13 &amp; "_" &amp; N$2,'bench Comparison'!$H:$H)</f>
        <v>0</v>
      </c>
      <c r="O13" s="168">
        <f ca="1">ratioPV*SUMIF('bench Comparison'!$L:$L,"BKINV1USD_" &amp; $L13 &amp; "_" &amp; O$2,'bench Comparison'!$H:$H)</f>
        <v>0</v>
      </c>
      <c r="P13" s="168">
        <f ca="1">ratioPV*SUMIF('bench Comparison'!$L:$L,"BKINV1USD_" &amp; $L13 &amp; "_" &amp; P$2,'bench Comparison'!$H:$H)</f>
        <v>0</v>
      </c>
      <c r="Q13" s="168">
        <f ca="1">ratioPV*SUMIF('bench Comparison'!$L:$L,"BKINV1USD_" &amp; $L13 &amp; "_" &amp; Q$2,'bench Comparison'!$H:$H)</f>
        <v>0</v>
      </c>
      <c r="R13" s="168">
        <f ca="1">ratioPV*SUMIF('bench Comparison'!$L:$L,"BKINV1USD_" &amp; $L13 &amp; "_" &amp; R$2,'bench Comparison'!$H:$H)</f>
        <v>0</v>
      </c>
      <c r="S13" s="168">
        <f ca="1">ratioPV*SUMIF('bench Comparison'!$L:$L,"BKINV1USD_" &amp; $L13 &amp; "_" &amp; S$2,'bench Comparison'!$H:$H)</f>
        <v>0</v>
      </c>
      <c r="T13" s="169">
        <f ca="1">ratioPV*SUMIF('bench Comparison'!$L:$L,"BKINV1USD_" &amp; $L13 &amp; "_" &amp; T$2,'bench Comparison'!$H:$H)</f>
        <v>0</v>
      </c>
    </row>
    <row r="14" spans="2:20" x14ac:dyDescent="0.2">
      <c r="B14" s="167" t="s">
        <v>83</v>
      </c>
      <c r="C14" s="168">
        <f>SUMIF('bench Comparison'!$L:$L,"RESINV1USD_" &amp; $B14 &amp; "_" &amp; C$2,'bench Comparison'!$H:$H)+SUMIF('bench Comparison'!$L:$L,"RESSWAPORUSD_" &amp; $B14 &amp; "_" &amp; C$2,'bench Comparison'!$H:$H)</f>
        <v>814826.22</v>
      </c>
      <c r="D14" s="168">
        <f>SUMIF('bench Comparison'!$L:$L,"RESINV1USD_" &amp; $B14 &amp; "_" &amp; D$2,'bench Comparison'!$H:$H)+SUMIF('bench Comparison'!$L:$L,"RESSWAPORUSD_" &amp; $B14 &amp; "_" &amp; D$2,'bench Comparison'!$H:$H)</f>
        <v>0</v>
      </c>
      <c r="E14" s="168">
        <f>SUMIF('bench Comparison'!$L:$L,"RESINV1USD_" &amp; $B14 &amp; "_" &amp; E$2,'bench Comparison'!$H:$H)+SUMIF('bench Comparison'!$L:$L,"RESSWAPORUSD_" &amp; $B14 &amp; "_" &amp; E$2,'bench Comparison'!$H:$H)</f>
        <v>102881.69000000002</v>
      </c>
      <c r="F14" s="168">
        <f>SUMIF('bench Comparison'!$L:$L,"RESINV1USD_" &amp; $B14 &amp; "_" &amp; F$2,'bench Comparison'!$H:$H)+SUMIF('bench Comparison'!$L:$L,"RESSWAPORUSD_" &amp; $B14 &amp; "_" &amp; F$2,'bench Comparison'!$H:$H)</f>
        <v>0</v>
      </c>
      <c r="G14" s="168">
        <f>SUMIF('bench Comparison'!$L:$L,"RESINV1USD_" &amp; $B14 &amp; "_" &amp; G$2,'bench Comparison'!$H:$H)+SUMIF('bench Comparison'!$L:$L,"RESSWAPORUSD_" &amp; $B14 &amp; "_" &amp; G$2,'bench Comparison'!$H:$H)</f>
        <v>-82025.12999999999</v>
      </c>
      <c r="H14" s="168">
        <f>SUMIF('bench Comparison'!$L:$L,"RESINV1USD_" &amp; $B14 &amp; "_" &amp; H$2,'bench Comparison'!$H:$H)+SUMIF('bench Comparison'!$L:$L,"RESSWAPORUSD_" &amp; $B14 &amp; "_" &amp; H$2,'bench Comparison'!$H:$H)</f>
        <v>-30168.11</v>
      </c>
      <c r="I14" s="168">
        <f>SUMIF('bench Comparison'!$L:$L,"RESINV1USD_" &amp; $B14 &amp; "_" &amp; I$2,'bench Comparison'!$H:$H)+SUMIF('bench Comparison'!$L:$L,"RESSWAPORUSD_" &amp; $B14 &amp; "_" &amp; I$2,'bench Comparison'!$H:$H)</f>
        <v>0</v>
      </c>
      <c r="J14" s="169">
        <f>SUMIF('bench Comparison'!$L:$L,"RESINV1USD_" &amp; $B14 &amp; "_" &amp; J$2,'bench Comparison'!$H:$H)+SUMIF('bench Comparison'!$L:$L,"RESSWAPORUSD_" &amp; $B14 &amp; "_" &amp; J$2,'bench Comparison'!$H:$H)</f>
        <v>0</v>
      </c>
      <c r="L14" s="167" t="s">
        <v>83</v>
      </c>
      <c r="M14" s="168">
        <f ca="1">ratioPV*SUMIF('bench Comparison'!$L:$L,"BKINV1USD_" &amp; $L14 &amp; "_" &amp; M$2,'bench Comparison'!$H:$H)</f>
        <v>741785.54166343634</v>
      </c>
      <c r="N14" s="168">
        <f ca="1">ratioPV*SUMIF('bench Comparison'!$L:$L,"BKINV1USD_" &amp; $L14 &amp; "_" &amp; N$2,'bench Comparison'!$H:$H)</f>
        <v>0</v>
      </c>
      <c r="O14" s="168">
        <f ca="1">ratioPV*SUMIF('bench Comparison'!$L:$L,"BKINV1USD_" &amp; $L14 &amp; "_" &amp; O$2,'bench Comparison'!$H:$H)</f>
        <v>0</v>
      </c>
      <c r="P14" s="168">
        <f ca="1">ratioPV*SUMIF('bench Comparison'!$L:$L,"BKINV1USD_" &amp; $L14 &amp; "_" &amp; P$2,'bench Comparison'!$H:$H)</f>
        <v>0</v>
      </c>
      <c r="Q14" s="168">
        <f ca="1">ratioPV*SUMIF('bench Comparison'!$L:$L,"BKINV1USD_" &amp; $L14 &amp; "_" &amp; Q$2,'bench Comparison'!$H:$H)</f>
        <v>0</v>
      </c>
      <c r="R14" s="168">
        <f ca="1">ratioPV*SUMIF('bench Comparison'!$L:$L,"BKINV1USD_" &amp; $L14 &amp; "_" &amp; R$2,'bench Comparison'!$H:$H)</f>
        <v>0</v>
      </c>
      <c r="S14" s="168">
        <f ca="1">ratioPV*SUMIF('bench Comparison'!$L:$L,"BKINV1USD_" &amp; $L14 &amp; "_" &amp; S$2,'bench Comparison'!$H:$H)</f>
        <v>0</v>
      </c>
      <c r="T14" s="169">
        <f ca="1">ratioPV*SUMIF('bench Comparison'!$L:$L,"BKINV1USD_" &amp; $L14 &amp; "_" &amp; T$2,'bench Comparison'!$H:$H)</f>
        <v>0</v>
      </c>
    </row>
    <row r="15" spans="2:20" x14ac:dyDescent="0.2">
      <c r="B15" s="167" t="s">
        <v>84</v>
      </c>
      <c r="C15" s="168">
        <f>SUMIF('bench Comparison'!$L:$L,"RESINV1USD_" &amp; $B15 &amp; "_" &amp; C$2,'bench Comparison'!$H:$H)+SUMIF('bench Comparison'!$L:$L,"RESSWAPORUSD_" &amp; $B15 &amp; "_" &amp; C$2,'bench Comparison'!$H:$H)</f>
        <v>41919.57</v>
      </c>
      <c r="D15" s="168">
        <f>SUMIF('bench Comparison'!$L:$L,"RESINV1USD_" &amp; $B15 &amp; "_" &amp; D$2,'bench Comparison'!$H:$H)+SUMIF('bench Comparison'!$L:$L,"RESSWAPORUSD_" &amp; $B15 &amp; "_" &amp; D$2,'bench Comparison'!$H:$H)</f>
        <v>-8594.86</v>
      </c>
      <c r="E15" s="168">
        <f>SUMIF('bench Comparison'!$L:$L,"RESINV1USD_" &amp; $B15 &amp; "_" &amp; E$2,'bench Comparison'!$H:$H)+SUMIF('bench Comparison'!$L:$L,"RESSWAPORUSD_" &amp; $B15 &amp; "_" &amp; E$2,'bench Comparison'!$H:$H)</f>
        <v>83547.259999999995</v>
      </c>
      <c r="F15" s="168">
        <f>SUMIF('bench Comparison'!$L:$L,"RESINV1USD_" &amp; $B15 &amp; "_" &amp; F$2,'bench Comparison'!$H:$H)+SUMIF('bench Comparison'!$L:$L,"RESSWAPORUSD_" &amp; $B15 &amp; "_" &amp; F$2,'bench Comparison'!$H:$H)</f>
        <v>0</v>
      </c>
      <c r="G15" s="168">
        <f>SUMIF('bench Comparison'!$L:$L,"RESINV1USD_" &amp; $B15 &amp; "_" &amp; G$2,'bench Comparison'!$H:$H)+SUMIF('bench Comparison'!$L:$L,"RESSWAPORUSD_" &amp; $B15 &amp; "_" &amp; G$2,'bench Comparison'!$H:$H)</f>
        <v>-27451.18</v>
      </c>
      <c r="H15" s="168">
        <f>SUMIF('bench Comparison'!$L:$L,"RESINV1USD_" &amp; $B15 &amp; "_" &amp; H$2,'bench Comparison'!$H:$H)+SUMIF('bench Comparison'!$L:$L,"RESSWAPORUSD_" &amp; $B15 &amp; "_" &amp; H$2,'bench Comparison'!$H:$H)</f>
        <v>0</v>
      </c>
      <c r="I15" s="168">
        <f>SUMIF('bench Comparison'!$L:$L,"RESINV1USD_" &amp; $B15 &amp; "_" &amp; I$2,'bench Comparison'!$H:$H)+SUMIF('bench Comparison'!$L:$L,"RESSWAPORUSD_" &amp; $B15 &amp; "_" &amp; I$2,'bench Comparison'!$H:$H)</f>
        <v>0</v>
      </c>
      <c r="J15" s="169">
        <f>SUMIF('bench Comparison'!$L:$L,"RESINV1USD_" &amp; $B15 &amp; "_" &amp; J$2,'bench Comparison'!$H:$H)+SUMIF('bench Comparison'!$L:$L,"RESSWAPORUSD_" &amp; $B15 &amp; "_" &amp; J$2,'bench Comparison'!$H:$H)</f>
        <v>0</v>
      </c>
      <c r="L15" s="167" t="s">
        <v>84</v>
      </c>
      <c r="M15" s="168">
        <f ca="1">ratioPV*SUMIF('bench Comparison'!$L:$L,"BKINV1USD_" &amp; $L15 &amp; "_" &amp; M$2,'bench Comparison'!$H:$H)</f>
        <v>81948.615039127821</v>
      </c>
      <c r="N15" s="168">
        <f ca="1">ratioPV*SUMIF('bench Comparison'!$L:$L,"BKINV1USD_" &amp; $L15 &amp; "_" &amp; N$2,'bench Comparison'!$H:$H)</f>
        <v>0</v>
      </c>
      <c r="O15" s="168">
        <f ca="1">ratioPV*SUMIF('bench Comparison'!$L:$L,"BKINV1USD_" &amp; $L15 &amp; "_" &amp; O$2,'bench Comparison'!$H:$H)</f>
        <v>0</v>
      </c>
      <c r="P15" s="168">
        <f ca="1">ratioPV*SUMIF('bench Comparison'!$L:$L,"BKINV1USD_" &amp; $L15 &amp; "_" &amp; P$2,'bench Comparison'!$H:$H)</f>
        <v>0</v>
      </c>
      <c r="Q15" s="168">
        <f ca="1">ratioPV*SUMIF('bench Comparison'!$L:$L,"BKINV1USD_" &amp; $L15 &amp; "_" &amp; Q$2,'bench Comparison'!$H:$H)</f>
        <v>0</v>
      </c>
      <c r="R15" s="168">
        <f ca="1">ratioPV*SUMIF('bench Comparison'!$L:$L,"BKINV1USD_" &amp; $L15 &amp; "_" &amp; R$2,'bench Comparison'!$H:$H)</f>
        <v>0</v>
      </c>
      <c r="S15" s="168">
        <f ca="1">ratioPV*SUMIF('bench Comparison'!$L:$L,"BKINV1USD_" &amp; $L15 &amp; "_" &amp; S$2,'bench Comparison'!$H:$H)</f>
        <v>0</v>
      </c>
      <c r="T15" s="169">
        <f ca="1">ratioPV*SUMIF('bench Comparison'!$L:$L,"BKINV1USD_" &amp; $L15 &amp; "_" &amp; T$2,'bench Comparison'!$H:$H)</f>
        <v>0</v>
      </c>
    </row>
    <row r="16" spans="2:20" x14ac:dyDescent="0.2">
      <c r="B16" s="167" t="s">
        <v>86</v>
      </c>
      <c r="C16" s="168">
        <f>SUMIF('bench Comparison'!$L:$L,"RESINV1USD_" &amp; $B16 &amp; "_" &amp; C$2,'bench Comparison'!$H:$H)+SUMIF('bench Comparison'!$L:$L,"RESSWAPORUSD_" &amp; $B16 &amp; "_" &amp; C$2,'bench Comparison'!$H:$H)</f>
        <v>245626.26</v>
      </c>
      <c r="D16" s="168">
        <f>SUMIF('bench Comparison'!$L:$L,"RESINV1USD_" &amp; $B16 &amp; "_" &amp; D$2,'bench Comparison'!$H:$H)+SUMIF('bench Comparison'!$L:$L,"RESSWAPORUSD_" &amp; $B16 &amp; "_" &amp; D$2,'bench Comparison'!$H:$H)</f>
        <v>0</v>
      </c>
      <c r="E16" s="168">
        <f>SUMIF('bench Comparison'!$L:$L,"RESINV1USD_" &amp; $B16 &amp; "_" &amp; E$2,'bench Comparison'!$H:$H)+SUMIF('bench Comparison'!$L:$L,"RESSWAPORUSD_" &amp; $B16 &amp; "_" &amp; E$2,'bench Comparison'!$H:$H)</f>
        <v>61777.05</v>
      </c>
      <c r="F16" s="168">
        <f>SUMIF('bench Comparison'!$L:$L,"RESINV1USD_" &amp; $B16 &amp; "_" &amp; F$2,'bench Comparison'!$H:$H)+SUMIF('bench Comparison'!$L:$L,"RESSWAPORUSD_" &amp; $B16 &amp; "_" &amp; F$2,'bench Comparison'!$H:$H)</f>
        <v>0</v>
      </c>
      <c r="G16" s="168">
        <f>SUMIF('bench Comparison'!$L:$L,"RESINV1USD_" &amp; $B16 &amp; "_" &amp; G$2,'bench Comparison'!$H:$H)+SUMIF('bench Comparison'!$L:$L,"RESSWAPORUSD_" &amp; $B16 &amp; "_" &amp; G$2,'bench Comparison'!$H:$H)</f>
        <v>-1002.61</v>
      </c>
      <c r="H16" s="168">
        <f>SUMIF('bench Comparison'!$L:$L,"RESINV1USD_" &amp; $B16 &amp; "_" &amp; H$2,'bench Comparison'!$H:$H)+SUMIF('bench Comparison'!$L:$L,"RESSWAPORUSD_" &amp; $B16 &amp; "_" &amp; H$2,'bench Comparison'!$H:$H)</f>
        <v>-139450.02000000002</v>
      </c>
      <c r="I16" s="168">
        <f>SUMIF('bench Comparison'!$L:$L,"RESINV1USD_" &amp; $B16 &amp; "_" &amp; I$2,'bench Comparison'!$H:$H)+SUMIF('bench Comparison'!$L:$L,"RESSWAPORUSD_" &amp; $B16 &amp; "_" &amp; I$2,'bench Comparison'!$H:$H)</f>
        <v>0</v>
      </c>
      <c r="J16" s="169">
        <f>SUMIF('bench Comparison'!$L:$L,"RESINV1USD_" &amp; $B16 &amp; "_" &amp; J$2,'bench Comparison'!$H:$H)+SUMIF('bench Comparison'!$L:$L,"RESSWAPORUSD_" &amp; $B16 &amp; "_" &amp; J$2,'bench Comparison'!$H:$H)</f>
        <v>0</v>
      </c>
      <c r="L16" s="167" t="s">
        <v>86</v>
      </c>
      <c r="M16" s="168">
        <f ca="1">ratioPV*SUMIF('bench Comparison'!$L:$L,"BKINV1USD_" &amp; $L16 &amp; "_" &amp; M$2,'bench Comparison'!$H:$H)</f>
        <v>212784.63937798404</v>
      </c>
      <c r="N16" s="168">
        <f ca="1">ratioPV*SUMIF('bench Comparison'!$L:$L,"BKINV1USD_" &amp; $L16 &amp; "_" &amp; N$2,'bench Comparison'!$H:$H)</f>
        <v>0</v>
      </c>
      <c r="O16" s="168">
        <f ca="1">ratioPV*SUMIF('bench Comparison'!$L:$L,"BKINV1USD_" &amp; $L16 &amp; "_" &amp; O$2,'bench Comparison'!$H:$H)</f>
        <v>0</v>
      </c>
      <c r="P16" s="168">
        <f ca="1">ratioPV*SUMIF('bench Comparison'!$L:$L,"BKINV1USD_" &amp; $L16 &amp; "_" &amp; P$2,'bench Comparison'!$H:$H)</f>
        <v>0</v>
      </c>
      <c r="Q16" s="168">
        <f ca="1">ratioPV*SUMIF('bench Comparison'!$L:$L,"BKINV1USD_" &amp; $L16 &amp; "_" &amp; Q$2,'bench Comparison'!$H:$H)</f>
        <v>0</v>
      </c>
      <c r="R16" s="168">
        <f ca="1">ratioPV*SUMIF('bench Comparison'!$L:$L,"BKINV1USD_" &amp; $L16 &amp; "_" &amp; R$2,'bench Comparison'!$H:$H)</f>
        <v>0</v>
      </c>
      <c r="S16" s="168">
        <f ca="1">ratioPV*SUMIF('bench Comparison'!$L:$L,"BKINV1USD_" &amp; $L16 &amp; "_" &amp; S$2,'bench Comparison'!$H:$H)</f>
        <v>0</v>
      </c>
      <c r="T16" s="169">
        <f ca="1">ratioPV*SUMIF('bench Comparison'!$L:$L,"BKINV1USD_" &amp; $L16 &amp; "_" &amp; T$2,'bench Comparison'!$H:$H)</f>
        <v>0</v>
      </c>
    </row>
    <row r="17" spans="2:20" x14ac:dyDescent="0.2">
      <c r="B17" s="167" t="s">
        <v>88</v>
      </c>
      <c r="C17" s="168">
        <f>SUMIF('bench Comparison'!$L:$L,"RESINV1USD_" &amp; $B17 &amp; "_" &amp; C$2,'bench Comparison'!$H:$H)+SUMIF('bench Comparison'!$L:$L,"RESSWAPORUSD_" &amp; $B17 &amp; "_" &amp; C$2,'bench Comparison'!$H:$H)</f>
        <v>170151.59</v>
      </c>
      <c r="D17" s="168">
        <f>SUMIF('bench Comparison'!$L:$L,"RESINV1USD_" &amp; $B17 &amp; "_" &amp; D$2,'bench Comparison'!$H:$H)+SUMIF('bench Comparison'!$L:$L,"RESSWAPORUSD_" &amp; $B17 &amp; "_" &amp; D$2,'bench Comparison'!$H:$H)</f>
        <v>0</v>
      </c>
      <c r="E17" s="168">
        <f>SUMIF('bench Comparison'!$L:$L,"RESINV1USD_" &amp; $B17 &amp; "_" &amp; E$2,'bench Comparison'!$H:$H)+SUMIF('bench Comparison'!$L:$L,"RESSWAPORUSD_" &amp; $B17 &amp; "_" &amp; E$2,'bench Comparison'!$H:$H)</f>
        <v>0</v>
      </c>
      <c r="F17" s="168">
        <f>SUMIF('bench Comparison'!$L:$L,"RESINV1USD_" &amp; $B17 &amp; "_" &amp; F$2,'bench Comparison'!$H:$H)+SUMIF('bench Comparison'!$L:$L,"RESSWAPORUSD_" &amp; $B17 &amp; "_" &amp; F$2,'bench Comparison'!$H:$H)</f>
        <v>0</v>
      </c>
      <c r="G17" s="168">
        <f>SUMIF('bench Comparison'!$L:$L,"RESINV1USD_" &amp; $B17 &amp; "_" &amp; G$2,'bench Comparison'!$H:$H)+SUMIF('bench Comparison'!$L:$L,"RESSWAPORUSD_" &amp; $B17 &amp; "_" &amp; G$2,'bench Comparison'!$H:$H)</f>
        <v>0</v>
      </c>
      <c r="H17" s="168">
        <f>SUMIF('bench Comparison'!$L:$L,"RESINV1USD_" &amp; $B17 &amp; "_" &amp; H$2,'bench Comparison'!$H:$H)+SUMIF('bench Comparison'!$L:$L,"RESSWAPORUSD_" &amp; $B17 &amp; "_" &amp; H$2,'bench Comparison'!$H:$H)</f>
        <v>0</v>
      </c>
      <c r="I17" s="168">
        <f>SUMIF('bench Comparison'!$L:$L,"RESINV1USD_" &amp; $B17 &amp; "_" &amp; I$2,'bench Comparison'!$H:$H)+SUMIF('bench Comparison'!$L:$L,"RESSWAPORUSD_" &amp; $B17 &amp; "_" &amp; I$2,'bench Comparison'!$H:$H)</f>
        <v>0</v>
      </c>
      <c r="J17" s="169">
        <f>SUMIF('bench Comparison'!$L:$L,"RESINV1USD_" &amp; $B17 &amp; "_" &amp; J$2,'bench Comparison'!$H:$H)+SUMIF('bench Comparison'!$L:$L,"RESSWAPORUSD_" &amp; $B17 &amp; "_" &amp; J$2,'bench Comparison'!$H:$H)</f>
        <v>0</v>
      </c>
      <c r="L17" s="167" t="s">
        <v>88</v>
      </c>
      <c r="M17" s="168">
        <f ca="1">ratioPV*SUMIF('bench Comparison'!$L:$L,"BKINV1USD_" &amp; $L17 &amp; "_" &amp; M$2,'bench Comparison'!$H:$H)</f>
        <v>108698.41921066566</v>
      </c>
      <c r="N17" s="168">
        <f ca="1">ratioPV*SUMIF('bench Comparison'!$L:$L,"BKINV1USD_" &amp; $L17 &amp; "_" &amp; N$2,'bench Comparison'!$H:$H)</f>
        <v>0</v>
      </c>
      <c r="O17" s="168">
        <f ca="1">ratioPV*SUMIF('bench Comparison'!$L:$L,"BKINV1USD_" &amp; $L17 &amp; "_" &amp; O$2,'bench Comparison'!$H:$H)</f>
        <v>0</v>
      </c>
      <c r="P17" s="168">
        <f ca="1">ratioPV*SUMIF('bench Comparison'!$L:$L,"BKINV1USD_" &amp; $L17 &amp; "_" &amp; P$2,'bench Comparison'!$H:$H)</f>
        <v>0</v>
      </c>
      <c r="Q17" s="168">
        <f ca="1">ratioPV*SUMIF('bench Comparison'!$L:$L,"BKINV1USD_" &amp; $L17 &amp; "_" &amp; Q$2,'bench Comparison'!$H:$H)</f>
        <v>0</v>
      </c>
      <c r="R17" s="168">
        <f ca="1">ratioPV*SUMIF('bench Comparison'!$L:$L,"BKINV1USD_" &amp; $L17 &amp; "_" &amp; R$2,'bench Comparison'!$H:$H)</f>
        <v>0</v>
      </c>
      <c r="S17" s="168">
        <f ca="1">ratioPV*SUMIF('bench Comparison'!$L:$L,"BKINV1USD_" &amp; $L17 &amp; "_" &amp; S$2,'bench Comparison'!$H:$H)</f>
        <v>0</v>
      </c>
      <c r="T17" s="169">
        <f ca="1">ratioPV*SUMIF('bench Comparison'!$L:$L,"BKINV1USD_" &amp; $L17 &amp; "_" &amp; T$2,'bench Comparison'!$H:$H)</f>
        <v>0</v>
      </c>
    </row>
    <row r="18" spans="2:20" x14ac:dyDescent="0.2">
      <c r="B18" s="167" t="s">
        <v>91</v>
      </c>
      <c r="C18" s="168">
        <f>SUMIF('bench Comparison'!$L:$L,"RESINV1USD_" &amp; $B18 &amp; "_" &amp; C$2,'bench Comparison'!$H:$H)+SUMIF('bench Comparison'!$L:$L,"RESSWAPORUSD_" &amp; $B18 &amp; "_" &amp; C$2,'bench Comparison'!$H:$H)</f>
        <v>439674.24</v>
      </c>
      <c r="D18" s="168">
        <f>SUMIF('bench Comparison'!$L:$L,"RESINV1USD_" &amp; $B18 &amp; "_" &amp; D$2,'bench Comparison'!$H:$H)+SUMIF('bench Comparison'!$L:$L,"RESSWAPORUSD_" &amp; $B18 &amp; "_" &amp; D$2,'bench Comparison'!$H:$H)</f>
        <v>0</v>
      </c>
      <c r="E18" s="168">
        <f>SUMIF('bench Comparison'!$L:$L,"RESINV1USD_" &amp; $B18 &amp; "_" &amp; E$2,'bench Comparison'!$H:$H)+SUMIF('bench Comparison'!$L:$L,"RESSWAPORUSD_" &amp; $B18 &amp; "_" &amp; E$2,'bench Comparison'!$H:$H)</f>
        <v>0</v>
      </c>
      <c r="F18" s="168">
        <f>SUMIF('bench Comparison'!$L:$L,"RESINV1USD_" &amp; $B18 &amp; "_" &amp; F$2,'bench Comparison'!$H:$H)+SUMIF('bench Comparison'!$L:$L,"RESSWAPORUSD_" &amp; $B18 &amp; "_" &amp; F$2,'bench Comparison'!$H:$H)</f>
        <v>0</v>
      </c>
      <c r="G18" s="168">
        <f>SUMIF('bench Comparison'!$L:$L,"RESINV1USD_" &amp; $B18 &amp; "_" &amp; G$2,'bench Comparison'!$H:$H)+SUMIF('bench Comparison'!$L:$L,"RESSWAPORUSD_" &amp; $B18 &amp; "_" &amp; G$2,'bench Comparison'!$H:$H)</f>
        <v>0</v>
      </c>
      <c r="H18" s="168">
        <f>SUMIF('bench Comparison'!$L:$L,"RESINV1USD_" &amp; $B18 &amp; "_" &amp; H$2,'bench Comparison'!$H:$H)+SUMIF('bench Comparison'!$L:$L,"RESSWAPORUSD_" &amp; $B18 &amp; "_" &amp; H$2,'bench Comparison'!$H:$H)</f>
        <v>0</v>
      </c>
      <c r="I18" s="168">
        <f>SUMIF('bench Comparison'!$L:$L,"RESINV1USD_" &amp; $B18 &amp; "_" &amp; I$2,'bench Comparison'!$H:$H)+SUMIF('bench Comparison'!$L:$L,"RESSWAPORUSD_" &amp; $B18 &amp; "_" &amp; I$2,'bench Comparison'!$H:$H)</f>
        <v>0</v>
      </c>
      <c r="J18" s="169">
        <f>SUMIF('bench Comparison'!$L:$L,"RESINV1USD_" &amp; $B18 &amp; "_" &amp; J$2,'bench Comparison'!$H:$H)+SUMIF('bench Comparison'!$L:$L,"RESSWAPORUSD_" &amp; $B18 &amp; "_" &amp; J$2,'bench Comparison'!$H:$H)</f>
        <v>0</v>
      </c>
      <c r="L18" s="167" t="s">
        <v>91</v>
      </c>
      <c r="M18" s="168">
        <f ca="1">ratioPV*SUMIF('bench Comparison'!$L:$L,"BKINV1USD_" &amp; $L18 &amp; "_" &amp; M$2,'bench Comparison'!$H:$H)</f>
        <v>328331.49011734757</v>
      </c>
      <c r="N18" s="168">
        <f ca="1">ratioPV*SUMIF('bench Comparison'!$L:$L,"BKINV1USD_" &amp; $L18 &amp; "_" &amp; N$2,'bench Comparison'!$H:$H)</f>
        <v>0</v>
      </c>
      <c r="O18" s="168">
        <f ca="1">ratioPV*SUMIF('bench Comparison'!$L:$L,"BKINV1USD_" &amp; $L18 &amp; "_" &amp; O$2,'bench Comparison'!$H:$H)</f>
        <v>0</v>
      </c>
      <c r="P18" s="168">
        <f ca="1">ratioPV*SUMIF('bench Comparison'!$L:$L,"BKINV1USD_" &amp; $L18 &amp; "_" &amp; P$2,'bench Comparison'!$H:$H)</f>
        <v>0</v>
      </c>
      <c r="Q18" s="168">
        <f ca="1">ratioPV*SUMIF('bench Comparison'!$L:$L,"BKINV1USD_" &amp; $L18 &amp; "_" &amp; Q$2,'bench Comparison'!$H:$H)</f>
        <v>0</v>
      </c>
      <c r="R18" s="168">
        <f ca="1">ratioPV*SUMIF('bench Comparison'!$L:$L,"BKINV1USD_" &amp; $L18 &amp; "_" &amp; R$2,'bench Comparison'!$H:$H)</f>
        <v>0</v>
      </c>
      <c r="S18" s="168">
        <f ca="1">ratioPV*SUMIF('bench Comparison'!$L:$L,"BKINV1USD_" &amp; $L18 &amp; "_" &amp; S$2,'bench Comparison'!$H:$H)</f>
        <v>0</v>
      </c>
      <c r="T18" s="169">
        <f ca="1">ratioPV*SUMIF('bench Comparison'!$L:$L,"BKINV1USD_" &amp; $L18 &amp; "_" &amp; T$2,'bench Comparison'!$H:$H)</f>
        <v>0</v>
      </c>
    </row>
    <row r="19" spans="2:20" ht="12" thickBot="1" x14ac:dyDescent="0.25">
      <c r="B19" s="170" t="s">
        <v>604</v>
      </c>
      <c r="C19" s="171">
        <f>SUMIF('bench Comparison'!$L:$L,"RESINV1USD_" &amp; $B19 &amp; "_" &amp; C$2,'bench Comparison'!$H:$H)+SUMIF('bench Comparison'!$L:$L,"RESSWAPORUSD_" &amp; $B19 &amp; "_" &amp; C$2,'bench Comparison'!$H:$H)</f>
        <v>0</v>
      </c>
      <c r="D19" s="171">
        <f>SUMIF('bench Comparison'!$L:$L,"RESINV1USD_" &amp; $B19 &amp; "_" &amp; D$2,'bench Comparison'!$H:$H)+SUMIF('bench Comparison'!$L:$L,"RESSWAPORUSD_" &amp; $B19 &amp; "_" &amp; D$2,'bench Comparison'!$H:$H)</f>
        <v>0</v>
      </c>
      <c r="E19" s="171">
        <f>SUMIF('bench Comparison'!$L:$L,"RESINV1USD_" &amp; $B19 &amp; "_" &amp; E$2,'bench Comparison'!$H:$H)+SUMIF('bench Comparison'!$L:$L,"RESSWAPORUSD_" &amp; $B19 &amp; "_" &amp; E$2,'bench Comparison'!$H:$H)</f>
        <v>0</v>
      </c>
      <c r="F19" s="171">
        <f>SUMIF('bench Comparison'!$L:$L,"RESINV1USD_" &amp; $B19 &amp; "_" &amp; F$2,'bench Comparison'!$H:$H)+SUMIF('bench Comparison'!$L:$L,"RESSWAPORUSD_" &amp; $B19 &amp; "_" &amp; F$2,'bench Comparison'!$H:$H)</f>
        <v>0</v>
      </c>
      <c r="G19" s="171">
        <f>SUMIF('bench Comparison'!$L:$L,"RESINV1USD_" &amp; $B19 &amp; "_" &amp; G$2,'bench Comparison'!$H:$H)+SUMIF('bench Comparison'!$L:$L,"RESSWAPORUSD_" &amp; $B19 &amp; "_" &amp; G$2,'bench Comparison'!$H:$H)</f>
        <v>0</v>
      </c>
      <c r="H19" s="171">
        <f>SUMIF('bench Comparison'!$L:$L,"RESINV1USD_" &amp; $B19 &amp; "_" &amp; H$2,'bench Comparison'!$H:$H)+SUMIF('bench Comparison'!$L:$L,"RESSWAPORUSD_" &amp; $B19 &amp; "_" &amp; H$2,'bench Comparison'!$H:$H)</f>
        <v>0</v>
      </c>
      <c r="I19" s="171">
        <f>SUMIF('bench Comparison'!$L:$L,"RESINV1USD_" &amp; $B19 &amp; "_" &amp; I$2,'bench Comparison'!$H:$H)+SUMIF('bench Comparison'!$L:$L,"RESSWAPORUSD_" &amp; $B19 &amp; "_" &amp; I$2,'bench Comparison'!$H:$H)</f>
        <v>0</v>
      </c>
      <c r="J19" s="172">
        <f>SUMIF('bench Comparison'!$L:$L,"RESINV1USD_" &amp; $B19 &amp; "_" &amp; J$2,'bench Comparison'!$H:$H)+SUMIF('bench Comparison'!$L:$L,"RESSWAPORUSD_" &amp; $B19 &amp; "_" &amp; J$2,'bench Comparison'!$H:$H)</f>
        <v>0</v>
      </c>
      <c r="L19" s="170" t="s">
        <v>604</v>
      </c>
      <c r="M19" s="171">
        <f ca="1">ratioPV*SUMIF('bench Comparison'!$L:$L,"BKINV1USD_" &amp; $L19 &amp; "_" &amp; M$2,'bench Comparison'!$H:$H)</f>
        <v>0</v>
      </c>
      <c r="N19" s="171">
        <f ca="1">ratioPV*SUMIF('bench Comparison'!$L:$L,"BKINV1USD_" &amp; $L19 &amp; "_" &amp; N$2,'bench Comparison'!$H:$H)</f>
        <v>0</v>
      </c>
      <c r="O19" s="171">
        <f ca="1">ratioPV*SUMIF('bench Comparison'!$L:$L,"BKINV1USD_" &amp; $L19 &amp; "_" &amp; O$2,'bench Comparison'!$H:$H)</f>
        <v>0</v>
      </c>
      <c r="P19" s="171">
        <f ca="1">ratioPV*SUMIF('bench Comparison'!$L:$L,"BKINV1USD_" &amp; $L19 &amp; "_" &amp; P$2,'bench Comparison'!$H:$H)</f>
        <v>0</v>
      </c>
      <c r="Q19" s="171">
        <f ca="1">ratioPV*SUMIF('bench Comparison'!$L:$L,"BKINV1USD_" &amp; $L19 &amp; "_" &amp; Q$2,'bench Comparison'!$H:$H)</f>
        <v>0</v>
      </c>
      <c r="R19" s="171">
        <f ca="1">ratioPV*SUMIF('bench Comparison'!$L:$L,"BKINV1USD_" &amp; $L19 &amp; "_" &amp; R$2,'bench Comparison'!$H:$H)</f>
        <v>0</v>
      </c>
      <c r="S19" s="171">
        <f ca="1">ratioPV*SUMIF('bench Comparison'!$L:$L,"BKINV1USD_" &amp; $L19 &amp; "_" &amp; S$2,'bench Comparison'!$H:$H)</f>
        <v>0</v>
      </c>
      <c r="T19" s="172">
        <f ca="1">ratioPV*SUMIF('bench Comparison'!$L:$L,"BKINV1USD_" &amp; $L19 &amp; "_" &amp; T$2,'bench Comparison'!$H:$H)</f>
        <v>0</v>
      </c>
    </row>
    <row r="21" spans="2:20" ht="12" thickBot="1" x14ac:dyDescent="0.25">
      <c r="B21" s="7" t="s">
        <v>972</v>
      </c>
      <c r="C21" s="7"/>
      <c r="D21" s="7"/>
      <c r="E21" s="7"/>
      <c r="F21" s="7"/>
      <c r="G21" s="7"/>
      <c r="H21" s="7"/>
      <c r="I21" s="7"/>
      <c r="J21" s="7"/>
      <c r="L21" s="7" t="s">
        <v>971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64" t="s">
        <v>605</v>
      </c>
      <c r="C22" s="165" t="s">
        <v>601</v>
      </c>
      <c r="D22" s="165" t="s">
        <v>277</v>
      </c>
      <c r="E22" s="165" t="s">
        <v>602</v>
      </c>
      <c r="F22" s="165" t="s">
        <v>138</v>
      </c>
      <c r="G22" s="165" t="s">
        <v>296</v>
      </c>
      <c r="H22" s="165" t="s">
        <v>315</v>
      </c>
      <c r="I22" s="165" t="s">
        <v>270</v>
      </c>
      <c r="J22" s="166" t="s">
        <v>268</v>
      </c>
      <c r="L22" s="164" t="s">
        <v>605</v>
      </c>
      <c r="M22" s="165" t="s">
        <v>601</v>
      </c>
      <c r="N22" s="165" t="s">
        <v>277</v>
      </c>
      <c r="O22" s="165" t="s">
        <v>602</v>
      </c>
      <c r="P22" s="165" t="s">
        <v>138</v>
      </c>
      <c r="Q22" s="165" t="s">
        <v>296</v>
      </c>
      <c r="R22" s="165" t="s">
        <v>315</v>
      </c>
      <c r="S22" s="165" t="s">
        <v>270</v>
      </c>
      <c r="T22" s="166" t="s">
        <v>268</v>
      </c>
    </row>
    <row r="23" spans="2:20" x14ac:dyDescent="0.2">
      <c r="B23" s="167" t="s">
        <v>99</v>
      </c>
      <c r="C23" s="173">
        <f>365*10000*C3/(SUMIF('bench Comparison'!$A:$A,"RESINV1USD",'bench Comparison'!$G:$G)+SUMIF('bench Comparison'!$A:$A,"RESSWAPORUSD",'bench Comparison'!$G:$G))</f>
        <v>0</v>
      </c>
      <c r="D23" s="173">
        <f>365*10000*D3/(SUMIF('bench Comparison'!$A:$A,"RESINV1USD",'bench Comparison'!$G:$G)+SUMIF('bench Comparison'!$A:$A,"RESSWAPORUSD",'bench Comparison'!$G:$G))</f>
        <v>0</v>
      </c>
      <c r="E23" s="173">
        <f>365*10000*E3/(SUMIF('bench Comparison'!$A:$A,"RESINV1USD",'bench Comparison'!$G:$G)+SUMIF('bench Comparison'!$A:$A,"RESSWAPORUSD",'bench Comparison'!$G:$G))</f>
        <v>2.3304600908973665E-2</v>
      </c>
      <c r="F23" s="173">
        <f>365*10000*F3/(SUMIF('bench Comparison'!$A:$A,"RESINV1USD",'bench Comparison'!$G:$G)+SUMIF('bench Comparison'!$A:$A,"RESSWAPORUSD",'bench Comparison'!$G:$G))</f>
        <v>0</v>
      </c>
      <c r="G23" s="173">
        <f>365*10000*G3/(SUMIF('bench Comparison'!$A:$A,"RESINV1USD",'bench Comparison'!$G:$G)+SUMIF('bench Comparison'!$A:$A,"RESSWAPORUSD",'bench Comparison'!$G:$G))</f>
        <v>0</v>
      </c>
      <c r="H23" s="173">
        <f>365*10000*H3/(SUMIF('bench Comparison'!$A:$A,"RESINV1USD",'bench Comparison'!$G:$G)+SUMIF('bench Comparison'!$A:$A,"RESSWAPORUSD",'bench Comparison'!$G:$G))</f>
        <v>0</v>
      </c>
      <c r="I23" s="173">
        <f>365*10000*I3/(SUMIF('bench Comparison'!$A:$A,"RESINV1USD",'bench Comparison'!$G:$G)+SUMIF('bench Comparison'!$A:$A,"RESSWAPORUSD",'bench Comparison'!$G:$G))</f>
        <v>0</v>
      </c>
      <c r="J23" s="174">
        <f>365*10000*J3/(SUMIF('bench Comparison'!$A:$A,"RESINV1USD",'bench Comparison'!$G:$G)+SUMIF('bench Comparison'!$A:$A,"RESSWAPORUSD",'bench Comparison'!$G:$G))</f>
        <v>-0.15167125398284656</v>
      </c>
      <c r="K23" s="175"/>
      <c r="L23" s="176" t="s">
        <v>99</v>
      </c>
      <c r="M23" s="173">
        <f>365*10000*M3/(SUMIF('bench Comparison'!$A:$A,"RESINV1USD",'bench Comparison'!$G:$G)+SUMIF('bench Comparison'!$A:$A,"RESSWAPORUSD",'bench Comparison'!$G:$G))</f>
        <v>7.0930703954045868E-2</v>
      </c>
      <c r="N23" s="173">
        <f>365*10000*N3/(SUMIF('bench Comparison'!$A:$A,"RESINV1USD",'bench Comparison'!$G:$G)+SUMIF('bench Comparison'!$A:$A,"RESSWAPORUSD",'bench Comparison'!$G:$G))</f>
        <v>0</v>
      </c>
      <c r="O23" s="173">
        <f>365*10000*O3/(SUMIF('bench Comparison'!$A:$A,"RESINV1USD",'bench Comparison'!$G:$G)+SUMIF('bench Comparison'!$A:$A,"RESSWAPORUSD",'bench Comparison'!$G:$G))</f>
        <v>0</v>
      </c>
      <c r="P23" s="173">
        <f>365*10000*P3/(SUMIF('bench Comparison'!$A:$A,"RESINV1USD",'bench Comparison'!$G:$G)+SUMIF('bench Comparison'!$A:$A,"RESSWAPORUSD",'bench Comparison'!$G:$G))</f>
        <v>0</v>
      </c>
      <c r="Q23" s="173">
        <f>365*10000*Q3/(SUMIF('bench Comparison'!$A:$A,"RESINV1USD",'bench Comparison'!$G:$G)+SUMIF('bench Comparison'!$A:$A,"RESSWAPORUSD",'bench Comparison'!$G:$G))</f>
        <v>0</v>
      </c>
      <c r="R23" s="173">
        <f>365*10000*R3/(SUMIF('bench Comparison'!$A:$A,"RESINV1USD",'bench Comparison'!$G:$G)+SUMIF('bench Comparison'!$A:$A,"RESSWAPORUSD",'bench Comparison'!$G:$G))</f>
        <v>0</v>
      </c>
      <c r="S23" s="173">
        <f>365*10000*S3/(SUMIF('bench Comparison'!$A:$A,"RESINV1USD",'bench Comparison'!$G:$G)+SUMIF('bench Comparison'!$A:$A,"RESSWAPORUSD",'bench Comparison'!$G:$G))</f>
        <v>0</v>
      </c>
      <c r="T23" s="174">
        <f>365*10000*T3/(SUMIF('bench Comparison'!$A:$A,"RESINV1USD",'bench Comparison'!$G:$G)+SUMIF('bench Comparison'!$A:$A,"RESSWAPORUSD",'bench Comparison'!$G:$G))</f>
        <v>0</v>
      </c>
    </row>
    <row r="24" spans="2:20" x14ac:dyDescent="0.2">
      <c r="B24" s="167" t="s">
        <v>140</v>
      </c>
      <c r="C24" s="173">
        <f>365*10000*C4/(SUMIF('bench Comparison'!$A:$A,"RESINV1USD",'bench Comparison'!$G:$G)+SUMIF('bench Comparison'!$A:$A,"RESSWAPORUSD",'bench Comparison'!$G:$G))</f>
        <v>0</v>
      </c>
      <c r="D24" s="173">
        <f>365*10000*D4/(SUMIF('bench Comparison'!$A:$A,"RESINV1USD",'bench Comparison'!$G:$G)+SUMIF('bench Comparison'!$A:$A,"RESSWAPORUSD",'bench Comparison'!$G:$G))</f>
        <v>0</v>
      </c>
      <c r="E24" s="173">
        <f>365*10000*E4/(SUMIF('bench Comparison'!$A:$A,"RESINV1USD",'bench Comparison'!$G:$G)+SUMIF('bench Comparison'!$A:$A,"RESSWAPORUSD",'bench Comparison'!$G:$G))</f>
        <v>0</v>
      </c>
      <c r="F24" s="173">
        <f>365*10000*F4/(SUMIF('bench Comparison'!$A:$A,"RESINV1USD",'bench Comparison'!$G:$G)+SUMIF('bench Comparison'!$A:$A,"RESSWAPORUSD",'bench Comparison'!$G:$G))</f>
        <v>8.8769560903357095E-2</v>
      </c>
      <c r="G24" s="173">
        <f>365*10000*G4/(SUMIF('bench Comparison'!$A:$A,"RESINV1USD",'bench Comparison'!$G:$G)+SUMIF('bench Comparison'!$A:$A,"RESSWAPORUSD",'bench Comparison'!$G:$G))</f>
        <v>0</v>
      </c>
      <c r="H24" s="173">
        <f>365*10000*H4/(SUMIF('bench Comparison'!$A:$A,"RESINV1USD",'bench Comparison'!$G:$G)+SUMIF('bench Comparison'!$A:$A,"RESSWAPORUSD",'bench Comparison'!$G:$G))</f>
        <v>0</v>
      </c>
      <c r="I24" s="173">
        <f>365*10000*I4/(SUMIF('bench Comparison'!$A:$A,"RESINV1USD",'bench Comparison'!$G:$G)+SUMIF('bench Comparison'!$A:$A,"RESSWAPORUSD",'bench Comparison'!$G:$G))</f>
        <v>0</v>
      </c>
      <c r="J24" s="174">
        <f>365*10000*J4/(SUMIF('bench Comparison'!$A:$A,"RESINV1USD",'bench Comparison'!$G:$G)+SUMIF('bench Comparison'!$A:$A,"RESSWAPORUSD",'bench Comparison'!$G:$G))</f>
        <v>0</v>
      </c>
      <c r="K24" s="175"/>
      <c r="L24" s="176" t="s">
        <v>140</v>
      </c>
      <c r="M24" s="173">
        <f>365*10000*M4/(SUMIF('bench Comparison'!$A:$A,"RESINV1USD",'bench Comparison'!$G:$G)+SUMIF('bench Comparison'!$A:$A,"RESSWAPORUSD",'bench Comparison'!$G:$G))</f>
        <v>0</v>
      </c>
      <c r="N24" s="173">
        <f>365*10000*N4/(SUMIF('bench Comparison'!$A:$A,"RESINV1USD",'bench Comparison'!$G:$G)+SUMIF('bench Comparison'!$A:$A,"RESSWAPORUSD",'bench Comparison'!$G:$G))</f>
        <v>0</v>
      </c>
      <c r="O24" s="173">
        <f>365*10000*O4/(SUMIF('bench Comparison'!$A:$A,"RESINV1USD",'bench Comparison'!$G:$G)+SUMIF('bench Comparison'!$A:$A,"RESSWAPORUSD",'bench Comparison'!$G:$G))</f>
        <v>0</v>
      </c>
      <c r="P24" s="173">
        <f>365*10000*P4/(SUMIF('bench Comparison'!$A:$A,"RESINV1USD",'bench Comparison'!$G:$G)+SUMIF('bench Comparison'!$A:$A,"RESSWAPORUSD",'bench Comparison'!$G:$G))</f>
        <v>0</v>
      </c>
      <c r="Q24" s="173">
        <f>365*10000*Q4/(SUMIF('bench Comparison'!$A:$A,"RESINV1USD",'bench Comparison'!$G:$G)+SUMIF('bench Comparison'!$A:$A,"RESSWAPORUSD",'bench Comparison'!$G:$G))</f>
        <v>0</v>
      </c>
      <c r="R24" s="173">
        <f>365*10000*R4/(SUMIF('bench Comparison'!$A:$A,"RESINV1USD",'bench Comparison'!$G:$G)+SUMIF('bench Comparison'!$A:$A,"RESSWAPORUSD",'bench Comparison'!$G:$G))</f>
        <v>0</v>
      </c>
      <c r="S24" s="173">
        <f>365*10000*S4/(SUMIF('bench Comparison'!$A:$A,"RESINV1USD",'bench Comparison'!$G:$G)+SUMIF('bench Comparison'!$A:$A,"RESSWAPORUSD",'bench Comparison'!$G:$G))</f>
        <v>0</v>
      </c>
      <c r="T24" s="174">
        <f>365*10000*T4/(SUMIF('bench Comparison'!$A:$A,"RESINV1USD",'bench Comparison'!$G:$G)+SUMIF('bench Comparison'!$A:$A,"RESSWAPORUSD",'bench Comparison'!$G:$G))</f>
        <v>0</v>
      </c>
    </row>
    <row r="25" spans="2:20" x14ac:dyDescent="0.2">
      <c r="B25" s="167" t="s">
        <v>603</v>
      </c>
      <c r="C25" s="173">
        <f>365*10000*C5/(SUMIF('bench Comparison'!$A:$A,"RESINV1USD",'bench Comparison'!$G:$G)+SUMIF('bench Comparison'!$A:$A,"RESSWAPORUSD",'bench Comparison'!$G:$G))</f>
        <v>0</v>
      </c>
      <c r="D25" s="173">
        <f>365*10000*D5/(SUMIF('bench Comparison'!$A:$A,"RESINV1USD",'bench Comparison'!$G:$G)+SUMIF('bench Comparison'!$A:$A,"RESSWAPORUSD",'bench Comparison'!$G:$G))</f>
        <v>0</v>
      </c>
      <c r="E25" s="173">
        <f>365*10000*E5/(SUMIF('bench Comparison'!$A:$A,"RESINV1USD",'bench Comparison'!$G:$G)+SUMIF('bench Comparison'!$A:$A,"RESSWAPORUSD",'bench Comparison'!$G:$G))</f>
        <v>0</v>
      </c>
      <c r="F25" s="173">
        <f>365*10000*F5/(SUMIF('bench Comparison'!$A:$A,"RESINV1USD",'bench Comparison'!$G:$G)+SUMIF('bench Comparison'!$A:$A,"RESSWAPORUSD",'bench Comparison'!$G:$G))</f>
        <v>0</v>
      </c>
      <c r="G25" s="173">
        <f>365*10000*G5/(SUMIF('bench Comparison'!$A:$A,"RESINV1USD",'bench Comparison'!$G:$G)+SUMIF('bench Comparison'!$A:$A,"RESSWAPORUSD",'bench Comparison'!$G:$G))</f>
        <v>0</v>
      </c>
      <c r="H25" s="173">
        <f>365*10000*H5/(SUMIF('bench Comparison'!$A:$A,"RESINV1USD",'bench Comparison'!$G:$G)+SUMIF('bench Comparison'!$A:$A,"RESSWAPORUSD",'bench Comparison'!$G:$G))</f>
        <v>0</v>
      </c>
      <c r="I25" s="173">
        <f>365*10000*I5/(SUMIF('bench Comparison'!$A:$A,"RESINV1USD",'bench Comparison'!$G:$G)+SUMIF('bench Comparison'!$A:$A,"RESSWAPORUSD",'bench Comparison'!$G:$G))</f>
        <v>0</v>
      </c>
      <c r="J25" s="174">
        <f>365*10000*J5/(SUMIF('bench Comparison'!$A:$A,"RESINV1USD",'bench Comparison'!$G:$G)+SUMIF('bench Comparison'!$A:$A,"RESSWAPORUSD",'bench Comparison'!$G:$G))</f>
        <v>0</v>
      </c>
      <c r="K25" s="175"/>
      <c r="L25" s="176" t="s">
        <v>603</v>
      </c>
      <c r="M25" s="173">
        <f>365*10000*M5/(SUMIF('bench Comparison'!$A:$A,"RESINV1USD",'bench Comparison'!$G:$G)+SUMIF('bench Comparison'!$A:$A,"RESSWAPORUSD",'bench Comparison'!$G:$G))</f>
        <v>0</v>
      </c>
      <c r="N25" s="173">
        <f>365*10000*N5/(SUMIF('bench Comparison'!$A:$A,"RESINV1USD",'bench Comparison'!$G:$G)+SUMIF('bench Comparison'!$A:$A,"RESSWAPORUSD",'bench Comparison'!$G:$G))</f>
        <v>0</v>
      </c>
      <c r="O25" s="173">
        <f>365*10000*O5/(SUMIF('bench Comparison'!$A:$A,"RESINV1USD",'bench Comparison'!$G:$G)+SUMIF('bench Comparison'!$A:$A,"RESSWAPORUSD",'bench Comparison'!$G:$G))</f>
        <v>0</v>
      </c>
      <c r="P25" s="173">
        <f>365*10000*P5/(SUMIF('bench Comparison'!$A:$A,"RESINV1USD",'bench Comparison'!$G:$G)+SUMIF('bench Comparison'!$A:$A,"RESSWAPORUSD",'bench Comparison'!$G:$G))</f>
        <v>0</v>
      </c>
      <c r="Q25" s="173">
        <f>365*10000*Q5/(SUMIF('bench Comparison'!$A:$A,"RESINV1USD",'bench Comparison'!$G:$G)+SUMIF('bench Comparison'!$A:$A,"RESSWAPORUSD",'bench Comparison'!$G:$G))</f>
        <v>0</v>
      </c>
      <c r="R25" s="173">
        <f>365*10000*R5/(SUMIF('bench Comparison'!$A:$A,"RESINV1USD",'bench Comparison'!$G:$G)+SUMIF('bench Comparison'!$A:$A,"RESSWAPORUSD",'bench Comparison'!$G:$G))</f>
        <v>0</v>
      </c>
      <c r="S25" s="173">
        <f>365*10000*S5/(SUMIF('bench Comparison'!$A:$A,"RESINV1USD",'bench Comparison'!$G:$G)+SUMIF('bench Comparison'!$A:$A,"RESSWAPORUSD",'bench Comparison'!$G:$G))</f>
        <v>0</v>
      </c>
      <c r="T25" s="174">
        <f>365*10000*T5/(SUMIF('bench Comparison'!$A:$A,"RESINV1USD",'bench Comparison'!$G:$G)+SUMIF('bench Comparison'!$A:$A,"RESSWAPORUSD",'bench Comparison'!$G:$G))</f>
        <v>0</v>
      </c>
    </row>
    <row r="26" spans="2:20" x14ac:dyDescent="0.2">
      <c r="B26" s="167" t="s">
        <v>79</v>
      </c>
      <c r="C26" s="173">
        <f>365*10000*C6/(SUMIF('bench Comparison'!$A:$A,"RESINV1USD",'bench Comparison'!$G:$G)+SUMIF('bench Comparison'!$A:$A,"RESSWAPORUSD",'bench Comparison'!$G:$G))</f>
        <v>0</v>
      </c>
      <c r="D26" s="173">
        <f>365*10000*D6/(SUMIF('bench Comparison'!$A:$A,"RESINV1USD",'bench Comparison'!$G:$G)+SUMIF('bench Comparison'!$A:$A,"RESSWAPORUSD",'bench Comparison'!$G:$G))</f>
        <v>0</v>
      </c>
      <c r="E26" s="173">
        <f>365*10000*E6/(SUMIF('bench Comparison'!$A:$A,"RESINV1USD",'bench Comparison'!$G:$G)+SUMIF('bench Comparison'!$A:$A,"RESSWAPORUSD",'bench Comparison'!$G:$G))</f>
        <v>0</v>
      </c>
      <c r="F26" s="173">
        <f>365*10000*F6/(SUMIF('bench Comparison'!$A:$A,"RESINV1USD",'bench Comparison'!$G:$G)+SUMIF('bench Comparison'!$A:$A,"RESSWAPORUSD",'bench Comparison'!$G:$G))</f>
        <v>0</v>
      </c>
      <c r="G26" s="173">
        <f>365*10000*G6/(SUMIF('bench Comparison'!$A:$A,"RESINV1USD",'bench Comparison'!$G:$G)+SUMIF('bench Comparison'!$A:$A,"RESSWAPORUSD",'bench Comparison'!$G:$G))</f>
        <v>0</v>
      </c>
      <c r="H26" s="173">
        <f>365*10000*H6/(SUMIF('bench Comparison'!$A:$A,"RESINV1USD",'bench Comparison'!$G:$G)+SUMIF('bench Comparison'!$A:$A,"RESSWAPORUSD",'bench Comparison'!$G:$G))</f>
        <v>0</v>
      </c>
      <c r="I26" s="173">
        <f>365*10000*I6/(SUMIF('bench Comparison'!$A:$A,"RESINV1USD",'bench Comparison'!$G:$G)+SUMIF('bench Comparison'!$A:$A,"RESSWAPORUSD",'bench Comparison'!$G:$G))</f>
        <v>0</v>
      </c>
      <c r="J26" s="174">
        <f>365*10000*J6/(SUMIF('bench Comparison'!$A:$A,"RESINV1USD",'bench Comparison'!$G:$G)+SUMIF('bench Comparison'!$A:$A,"RESSWAPORUSD",'bench Comparison'!$G:$G))</f>
        <v>-0.43152977221970568</v>
      </c>
      <c r="K26" s="175"/>
      <c r="L26" s="176" t="s">
        <v>79</v>
      </c>
      <c r="M26" s="173">
        <f>365*10000*M6/(SUMIF('bench Comparison'!$A:$A,"RESINV1USD",'bench Comparison'!$G:$G)+SUMIF('bench Comparison'!$A:$A,"RESSWAPORUSD",'bench Comparison'!$G:$G))</f>
        <v>0.12180099297175676</v>
      </c>
      <c r="N26" s="173">
        <f>365*10000*N6/(SUMIF('bench Comparison'!$A:$A,"RESINV1USD",'bench Comparison'!$G:$G)+SUMIF('bench Comparison'!$A:$A,"RESSWAPORUSD",'bench Comparison'!$G:$G))</f>
        <v>0</v>
      </c>
      <c r="O26" s="173">
        <f>365*10000*O6/(SUMIF('bench Comparison'!$A:$A,"RESINV1USD",'bench Comparison'!$G:$G)+SUMIF('bench Comparison'!$A:$A,"RESSWAPORUSD",'bench Comparison'!$G:$G))</f>
        <v>0</v>
      </c>
      <c r="P26" s="173">
        <f>365*10000*P6/(SUMIF('bench Comparison'!$A:$A,"RESINV1USD",'bench Comparison'!$G:$G)+SUMIF('bench Comparison'!$A:$A,"RESSWAPORUSD",'bench Comparison'!$G:$G))</f>
        <v>0</v>
      </c>
      <c r="Q26" s="173">
        <f>365*10000*Q6/(SUMIF('bench Comparison'!$A:$A,"RESINV1USD",'bench Comparison'!$G:$G)+SUMIF('bench Comparison'!$A:$A,"RESSWAPORUSD",'bench Comparison'!$G:$G))</f>
        <v>0</v>
      </c>
      <c r="R26" s="173">
        <f>365*10000*R6/(SUMIF('bench Comparison'!$A:$A,"RESINV1USD",'bench Comparison'!$G:$G)+SUMIF('bench Comparison'!$A:$A,"RESSWAPORUSD",'bench Comparison'!$G:$G))</f>
        <v>0</v>
      </c>
      <c r="S26" s="173">
        <f>365*10000*S6/(SUMIF('bench Comparison'!$A:$A,"RESINV1USD",'bench Comparison'!$G:$G)+SUMIF('bench Comparison'!$A:$A,"RESSWAPORUSD",'bench Comparison'!$G:$G))</f>
        <v>0</v>
      </c>
      <c r="T26" s="174">
        <f>365*10000*T6/(SUMIF('bench Comparison'!$A:$A,"RESINV1USD",'bench Comparison'!$G:$G)+SUMIF('bench Comparison'!$A:$A,"RESSWAPORUSD",'bench Comparison'!$G:$G))</f>
        <v>0</v>
      </c>
    </row>
    <row r="27" spans="2:20" x14ac:dyDescent="0.2">
      <c r="B27" s="167" t="s">
        <v>19</v>
      </c>
      <c r="C27" s="173">
        <f>365*10000*C7/(SUMIF('bench Comparison'!$A:$A,"RESINV1USD",'bench Comparison'!$G:$G)+SUMIF('bench Comparison'!$A:$A,"RESSWAPORUSD",'bench Comparison'!$G:$G))</f>
        <v>0</v>
      </c>
      <c r="D27" s="173">
        <f>365*10000*D7/(SUMIF('bench Comparison'!$A:$A,"RESINV1USD",'bench Comparison'!$G:$G)+SUMIF('bench Comparison'!$A:$A,"RESSWAPORUSD",'bench Comparison'!$G:$G))</f>
        <v>0</v>
      </c>
      <c r="E27" s="173">
        <f>365*10000*E7/(SUMIF('bench Comparison'!$A:$A,"RESINV1USD",'bench Comparison'!$G:$G)+SUMIF('bench Comparison'!$A:$A,"RESSWAPORUSD",'bench Comparison'!$G:$G))</f>
        <v>0.11625392131507775</v>
      </c>
      <c r="F27" s="173">
        <f>365*10000*F7/(SUMIF('bench Comparison'!$A:$A,"RESINV1USD",'bench Comparison'!$G:$G)+SUMIF('bench Comparison'!$A:$A,"RESSWAPORUSD",'bench Comparison'!$G:$G))</f>
        <v>0</v>
      </c>
      <c r="G27" s="173">
        <f>365*10000*G7/(SUMIF('bench Comparison'!$A:$A,"RESINV1USD",'bench Comparison'!$G:$G)+SUMIF('bench Comparison'!$A:$A,"RESSWAPORUSD",'bench Comparison'!$G:$G))</f>
        <v>0</v>
      </c>
      <c r="H27" s="173">
        <f>365*10000*H7/(SUMIF('bench Comparison'!$A:$A,"RESINV1USD",'bench Comparison'!$G:$G)+SUMIF('bench Comparison'!$A:$A,"RESSWAPORUSD",'bench Comparison'!$G:$G))</f>
        <v>0</v>
      </c>
      <c r="I27" s="173">
        <f>365*10000*I7/(SUMIF('bench Comparison'!$A:$A,"RESINV1USD",'bench Comparison'!$G:$G)+SUMIF('bench Comparison'!$A:$A,"RESSWAPORUSD",'bench Comparison'!$G:$G))</f>
        <v>0.31979246274689049</v>
      </c>
      <c r="J27" s="174">
        <f>365*10000*J7/(SUMIF('bench Comparison'!$A:$A,"RESINV1USD",'bench Comparison'!$G:$G)+SUMIF('bench Comparison'!$A:$A,"RESSWAPORUSD",'bench Comparison'!$G:$G))</f>
        <v>-1.5711251553103398</v>
      </c>
      <c r="K27" s="175"/>
      <c r="L27" s="176" t="s">
        <v>19</v>
      </c>
      <c r="M27" s="173">
        <f>365*10000*M7/(SUMIF('bench Comparison'!$A:$A,"RESINV1USD",'bench Comparison'!$G:$G)+SUMIF('bench Comparison'!$A:$A,"RESSWAPORUSD",'bench Comparison'!$G:$G))</f>
        <v>8.017227855464476E-2</v>
      </c>
      <c r="N27" s="173">
        <f>365*10000*N7/(SUMIF('bench Comparison'!$A:$A,"RESINV1USD",'bench Comparison'!$G:$G)+SUMIF('bench Comparison'!$A:$A,"RESSWAPORUSD",'bench Comparison'!$G:$G))</f>
        <v>0</v>
      </c>
      <c r="O27" s="173">
        <f>365*10000*O7/(SUMIF('bench Comparison'!$A:$A,"RESINV1USD",'bench Comparison'!$G:$G)+SUMIF('bench Comparison'!$A:$A,"RESSWAPORUSD",'bench Comparison'!$G:$G))</f>
        <v>0</v>
      </c>
      <c r="P27" s="173">
        <f>365*10000*P7/(SUMIF('bench Comparison'!$A:$A,"RESINV1USD",'bench Comparison'!$G:$G)+SUMIF('bench Comparison'!$A:$A,"RESSWAPORUSD",'bench Comparison'!$G:$G))</f>
        <v>0</v>
      </c>
      <c r="Q27" s="173">
        <f>365*10000*Q7/(SUMIF('bench Comparison'!$A:$A,"RESINV1USD",'bench Comparison'!$G:$G)+SUMIF('bench Comparison'!$A:$A,"RESSWAPORUSD",'bench Comparison'!$G:$G))</f>
        <v>0</v>
      </c>
      <c r="R27" s="173">
        <f>365*10000*R7/(SUMIF('bench Comparison'!$A:$A,"RESINV1USD",'bench Comparison'!$G:$G)+SUMIF('bench Comparison'!$A:$A,"RESSWAPORUSD",'bench Comparison'!$G:$G))</f>
        <v>0</v>
      </c>
      <c r="S27" s="173">
        <f>365*10000*S7/(SUMIF('bench Comparison'!$A:$A,"RESINV1USD",'bench Comparison'!$G:$G)+SUMIF('bench Comparison'!$A:$A,"RESSWAPORUSD",'bench Comparison'!$G:$G))</f>
        <v>0</v>
      </c>
      <c r="T27" s="174">
        <f>365*10000*T7/(SUMIF('bench Comparison'!$A:$A,"RESINV1USD",'bench Comparison'!$G:$G)+SUMIF('bench Comparison'!$A:$A,"RESSWAPORUSD",'bench Comparison'!$G:$G))</f>
        <v>0</v>
      </c>
    </row>
    <row r="28" spans="2:20" x14ac:dyDescent="0.2">
      <c r="B28" s="167" t="s">
        <v>142</v>
      </c>
      <c r="C28" s="173">
        <f>365*10000*C8/(SUMIF('bench Comparison'!$A:$A,"RESINV1USD",'bench Comparison'!$G:$G)+SUMIF('bench Comparison'!$A:$A,"RESSWAPORUSD",'bench Comparison'!$G:$G))</f>
        <v>0</v>
      </c>
      <c r="D28" s="173">
        <f>365*10000*D8/(SUMIF('bench Comparison'!$A:$A,"RESINV1USD",'bench Comparison'!$G:$G)+SUMIF('bench Comparison'!$A:$A,"RESSWAPORUSD",'bench Comparison'!$G:$G))</f>
        <v>0</v>
      </c>
      <c r="E28" s="173">
        <f>365*10000*E8/(SUMIF('bench Comparison'!$A:$A,"RESINV1USD",'bench Comparison'!$G:$G)+SUMIF('bench Comparison'!$A:$A,"RESSWAPORUSD",'bench Comparison'!$G:$G))</f>
        <v>0.63936567249172949</v>
      </c>
      <c r="F28" s="173">
        <f>365*10000*F8/(SUMIF('bench Comparison'!$A:$A,"RESINV1USD",'bench Comparison'!$G:$G)+SUMIF('bench Comparison'!$A:$A,"RESSWAPORUSD",'bench Comparison'!$G:$G))</f>
        <v>0.17472869696223481</v>
      </c>
      <c r="G28" s="173">
        <f>365*10000*G8/(SUMIF('bench Comparison'!$A:$A,"RESINV1USD",'bench Comparison'!$G:$G)+SUMIF('bench Comparison'!$A:$A,"RESSWAPORUSD",'bench Comparison'!$G:$G))</f>
        <v>0</v>
      </c>
      <c r="H28" s="173">
        <f>365*10000*H8/(SUMIF('bench Comparison'!$A:$A,"RESINV1USD",'bench Comparison'!$G:$G)+SUMIF('bench Comparison'!$A:$A,"RESSWAPORUSD",'bench Comparison'!$G:$G))</f>
        <v>0</v>
      </c>
      <c r="I28" s="173">
        <f>365*10000*I8/(SUMIF('bench Comparison'!$A:$A,"RESINV1USD",'bench Comparison'!$G:$G)+SUMIF('bench Comparison'!$A:$A,"RESSWAPORUSD",'bench Comparison'!$G:$G))</f>
        <v>0.44773256907131759</v>
      </c>
      <c r="J28" s="174">
        <f>365*10000*J8/(SUMIF('bench Comparison'!$A:$A,"RESINV1USD",'bench Comparison'!$G:$G)+SUMIF('bench Comparison'!$A:$A,"RESSWAPORUSD",'bench Comparison'!$G:$G))</f>
        <v>-0.64197079679792413</v>
      </c>
      <c r="K28" s="175"/>
      <c r="L28" s="176" t="s">
        <v>142</v>
      </c>
      <c r="M28" s="173">
        <f>365*10000*M8/(SUMIF('bench Comparison'!$A:$A,"RESINV1USD",'bench Comparison'!$G:$G)+SUMIF('bench Comparison'!$A:$A,"RESSWAPORUSD",'bench Comparison'!$G:$G))</f>
        <v>0.40598172464652849</v>
      </c>
      <c r="N28" s="173">
        <f>365*10000*N8/(SUMIF('bench Comparison'!$A:$A,"RESINV1USD",'bench Comparison'!$G:$G)+SUMIF('bench Comparison'!$A:$A,"RESSWAPORUSD",'bench Comparison'!$G:$G))</f>
        <v>0</v>
      </c>
      <c r="O28" s="173">
        <f>365*10000*O8/(SUMIF('bench Comparison'!$A:$A,"RESINV1USD",'bench Comparison'!$G:$G)+SUMIF('bench Comparison'!$A:$A,"RESSWAPORUSD",'bench Comparison'!$G:$G))</f>
        <v>0</v>
      </c>
      <c r="P28" s="173">
        <f>365*10000*P8/(SUMIF('bench Comparison'!$A:$A,"RESINV1USD",'bench Comparison'!$G:$G)+SUMIF('bench Comparison'!$A:$A,"RESSWAPORUSD",'bench Comparison'!$G:$G))</f>
        <v>0</v>
      </c>
      <c r="Q28" s="173">
        <f>365*10000*Q8/(SUMIF('bench Comparison'!$A:$A,"RESINV1USD",'bench Comparison'!$G:$G)+SUMIF('bench Comparison'!$A:$A,"RESSWAPORUSD",'bench Comparison'!$G:$G))</f>
        <v>0</v>
      </c>
      <c r="R28" s="173">
        <f>365*10000*R8/(SUMIF('bench Comparison'!$A:$A,"RESINV1USD",'bench Comparison'!$G:$G)+SUMIF('bench Comparison'!$A:$A,"RESSWAPORUSD",'bench Comparison'!$G:$G))</f>
        <v>0</v>
      </c>
      <c r="S28" s="173">
        <f>365*10000*S8/(SUMIF('bench Comparison'!$A:$A,"RESINV1USD",'bench Comparison'!$G:$G)+SUMIF('bench Comparison'!$A:$A,"RESSWAPORUSD",'bench Comparison'!$G:$G))</f>
        <v>0</v>
      </c>
      <c r="T28" s="174">
        <f>365*10000*T8/(SUMIF('bench Comparison'!$A:$A,"RESINV1USD",'bench Comparison'!$G:$G)+SUMIF('bench Comparison'!$A:$A,"RESSWAPORUSD",'bench Comparison'!$G:$G))</f>
        <v>0</v>
      </c>
    </row>
    <row r="29" spans="2:20" x14ac:dyDescent="0.2">
      <c r="B29" s="167" t="s">
        <v>80</v>
      </c>
      <c r="C29" s="173">
        <f>365*10000*C9/(SUMIF('bench Comparison'!$A:$A,"RESINV1USD",'bench Comparison'!$G:$G)+SUMIF('bench Comparison'!$A:$A,"RESSWAPORUSD",'bench Comparison'!$G:$G))</f>
        <v>0</v>
      </c>
      <c r="D29" s="173">
        <f>365*10000*D9/(SUMIF('bench Comparison'!$A:$A,"RESINV1USD",'bench Comparison'!$G:$G)+SUMIF('bench Comparison'!$A:$A,"RESSWAPORUSD",'bench Comparison'!$G:$G))</f>
        <v>0</v>
      </c>
      <c r="E29" s="173">
        <f>365*10000*E9/(SUMIF('bench Comparison'!$A:$A,"RESINV1USD",'bench Comparison'!$G:$G)+SUMIF('bench Comparison'!$A:$A,"RESSWAPORUSD",'bench Comparison'!$G:$G))</f>
        <v>0.59862248508321669</v>
      </c>
      <c r="F29" s="173">
        <f>365*10000*F9/(SUMIF('bench Comparison'!$A:$A,"RESINV1USD",'bench Comparison'!$G:$G)+SUMIF('bench Comparison'!$A:$A,"RESSWAPORUSD",'bench Comparison'!$G:$G))</f>
        <v>0</v>
      </c>
      <c r="G29" s="173">
        <f>365*10000*G9/(SUMIF('bench Comparison'!$A:$A,"RESINV1USD",'bench Comparison'!$G:$G)+SUMIF('bench Comparison'!$A:$A,"RESSWAPORUSD",'bench Comparison'!$G:$G))</f>
        <v>0</v>
      </c>
      <c r="H29" s="173">
        <f>365*10000*H9/(SUMIF('bench Comparison'!$A:$A,"RESINV1USD",'bench Comparison'!$G:$G)+SUMIF('bench Comparison'!$A:$A,"RESSWAPORUSD",'bench Comparison'!$G:$G))</f>
        <v>0</v>
      </c>
      <c r="I29" s="173">
        <f>365*10000*I9/(SUMIF('bench Comparison'!$A:$A,"RESINV1USD",'bench Comparison'!$G:$G)+SUMIF('bench Comparison'!$A:$A,"RESSWAPORUSD",'bench Comparison'!$G:$G))</f>
        <v>2.7205769574477472</v>
      </c>
      <c r="J29" s="174">
        <f>365*10000*J9/(SUMIF('bench Comparison'!$A:$A,"RESINV1USD",'bench Comparison'!$G:$G)+SUMIF('bench Comparison'!$A:$A,"RESSWAPORUSD",'bench Comparison'!$G:$G))</f>
        <v>0</v>
      </c>
      <c r="K29" s="175"/>
      <c r="L29" s="176" t="s">
        <v>80</v>
      </c>
      <c r="M29" s="173">
        <f>365*10000*M9/(SUMIF('bench Comparison'!$A:$A,"RESINV1USD",'bench Comparison'!$G:$G)+SUMIF('bench Comparison'!$A:$A,"RESSWAPORUSD",'bench Comparison'!$G:$G))</f>
        <v>0.16650445048984383</v>
      </c>
      <c r="N29" s="173">
        <f>365*10000*N9/(SUMIF('bench Comparison'!$A:$A,"RESINV1USD",'bench Comparison'!$G:$G)+SUMIF('bench Comparison'!$A:$A,"RESSWAPORUSD",'bench Comparison'!$G:$G))</f>
        <v>0</v>
      </c>
      <c r="O29" s="173">
        <f>365*10000*O9/(SUMIF('bench Comparison'!$A:$A,"RESINV1USD",'bench Comparison'!$G:$G)+SUMIF('bench Comparison'!$A:$A,"RESSWAPORUSD",'bench Comparison'!$G:$G))</f>
        <v>0</v>
      </c>
      <c r="P29" s="173">
        <f>365*10000*P9/(SUMIF('bench Comparison'!$A:$A,"RESINV1USD",'bench Comparison'!$G:$G)+SUMIF('bench Comparison'!$A:$A,"RESSWAPORUSD",'bench Comparison'!$G:$G))</f>
        <v>0</v>
      </c>
      <c r="Q29" s="173">
        <f>365*10000*Q9/(SUMIF('bench Comparison'!$A:$A,"RESINV1USD",'bench Comparison'!$G:$G)+SUMIF('bench Comparison'!$A:$A,"RESSWAPORUSD",'bench Comparison'!$G:$G))</f>
        <v>0</v>
      </c>
      <c r="R29" s="173">
        <f>365*10000*R9/(SUMIF('bench Comparison'!$A:$A,"RESINV1USD",'bench Comparison'!$G:$G)+SUMIF('bench Comparison'!$A:$A,"RESSWAPORUSD",'bench Comparison'!$G:$G))</f>
        <v>0</v>
      </c>
      <c r="S29" s="173">
        <f>365*10000*S9/(SUMIF('bench Comparison'!$A:$A,"RESINV1USD",'bench Comparison'!$G:$G)+SUMIF('bench Comparison'!$A:$A,"RESSWAPORUSD",'bench Comparison'!$G:$G))</f>
        <v>0</v>
      </c>
      <c r="T29" s="174">
        <f>365*10000*T9/(SUMIF('bench Comparison'!$A:$A,"RESINV1USD",'bench Comparison'!$G:$G)+SUMIF('bench Comparison'!$A:$A,"RESSWAPORUSD",'bench Comparison'!$G:$G))</f>
        <v>0</v>
      </c>
    </row>
    <row r="30" spans="2:20" x14ac:dyDescent="0.2">
      <c r="B30" s="167" t="s">
        <v>20</v>
      </c>
      <c r="C30" s="173">
        <f>365*10000*C10/(SUMIF('bench Comparison'!$A:$A,"RESINV1USD",'bench Comparison'!$G:$G)+SUMIF('bench Comparison'!$A:$A,"RESSWAPORUSD",'bench Comparison'!$G:$G))</f>
        <v>0</v>
      </c>
      <c r="D30" s="173">
        <f>365*10000*D10/(SUMIF('bench Comparison'!$A:$A,"RESINV1USD",'bench Comparison'!$G:$G)+SUMIF('bench Comparison'!$A:$A,"RESSWAPORUSD",'bench Comparison'!$G:$G))</f>
        <v>0</v>
      </c>
      <c r="E30" s="173">
        <f>365*10000*E10/(SUMIF('bench Comparison'!$A:$A,"RESINV1USD",'bench Comparison'!$G:$G)+SUMIF('bench Comparison'!$A:$A,"RESSWAPORUSD",'bench Comparison'!$G:$G))</f>
        <v>0.70356295149243286</v>
      </c>
      <c r="F30" s="173">
        <f>365*10000*F10/(SUMIF('bench Comparison'!$A:$A,"RESINV1USD",'bench Comparison'!$G:$G)+SUMIF('bench Comparison'!$A:$A,"RESSWAPORUSD",'bench Comparison'!$G:$G))</f>
        <v>16.286999970445308</v>
      </c>
      <c r="G30" s="173">
        <f>365*10000*G10/(SUMIF('bench Comparison'!$A:$A,"RESINV1USD",'bench Comparison'!$G:$G)+SUMIF('bench Comparison'!$A:$A,"RESSWAPORUSD",'bench Comparison'!$G:$G))</f>
        <v>0</v>
      </c>
      <c r="H30" s="173">
        <f>365*10000*H10/(SUMIF('bench Comparison'!$A:$A,"RESINV1USD",'bench Comparison'!$G:$G)+SUMIF('bench Comparison'!$A:$A,"RESSWAPORUSD",'bench Comparison'!$G:$G))</f>
        <v>0</v>
      </c>
      <c r="I30" s="173">
        <f>365*10000*I10/(SUMIF('bench Comparison'!$A:$A,"RESINV1USD",'bench Comparison'!$G:$G)+SUMIF('bench Comparison'!$A:$A,"RESSWAPORUSD",'bench Comparison'!$G:$G))</f>
        <v>3.9829041914595287</v>
      </c>
      <c r="J30" s="174">
        <f>365*10000*J10/(SUMIF('bench Comparison'!$A:$A,"RESINV1USD",'bench Comparison'!$G:$G)+SUMIF('bench Comparison'!$A:$A,"RESSWAPORUSD",'bench Comparison'!$G:$G))</f>
        <v>0</v>
      </c>
      <c r="K30" s="175"/>
      <c r="L30" s="176" t="s">
        <v>20</v>
      </c>
      <c r="M30" s="173">
        <f>365*10000*M10/(SUMIF('bench Comparison'!$A:$A,"RESINV1USD",'bench Comparison'!$G:$G)+SUMIF('bench Comparison'!$A:$A,"RESSWAPORUSD",'bench Comparison'!$G:$G))</f>
        <v>10.355493086269627</v>
      </c>
      <c r="N30" s="173">
        <f>365*10000*N10/(SUMIF('bench Comparison'!$A:$A,"RESINV1USD",'bench Comparison'!$G:$G)+SUMIF('bench Comparison'!$A:$A,"RESSWAPORUSD",'bench Comparison'!$G:$G))</f>
        <v>0</v>
      </c>
      <c r="O30" s="173">
        <f>365*10000*O10/(SUMIF('bench Comparison'!$A:$A,"RESINV1USD",'bench Comparison'!$G:$G)+SUMIF('bench Comparison'!$A:$A,"RESSWAPORUSD",'bench Comparison'!$G:$G))</f>
        <v>0</v>
      </c>
      <c r="P30" s="173">
        <f>365*10000*P10/(SUMIF('bench Comparison'!$A:$A,"RESINV1USD",'bench Comparison'!$G:$G)+SUMIF('bench Comparison'!$A:$A,"RESSWAPORUSD",'bench Comparison'!$G:$G))</f>
        <v>0</v>
      </c>
      <c r="Q30" s="173">
        <f>365*10000*Q10/(SUMIF('bench Comparison'!$A:$A,"RESINV1USD",'bench Comparison'!$G:$G)+SUMIF('bench Comparison'!$A:$A,"RESSWAPORUSD",'bench Comparison'!$G:$G))</f>
        <v>0</v>
      </c>
      <c r="R30" s="173">
        <f>365*10000*R10/(SUMIF('bench Comparison'!$A:$A,"RESINV1USD",'bench Comparison'!$G:$G)+SUMIF('bench Comparison'!$A:$A,"RESSWAPORUSD",'bench Comparison'!$G:$G))</f>
        <v>0</v>
      </c>
      <c r="S30" s="173">
        <f>365*10000*S10/(SUMIF('bench Comparison'!$A:$A,"RESINV1USD",'bench Comparison'!$G:$G)+SUMIF('bench Comparison'!$A:$A,"RESSWAPORUSD",'bench Comparison'!$G:$G))</f>
        <v>0</v>
      </c>
      <c r="T30" s="174">
        <f>365*10000*T10/(SUMIF('bench Comparison'!$A:$A,"RESINV1USD",'bench Comparison'!$G:$G)+SUMIF('bench Comparison'!$A:$A,"RESSWAPORUSD",'bench Comparison'!$G:$G))</f>
        <v>0</v>
      </c>
    </row>
    <row r="31" spans="2:20" x14ac:dyDescent="0.2">
      <c r="B31" s="167" t="s">
        <v>21</v>
      </c>
      <c r="C31" s="173">
        <f>365*10000*C11/(SUMIF('bench Comparison'!$A:$A,"RESINV1USD",'bench Comparison'!$G:$G)+SUMIF('bench Comparison'!$A:$A,"RESSWAPORUSD",'bench Comparison'!$G:$G))</f>
        <v>7.6758004438963194</v>
      </c>
      <c r="D31" s="173">
        <f>365*10000*D11/(SUMIF('bench Comparison'!$A:$A,"RESINV1USD",'bench Comparison'!$G:$G)+SUMIF('bench Comparison'!$A:$A,"RESSWAPORUSD",'bench Comparison'!$G:$G))</f>
        <v>0</v>
      </c>
      <c r="E31" s="173">
        <f>365*10000*E11/(SUMIF('bench Comparison'!$A:$A,"RESINV1USD",'bench Comparison'!$G:$G)+SUMIF('bench Comparison'!$A:$A,"RESSWAPORUSD",'bench Comparison'!$G:$G))</f>
        <v>1.7687797434507317</v>
      </c>
      <c r="F31" s="173">
        <f>365*10000*F11/(SUMIF('bench Comparison'!$A:$A,"RESINV1USD",'bench Comparison'!$G:$G)+SUMIF('bench Comparison'!$A:$A,"RESSWAPORUSD",'bench Comparison'!$G:$G))</f>
        <v>1.0414278412357023</v>
      </c>
      <c r="G31" s="173">
        <f>365*10000*G11/(SUMIF('bench Comparison'!$A:$A,"RESINV1USD",'bench Comparison'!$G:$G)+SUMIF('bench Comparison'!$A:$A,"RESSWAPORUSD",'bench Comparison'!$G:$G))</f>
        <v>-6.2313497071258368</v>
      </c>
      <c r="H31" s="173">
        <f>365*10000*H11/(SUMIF('bench Comparison'!$A:$A,"RESINV1USD",'bench Comparison'!$G:$G)+SUMIF('bench Comparison'!$A:$A,"RESSWAPORUSD",'bench Comparison'!$G:$G))</f>
        <v>0</v>
      </c>
      <c r="I31" s="173">
        <f>365*10000*I11/(SUMIF('bench Comparison'!$A:$A,"RESINV1USD",'bench Comparison'!$G:$G)+SUMIF('bench Comparison'!$A:$A,"RESSWAPORUSD",'bench Comparison'!$G:$G))</f>
        <v>0</v>
      </c>
      <c r="J31" s="174">
        <f>365*10000*J11/(SUMIF('bench Comparison'!$A:$A,"RESINV1USD",'bench Comparison'!$G:$G)+SUMIF('bench Comparison'!$A:$A,"RESSWAPORUSD",'bench Comparison'!$G:$G))</f>
        <v>0</v>
      </c>
      <c r="K31" s="175"/>
      <c r="L31" s="176" t="s">
        <v>21</v>
      </c>
      <c r="M31" s="173">
        <f>365*10000*M11/(SUMIF('bench Comparison'!$A:$A,"RESINV1USD",'bench Comparison'!$G:$G)+SUMIF('bench Comparison'!$A:$A,"RESSWAPORUSD",'bench Comparison'!$G:$G))</f>
        <v>35.589477239882982</v>
      </c>
      <c r="N31" s="173">
        <f>365*10000*N11/(SUMIF('bench Comparison'!$A:$A,"RESINV1USD",'bench Comparison'!$G:$G)+SUMIF('bench Comparison'!$A:$A,"RESSWAPORUSD",'bench Comparison'!$G:$G))</f>
        <v>0</v>
      </c>
      <c r="O31" s="173">
        <f>365*10000*O11/(SUMIF('bench Comparison'!$A:$A,"RESINV1USD",'bench Comparison'!$G:$G)+SUMIF('bench Comparison'!$A:$A,"RESSWAPORUSD",'bench Comparison'!$G:$G))</f>
        <v>0</v>
      </c>
      <c r="P31" s="173">
        <f>365*10000*P11/(SUMIF('bench Comparison'!$A:$A,"RESINV1USD",'bench Comparison'!$G:$G)+SUMIF('bench Comparison'!$A:$A,"RESSWAPORUSD",'bench Comparison'!$G:$G))</f>
        <v>0</v>
      </c>
      <c r="Q31" s="173">
        <f>365*10000*Q11/(SUMIF('bench Comparison'!$A:$A,"RESINV1USD",'bench Comparison'!$G:$G)+SUMIF('bench Comparison'!$A:$A,"RESSWAPORUSD",'bench Comparison'!$G:$G))</f>
        <v>0</v>
      </c>
      <c r="R31" s="173">
        <f>365*10000*R11/(SUMIF('bench Comparison'!$A:$A,"RESINV1USD",'bench Comparison'!$G:$G)+SUMIF('bench Comparison'!$A:$A,"RESSWAPORUSD",'bench Comparison'!$G:$G))</f>
        <v>0</v>
      </c>
      <c r="S31" s="173">
        <f>365*10000*S11/(SUMIF('bench Comparison'!$A:$A,"RESINV1USD",'bench Comparison'!$G:$G)+SUMIF('bench Comparison'!$A:$A,"RESSWAPORUSD",'bench Comparison'!$G:$G))</f>
        <v>0</v>
      </c>
      <c r="T31" s="174">
        <f>365*10000*T11/(SUMIF('bench Comparison'!$A:$A,"RESINV1USD",'bench Comparison'!$G:$G)+SUMIF('bench Comparison'!$A:$A,"RESSWAPORUSD",'bench Comparison'!$G:$G))</f>
        <v>0</v>
      </c>
    </row>
    <row r="32" spans="2:20" x14ac:dyDescent="0.2">
      <c r="B32" s="167" t="s">
        <v>177</v>
      </c>
      <c r="C32" s="173">
        <f>365*10000*C12/(SUMIF('bench Comparison'!$A:$A,"RESINV1USD",'bench Comparison'!$G:$G)+SUMIF('bench Comparison'!$A:$A,"RESSWAPORUSD",'bench Comparison'!$G:$G))</f>
        <v>0</v>
      </c>
      <c r="D32" s="173">
        <f>365*10000*D12/(SUMIF('bench Comparison'!$A:$A,"RESINV1USD",'bench Comparison'!$G:$G)+SUMIF('bench Comparison'!$A:$A,"RESSWAPORUSD",'bench Comparison'!$G:$G))</f>
        <v>0</v>
      </c>
      <c r="E32" s="173">
        <f>365*10000*E12/(SUMIF('bench Comparison'!$A:$A,"RESINV1USD",'bench Comparison'!$G:$G)+SUMIF('bench Comparison'!$A:$A,"RESSWAPORUSD",'bench Comparison'!$G:$G))</f>
        <v>4.8131614935829141</v>
      </c>
      <c r="F32" s="173">
        <f>365*10000*F12/(SUMIF('bench Comparison'!$A:$A,"RESINV1USD",'bench Comparison'!$G:$G)+SUMIF('bench Comparison'!$A:$A,"RESSWAPORUSD",'bench Comparison'!$G:$G))</f>
        <v>0</v>
      </c>
      <c r="G32" s="173">
        <f>365*10000*G12/(SUMIF('bench Comparison'!$A:$A,"RESINV1USD",'bench Comparison'!$G:$G)+SUMIF('bench Comparison'!$A:$A,"RESSWAPORUSD",'bench Comparison'!$G:$G))</f>
        <v>-5.7126668665906273</v>
      </c>
      <c r="H32" s="173">
        <f>365*10000*H12/(SUMIF('bench Comparison'!$A:$A,"RESINV1USD",'bench Comparison'!$G:$G)+SUMIF('bench Comparison'!$A:$A,"RESSWAPORUSD",'bench Comparison'!$G:$G))</f>
        <v>0</v>
      </c>
      <c r="I32" s="173">
        <f>365*10000*I12/(SUMIF('bench Comparison'!$A:$A,"RESINV1USD",'bench Comparison'!$G:$G)+SUMIF('bench Comparison'!$A:$A,"RESSWAPORUSD",'bench Comparison'!$G:$G))</f>
        <v>0</v>
      </c>
      <c r="J32" s="174">
        <f>365*10000*J12/(SUMIF('bench Comparison'!$A:$A,"RESINV1USD",'bench Comparison'!$G:$G)+SUMIF('bench Comparison'!$A:$A,"RESSWAPORUSD",'bench Comparison'!$G:$G))</f>
        <v>0</v>
      </c>
      <c r="K32" s="175"/>
      <c r="L32" s="176" t="s">
        <v>177</v>
      </c>
      <c r="M32" s="173">
        <f>365*10000*M12/(SUMIF('bench Comparison'!$A:$A,"RESINV1USD",'bench Comparison'!$G:$G)+SUMIF('bench Comparison'!$A:$A,"RESSWAPORUSD",'bench Comparison'!$G:$G))</f>
        <v>15.220425858506353</v>
      </c>
      <c r="N32" s="173">
        <f>365*10000*N12/(SUMIF('bench Comparison'!$A:$A,"RESINV1USD",'bench Comparison'!$G:$G)+SUMIF('bench Comparison'!$A:$A,"RESSWAPORUSD",'bench Comparison'!$G:$G))</f>
        <v>0</v>
      </c>
      <c r="O32" s="173">
        <f>365*10000*O12/(SUMIF('bench Comparison'!$A:$A,"RESINV1USD",'bench Comparison'!$G:$G)+SUMIF('bench Comparison'!$A:$A,"RESSWAPORUSD",'bench Comparison'!$G:$G))</f>
        <v>0</v>
      </c>
      <c r="P32" s="173">
        <f>365*10000*P12/(SUMIF('bench Comparison'!$A:$A,"RESINV1USD",'bench Comparison'!$G:$G)+SUMIF('bench Comparison'!$A:$A,"RESSWAPORUSD",'bench Comparison'!$G:$G))</f>
        <v>0</v>
      </c>
      <c r="Q32" s="173">
        <f>365*10000*Q12/(SUMIF('bench Comparison'!$A:$A,"RESINV1USD",'bench Comparison'!$G:$G)+SUMIF('bench Comparison'!$A:$A,"RESSWAPORUSD",'bench Comparison'!$G:$G))</f>
        <v>0</v>
      </c>
      <c r="R32" s="173">
        <f>365*10000*R12/(SUMIF('bench Comparison'!$A:$A,"RESINV1USD",'bench Comparison'!$G:$G)+SUMIF('bench Comparison'!$A:$A,"RESSWAPORUSD",'bench Comparison'!$G:$G))</f>
        <v>0</v>
      </c>
      <c r="S32" s="173">
        <f>365*10000*S12/(SUMIF('bench Comparison'!$A:$A,"RESINV1USD",'bench Comparison'!$G:$G)+SUMIF('bench Comparison'!$A:$A,"RESSWAPORUSD",'bench Comparison'!$G:$G))</f>
        <v>0</v>
      </c>
      <c r="T32" s="174">
        <f>365*10000*T12/(SUMIF('bench Comparison'!$A:$A,"RESINV1USD",'bench Comparison'!$G:$G)+SUMIF('bench Comparison'!$A:$A,"RESSWAPORUSD",'bench Comparison'!$G:$G))</f>
        <v>0</v>
      </c>
    </row>
    <row r="33" spans="2:20" x14ac:dyDescent="0.2">
      <c r="B33" s="167" t="s">
        <v>184</v>
      </c>
      <c r="C33" s="173">
        <f>365*10000*C13/(SUMIF('bench Comparison'!$A:$A,"RESINV1USD",'bench Comparison'!$G:$G)+SUMIF('bench Comparison'!$A:$A,"RESSWAPORUSD",'bench Comparison'!$G:$G))</f>
        <v>40.0465309265849</v>
      </c>
      <c r="D33" s="173">
        <f>365*10000*D13/(SUMIF('bench Comparison'!$A:$A,"RESINV1USD",'bench Comparison'!$G:$G)+SUMIF('bench Comparison'!$A:$A,"RESSWAPORUSD",'bench Comparison'!$G:$G))</f>
        <v>0</v>
      </c>
      <c r="E33" s="173">
        <f>365*10000*E13/(SUMIF('bench Comparison'!$A:$A,"RESINV1USD",'bench Comparison'!$G:$G)+SUMIF('bench Comparison'!$A:$A,"RESSWAPORUSD",'bench Comparison'!$G:$G))</f>
        <v>3.692898245645901</v>
      </c>
      <c r="F33" s="173">
        <f>365*10000*F13/(SUMIF('bench Comparison'!$A:$A,"RESINV1USD",'bench Comparison'!$G:$G)+SUMIF('bench Comparison'!$A:$A,"RESSWAPORUSD",'bench Comparison'!$G:$G))</f>
        <v>0</v>
      </c>
      <c r="G33" s="173">
        <f>365*10000*G13/(SUMIF('bench Comparison'!$A:$A,"RESINV1USD",'bench Comparison'!$G:$G)+SUMIF('bench Comparison'!$A:$A,"RESSWAPORUSD",'bench Comparison'!$G:$G))</f>
        <v>-3.098527275593375</v>
      </c>
      <c r="H33" s="173">
        <f>365*10000*H13/(SUMIF('bench Comparison'!$A:$A,"RESINV1USD",'bench Comparison'!$G:$G)+SUMIF('bench Comparison'!$A:$A,"RESSWAPORUSD",'bench Comparison'!$G:$G))</f>
        <v>-3.0059506852907587</v>
      </c>
      <c r="I33" s="173">
        <f>365*10000*I13/(SUMIF('bench Comparison'!$A:$A,"RESINV1USD",'bench Comparison'!$G:$G)+SUMIF('bench Comparison'!$A:$A,"RESSWAPORUSD",'bench Comparison'!$G:$G))</f>
        <v>0</v>
      </c>
      <c r="J33" s="174">
        <f>365*10000*J13/(SUMIF('bench Comparison'!$A:$A,"RESINV1USD",'bench Comparison'!$G:$G)+SUMIF('bench Comparison'!$A:$A,"RESSWAPORUSD",'bench Comparison'!$G:$G))</f>
        <v>0</v>
      </c>
      <c r="K33" s="175"/>
      <c r="L33" s="176" t="s">
        <v>184</v>
      </c>
      <c r="M33" s="173">
        <f>365*10000*M13/(SUMIF('bench Comparison'!$A:$A,"RESINV1USD",'bench Comparison'!$G:$G)+SUMIF('bench Comparison'!$A:$A,"RESSWAPORUSD",'bench Comparison'!$G:$G))</f>
        <v>21.621340244710336</v>
      </c>
      <c r="N33" s="173">
        <f>365*10000*N13/(SUMIF('bench Comparison'!$A:$A,"RESINV1USD",'bench Comparison'!$G:$G)+SUMIF('bench Comparison'!$A:$A,"RESSWAPORUSD",'bench Comparison'!$G:$G))</f>
        <v>0</v>
      </c>
      <c r="O33" s="173">
        <f>365*10000*O13/(SUMIF('bench Comparison'!$A:$A,"RESINV1USD",'bench Comparison'!$G:$G)+SUMIF('bench Comparison'!$A:$A,"RESSWAPORUSD",'bench Comparison'!$G:$G))</f>
        <v>0</v>
      </c>
      <c r="P33" s="173">
        <f>365*10000*P13/(SUMIF('bench Comparison'!$A:$A,"RESINV1USD",'bench Comparison'!$G:$G)+SUMIF('bench Comparison'!$A:$A,"RESSWAPORUSD",'bench Comparison'!$G:$G))</f>
        <v>0</v>
      </c>
      <c r="Q33" s="173">
        <f>365*10000*Q13/(SUMIF('bench Comparison'!$A:$A,"RESINV1USD",'bench Comparison'!$G:$G)+SUMIF('bench Comparison'!$A:$A,"RESSWAPORUSD",'bench Comparison'!$G:$G))</f>
        <v>0</v>
      </c>
      <c r="R33" s="173">
        <f>365*10000*R13/(SUMIF('bench Comparison'!$A:$A,"RESINV1USD",'bench Comparison'!$G:$G)+SUMIF('bench Comparison'!$A:$A,"RESSWAPORUSD",'bench Comparison'!$G:$G))</f>
        <v>0</v>
      </c>
      <c r="S33" s="173">
        <f>365*10000*S13/(SUMIF('bench Comparison'!$A:$A,"RESINV1USD",'bench Comparison'!$G:$G)+SUMIF('bench Comparison'!$A:$A,"RESSWAPORUSD",'bench Comparison'!$G:$G))</f>
        <v>0</v>
      </c>
      <c r="T33" s="174">
        <f>365*10000*T13/(SUMIF('bench Comparison'!$A:$A,"RESINV1USD",'bench Comparison'!$G:$G)+SUMIF('bench Comparison'!$A:$A,"RESSWAPORUSD",'bench Comparison'!$G:$G))</f>
        <v>0</v>
      </c>
    </row>
    <row r="34" spans="2:20" x14ac:dyDescent="0.2">
      <c r="B34" s="167" t="s">
        <v>83</v>
      </c>
      <c r="C34" s="173">
        <f>365*10000*C14/(SUMIF('bench Comparison'!$A:$A,"RESINV1USD",'bench Comparison'!$G:$G)+SUMIF('bench Comparison'!$A:$A,"RESSWAPORUSD",'bench Comparison'!$G:$G))</f>
        <v>162.41190444122114</v>
      </c>
      <c r="D34" s="173">
        <f>365*10000*D14/(SUMIF('bench Comparison'!$A:$A,"RESINV1USD",'bench Comparison'!$G:$G)+SUMIF('bench Comparison'!$A:$A,"RESSWAPORUSD",'bench Comparison'!$G:$G))</f>
        <v>0</v>
      </c>
      <c r="E34" s="173">
        <f>365*10000*E14/(SUMIF('bench Comparison'!$A:$A,"RESINV1USD",'bench Comparison'!$G:$G)+SUMIF('bench Comparison'!$A:$A,"RESSWAPORUSD",'bench Comparison'!$G:$G))</f>
        <v>20.506472171491168</v>
      </c>
      <c r="F34" s="173">
        <f>365*10000*F14/(SUMIF('bench Comparison'!$A:$A,"RESINV1USD",'bench Comparison'!$G:$G)+SUMIF('bench Comparison'!$A:$A,"RESSWAPORUSD",'bench Comparison'!$G:$G))</f>
        <v>0</v>
      </c>
      <c r="G34" s="173">
        <f>365*10000*G14/(SUMIF('bench Comparison'!$A:$A,"RESINV1USD",'bench Comparison'!$G:$G)+SUMIF('bench Comparison'!$A:$A,"RESSWAPORUSD",'bench Comparison'!$G:$G))</f>
        <v>-16.349323632883021</v>
      </c>
      <c r="H34" s="173">
        <f>365*10000*H14/(SUMIF('bench Comparison'!$A:$A,"RESINV1USD",'bench Comparison'!$G:$G)+SUMIF('bench Comparison'!$A:$A,"RESSWAPORUSD",'bench Comparison'!$G:$G))</f>
        <v>-6.0131351670203346</v>
      </c>
      <c r="I34" s="173">
        <f>365*10000*I14/(SUMIF('bench Comparison'!$A:$A,"RESINV1USD",'bench Comparison'!$G:$G)+SUMIF('bench Comparison'!$A:$A,"RESSWAPORUSD",'bench Comparison'!$G:$G))</f>
        <v>0</v>
      </c>
      <c r="J34" s="174">
        <f>365*10000*J14/(SUMIF('bench Comparison'!$A:$A,"RESINV1USD",'bench Comparison'!$G:$G)+SUMIF('bench Comparison'!$A:$A,"RESSWAPORUSD",'bench Comparison'!$G:$G))</f>
        <v>0</v>
      </c>
      <c r="K34" s="175"/>
      <c r="L34" s="176" t="s">
        <v>83</v>
      </c>
      <c r="M34" s="173">
        <f>365*10000*M14/(SUMIF('bench Comparison'!$A:$A,"RESINV1USD",'bench Comparison'!$G:$G)+SUMIF('bench Comparison'!$A:$A,"RESSWAPORUSD",'bench Comparison'!$G:$G))</f>
        <v>147.85336989833425</v>
      </c>
      <c r="N34" s="173">
        <f>365*10000*N14/(SUMIF('bench Comparison'!$A:$A,"RESINV1USD",'bench Comparison'!$G:$G)+SUMIF('bench Comparison'!$A:$A,"RESSWAPORUSD",'bench Comparison'!$G:$G))</f>
        <v>0</v>
      </c>
      <c r="O34" s="173">
        <f>365*10000*O14/(SUMIF('bench Comparison'!$A:$A,"RESINV1USD",'bench Comparison'!$G:$G)+SUMIF('bench Comparison'!$A:$A,"RESSWAPORUSD",'bench Comparison'!$G:$G))</f>
        <v>0</v>
      </c>
      <c r="P34" s="173">
        <f>365*10000*P14/(SUMIF('bench Comparison'!$A:$A,"RESINV1USD",'bench Comparison'!$G:$G)+SUMIF('bench Comparison'!$A:$A,"RESSWAPORUSD",'bench Comparison'!$G:$G))</f>
        <v>0</v>
      </c>
      <c r="Q34" s="173">
        <f>365*10000*Q14/(SUMIF('bench Comparison'!$A:$A,"RESINV1USD",'bench Comparison'!$G:$G)+SUMIF('bench Comparison'!$A:$A,"RESSWAPORUSD",'bench Comparison'!$G:$G))</f>
        <v>0</v>
      </c>
      <c r="R34" s="173">
        <f>365*10000*R14/(SUMIF('bench Comparison'!$A:$A,"RESINV1USD",'bench Comparison'!$G:$G)+SUMIF('bench Comparison'!$A:$A,"RESSWAPORUSD",'bench Comparison'!$G:$G))</f>
        <v>0</v>
      </c>
      <c r="S34" s="173">
        <f>365*10000*S14/(SUMIF('bench Comparison'!$A:$A,"RESINV1USD",'bench Comparison'!$G:$G)+SUMIF('bench Comparison'!$A:$A,"RESSWAPORUSD",'bench Comparison'!$G:$G))</f>
        <v>0</v>
      </c>
      <c r="T34" s="174">
        <f>365*10000*T14/(SUMIF('bench Comparison'!$A:$A,"RESINV1USD",'bench Comparison'!$G:$G)+SUMIF('bench Comparison'!$A:$A,"RESSWAPORUSD",'bench Comparison'!$G:$G))</f>
        <v>0</v>
      </c>
    </row>
    <row r="35" spans="2:20" x14ac:dyDescent="0.2">
      <c r="B35" s="167" t="s">
        <v>84</v>
      </c>
      <c r="C35" s="173">
        <f>365*10000*C15/(SUMIF('bench Comparison'!$A:$A,"RESINV1USD",'bench Comparison'!$G:$G)+SUMIF('bench Comparison'!$A:$A,"RESSWAPORUSD",'bench Comparison'!$G:$G))</f>
        <v>8.3554468792831447</v>
      </c>
      <c r="D35" s="173">
        <f>365*10000*D15/(SUMIF('bench Comparison'!$A:$A,"RESINV1USD",'bench Comparison'!$G:$G)+SUMIF('bench Comparison'!$A:$A,"RESSWAPORUSD",'bench Comparison'!$G:$G))</f>
        <v>-1.7131353247391501</v>
      </c>
      <c r="E35" s="173">
        <f>365*10000*E15/(SUMIF('bench Comparison'!$A:$A,"RESINV1USD",'bench Comparison'!$G:$G)+SUMIF('bench Comparison'!$A:$A,"RESSWAPORUSD",'bench Comparison'!$G:$G))</f>
        <v>16.652715971076457</v>
      </c>
      <c r="F35" s="173">
        <f>365*10000*F15/(SUMIF('bench Comparison'!$A:$A,"RESINV1USD",'bench Comparison'!$G:$G)+SUMIF('bench Comparison'!$A:$A,"RESSWAPORUSD",'bench Comparison'!$G:$G))</f>
        <v>0</v>
      </c>
      <c r="G35" s="173">
        <f>365*10000*G15/(SUMIF('bench Comparison'!$A:$A,"RESINV1USD",'bench Comparison'!$G:$G)+SUMIF('bench Comparison'!$A:$A,"RESSWAPORUSD",'bench Comparison'!$G:$G))</f>
        <v>-5.471594204416693</v>
      </c>
      <c r="H35" s="173">
        <f>365*10000*H15/(SUMIF('bench Comparison'!$A:$A,"RESINV1USD",'bench Comparison'!$G:$G)+SUMIF('bench Comparison'!$A:$A,"RESSWAPORUSD",'bench Comparison'!$G:$G))</f>
        <v>0</v>
      </c>
      <c r="I35" s="173">
        <f>365*10000*I15/(SUMIF('bench Comparison'!$A:$A,"RESINV1USD",'bench Comparison'!$G:$G)+SUMIF('bench Comparison'!$A:$A,"RESSWAPORUSD",'bench Comparison'!$G:$G))</f>
        <v>0</v>
      </c>
      <c r="J35" s="174">
        <f>365*10000*J15/(SUMIF('bench Comparison'!$A:$A,"RESINV1USD",'bench Comparison'!$G:$G)+SUMIF('bench Comparison'!$A:$A,"RESSWAPORUSD",'bench Comparison'!$G:$G))</f>
        <v>0</v>
      </c>
      <c r="K35" s="175"/>
      <c r="L35" s="176" t="s">
        <v>84</v>
      </c>
      <c r="M35" s="173">
        <f>365*10000*M15/(SUMIF('bench Comparison'!$A:$A,"RESINV1USD",'bench Comparison'!$G:$G)+SUMIF('bench Comparison'!$A:$A,"RESSWAPORUSD",'bench Comparison'!$G:$G))</f>
        <v>16.334072601180218</v>
      </c>
      <c r="N35" s="173">
        <f>365*10000*N15/(SUMIF('bench Comparison'!$A:$A,"RESINV1USD",'bench Comparison'!$G:$G)+SUMIF('bench Comparison'!$A:$A,"RESSWAPORUSD",'bench Comparison'!$G:$G))</f>
        <v>0</v>
      </c>
      <c r="O35" s="173">
        <f>365*10000*O15/(SUMIF('bench Comparison'!$A:$A,"RESINV1USD",'bench Comparison'!$G:$G)+SUMIF('bench Comparison'!$A:$A,"RESSWAPORUSD",'bench Comparison'!$G:$G))</f>
        <v>0</v>
      </c>
      <c r="P35" s="173">
        <f>365*10000*P15/(SUMIF('bench Comparison'!$A:$A,"RESINV1USD",'bench Comparison'!$G:$G)+SUMIF('bench Comparison'!$A:$A,"RESSWAPORUSD",'bench Comparison'!$G:$G))</f>
        <v>0</v>
      </c>
      <c r="Q35" s="173">
        <f>365*10000*Q15/(SUMIF('bench Comparison'!$A:$A,"RESINV1USD",'bench Comparison'!$G:$G)+SUMIF('bench Comparison'!$A:$A,"RESSWAPORUSD",'bench Comparison'!$G:$G))</f>
        <v>0</v>
      </c>
      <c r="R35" s="173">
        <f>365*10000*R15/(SUMIF('bench Comparison'!$A:$A,"RESINV1USD",'bench Comparison'!$G:$G)+SUMIF('bench Comparison'!$A:$A,"RESSWAPORUSD",'bench Comparison'!$G:$G))</f>
        <v>0</v>
      </c>
      <c r="S35" s="173">
        <f>365*10000*S15/(SUMIF('bench Comparison'!$A:$A,"RESINV1USD",'bench Comparison'!$G:$G)+SUMIF('bench Comparison'!$A:$A,"RESSWAPORUSD",'bench Comparison'!$G:$G))</f>
        <v>0</v>
      </c>
      <c r="T35" s="174">
        <f>365*10000*T15/(SUMIF('bench Comparison'!$A:$A,"RESINV1USD",'bench Comparison'!$G:$G)+SUMIF('bench Comparison'!$A:$A,"RESSWAPORUSD",'bench Comparison'!$G:$G))</f>
        <v>0</v>
      </c>
    </row>
    <row r="36" spans="2:20" x14ac:dyDescent="0.2">
      <c r="B36" s="167" t="s">
        <v>86</v>
      </c>
      <c r="C36" s="173">
        <f>365*10000*C16/(SUMIF('bench Comparison'!$A:$A,"RESINV1USD",'bench Comparison'!$G:$G)+SUMIF('bench Comparison'!$A:$A,"RESSWAPORUSD",'bench Comparison'!$G:$G))</f>
        <v>48.958449897911407</v>
      </c>
      <c r="D36" s="173">
        <f>365*10000*D16/(SUMIF('bench Comparison'!$A:$A,"RESINV1USD",'bench Comparison'!$G:$G)+SUMIF('bench Comparison'!$A:$A,"RESSWAPORUSD",'bench Comparison'!$G:$G))</f>
        <v>0</v>
      </c>
      <c r="E36" s="173">
        <f>365*10000*E16/(SUMIF('bench Comparison'!$A:$A,"RESINV1USD",'bench Comparison'!$G:$G)+SUMIF('bench Comparison'!$A:$A,"RESSWAPORUSD",'bench Comparison'!$G:$G))</f>
        <v>12.313457882173379</v>
      </c>
      <c r="F36" s="173">
        <f>365*10000*F16/(SUMIF('bench Comparison'!$A:$A,"RESINV1USD",'bench Comparison'!$G:$G)+SUMIF('bench Comparison'!$A:$A,"RESSWAPORUSD",'bench Comparison'!$G:$G))</f>
        <v>0</v>
      </c>
      <c r="G36" s="173">
        <f>365*10000*G16/(SUMIF('bench Comparison'!$A:$A,"RESINV1USD",'bench Comparison'!$G:$G)+SUMIF('bench Comparison'!$A:$A,"RESSWAPORUSD",'bench Comparison'!$G:$G))</f>
        <v>-0.19984113853357927</v>
      </c>
      <c r="H36" s="173">
        <f>365*10000*H16/(SUMIF('bench Comparison'!$A:$A,"RESINV1USD",'bench Comparison'!$G:$G)+SUMIF('bench Comparison'!$A:$A,"RESSWAPORUSD",'bench Comparison'!$G:$G))</f>
        <v>-27.795305019230209</v>
      </c>
      <c r="I36" s="173">
        <f>365*10000*I16/(SUMIF('bench Comparison'!$A:$A,"RESINV1USD",'bench Comparison'!$G:$G)+SUMIF('bench Comparison'!$A:$A,"RESSWAPORUSD",'bench Comparison'!$G:$G))</f>
        <v>0</v>
      </c>
      <c r="J36" s="174">
        <f>365*10000*J16/(SUMIF('bench Comparison'!$A:$A,"RESINV1USD",'bench Comparison'!$G:$G)+SUMIF('bench Comparison'!$A:$A,"RESSWAPORUSD",'bench Comparison'!$G:$G))</f>
        <v>0</v>
      </c>
      <c r="K36" s="175"/>
      <c r="L36" s="176" t="s">
        <v>86</v>
      </c>
      <c r="M36" s="173">
        <f>365*10000*M16/(SUMIF('bench Comparison'!$A:$A,"RESINV1USD",'bench Comparison'!$G:$G)+SUMIF('bench Comparison'!$A:$A,"RESSWAPORUSD",'bench Comparison'!$G:$G))</f>
        <v>42.412428158260354</v>
      </c>
      <c r="N36" s="173">
        <f>365*10000*N16/(SUMIF('bench Comparison'!$A:$A,"RESINV1USD",'bench Comparison'!$G:$G)+SUMIF('bench Comparison'!$A:$A,"RESSWAPORUSD",'bench Comparison'!$G:$G))</f>
        <v>0</v>
      </c>
      <c r="O36" s="173">
        <f>365*10000*O16/(SUMIF('bench Comparison'!$A:$A,"RESINV1USD",'bench Comparison'!$G:$G)+SUMIF('bench Comparison'!$A:$A,"RESSWAPORUSD",'bench Comparison'!$G:$G))</f>
        <v>0</v>
      </c>
      <c r="P36" s="173">
        <f>365*10000*P16/(SUMIF('bench Comparison'!$A:$A,"RESINV1USD",'bench Comparison'!$G:$G)+SUMIF('bench Comparison'!$A:$A,"RESSWAPORUSD",'bench Comparison'!$G:$G))</f>
        <v>0</v>
      </c>
      <c r="Q36" s="173">
        <f>365*10000*Q16/(SUMIF('bench Comparison'!$A:$A,"RESINV1USD",'bench Comparison'!$G:$G)+SUMIF('bench Comparison'!$A:$A,"RESSWAPORUSD",'bench Comparison'!$G:$G))</f>
        <v>0</v>
      </c>
      <c r="R36" s="173">
        <f>365*10000*R16/(SUMIF('bench Comparison'!$A:$A,"RESINV1USD",'bench Comparison'!$G:$G)+SUMIF('bench Comparison'!$A:$A,"RESSWAPORUSD",'bench Comparison'!$G:$G))</f>
        <v>0</v>
      </c>
      <c r="S36" s="173">
        <f>365*10000*S16/(SUMIF('bench Comparison'!$A:$A,"RESINV1USD",'bench Comparison'!$G:$G)+SUMIF('bench Comparison'!$A:$A,"RESSWAPORUSD",'bench Comparison'!$G:$G))</f>
        <v>0</v>
      </c>
      <c r="T36" s="174">
        <f>365*10000*T16/(SUMIF('bench Comparison'!$A:$A,"RESINV1USD",'bench Comparison'!$G:$G)+SUMIF('bench Comparison'!$A:$A,"RESSWAPORUSD",'bench Comparison'!$G:$G))</f>
        <v>0</v>
      </c>
    </row>
    <row r="37" spans="2:20" x14ac:dyDescent="0.2">
      <c r="B37" s="167" t="s">
        <v>88</v>
      </c>
      <c r="C37" s="173">
        <f>365*10000*C17/(SUMIF('bench Comparison'!$A:$A,"RESINV1USD",'bench Comparison'!$G:$G)+SUMIF('bench Comparison'!$A:$A,"RESSWAPORUSD",'bench Comparison'!$G:$G))</f>
        <v>33.914769919409125</v>
      </c>
      <c r="D37" s="173">
        <f>365*10000*D17/(SUMIF('bench Comparison'!$A:$A,"RESINV1USD",'bench Comparison'!$G:$G)+SUMIF('bench Comparison'!$A:$A,"RESSWAPORUSD",'bench Comparison'!$G:$G))</f>
        <v>0</v>
      </c>
      <c r="E37" s="173">
        <f>365*10000*E17/(SUMIF('bench Comparison'!$A:$A,"RESINV1USD",'bench Comparison'!$G:$G)+SUMIF('bench Comparison'!$A:$A,"RESSWAPORUSD",'bench Comparison'!$G:$G))</f>
        <v>0</v>
      </c>
      <c r="F37" s="173">
        <f>365*10000*F17/(SUMIF('bench Comparison'!$A:$A,"RESINV1USD",'bench Comparison'!$G:$G)+SUMIF('bench Comparison'!$A:$A,"RESSWAPORUSD",'bench Comparison'!$G:$G))</f>
        <v>0</v>
      </c>
      <c r="G37" s="173">
        <f>365*10000*G17/(SUMIF('bench Comparison'!$A:$A,"RESINV1USD",'bench Comparison'!$G:$G)+SUMIF('bench Comparison'!$A:$A,"RESSWAPORUSD",'bench Comparison'!$G:$G))</f>
        <v>0</v>
      </c>
      <c r="H37" s="173">
        <f>365*10000*H17/(SUMIF('bench Comparison'!$A:$A,"RESINV1USD",'bench Comparison'!$G:$G)+SUMIF('bench Comparison'!$A:$A,"RESSWAPORUSD",'bench Comparison'!$G:$G))</f>
        <v>0</v>
      </c>
      <c r="I37" s="173">
        <f>365*10000*I17/(SUMIF('bench Comparison'!$A:$A,"RESINV1USD",'bench Comparison'!$G:$G)+SUMIF('bench Comparison'!$A:$A,"RESSWAPORUSD",'bench Comparison'!$G:$G))</f>
        <v>0</v>
      </c>
      <c r="J37" s="174">
        <f>365*10000*J17/(SUMIF('bench Comparison'!$A:$A,"RESINV1USD",'bench Comparison'!$G:$G)+SUMIF('bench Comparison'!$A:$A,"RESSWAPORUSD",'bench Comparison'!$G:$G))</f>
        <v>0</v>
      </c>
      <c r="K37" s="175"/>
      <c r="L37" s="176" t="s">
        <v>88</v>
      </c>
      <c r="M37" s="173">
        <f>365*10000*M17/(SUMIF('bench Comparison'!$A:$A,"RESINV1USD",'bench Comparison'!$G:$G)+SUMIF('bench Comparison'!$A:$A,"RESSWAPORUSD",'bench Comparison'!$G:$G))</f>
        <v>21.665867936545325</v>
      </c>
      <c r="N37" s="173">
        <f>365*10000*N17/(SUMIF('bench Comparison'!$A:$A,"RESINV1USD",'bench Comparison'!$G:$G)+SUMIF('bench Comparison'!$A:$A,"RESSWAPORUSD",'bench Comparison'!$G:$G))</f>
        <v>0</v>
      </c>
      <c r="O37" s="173">
        <f>365*10000*O17/(SUMIF('bench Comparison'!$A:$A,"RESINV1USD",'bench Comparison'!$G:$G)+SUMIF('bench Comparison'!$A:$A,"RESSWAPORUSD",'bench Comparison'!$G:$G))</f>
        <v>0</v>
      </c>
      <c r="P37" s="173">
        <f>365*10000*P17/(SUMIF('bench Comparison'!$A:$A,"RESINV1USD",'bench Comparison'!$G:$G)+SUMIF('bench Comparison'!$A:$A,"RESSWAPORUSD",'bench Comparison'!$G:$G))</f>
        <v>0</v>
      </c>
      <c r="Q37" s="173">
        <f>365*10000*Q17/(SUMIF('bench Comparison'!$A:$A,"RESINV1USD",'bench Comparison'!$G:$G)+SUMIF('bench Comparison'!$A:$A,"RESSWAPORUSD",'bench Comparison'!$G:$G))</f>
        <v>0</v>
      </c>
      <c r="R37" s="173">
        <f>365*10000*R17/(SUMIF('bench Comparison'!$A:$A,"RESINV1USD",'bench Comparison'!$G:$G)+SUMIF('bench Comparison'!$A:$A,"RESSWAPORUSD",'bench Comparison'!$G:$G))</f>
        <v>0</v>
      </c>
      <c r="S37" s="173">
        <f>365*10000*S17/(SUMIF('bench Comparison'!$A:$A,"RESINV1USD",'bench Comparison'!$G:$G)+SUMIF('bench Comparison'!$A:$A,"RESSWAPORUSD",'bench Comparison'!$G:$G))</f>
        <v>0</v>
      </c>
      <c r="T37" s="174">
        <f>365*10000*T17/(SUMIF('bench Comparison'!$A:$A,"RESINV1USD",'bench Comparison'!$G:$G)+SUMIF('bench Comparison'!$A:$A,"RESSWAPORUSD",'bench Comparison'!$G:$G))</f>
        <v>0</v>
      </c>
    </row>
    <row r="38" spans="2:20" x14ac:dyDescent="0.2">
      <c r="B38" s="167" t="s">
        <v>91</v>
      </c>
      <c r="C38" s="173">
        <f>365*10000*C18/(SUMIF('bench Comparison'!$A:$A,"RESINV1USD",'bench Comparison'!$G:$G)+SUMIF('bench Comparison'!$A:$A,"RESSWAPORUSD",'bench Comparison'!$G:$G))</f>
        <v>87.636270040680003</v>
      </c>
      <c r="D38" s="173">
        <f>365*10000*D18/(SUMIF('bench Comparison'!$A:$A,"RESINV1USD",'bench Comparison'!$G:$G)+SUMIF('bench Comparison'!$A:$A,"RESSWAPORUSD",'bench Comparison'!$G:$G))</f>
        <v>0</v>
      </c>
      <c r="E38" s="173">
        <f>365*10000*E18/(SUMIF('bench Comparison'!$A:$A,"RESINV1USD",'bench Comparison'!$G:$G)+SUMIF('bench Comparison'!$A:$A,"RESSWAPORUSD",'bench Comparison'!$G:$G))</f>
        <v>0</v>
      </c>
      <c r="F38" s="173">
        <f>365*10000*F18/(SUMIF('bench Comparison'!$A:$A,"RESINV1USD",'bench Comparison'!$G:$G)+SUMIF('bench Comparison'!$A:$A,"RESSWAPORUSD",'bench Comparison'!$G:$G))</f>
        <v>0</v>
      </c>
      <c r="G38" s="173">
        <f>365*10000*G18/(SUMIF('bench Comparison'!$A:$A,"RESINV1USD",'bench Comparison'!$G:$G)+SUMIF('bench Comparison'!$A:$A,"RESSWAPORUSD",'bench Comparison'!$G:$G))</f>
        <v>0</v>
      </c>
      <c r="H38" s="173">
        <f>365*10000*H18/(SUMIF('bench Comparison'!$A:$A,"RESINV1USD",'bench Comparison'!$G:$G)+SUMIF('bench Comparison'!$A:$A,"RESSWAPORUSD",'bench Comparison'!$G:$G))</f>
        <v>0</v>
      </c>
      <c r="I38" s="173">
        <f>365*10000*I18/(SUMIF('bench Comparison'!$A:$A,"RESINV1USD",'bench Comparison'!$G:$G)+SUMIF('bench Comparison'!$A:$A,"RESSWAPORUSD",'bench Comparison'!$G:$G))</f>
        <v>0</v>
      </c>
      <c r="J38" s="174">
        <f>365*10000*J18/(SUMIF('bench Comparison'!$A:$A,"RESINV1USD",'bench Comparison'!$G:$G)+SUMIF('bench Comparison'!$A:$A,"RESSWAPORUSD",'bench Comparison'!$G:$G))</f>
        <v>0</v>
      </c>
      <c r="K38" s="175"/>
      <c r="L38" s="176" t="s">
        <v>91</v>
      </c>
      <c r="M38" s="173">
        <f>365*10000*M18/(SUMIF('bench Comparison'!$A:$A,"RESINV1USD",'bench Comparison'!$G:$G)+SUMIF('bench Comparison'!$A:$A,"RESSWAPORUSD",'bench Comparison'!$G:$G))</f>
        <v>65.443331705725427</v>
      </c>
      <c r="N38" s="173">
        <f>365*10000*N18/(SUMIF('bench Comparison'!$A:$A,"RESINV1USD",'bench Comparison'!$G:$G)+SUMIF('bench Comparison'!$A:$A,"RESSWAPORUSD",'bench Comparison'!$G:$G))</f>
        <v>0</v>
      </c>
      <c r="O38" s="173">
        <f>365*10000*O18/(SUMIF('bench Comparison'!$A:$A,"RESINV1USD",'bench Comparison'!$G:$G)+SUMIF('bench Comparison'!$A:$A,"RESSWAPORUSD",'bench Comparison'!$G:$G))</f>
        <v>0</v>
      </c>
      <c r="P38" s="173">
        <f>365*10000*P18/(SUMIF('bench Comparison'!$A:$A,"RESINV1USD",'bench Comparison'!$G:$G)+SUMIF('bench Comparison'!$A:$A,"RESSWAPORUSD",'bench Comparison'!$G:$G))</f>
        <v>0</v>
      </c>
      <c r="Q38" s="173">
        <f>365*10000*Q18/(SUMIF('bench Comparison'!$A:$A,"RESINV1USD",'bench Comparison'!$G:$G)+SUMIF('bench Comparison'!$A:$A,"RESSWAPORUSD",'bench Comparison'!$G:$G))</f>
        <v>0</v>
      </c>
      <c r="R38" s="173">
        <f>365*10000*R18/(SUMIF('bench Comparison'!$A:$A,"RESINV1USD",'bench Comparison'!$G:$G)+SUMIF('bench Comparison'!$A:$A,"RESSWAPORUSD",'bench Comparison'!$G:$G))</f>
        <v>0</v>
      </c>
      <c r="S38" s="173">
        <f>365*10000*S18/(SUMIF('bench Comparison'!$A:$A,"RESINV1USD",'bench Comparison'!$G:$G)+SUMIF('bench Comparison'!$A:$A,"RESSWAPORUSD",'bench Comparison'!$G:$G))</f>
        <v>0</v>
      </c>
      <c r="T38" s="174">
        <f>365*10000*T18/(SUMIF('bench Comparison'!$A:$A,"RESINV1USD",'bench Comparison'!$G:$G)+SUMIF('bench Comparison'!$A:$A,"RESSWAPORUSD",'bench Comparison'!$G:$G))</f>
        <v>0</v>
      </c>
    </row>
    <row r="39" spans="2:20" ht="12" thickBot="1" x14ac:dyDescent="0.25">
      <c r="B39" s="170" t="s">
        <v>604</v>
      </c>
      <c r="C39" s="177">
        <f>365*10000*C19/(SUMIF('bench Comparison'!$A:$A,"RESINV1USD",'bench Comparison'!$G:$G)+SUMIF('bench Comparison'!$A:$A,"RESSWAPORUSD",'bench Comparison'!$G:$G))</f>
        <v>0</v>
      </c>
      <c r="D39" s="177">
        <f>365*10000*D19/(SUMIF('bench Comparison'!$A:$A,"RESINV1USD",'bench Comparison'!$G:$G)+SUMIF('bench Comparison'!$A:$A,"RESSWAPORUSD",'bench Comparison'!$G:$G))</f>
        <v>0</v>
      </c>
      <c r="E39" s="177">
        <f>365*10000*E19/(SUMIF('bench Comparison'!$A:$A,"RESINV1USD",'bench Comparison'!$G:$G)+SUMIF('bench Comparison'!$A:$A,"RESSWAPORUSD",'bench Comparison'!$G:$G))</f>
        <v>0</v>
      </c>
      <c r="F39" s="177">
        <f>365*10000*F19/(SUMIF('bench Comparison'!$A:$A,"RESINV1USD",'bench Comparison'!$G:$G)+SUMIF('bench Comparison'!$A:$A,"RESSWAPORUSD",'bench Comparison'!$G:$G))</f>
        <v>0</v>
      </c>
      <c r="G39" s="177">
        <f>365*10000*G19/(SUMIF('bench Comparison'!$A:$A,"RESINV1USD",'bench Comparison'!$G:$G)+SUMIF('bench Comparison'!$A:$A,"RESSWAPORUSD",'bench Comparison'!$G:$G))</f>
        <v>0</v>
      </c>
      <c r="H39" s="177">
        <f>365*10000*H19/(SUMIF('bench Comparison'!$A:$A,"RESINV1USD",'bench Comparison'!$G:$G)+SUMIF('bench Comparison'!$A:$A,"RESSWAPORUSD",'bench Comparison'!$G:$G))</f>
        <v>0</v>
      </c>
      <c r="I39" s="177">
        <f>365*10000*I19/(SUMIF('bench Comparison'!$A:$A,"RESINV1USD",'bench Comparison'!$G:$G)+SUMIF('bench Comparison'!$A:$A,"RESSWAPORUSD",'bench Comparison'!$G:$G))</f>
        <v>0</v>
      </c>
      <c r="J39" s="178">
        <f>365*10000*J19/(SUMIF('bench Comparison'!$A:$A,"RESINV1USD",'bench Comparison'!$G:$G)+SUMIF('bench Comparison'!$A:$A,"RESSWAPORUSD",'bench Comparison'!$G:$G))</f>
        <v>0</v>
      </c>
      <c r="K39" s="175"/>
      <c r="L39" s="179" t="s">
        <v>604</v>
      </c>
      <c r="M39" s="177">
        <f>365*10000*M19/(SUMIF('bench Comparison'!$A:$A,"RESINV1USD",'bench Comparison'!$G:$G)+SUMIF('bench Comparison'!$A:$A,"RESSWAPORUSD",'bench Comparison'!$G:$G))</f>
        <v>0</v>
      </c>
      <c r="N39" s="177">
        <f>365*10000*N19/(SUMIF('bench Comparison'!$A:$A,"RESINV1USD",'bench Comparison'!$G:$G)+SUMIF('bench Comparison'!$A:$A,"RESSWAPORUSD",'bench Comparison'!$G:$G))</f>
        <v>0</v>
      </c>
      <c r="O39" s="177">
        <f>365*10000*O19/(SUMIF('bench Comparison'!$A:$A,"RESINV1USD",'bench Comparison'!$G:$G)+SUMIF('bench Comparison'!$A:$A,"RESSWAPORUSD",'bench Comparison'!$G:$G))</f>
        <v>0</v>
      </c>
      <c r="P39" s="177">
        <f>365*10000*P19/(SUMIF('bench Comparison'!$A:$A,"RESINV1USD",'bench Comparison'!$G:$G)+SUMIF('bench Comparison'!$A:$A,"RESSWAPORUSD",'bench Comparison'!$G:$G))</f>
        <v>0</v>
      </c>
      <c r="Q39" s="177">
        <f>365*10000*Q19/(SUMIF('bench Comparison'!$A:$A,"RESINV1USD",'bench Comparison'!$G:$G)+SUMIF('bench Comparison'!$A:$A,"RESSWAPORUSD",'bench Comparison'!$G:$G))</f>
        <v>0</v>
      </c>
      <c r="R39" s="177">
        <f>365*10000*R19/(SUMIF('bench Comparison'!$A:$A,"RESINV1USD",'bench Comparison'!$G:$G)+SUMIF('bench Comparison'!$A:$A,"RESSWAPORUSD",'bench Comparison'!$G:$G))</f>
        <v>0</v>
      </c>
      <c r="S39" s="177">
        <f>365*10000*S19/(SUMIF('bench Comparison'!$A:$A,"RESINV1USD",'bench Comparison'!$G:$G)+SUMIF('bench Comparison'!$A:$A,"RESSWAPORUSD",'bench Comparison'!$G:$G))</f>
        <v>0</v>
      </c>
      <c r="T39" s="178">
        <f>365*10000*T19/(SUMIF('bench Comparison'!$A:$A,"RESINV1USD",'bench Comparison'!$G:$G)+SUMIF('bench Comparison'!$A:$A,"RESSWAPORUSD",'bench Comparison'!$G:$G))</f>
        <v>0</v>
      </c>
    </row>
    <row r="41" spans="2:20" ht="12" thickBot="1" x14ac:dyDescent="0.25">
      <c r="B41" s="7" t="s">
        <v>970</v>
      </c>
      <c r="C41" s="7"/>
      <c r="D41" s="7"/>
      <c r="E41" s="7"/>
      <c r="F41" s="7"/>
      <c r="G41" s="7"/>
      <c r="H41" s="7"/>
      <c r="I41" s="7"/>
      <c r="J41" s="7"/>
      <c r="L41" s="7" t="s">
        <v>969</v>
      </c>
      <c r="M41" s="7"/>
      <c r="N41" s="7"/>
      <c r="O41" s="7"/>
      <c r="P41" s="7"/>
      <c r="Q41" s="7"/>
    </row>
    <row r="42" spans="2:20" x14ac:dyDescent="0.2">
      <c r="B42" s="164" t="s">
        <v>605</v>
      </c>
      <c r="C42" s="165" t="s">
        <v>601</v>
      </c>
      <c r="D42" s="165" t="s">
        <v>602</v>
      </c>
      <c r="E42" s="165" t="s">
        <v>607</v>
      </c>
      <c r="F42" s="165" t="s">
        <v>608</v>
      </c>
      <c r="G42" s="180" t="s">
        <v>609</v>
      </c>
      <c r="H42" s="7"/>
      <c r="I42" s="7"/>
      <c r="J42" s="7"/>
      <c r="L42" s="164" t="s">
        <v>605</v>
      </c>
      <c r="M42" s="165" t="s">
        <v>601</v>
      </c>
      <c r="N42" s="165" t="s">
        <v>602</v>
      </c>
      <c r="O42" s="165" t="s">
        <v>607</v>
      </c>
      <c r="P42" s="165" t="s">
        <v>608</v>
      </c>
      <c r="Q42" s="180" t="s">
        <v>609</v>
      </c>
    </row>
    <row r="43" spans="2:20" x14ac:dyDescent="0.2">
      <c r="B43" s="167" t="s">
        <v>80</v>
      </c>
      <c r="C43" s="173">
        <f>SUM(C23:C29)+SUM(D23:D29)</f>
        <v>0</v>
      </c>
      <c r="D43" s="173">
        <f>SUM(E23:E29)</f>
        <v>1.3775466797989977</v>
      </c>
      <c r="E43" s="173">
        <f>SUM(G23:G29)+SUM(H23:H29)</f>
        <v>0</v>
      </c>
      <c r="F43" s="173">
        <f>SUM(F23:F29)+SUM(I23:I29)+SUM(J23:J29)</f>
        <v>0.9553032688207308</v>
      </c>
      <c r="G43" s="181">
        <f>SUM(C43:F43)</f>
        <v>2.3328499486197285</v>
      </c>
      <c r="H43" s="7"/>
      <c r="I43" s="7"/>
      <c r="J43" s="7"/>
      <c r="L43" s="167" t="s">
        <v>80</v>
      </c>
      <c r="M43" s="173">
        <f>SUM(M23:M29)+SUM(N23:N29)</f>
        <v>0.84539015061681977</v>
      </c>
      <c r="N43" s="173">
        <f>SUM(O23:O29)</f>
        <v>0</v>
      </c>
      <c r="O43" s="173">
        <f>SUM(Q23:Q29)+SUM(R23:R29)</f>
        <v>0</v>
      </c>
      <c r="P43" s="173">
        <f>SUM(P23:P29)+SUM(S23:S29)+SUM(T23:T29)</f>
        <v>0</v>
      </c>
      <c r="Q43" s="181">
        <f>SUM(M43:P43)</f>
        <v>0.84539015061681977</v>
      </c>
    </row>
    <row r="44" spans="2:20" x14ac:dyDescent="0.2">
      <c r="B44" s="167" t="s">
        <v>20</v>
      </c>
      <c r="C44" s="173">
        <f>C30+D30</f>
        <v>0</v>
      </c>
      <c r="D44" s="173">
        <f>E30</f>
        <v>0.70356295149243286</v>
      </c>
      <c r="E44" s="173">
        <f>G30+H30</f>
        <v>0</v>
      </c>
      <c r="F44" s="173">
        <f>F30+I30+J30</f>
        <v>20.269904161904837</v>
      </c>
      <c r="G44" s="181">
        <f t="shared" ref="G44:G53" si="0">SUM(C44:F44)</f>
        <v>20.97346711339727</v>
      </c>
      <c r="H44" s="7"/>
      <c r="I44" s="7"/>
      <c r="J44" s="7"/>
      <c r="L44" s="167" t="s">
        <v>20</v>
      </c>
      <c r="M44" s="173">
        <f>M30+N30</f>
        <v>10.355493086269627</v>
      </c>
      <c r="N44" s="173">
        <f>O30</f>
        <v>0</v>
      </c>
      <c r="O44" s="173">
        <f>Q30+R30</f>
        <v>0</v>
      </c>
      <c r="P44" s="173">
        <f>P30+S30+T30</f>
        <v>0</v>
      </c>
      <c r="Q44" s="181">
        <f t="shared" ref="Q44:Q53" si="1">SUM(M44:P44)</f>
        <v>10.355493086269627</v>
      </c>
    </row>
    <row r="45" spans="2:20" x14ac:dyDescent="0.2">
      <c r="B45" s="167" t="s">
        <v>21</v>
      </c>
      <c r="C45" s="173">
        <f t="shared" ref="C45:C53" si="2">C31+D31</f>
        <v>7.6758004438963194</v>
      </c>
      <c r="D45" s="173">
        <f t="shared" ref="D45:D53" si="3">E31</f>
        <v>1.7687797434507317</v>
      </c>
      <c r="E45" s="173">
        <f t="shared" ref="E45:E53" si="4">G31+H31</f>
        <v>-6.2313497071258368</v>
      </c>
      <c r="F45" s="173">
        <f t="shared" ref="F45:F53" si="5">F31+I31+J31</f>
        <v>1.0414278412357023</v>
      </c>
      <c r="G45" s="181">
        <f t="shared" si="0"/>
        <v>4.2546583214569171</v>
      </c>
      <c r="H45" s="7"/>
      <c r="I45" s="7"/>
      <c r="J45" s="7"/>
      <c r="L45" s="167" t="s">
        <v>21</v>
      </c>
      <c r="M45" s="173">
        <f t="shared" ref="M45:M53" si="6">M31+N31</f>
        <v>35.589477239882982</v>
      </c>
      <c r="N45" s="173">
        <f t="shared" ref="N45:N53" si="7">O31</f>
        <v>0</v>
      </c>
      <c r="O45" s="173">
        <f t="shared" ref="O45:O53" si="8">Q31+R31</f>
        <v>0</v>
      </c>
      <c r="P45" s="173">
        <f t="shared" ref="P45:P53" si="9">P31+S31+T31</f>
        <v>0</v>
      </c>
      <c r="Q45" s="181">
        <f t="shared" si="1"/>
        <v>35.589477239882982</v>
      </c>
    </row>
    <row r="46" spans="2:20" x14ac:dyDescent="0.2">
      <c r="B46" s="167" t="s">
        <v>177</v>
      </c>
      <c r="C46" s="173">
        <f t="shared" si="2"/>
        <v>0</v>
      </c>
      <c r="D46" s="173">
        <f t="shared" si="3"/>
        <v>4.8131614935829141</v>
      </c>
      <c r="E46" s="173">
        <f t="shared" si="4"/>
        <v>-5.7126668665906273</v>
      </c>
      <c r="F46" s="173">
        <f t="shared" si="5"/>
        <v>0</v>
      </c>
      <c r="G46" s="181">
        <f t="shared" si="0"/>
        <v>-0.89950537300771316</v>
      </c>
      <c r="H46" s="7"/>
      <c r="I46" s="7"/>
      <c r="J46" s="7"/>
      <c r="L46" s="167" t="s">
        <v>177</v>
      </c>
      <c r="M46" s="173">
        <f t="shared" si="6"/>
        <v>15.220425858506353</v>
      </c>
      <c r="N46" s="173">
        <f t="shared" si="7"/>
        <v>0</v>
      </c>
      <c r="O46" s="173">
        <f t="shared" si="8"/>
        <v>0</v>
      </c>
      <c r="P46" s="173">
        <f t="shared" si="9"/>
        <v>0</v>
      </c>
      <c r="Q46" s="181">
        <f t="shared" si="1"/>
        <v>15.220425858506353</v>
      </c>
    </row>
    <row r="47" spans="2:20" x14ac:dyDescent="0.2">
      <c r="B47" s="167" t="s">
        <v>184</v>
      </c>
      <c r="C47" s="173">
        <f t="shared" si="2"/>
        <v>40.0465309265849</v>
      </c>
      <c r="D47" s="173">
        <f t="shared" si="3"/>
        <v>3.692898245645901</v>
      </c>
      <c r="E47" s="173">
        <f t="shared" si="4"/>
        <v>-6.1044779608841342</v>
      </c>
      <c r="F47" s="173">
        <f t="shared" si="5"/>
        <v>0</v>
      </c>
      <c r="G47" s="181">
        <f t="shared" si="0"/>
        <v>37.634951211346667</v>
      </c>
      <c r="H47" s="7"/>
      <c r="I47" s="7"/>
      <c r="J47" s="7"/>
      <c r="L47" s="167" t="s">
        <v>184</v>
      </c>
      <c r="M47" s="173">
        <f t="shared" si="6"/>
        <v>21.621340244710336</v>
      </c>
      <c r="N47" s="173">
        <f t="shared" si="7"/>
        <v>0</v>
      </c>
      <c r="O47" s="173">
        <f t="shared" si="8"/>
        <v>0</v>
      </c>
      <c r="P47" s="173">
        <f t="shared" si="9"/>
        <v>0</v>
      </c>
      <c r="Q47" s="181">
        <f t="shared" si="1"/>
        <v>21.621340244710336</v>
      </c>
    </row>
    <row r="48" spans="2:20" x14ac:dyDescent="0.2">
      <c r="B48" s="167" t="s">
        <v>83</v>
      </c>
      <c r="C48" s="173">
        <f t="shared" si="2"/>
        <v>162.41190444122114</v>
      </c>
      <c r="D48" s="173">
        <f t="shared" si="3"/>
        <v>20.506472171491168</v>
      </c>
      <c r="E48" s="173">
        <f t="shared" si="4"/>
        <v>-22.362458799903354</v>
      </c>
      <c r="F48" s="173">
        <f t="shared" si="5"/>
        <v>0</v>
      </c>
      <c r="G48" s="181">
        <f t="shared" si="0"/>
        <v>160.55591781280896</v>
      </c>
      <c r="H48" s="7"/>
      <c r="I48" s="7"/>
      <c r="J48" s="7"/>
      <c r="L48" s="167" t="s">
        <v>83</v>
      </c>
      <c r="M48" s="173">
        <f t="shared" si="6"/>
        <v>147.85336989833425</v>
      </c>
      <c r="N48" s="173">
        <f t="shared" si="7"/>
        <v>0</v>
      </c>
      <c r="O48" s="173">
        <f t="shared" si="8"/>
        <v>0</v>
      </c>
      <c r="P48" s="173">
        <f t="shared" si="9"/>
        <v>0</v>
      </c>
      <c r="Q48" s="181">
        <f t="shared" si="1"/>
        <v>147.85336989833425</v>
      </c>
    </row>
    <row r="49" spans="2:17" x14ac:dyDescent="0.2">
      <c r="B49" s="167" t="s">
        <v>84</v>
      </c>
      <c r="C49" s="173">
        <f t="shared" si="2"/>
        <v>6.6423115545439941</v>
      </c>
      <c r="D49" s="173">
        <f t="shared" si="3"/>
        <v>16.652715971076457</v>
      </c>
      <c r="E49" s="173">
        <f t="shared" si="4"/>
        <v>-5.471594204416693</v>
      </c>
      <c r="F49" s="173">
        <f t="shared" si="5"/>
        <v>0</v>
      </c>
      <c r="G49" s="181">
        <f t="shared" si="0"/>
        <v>17.823433321203758</v>
      </c>
      <c r="H49" s="7"/>
      <c r="I49" s="7"/>
      <c r="J49" s="7"/>
      <c r="L49" s="167" t="s">
        <v>84</v>
      </c>
      <c r="M49" s="173">
        <f t="shared" si="6"/>
        <v>16.334072601180218</v>
      </c>
      <c r="N49" s="173">
        <f t="shared" si="7"/>
        <v>0</v>
      </c>
      <c r="O49" s="173">
        <f t="shared" si="8"/>
        <v>0</v>
      </c>
      <c r="P49" s="173">
        <f t="shared" si="9"/>
        <v>0</v>
      </c>
      <c r="Q49" s="181">
        <f t="shared" si="1"/>
        <v>16.334072601180218</v>
      </c>
    </row>
    <row r="50" spans="2:17" x14ac:dyDescent="0.2">
      <c r="B50" s="167" t="s">
        <v>86</v>
      </c>
      <c r="C50" s="173">
        <f t="shared" si="2"/>
        <v>48.958449897911407</v>
      </c>
      <c r="D50" s="173">
        <f t="shared" si="3"/>
        <v>12.313457882173379</v>
      </c>
      <c r="E50" s="173">
        <f t="shared" si="4"/>
        <v>-27.995146157763788</v>
      </c>
      <c r="F50" s="173">
        <f t="shared" si="5"/>
        <v>0</v>
      </c>
      <c r="G50" s="181">
        <f t="shared" si="0"/>
        <v>33.276761622321004</v>
      </c>
      <c r="H50" s="7"/>
      <c r="I50" s="7"/>
      <c r="J50" s="7"/>
      <c r="L50" s="167" t="s">
        <v>86</v>
      </c>
      <c r="M50" s="173">
        <f t="shared" si="6"/>
        <v>42.412428158260354</v>
      </c>
      <c r="N50" s="173">
        <f t="shared" si="7"/>
        <v>0</v>
      </c>
      <c r="O50" s="173">
        <f t="shared" si="8"/>
        <v>0</v>
      </c>
      <c r="P50" s="173">
        <f t="shared" si="9"/>
        <v>0</v>
      </c>
      <c r="Q50" s="181">
        <f t="shared" si="1"/>
        <v>42.412428158260354</v>
      </c>
    </row>
    <row r="51" spans="2:17" x14ac:dyDescent="0.2">
      <c r="B51" s="167" t="s">
        <v>88</v>
      </c>
      <c r="C51" s="173">
        <f t="shared" si="2"/>
        <v>33.914769919409125</v>
      </c>
      <c r="D51" s="173">
        <f t="shared" si="3"/>
        <v>0</v>
      </c>
      <c r="E51" s="173">
        <f t="shared" si="4"/>
        <v>0</v>
      </c>
      <c r="F51" s="173">
        <f t="shared" si="5"/>
        <v>0</v>
      </c>
      <c r="G51" s="181">
        <f t="shared" si="0"/>
        <v>33.914769919409125</v>
      </c>
      <c r="H51" s="7"/>
      <c r="I51" s="7"/>
      <c r="J51" s="7"/>
      <c r="L51" s="167" t="s">
        <v>88</v>
      </c>
      <c r="M51" s="173">
        <f t="shared" si="6"/>
        <v>21.665867936545325</v>
      </c>
      <c r="N51" s="173">
        <f t="shared" si="7"/>
        <v>0</v>
      </c>
      <c r="O51" s="173">
        <f t="shared" si="8"/>
        <v>0</v>
      </c>
      <c r="P51" s="173">
        <f t="shared" si="9"/>
        <v>0</v>
      </c>
      <c r="Q51" s="181">
        <f t="shared" si="1"/>
        <v>21.665867936545325</v>
      </c>
    </row>
    <row r="52" spans="2:17" x14ac:dyDescent="0.2">
      <c r="B52" s="167" t="s">
        <v>91</v>
      </c>
      <c r="C52" s="173">
        <f t="shared" si="2"/>
        <v>87.636270040680003</v>
      </c>
      <c r="D52" s="173">
        <f t="shared" si="3"/>
        <v>0</v>
      </c>
      <c r="E52" s="173">
        <f t="shared" si="4"/>
        <v>0</v>
      </c>
      <c r="F52" s="173">
        <f t="shared" si="5"/>
        <v>0</v>
      </c>
      <c r="G52" s="181">
        <f t="shared" si="0"/>
        <v>87.636270040680003</v>
      </c>
      <c r="H52" s="7"/>
      <c r="I52" s="7"/>
      <c r="J52" s="7"/>
      <c r="L52" s="167" t="s">
        <v>91</v>
      </c>
      <c r="M52" s="173">
        <f t="shared" si="6"/>
        <v>65.443331705725427</v>
      </c>
      <c r="N52" s="173">
        <f t="shared" si="7"/>
        <v>0</v>
      </c>
      <c r="O52" s="173">
        <f t="shared" si="8"/>
        <v>0</v>
      </c>
      <c r="P52" s="173">
        <f t="shared" si="9"/>
        <v>0</v>
      </c>
      <c r="Q52" s="181">
        <f t="shared" si="1"/>
        <v>65.443331705725427</v>
      </c>
    </row>
    <row r="53" spans="2:17" x14ac:dyDescent="0.2">
      <c r="B53" s="167" t="s">
        <v>606</v>
      </c>
      <c r="C53" s="173">
        <f t="shared" si="2"/>
        <v>0</v>
      </c>
      <c r="D53" s="173">
        <f t="shared" si="3"/>
        <v>0</v>
      </c>
      <c r="E53" s="173">
        <f t="shared" si="4"/>
        <v>0</v>
      </c>
      <c r="F53" s="173">
        <f t="shared" si="5"/>
        <v>0</v>
      </c>
      <c r="G53" s="181">
        <f t="shared" si="0"/>
        <v>0</v>
      </c>
      <c r="H53" s="7"/>
      <c r="I53" s="7"/>
      <c r="J53" s="7"/>
      <c r="L53" s="167" t="s">
        <v>606</v>
      </c>
      <c r="M53" s="173">
        <f t="shared" si="6"/>
        <v>0</v>
      </c>
      <c r="N53" s="173">
        <f t="shared" si="7"/>
        <v>0</v>
      </c>
      <c r="O53" s="173">
        <f t="shared" si="8"/>
        <v>0</v>
      </c>
      <c r="P53" s="173">
        <f t="shared" si="9"/>
        <v>0</v>
      </c>
      <c r="Q53" s="181">
        <f t="shared" si="1"/>
        <v>0</v>
      </c>
    </row>
    <row r="54" spans="2:17" ht="12" thickBot="1" x14ac:dyDescent="0.25">
      <c r="B54" s="182" t="s">
        <v>609</v>
      </c>
      <c r="C54" s="183">
        <f>SUM(C43:C53)</f>
        <v>387.28603722424691</v>
      </c>
      <c r="D54" s="183">
        <f t="shared" ref="D54:F54" si="10">SUM(D43:D53)</f>
        <v>61.828595138711989</v>
      </c>
      <c r="E54" s="183">
        <f t="shared" si="10"/>
        <v>-73.877693696684432</v>
      </c>
      <c r="F54" s="183">
        <f t="shared" si="10"/>
        <v>22.26663527196127</v>
      </c>
      <c r="G54" s="184">
        <f>SUM(G43:G53)</f>
        <v>397.50357393823572</v>
      </c>
      <c r="H54" s="7"/>
      <c r="I54" s="7"/>
      <c r="J54" s="7"/>
      <c r="L54" s="182" t="s">
        <v>609</v>
      </c>
      <c r="M54" s="183">
        <f>SUM(M43:M53)</f>
        <v>377.34119688003176</v>
      </c>
      <c r="N54" s="183">
        <f t="shared" ref="N54" si="11">SUM(N43:N53)</f>
        <v>0</v>
      </c>
      <c r="O54" s="183">
        <f t="shared" ref="O54" si="12">SUM(O43:O53)</f>
        <v>0</v>
      </c>
      <c r="P54" s="183">
        <f t="shared" ref="P54" si="13">SUM(P43:P53)</f>
        <v>0</v>
      </c>
      <c r="Q54" s="184">
        <f>SUM(Q43:Q53)</f>
        <v>377.34119688003176</v>
      </c>
    </row>
    <row r="55" spans="2:17" x14ac:dyDescent="0.2">
      <c r="M55" s="175"/>
    </row>
    <row r="56" spans="2:17" x14ac:dyDescent="0.2">
      <c r="M56" s="17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topLeftCell="H1" workbookViewId="0">
      <selection activeCell="Q49" sqref="Q49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22</v>
      </c>
      <c r="D1" s="7" t="s">
        <v>2</v>
      </c>
      <c r="E1" s="63" t="s">
        <v>3</v>
      </c>
      <c r="F1" s="63" t="s">
        <v>71</v>
      </c>
      <c r="G1" s="61" t="s">
        <v>23</v>
      </c>
      <c r="H1" s="14">
        <f>'Stock UST'!F$1</f>
        <v>41089</v>
      </c>
      <c r="I1" s="14">
        <f>_xll.CALENDRIER.JOURS.OUVRES(H$1,"USD",1)</f>
        <v>41092</v>
      </c>
      <c r="J1" s="14">
        <f>_xll.CALENDRIER.JOURS.OUVRES(I$1,"USD",1)</f>
        <v>41093</v>
      </c>
      <c r="K1" s="14">
        <f>_xll.CALENDRIER.JOURS.OUVRES(J$1,"USD",1)</f>
        <v>41095</v>
      </c>
      <c r="L1" s="14">
        <f>_xll.CALENDRIER.JOURS.OUVRES(K$1,"USD",1)</f>
        <v>41096</v>
      </c>
      <c r="M1" s="14">
        <f>_xll.CALENDRIER.JOURS.OUVRES(L$1,"USD",1)</f>
        <v>41099</v>
      </c>
      <c r="N1" s="14">
        <f>_xll.CALENDRIER.JOURS.OUVRES(M$1,"USD",1)</f>
        <v>41100</v>
      </c>
      <c r="O1" s="14">
        <f>_xll.CALENDRIER.JOURS.OUVRES(N$1,"USD",1)</f>
        <v>41101</v>
      </c>
      <c r="P1" s="14">
        <f>_xll.CALENDRIER.JOURS.OUVRES(O$1,"USD",1)</f>
        <v>41102</v>
      </c>
      <c r="Q1" s="14">
        <f>_xll.CALENDRIER.JOURS.OUVRES(P$1,"USD",1)</f>
        <v>41103</v>
      </c>
      <c r="R1" s="14">
        <f>_xll.CALENDRIER.JOURS.OUVRES(Q$1,"USD",1)</f>
        <v>41106</v>
      </c>
      <c r="S1" s="14">
        <f>_xll.CALENDRIER.JOURS.OUVRES(R$1,"USD",1)</f>
        <v>41107</v>
      </c>
      <c r="T1" s="14">
        <f>_xll.CALENDRIER.JOURS.OUVRES(S$1,"USD",1)</f>
        <v>41108</v>
      </c>
      <c r="U1" s="14">
        <f>_xll.CALENDRIER.JOURS.OUVRES(T$1,"USD",1)</f>
        <v>41109</v>
      </c>
      <c r="V1" s="14">
        <f>_xll.CALENDRIER.JOURS.OUVRES(U$1,"USD",1)</f>
        <v>41110</v>
      </c>
      <c r="W1" s="14">
        <f>_xll.CALENDRIER.JOURS.OUVRES(V$1,"USD",1)</f>
        <v>41113</v>
      </c>
      <c r="X1" s="14">
        <f>_xll.CALENDRIER.JOURS.OUVRES(W$1,"USD",1)</f>
        <v>41114</v>
      </c>
      <c r="Y1" s="14">
        <f>_xll.CALENDRIER.JOURS.OUVRES(X$1,"USD",1)</f>
        <v>41115</v>
      </c>
      <c r="Z1" s="14">
        <f>_xll.CALENDRIER.JOURS.OUVRES(Y$1,"USD",1)</f>
        <v>41116</v>
      </c>
      <c r="AA1" s="14">
        <f>_xll.CALENDRIER.JOURS.OUVRES(Z$1,"USD",1)</f>
        <v>41117</v>
      </c>
      <c r="AB1" s="14">
        <f>_xll.CALENDRIER.JOURS.OUVRES(AA$1,"USD",1)</f>
        <v>41120</v>
      </c>
      <c r="AC1" s="14">
        <f>_xll.CALENDRIER.JOURS.OUVRES(AB$1,"USD",1)</f>
        <v>41121</v>
      </c>
      <c r="AD1" s="14">
        <f>_xll.CALENDRIER.JOURS.OUVRES(AC$1,"USD",1)</f>
        <v>41122</v>
      </c>
      <c r="AE1" s="14">
        <f>_xll.CALENDRIER.JOURS.OUVRES(AD$1,"USD",1)</f>
        <v>41123</v>
      </c>
      <c r="AF1" s="14">
        <f>_xll.CALENDRIER.JOURS.OUVRES(AE$1,"USD",1)</f>
        <v>41124</v>
      </c>
      <c r="AG1" s="14">
        <f>_xll.CALENDRIER.JOURS.OUVRES(AF$1,"USD",1)</f>
        <v>41127</v>
      </c>
      <c r="AH1" s="14">
        <f>_xll.CALENDRIER.JOURS.OUVRES(AG$1,"USD",1)</f>
        <v>41128</v>
      </c>
      <c r="AI1" s="14">
        <f>_xll.CALENDRIER.JOURS.OUVRES(AH$1,"USD",1)</f>
        <v>41129</v>
      </c>
      <c r="AJ1" s="14">
        <f>_xll.CALENDRIER.JOURS.OUVRES(AI$1,"USD",1)</f>
        <v>41130</v>
      </c>
      <c r="AK1" s="14">
        <f>_xll.CALENDRIER.JOURS.OUVRES(AJ$1,"USD",1)</f>
        <v>41131</v>
      </c>
      <c r="AL1" s="14">
        <f>_xll.CALENDRIER.JOURS.OUVRES(AK$1,"USD",1)</f>
        <v>41134</v>
      </c>
      <c r="AM1" s="14">
        <f>_xll.CALENDRIER.JOURS.OUVRES(AL$1,"USD",1)</f>
        <v>41135</v>
      </c>
      <c r="AN1" s="14">
        <f>_xll.CALENDRIER.JOURS.OUVRES(AM$1,"USD",1)</f>
        <v>41136</v>
      </c>
      <c r="AO1" s="14">
        <f>_xll.CALENDRIER.JOURS.OUVRES(AN$1,"USD",1)</f>
        <v>41137</v>
      </c>
      <c r="AP1" s="14">
        <f>_xll.CALENDRIER.JOURS.OUVRES(AO$1,"USD",1)</f>
        <v>41138</v>
      </c>
      <c r="AQ1" s="14">
        <f>_xll.CALENDRIER.JOURS.OUVRES(AP$1,"USD",1)</f>
        <v>41141</v>
      </c>
      <c r="AR1" s="14">
        <f>_xll.CALENDRIER.JOURS.OUVRES(AQ$1,"USD",1)</f>
        <v>41142</v>
      </c>
      <c r="AS1" s="14">
        <f>_xll.CALENDRIER.JOURS.OUVRES(AR$1,"USD",1)</f>
        <v>41143</v>
      </c>
      <c r="AT1" s="14">
        <f>_xll.CALENDRIER.JOURS.OUVRES(AS$1,"USD",1)</f>
        <v>41144</v>
      </c>
      <c r="AU1" s="14">
        <f>_xll.CALENDRIER.JOURS.OUVRES(AT$1,"USD",1)</f>
        <v>41145</v>
      </c>
      <c r="AV1" s="14">
        <f>_xll.CALENDRIER.JOURS.OUVRES(AU$1,"USD",1)</f>
        <v>41148</v>
      </c>
      <c r="AW1" s="14">
        <f>_xll.CALENDRIER.JOURS.OUVRES(AV$1,"USD",1)</f>
        <v>41149</v>
      </c>
      <c r="AX1" s="14">
        <f>_xll.CALENDRIER.JOURS.OUVRES(AW$1,"USD",1)</f>
        <v>41150</v>
      </c>
      <c r="AY1" s="14">
        <f>_xll.CALENDRIER.JOURS.OUVRES(AX$1,"USD",1)</f>
        <v>41151</v>
      </c>
      <c r="AZ1" s="14">
        <f>_xll.CALENDRIER.JOURS.OUVRES(AY$1,"USD",1)</f>
        <v>41152</v>
      </c>
      <c r="BA1" s="14">
        <f>_xll.CALENDRIER.JOURS.OUVRES(AZ$1,"USD",1)</f>
        <v>41156</v>
      </c>
      <c r="BB1" s="14">
        <f>_xll.CALENDRIER.JOURS.OUVRES(BA$1,"USD",1)</f>
        <v>41157</v>
      </c>
      <c r="BC1" s="14">
        <f>_xll.CALENDRIER.JOURS.OUVRES(BB$1,"USD",1)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>
        <f ca="1">IF(A2="",0,IF(LEFT(C2,3) = "USB",100*(1-_xll.BDP(D2 &amp; " Govt",E$1)*(B2-TODAY()+1)/36000),_xll.BDP(D2 &amp; " Govt",E$1)))</f>
        <v>99.938506949775757</v>
      </c>
      <c r="F2" s="62">
        <f ca="1">IF(A2="",0,IF(LEFT(D2,1) = "B",0,_xll.BDP(D2 &amp; " Govt",F$1)))</f>
        <v>0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413745418.7720716</v>
      </c>
      <c r="I2" s="9">
        <f ca="1">IF(Stock!D2="",0,IF(ISNUMBER($E2),($E2+$F2)*Stock!D2/100,Stock!D2))</f>
        <v>413745418.7720716</v>
      </c>
      <c r="J2" s="9">
        <f ca="1">IF(Stock!E2="",0,IF(ISNUMBER($E2),($E2+$F2)*Stock!E2/100,Stock!E2))</f>
        <v>413745418.7720716</v>
      </c>
      <c r="K2" s="9">
        <f ca="1">IF(Stock!F2="",0,IF(ISNUMBER($E2),($E2+$F2)*Stock!F2/100,Stock!F2))</f>
        <v>413745418.7720716</v>
      </c>
      <c r="L2" s="9">
        <f ca="1">IF(Stock!G2="",0,IF(ISNUMBER($E2),($E2+$F2)*Stock!G2/100,Stock!G2))</f>
        <v>413745418.7720716</v>
      </c>
      <c r="M2" s="9">
        <f ca="1">IF(Stock!H2="",0,IF(ISNUMBER($E2),($E2+$F2)*Stock!H2/100,Stock!H2))</f>
        <v>413745418.7720716</v>
      </c>
      <c r="N2" s="9">
        <f ca="1">IF(Stock!I2="",0,IF(ISNUMBER($E2),($E2+$F2)*Stock!I2/100,Stock!I2))</f>
        <v>413745418.7720716</v>
      </c>
      <c r="O2" s="9">
        <f ca="1">IF(Stock!J2="",0,IF(ISNUMBER($E2),($E2+$F2)*Stock!J2/100,Stock!J2))</f>
        <v>413745418.7720716</v>
      </c>
      <c r="P2" s="9">
        <f ca="1">IF(Stock!K2="",0,IF(ISNUMBER($E2),($E2+$F2)*Stock!K2/100,Stock!K2))</f>
        <v>413745418.7720716</v>
      </c>
      <c r="Q2" s="9">
        <f ca="1">IF(Stock!L2="",0,IF(ISNUMBER($E2),($E2+$F2)*Stock!L2/100,Stock!L2))</f>
        <v>413745418.7720716</v>
      </c>
      <c r="R2" s="9">
        <f ca="1">IF(Stock!M2="",0,IF(ISNUMBER($E2),($E2+$F2)*Stock!M2/100,Stock!M2))</f>
        <v>413745418.7720716</v>
      </c>
      <c r="S2" s="9">
        <f ca="1">IF(Stock!N2="",0,IF(ISNUMBER($E2),($E2+$F2)*Stock!N2/100,Stock!N2))</f>
        <v>413745418.7720716</v>
      </c>
      <c r="T2" s="9">
        <f ca="1">IF(Stock!O2="",0,IF(ISNUMBER($E2),($E2+$F2)*Stock!O2/100,Stock!O2))</f>
        <v>413745418.7720716</v>
      </c>
      <c r="U2" s="9">
        <f ca="1">IF(Stock!P2="",0,IF(ISNUMBER($E2),($E2+$F2)*Stock!P2/100,Stock!P2))</f>
        <v>413745418.7720716</v>
      </c>
      <c r="V2" s="9">
        <f ca="1">IF(Stock!Q2="",0,IF(ISNUMBER($E2),($E2+$F2)*Stock!Q2/100,Stock!Q2))</f>
        <v>413745418.7720716</v>
      </c>
      <c r="W2" s="9">
        <f ca="1">IF(Stock!R2="",0,IF(ISNUMBER($E2),($E2+$F2)*Stock!R2/100,Stock!R2))</f>
        <v>413745418.7720716</v>
      </c>
      <c r="X2" s="9">
        <f ca="1">IF(Stock!S2="",0,IF(ISNUMBER($E2),($E2+$F2)*Stock!S2/100,Stock!S2))</f>
        <v>413745418.7720716</v>
      </c>
      <c r="Y2" s="9">
        <f ca="1">IF(Stock!T2="",0,IF(ISNUMBER($E2),($E2+$F2)*Stock!T2/100,Stock!T2))</f>
        <v>413745418.7720716</v>
      </c>
      <c r="Z2" s="9">
        <f ca="1">IF(Stock!U2="",0,IF(ISNUMBER($E2),($E2+$F2)*Stock!U2/100,Stock!U2))</f>
        <v>413745418.7720716</v>
      </c>
      <c r="AA2" s="9">
        <f ca="1">IF(Stock!V2="",0,IF(ISNUMBER($E2),($E2+$F2)*Stock!V2/100,Stock!V2))</f>
        <v>413745418.7720716</v>
      </c>
      <c r="AB2" s="9">
        <f ca="1">IF(Stock!W2="",0,IF(ISNUMBER($E2),($E2+$F2)*Stock!W2/100,Stock!W2))</f>
        <v>413745418.7720716</v>
      </c>
      <c r="AC2" s="9">
        <f ca="1">IF(Stock!X2="",0,IF(ISNUMBER($E2),($E2+$F2)*Stock!X2/100,Stock!X2))</f>
        <v>413745418.7720716</v>
      </c>
      <c r="AD2" s="9">
        <f ca="1">IF(Stock!Y2="",0,IF(ISNUMBER($E2),($E2+$F2)*Stock!Y2/100,Stock!Y2))</f>
        <v>413745418.7720716</v>
      </c>
      <c r="AE2" s="9">
        <f ca="1">IF(Stock!Z2="",0,IF(ISNUMBER($E2),($E2+$F2)*Stock!Z2/100,Stock!Z2))</f>
        <v>413745418.7720716</v>
      </c>
      <c r="AF2" s="9">
        <f ca="1">IF(Stock!AA2="",0,IF(ISNUMBER($E2),($E2+$F2)*Stock!AA2/100,Stock!AA2))</f>
        <v>413745418.7720716</v>
      </c>
      <c r="AG2" s="9">
        <f ca="1">IF(Stock!AB2="",0,IF(ISNUMBER($E2),($E2+$F2)*Stock!AB2/100,Stock!AB2))</f>
        <v>413745418.7720716</v>
      </c>
      <c r="AH2" s="9">
        <f ca="1">IF(Stock!AC2="",0,IF(ISNUMBER($E2),($E2+$F2)*Stock!AC2/100,Stock!AC2))</f>
        <v>413745418.7720716</v>
      </c>
      <c r="AI2" s="9">
        <f ca="1">IF(Stock!AD2="",0,IF(ISNUMBER($E2),($E2+$F2)*Stock!AD2/100,Stock!AD2))</f>
        <v>413745418.7720716</v>
      </c>
      <c r="AJ2" s="9">
        <f ca="1">IF(Stock!AE2="",0,IF(ISNUMBER($E2),($E2+$F2)*Stock!AE2/100,Stock!AE2))</f>
        <v>413745418.7720716</v>
      </c>
      <c r="AK2" s="9">
        <f ca="1">IF(Stock!AF2="",0,IF(ISNUMBER($E2),($E2+$F2)*Stock!AF2/100,Stock!AF2))</f>
        <v>413745418.7720716</v>
      </c>
      <c r="AL2" s="9">
        <f ca="1">IF(Stock!AG2="",0,IF(ISNUMBER($E2),($E2+$F2)*Stock!AG2/100,Stock!AG2))</f>
        <v>413745418.7720716</v>
      </c>
      <c r="AM2" s="9">
        <f ca="1">IF(Stock!AH2="",0,IF(ISNUMBER($E2),($E2+$F2)*Stock!AH2/100,Stock!AH2))</f>
        <v>413745418.7720716</v>
      </c>
      <c r="AN2" s="9">
        <f ca="1">IF(Stock!AI2="",0,IF(ISNUMBER($E2),($E2+$F2)*Stock!AI2/100,Stock!AI2))</f>
        <v>413745418.7720716</v>
      </c>
      <c r="AO2" s="9">
        <f ca="1">IF(Stock!AJ2="",0,IF(ISNUMBER($E2),($E2+$F2)*Stock!AJ2/100,Stock!AJ2))</f>
        <v>413745418.7720716</v>
      </c>
      <c r="AP2" s="9">
        <f ca="1">IF(Stock!AK2="",0,IF(ISNUMBER($E2),($E2+$F2)*Stock!AK2/100,Stock!AK2))</f>
        <v>413745418.7720716</v>
      </c>
      <c r="AQ2" s="9">
        <f ca="1">IF(Stock!AL2="",0,IF(ISNUMBER($E2),($E2+$F2)*Stock!AL2/100,Stock!AL2))</f>
        <v>413745418.7720716</v>
      </c>
      <c r="AR2" s="9">
        <f ca="1">IF(Stock!AM2="",0,IF(ISNUMBER($E2),($E2+$F2)*Stock!AM2/100,Stock!AM2))</f>
        <v>413745418.7720716</v>
      </c>
      <c r="AS2" s="9">
        <f ca="1">IF(Stock!AN2="",0,IF(ISNUMBER($E2),($E2+$F2)*Stock!AN2/100,Stock!AN2))</f>
        <v>413745418.7720716</v>
      </c>
      <c r="AT2" s="9">
        <f ca="1">IF(Stock!AO2="",0,IF(ISNUMBER($E2),($E2+$F2)*Stock!AO2/100,Stock!AO2))</f>
        <v>413745418.7720716</v>
      </c>
      <c r="AU2" s="9">
        <f ca="1">IF(Stock!AP2="",0,IF(ISNUMBER($E2),($E2+$F2)*Stock!AP2/100,Stock!AP2))</f>
        <v>413745418.7720716</v>
      </c>
      <c r="AV2" s="9">
        <f ca="1">IF(Stock!AQ2="",0,IF(ISNUMBER($E2),($E2+$F2)*Stock!AQ2/100,Stock!AQ2))</f>
        <v>413745418.7720716</v>
      </c>
      <c r="AW2" s="9">
        <f ca="1">IF(Stock!AR2="",0,IF(ISNUMBER($E2),($E2+$F2)*Stock!AR2/100,Stock!AR2))</f>
        <v>413745418.7720716</v>
      </c>
      <c r="AX2" s="9">
        <f ca="1">IF(Stock!AS2="",0,IF(ISNUMBER($E2),($E2+$F2)*Stock!AS2/100,Stock!AS2))</f>
        <v>413745418.7720716</v>
      </c>
      <c r="AY2" s="9">
        <f ca="1">IF(Stock!AT2="",0,IF(ISNUMBER($E2),($E2+$F2)*Stock!AT2/100,Stock!AT2))</f>
        <v>413745418.7720716</v>
      </c>
      <c r="AZ2" s="9">
        <f ca="1">IF(Stock!AU2="",0,IF(ISNUMBER($E2),($E2+$F2)*Stock!AU2/100,Stock!AU2))</f>
        <v>413745418.7720716</v>
      </c>
      <c r="BA2" s="9">
        <f ca="1">IF(Stock!AV2="",0,IF(ISNUMBER($E2),($E2+$F2)*Stock!AV2/100,Stock!AV2))</f>
        <v>413745418.7720716</v>
      </c>
      <c r="BB2" s="9">
        <f ca="1">IF(Stock!AW2="",0,IF(ISNUMBER($E2),($E2+$F2)*Stock!AW2/100,Stock!AW2))</f>
        <v>413745418.7720716</v>
      </c>
      <c r="BC2" s="9">
        <f ca="1">IF(Stock!AX2="",0,IF(ISNUMBER($E2),($E2+$F2)*Stock!AX2/100,Stock!AX2))</f>
        <v>413745418.7720716</v>
      </c>
      <c r="BE2" s="9" t="str">
        <f ca="1">IF(Repo!BC6="","",IF(ISNUMBER($E2),$E2*Repo!BC6/100,Repo!BC6))</f>
        <v/>
      </c>
      <c r="BF2" s="9" t="str">
        <f ca="1">IF(Repo!BD6="","",IF(ISNUMBER($E2),$E2*Repo!BD6/100,Repo!BD6))</f>
        <v/>
      </c>
      <c r="BG2" s="9" t="str">
        <f ca="1">IF(Repo!BE6="","",IF(ISNUMBER($E2),$E2*Repo!BE6/100,Repo!BE6))</f>
        <v/>
      </c>
      <c r="BH2" s="9" t="str">
        <f ca="1">IF(Repo!BF6="","",IF(ISNUMBER($E2),$E2*Repo!BF6/100,Repo!BF6))</f>
        <v/>
      </c>
      <c r="BI2" s="9" t="str">
        <f ca="1">IF(Repo!BG6="","",IF(ISNUMBER($E2),$E2*Repo!BG6/100,Repo!BG6))</f>
        <v/>
      </c>
      <c r="BJ2" s="9" t="str">
        <f ca="1">IF(Repo!BH6="","",IF(ISNUMBER($E2),$E2*Repo!BH6/100,Repo!BH6))</f>
        <v/>
      </c>
      <c r="BK2" s="9" t="str">
        <f ca="1">IF(Repo!BI6="","",IF(ISNUMBER($E2),$E2*Repo!BI6/100,Repo!BI6))</f>
        <v/>
      </c>
      <c r="BL2" s="9" t="str">
        <f ca="1">IF(Repo!BJ6="","",IF(ISNUMBER($E2),$E2*Repo!BJ6/100,Repo!BJ6))</f>
        <v/>
      </c>
      <c r="BM2" s="9" t="str">
        <f ca="1">IF(Repo!BK6="","",IF(ISNUMBER($E2),$E2*Repo!BK6/100,Repo!BK6))</f>
        <v/>
      </c>
      <c r="BN2" s="9" t="str">
        <f ca="1">IF(Repo!BL6="","",IF(ISNUMBER($E2),$E2*Repo!BL6/100,Repo!BL6))</f>
        <v/>
      </c>
      <c r="BO2" s="9" t="str">
        <f ca="1">IF(Repo!BM6="","",IF(ISNUMBER($E2),$E2*Repo!BM6/100,Repo!BM6))</f>
        <v/>
      </c>
      <c r="BP2" s="9" t="str">
        <f ca="1">IF(Repo!BN6="","",IF(ISNUMBER($E2),$E2*Repo!BN6/100,Repo!BN6))</f>
        <v/>
      </c>
      <c r="BQ2" s="9" t="str">
        <f ca="1">IF(Repo!BO6="","",IF(ISNUMBER($E2),$E2*Repo!BO6/100,Repo!BO6))</f>
        <v/>
      </c>
      <c r="BR2" s="9" t="str">
        <f ca="1">IF(Repo!BP6="","",IF(ISNUMBER($E2),$E2*Repo!BP6/100,Repo!BP6))</f>
        <v/>
      </c>
      <c r="BS2" s="9" t="str">
        <f ca="1">IF(Repo!BQ6="","",IF(ISNUMBER($E2),$E2*Repo!BQ6/100,Repo!BQ6))</f>
        <v/>
      </c>
      <c r="BT2" s="9" t="str">
        <f ca="1">IF(Repo!BR6="","",IF(ISNUMBER($E2),$E2*Repo!BR6/100,Repo!BR6))</f>
        <v/>
      </c>
      <c r="BU2" s="9" t="str">
        <f ca="1">IF(Repo!BS6="","",IF(ISNUMBER($E2),$E2*Repo!BS6/100,Repo!BS6))</f>
        <v/>
      </c>
      <c r="BV2" s="9" t="str">
        <f ca="1">IF(Repo!BT6="","",IF(ISNUMBER($E2),$E2*Repo!BT6/100,Repo!BT6))</f>
        <v/>
      </c>
      <c r="BW2" s="9" t="str">
        <f ca="1">IF(Repo!BU6="","",IF(ISNUMBER($E2),$E2*Repo!BU6/100,Repo!BU6))</f>
        <v/>
      </c>
      <c r="BX2" s="9" t="str">
        <f ca="1">IF(Repo!BV6="","",IF(ISNUMBER($E2),$E2*Repo!BV6/100,Repo!BV6))</f>
        <v/>
      </c>
      <c r="BY2" s="9" t="str">
        <f ca="1">IF(Repo!BW6="","",IF(ISNUMBER($E2),$E2*Repo!BW6/100,Repo!BW6))</f>
        <v/>
      </c>
      <c r="BZ2" s="9" t="str">
        <f ca="1">IF(Repo!BX6="","",IF(ISNUMBER($E2),$E2*Repo!BX6/100,Repo!BX6))</f>
        <v/>
      </c>
      <c r="CA2" s="9" t="str">
        <f ca="1">IF(Repo!BY6="","",IF(ISNUMBER($E2),$E2*Repo!BY6/100,Repo!BY6))</f>
        <v/>
      </c>
      <c r="CB2" s="9" t="str">
        <f ca="1">IF(Repo!BZ6="","",IF(ISNUMBER($E2),$E2*Repo!BZ6/100,Repo!BZ6))</f>
        <v/>
      </c>
      <c r="CC2" s="9" t="str">
        <f ca="1">IF(Repo!CA6="","",IF(ISNUMBER($E2),$E2*Repo!CA6/100,Repo!CA6))</f>
        <v/>
      </c>
      <c r="CD2" s="9" t="str">
        <f ca="1">IF(Repo!CB6="","",IF(ISNUMBER($E2),$E2*Repo!CB6/100,Repo!CB6))</f>
        <v/>
      </c>
      <c r="CE2" s="9" t="str">
        <f ca="1">IF(Repo!CC6="","",IF(ISNUMBER($E2),$E2*Repo!CC6/100,Repo!CC6))</f>
        <v/>
      </c>
      <c r="CF2" s="9" t="str">
        <f ca="1">IF(Repo!CD6="","",IF(ISNUMBER($E2),$E2*Repo!CD6/100,Repo!CD6))</f>
        <v/>
      </c>
      <c r="CG2" s="9" t="str">
        <f ca="1">IF(Repo!CE6="","",IF(ISNUMBER($E2),$E2*Repo!CE6/100,Repo!CE6))</f>
        <v/>
      </c>
      <c r="CH2" s="9" t="str">
        <f ca="1">IF(Repo!CF6="","",IF(ISNUMBER($E2),$E2*Repo!CF6/100,Repo!CF6))</f>
        <v/>
      </c>
      <c r="CI2" s="9" t="str">
        <f ca="1">IF(Repo!CG6="","",IF(ISNUMBER($E2),$E2*Repo!CG6/100,Repo!CG6))</f>
        <v/>
      </c>
      <c r="CJ2" s="9" t="str">
        <f ca="1">IF(Repo!CH6="","",IF(ISNUMBER($E2),$E2*Repo!CH6/100,Repo!CH6))</f>
        <v/>
      </c>
      <c r="CK2" s="9" t="str">
        <f ca="1">IF(Repo!CI6="","",IF(ISNUMBER($E2),$E2*Repo!CI6/100,Repo!CI6))</f>
        <v/>
      </c>
      <c r="CL2" s="9" t="str">
        <f ca="1">IF(Repo!CJ6="","",IF(ISNUMBER($E2),$E2*Repo!CJ6/100,Repo!CJ6))</f>
        <v/>
      </c>
      <c r="CM2" s="9" t="str">
        <f ca="1">IF(Repo!CK6="","",IF(ISNUMBER($E2),$E2*Repo!CK6/100,Repo!CK6))</f>
        <v/>
      </c>
      <c r="CN2" s="9" t="str">
        <f ca="1">IF(Repo!CL6="","",IF(ISNUMBER($E2),$E2*Repo!CL6/100,Repo!CL6))</f>
        <v/>
      </c>
      <c r="CO2" s="9" t="str">
        <f ca="1">IF(Repo!CM6="","",IF(ISNUMBER($E2),$E2*Repo!CM6/100,Repo!CM6))</f>
        <v/>
      </c>
      <c r="CP2" s="9" t="str">
        <f ca="1">IF(Repo!CN6="","",IF(ISNUMBER($E2),$E2*Repo!CN6/100,Repo!CN6))</f>
        <v/>
      </c>
      <c r="CQ2" s="9" t="str">
        <f ca="1">IF(Repo!CO6="","",IF(ISNUMBER($E2),$E2*Repo!CO6/100,Repo!CO6))</f>
        <v/>
      </c>
      <c r="CR2" s="9" t="str">
        <f ca="1">IF(Repo!CP6="","",IF(ISNUMBER($E2),$E2*Repo!CP6/100,Repo!CP6))</f>
        <v/>
      </c>
      <c r="CS2" s="9" t="str">
        <f ca="1"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>
        <f ca="1">IF(A3="",0,IF(LEFT(C3,3) = "USB",100*(1-_xll.BDP(D3 &amp; " Govt",E$1)*(B3-TODAY()+1)/36000),_xll.BDP(D3 &amp; " Govt",E$1)))</f>
        <v>99.920374985535943</v>
      </c>
      <c r="F3" s="62">
        <f ca="1">IF(A3="",0,IF(LEFT(D3,1) = "B",0,_xll.BDP(D3 &amp; " Govt",F$1)))</f>
        <v>0</v>
      </c>
      <c r="G3" s="9">
        <f ca="1">IF(Stock!B3="",0,IF(ISNUMBER($E3),($E3+$F3)*Stock!B3/100,Stock!B3))</f>
        <v>399681499.9421438</v>
      </c>
      <c r="H3" s="9">
        <f ca="1">IF(Stock!C3="",0,IF(ISNUMBER($E3),($E3+$F3)*Stock!C3/100,Stock!C3))</f>
        <v>399681499.9421438</v>
      </c>
      <c r="I3" s="9">
        <f ca="1">IF(Stock!D3="",0,IF(ISNUMBER($E3),($E3+$F3)*Stock!D3/100,Stock!D3))</f>
        <v>399681499.9421438</v>
      </c>
      <c r="J3" s="9">
        <f ca="1">IF(Stock!E3="",0,IF(ISNUMBER($E3),($E3+$F3)*Stock!E3/100,Stock!E3))</f>
        <v>399681499.9421438</v>
      </c>
      <c r="K3" s="9">
        <f ca="1">IF(Stock!F3="",0,IF(ISNUMBER($E3),($E3+$F3)*Stock!F3/100,Stock!F3))</f>
        <v>399681499.9421438</v>
      </c>
      <c r="L3" s="9">
        <f ca="1">IF(Stock!G3="",0,IF(ISNUMBER($E3),($E3+$F3)*Stock!G3/100,Stock!G3))</f>
        <v>399681499.9421438</v>
      </c>
      <c r="M3" s="9">
        <f ca="1">IF(Stock!H3="",0,IF(ISNUMBER($E3),($E3+$F3)*Stock!H3/100,Stock!H3))</f>
        <v>399681499.9421438</v>
      </c>
      <c r="N3" s="9">
        <f ca="1">IF(Stock!I3="",0,IF(ISNUMBER($E3),($E3+$F3)*Stock!I3/100,Stock!I3))</f>
        <v>399681499.9421438</v>
      </c>
      <c r="O3" s="9">
        <f ca="1">IF(Stock!J3="",0,IF(ISNUMBER($E3),($E3+$F3)*Stock!J3/100,Stock!J3))</f>
        <v>399681499.9421438</v>
      </c>
      <c r="P3" s="9">
        <f ca="1">IF(Stock!K3="",0,IF(ISNUMBER($E3),($E3+$F3)*Stock!K3/100,Stock!K3))</f>
        <v>399681499.9421438</v>
      </c>
      <c r="Q3" s="9">
        <f ca="1">IF(Stock!L3="",0,IF(ISNUMBER($E3),($E3+$F3)*Stock!L3/100,Stock!L3))</f>
        <v>399681499.9421438</v>
      </c>
      <c r="R3" s="9">
        <f ca="1">IF(Stock!M3="",0,IF(ISNUMBER($E3),($E3+$F3)*Stock!M3/100,Stock!M3))</f>
        <v>399681499.9421438</v>
      </c>
      <c r="S3" s="9">
        <f ca="1">IF(Stock!N3="",0,IF(ISNUMBER($E3),($E3+$F3)*Stock!N3/100,Stock!N3))</f>
        <v>399681499.9421438</v>
      </c>
      <c r="T3" s="9">
        <f ca="1">IF(Stock!O3="",0,IF(ISNUMBER($E3),($E3+$F3)*Stock!O3/100,Stock!O3))</f>
        <v>399681499.9421438</v>
      </c>
      <c r="U3" s="9">
        <f ca="1">IF(Stock!P3="",0,IF(ISNUMBER($E3),($E3+$F3)*Stock!P3/100,Stock!P3))</f>
        <v>399681499.9421438</v>
      </c>
      <c r="V3" s="9">
        <f ca="1">IF(Stock!Q3="",0,IF(ISNUMBER($E3),($E3+$F3)*Stock!Q3/100,Stock!Q3))</f>
        <v>399681499.9421438</v>
      </c>
      <c r="W3" s="9">
        <f ca="1">IF(Stock!R3="",0,IF(ISNUMBER($E3),($E3+$F3)*Stock!R3/100,Stock!R3))</f>
        <v>399681499.9421438</v>
      </c>
      <c r="X3" s="9">
        <f ca="1">IF(Stock!S3="",0,IF(ISNUMBER($E3),($E3+$F3)*Stock!S3/100,Stock!S3))</f>
        <v>399681499.9421438</v>
      </c>
      <c r="Y3" s="9">
        <f ca="1">IF(Stock!T3="",0,IF(ISNUMBER($E3),($E3+$F3)*Stock!T3/100,Stock!T3))</f>
        <v>399681499.9421438</v>
      </c>
      <c r="Z3" s="9">
        <f ca="1">IF(Stock!U3="",0,IF(ISNUMBER($E3),($E3+$F3)*Stock!U3/100,Stock!U3))</f>
        <v>399681499.9421438</v>
      </c>
      <c r="AA3" s="9">
        <f ca="1">IF(Stock!V3="",0,IF(ISNUMBER($E3),($E3+$F3)*Stock!V3/100,Stock!V3))</f>
        <v>399681499.9421438</v>
      </c>
      <c r="AB3" s="9">
        <f ca="1">IF(Stock!W3="",0,IF(ISNUMBER($E3),($E3+$F3)*Stock!W3/100,Stock!W3))</f>
        <v>399681499.9421438</v>
      </c>
      <c r="AC3" s="9">
        <f ca="1">IF(Stock!X3="",0,IF(ISNUMBER($E3),($E3+$F3)*Stock!X3/100,Stock!X3))</f>
        <v>399681499.9421438</v>
      </c>
      <c r="AD3" s="9">
        <f ca="1">IF(Stock!Y3="",0,IF(ISNUMBER($E3),($E3+$F3)*Stock!Y3/100,Stock!Y3))</f>
        <v>399681499.9421438</v>
      </c>
      <c r="AE3" s="9">
        <f ca="1">IF(Stock!Z3="",0,IF(ISNUMBER($E3),($E3+$F3)*Stock!Z3/100,Stock!Z3))</f>
        <v>399681499.9421438</v>
      </c>
      <c r="AF3" s="9">
        <f ca="1">IF(Stock!AA3="",0,IF(ISNUMBER($E3),($E3+$F3)*Stock!AA3/100,Stock!AA3))</f>
        <v>399681499.9421438</v>
      </c>
      <c r="AG3" s="9">
        <f ca="1">IF(Stock!AB3="",0,IF(ISNUMBER($E3),($E3+$F3)*Stock!AB3/100,Stock!AB3))</f>
        <v>399681499.9421438</v>
      </c>
      <c r="AH3" s="9">
        <f ca="1">IF(Stock!AC3="",0,IF(ISNUMBER($E3),($E3+$F3)*Stock!AC3/100,Stock!AC3))</f>
        <v>399681499.9421438</v>
      </c>
      <c r="AI3" s="9">
        <f ca="1">IF(Stock!AD3="",0,IF(ISNUMBER($E3),($E3+$F3)*Stock!AD3/100,Stock!AD3))</f>
        <v>399681499.9421438</v>
      </c>
      <c r="AJ3" s="9">
        <f ca="1">IF(Stock!AE3="",0,IF(ISNUMBER($E3),($E3+$F3)*Stock!AE3/100,Stock!AE3))</f>
        <v>399681499.9421438</v>
      </c>
      <c r="AK3" s="9">
        <f ca="1">IF(Stock!AF3="",0,IF(ISNUMBER($E3),($E3+$F3)*Stock!AF3/100,Stock!AF3))</f>
        <v>399681499.9421438</v>
      </c>
      <c r="AL3" s="9">
        <f ca="1">IF(Stock!AG3="",0,IF(ISNUMBER($E3),($E3+$F3)*Stock!AG3/100,Stock!AG3))</f>
        <v>399681499.9421438</v>
      </c>
      <c r="AM3" s="9">
        <f ca="1">IF(Stock!AH3="",0,IF(ISNUMBER($E3),($E3+$F3)*Stock!AH3/100,Stock!AH3))</f>
        <v>399681499.9421438</v>
      </c>
      <c r="AN3" s="9">
        <f ca="1">IF(Stock!AI3="",0,IF(ISNUMBER($E3),($E3+$F3)*Stock!AI3/100,Stock!AI3))</f>
        <v>399681499.9421438</v>
      </c>
      <c r="AO3" s="9">
        <f ca="1">IF(Stock!AJ3="",0,IF(ISNUMBER($E3),($E3+$F3)*Stock!AJ3/100,Stock!AJ3))</f>
        <v>399681499.9421438</v>
      </c>
      <c r="AP3" s="9">
        <f ca="1">IF(Stock!AK3="",0,IF(ISNUMBER($E3),($E3+$F3)*Stock!AK3/100,Stock!AK3))</f>
        <v>399681499.9421438</v>
      </c>
      <c r="AQ3" s="9">
        <f ca="1">IF(Stock!AL3="",0,IF(ISNUMBER($E3),($E3+$F3)*Stock!AL3/100,Stock!AL3))</f>
        <v>399681499.9421438</v>
      </c>
      <c r="AR3" s="9">
        <f ca="1">IF(Stock!AM3="",0,IF(ISNUMBER($E3),($E3+$F3)*Stock!AM3/100,Stock!AM3))</f>
        <v>399681499.9421438</v>
      </c>
      <c r="AS3" s="9">
        <f ca="1">IF(Stock!AN3="",0,IF(ISNUMBER($E3),($E3+$F3)*Stock!AN3/100,Stock!AN3))</f>
        <v>399681499.9421438</v>
      </c>
      <c r="AT3" s="9">
        <f ca="1">IF(Stock!AO3="",0,IF(ISNUMBER($E3),($E3+$F3)*Stock!AO3/100,Stock!AO3))</f>
        <v>399681499.9421438</v>
      </c>
      <c r="AU3" s="9">
        <f ca="1">IF(Stock!AP3="",0,IF(ISNUMBER($E3),($E3+$F3)*Stock!AP3/100,Stock!AP3))</f>
        <v>399681499.9421438</v>
      </c>
      <c r="AV3" s="9">
        <f ca="1">IF(Stock!AQ3="",0,IF(ISNUMBER($E3),($E3+$F3)*Stock!AQ3/100,Stock!AQ3))</f>
        <v>399681499.9421438</v>
      </c>
      <c r="AW3" s="9">
        <f ca="1">IF(Stock!AR3="",0,IF(ISNUMBER($E3),($E3+$F3)*Stock!AR3/100,Stock!AR3))</f>
        <v>399681499.9421438</v>
      </c>
      <c r="AX3" s="9">
        <f ca="1">IF(Stock!AS3="",0,IF(ISNUMBER($E3),($E3+$F3)*Stock!AS3/100,Stock!AS3))</f>
        <v>399681499.9421438</v>
      </c>
      <c r="AY3" s="9">
        <f ca="1">IF(Stock!AT3="",0,IF(ISNUMBER($E3),($E3+$F3)*Stock!AT3/100,Stock!AT3))</f>
        <v>399681499.9421438</v>
      </c>
      <c r="AZ3" s="9">
        <f ca="1">IF(Stock!AU3="",0,IF(ISNUMBER($E3),($E3+$F3)*Stock!AU3/100,Stock!AU3))</f>
        <v>399681499.9421438</v>
      </c>
      <c r="BA3" s="9">
        <f ca="1">IF(Stock!AV3="",0,IF(ISNUMBER($E3),($E3+$F3)*Stock!AV3/100,Stock!AV3))</f>
        <v>399681499.9421438</v>
      </c>
      <c r="BB3" s="9">
        <f ca="1">IF(Stock!AW3="",0,IF(ISNUMBER($E3),($E3+$F3)*Stock!AW3/100,Stock!AW3))</f>
        <v>399681499.9421438</v>
      </c>
      <c r="BC3" s="9">
        <f ca="1">IF(Stock!AX3="",0,IF(ISNUMBER($E3),($E3+$F3)*Stock!AX3/100,Stock!AX3))</f>
        <v>399681499.9421438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>
        <f ca="1">IF(A4="",0,IF(LEFT(C4,3) = "USB",100*(1-_xll.BDP(D4 &amp; " Govt",E$1)*(B4-TODAY()+1)/36000),_xll.BDP(D4 &amp; " Govt",E$1)))</f>
        <v>99.861944437026978</v>
      </c>
      <c r="F4" s="62">
        <f ca="1">IF(A4="",0,IF(LEFT(D4,1) = "B",0,_xll.BDP(D4 &amp; " Govt",F$1)))</f>
        <v>0</v>
      </c>
      <c r="G4" s="9">
        <f ca="1">IF(Stock!B4="",0,IF(ISNUMBER($E4),($E4+$F4)*Stock!B4/100,Stock!B4))</f>
        <v>0</v>
      </c>
      <c r="H4" s="9">
        <f ca="1">IF(Stock!C4="",0,IF(ISNUMBER($E4),($E4+$F4)*Stock!C4/100,Stock!C4))</f>
        <v>499309722.18513489</v>
      </c>
      <c r="I4" s="9">
        <f ca="1">IF(Stock!D4="",0,IF(ISNUMBER($E4),($E4+$F4)*Stock!D4/100,Stock!D4))</f>
        <v>499309722.18513489</v>
      </c>
      <c r="J4" s="9">
        <f ca="1">IF(Stock!E4="",0,IF(ISNUMBER($E4),($E4+$F4)*Stock!E4/100,Stock!E4))</f>
        <v>499309722.18513489</v>
      </c>
      <c r="K4" s="9">
        <f ca="1">IF(Stock!F4="",0,IF(ISNUMBER($E4),($E4+$F4)*Stock!F4/100,Stock!F4))</f>
        <v>499309722.18513489</v>
      </c>
      <c r="L4" s="9">
        <f ca="1">IF(Stock!G4="",0,IF(ISNUMBER($E4),($E4+$F4)*Stock!G4/100,Stock!G4))</f>
        <v>998619444.37026978</v>
      </c>
      <c r="M4" s="9">
        <f ca="1">IF(Stock!H4="",0,IF(ISNUMBER($E4),($E4+$F4)*Stock!H4/100,Stock!H4))</f>
        <v>998619444.37026978</v>
      </c>
      <c r="N4" s="9">
        <f ca="1">IF(Stock!I4="",0,IF(ISNUMBER($E4),($E4+$F4)*Stock!I4/100,Stock!I4))</f>
        <v>998619444.37026978</v>
      </c>
      <c r="O4" s="9">
        <f ca="1">IF(Stock!J4="",0,IF(ISNUMBER($E4),($E4+$F4)*Stock!J4/100,Stock!J4))</f>
        <v>998619444.37026978</v>
      </c>
      <c r="P4" s="9">
        <f ca="1">IF(Stock!K4="",0,IF(ISNUMBER($E4),($E4+$F4)*Stock!K4/100,Stock!K4))</f>
        <v>998619444.37026978</v>
      </c>
      <c r="Q4" s="9">
        <f ca="1">IF(Stock!L4="",0,IF(ISNUMBER($E4),($E4+$F4)*Stock!L4/100,Stock!L4))</f>
        <v>998619444.37026978</v>
      </c>
      <c r="R4" s="9">
        <f ca="1">IF(Stock!M4="",0,IF(ISNUMBER($E4),($E4+$F4)*Stock!M4/100,Stock!M4))</f>
        <v>998619444.37026978</v>
      </c>
      <c r="S4" s="9">
        <f ca="1">IF(Stock!N4="",0,IF(ISNUMBER($E4),($E4+$F4)*Stock!N4/100,Stock!N4))</f>
        <v>998619444.37026978</v>
      </c>
      <c r="T4" s="9">
        <f ca="1">IF(Stock!O4="",0,IF(ISNUMBER($E4),($E4+$F4)*Stock!O4/100,Stock!O4))</f>
        <v>998619444.37026978</v>
      </c>
      <c r="U4" s="9">
        <f ca="1">IF(Stock!P4="",0,IF(ISNUMBER($E4),($E4+$F4)*Stock!P4/100,Stock!P4))</f>
        <v>998619444.37026978</v>
      </c>
      <c r="V4" s="9">
        <f ca="1">IF(Stock!Q4="",0,IF(ISNUMBER($E4),($E4+$F4)*Stock!Q4/100,Stock!Q4))</f>
        <v>998619444.37026978</v>
      </c>
      <c r="W4" s="9">
        <f ca="1">IF(Stock!R4="",0,IF(ISNUMBER($E4),($E4+$F4)*Stock!R4/100,Stock!R4))</f>
        <v>998619444.37026978</v>
      </c>
      <c r="X4" s="9">
        <f ca="1">IF(Stock!S4="",0,IF(ISNUMBER($E4),($E4+$F4)*Stock!S4/100,Stock!S4))</f>
        <v>998619444.37026978</v>
      </c>
      <c r="Y4" s="9">
        <f ca="1">IF(Stock!T4="",0,IF(ISNUMBER($E4),($E4+$F4)*Stock!T4/100,Stock!T4))</f>
        <v>998619444.37026978</v>
      </c>
      <c r="Z4" s="9">
        <f ca="1">IF(Stock!U4="",0,IF(ISNUMBER($E4),($E4+$F4)*Stock!U4/100,Stock!U4))</f>
        <v>998619444.37026978</v>
      </c>
      <c r="AA4" s="9">
        <f ca="1">IF(Stock!V4="",0,IF(ISNUMBER($E4),($E4+$F4)*Stock!V4/100,Stock!V4))</f>
        <v>998619444.37026978</v>
      </c>
      <c r="AB4" s="9">
        <f ca="1">IF(Stock!W4="",0,IF(ISNUMBER($E4),($E4+$F4)*Stock!W4/100,Stock!W4))</f>
        <v>998619444.37026978</v>
      </c>
      <c r="AC4" s="9">
        <f ca="1">IF(Stock!X4="",0,IF(ISNUMBER($E4),($E4+$F4)*Stock!X4/100,Stock!X4))</f>
        <v>998619444.37026978</v>
      </c>
      <c r="AD4" s="9">
        <f ca="1">IF(Stock!Y4="",0,IF(ISNUMBER($E4),($E4+$F4)*Stock!Y4/100,Stock!Y4))</f>
        <v>998619444.37026978</v>
      </c>
      <c r="AE4" s="9">
        <f ca="1">IF(Stock!Z4="",0,IF(ISNUMBER($E4),($E4+$F4)*Stock!Z4/100,Stock!Z4))</f>
        <v>998619444.37026978</v>
      </c>
      <c r="AF4" s="9">
        <f ca="1">IF(Stock!AA4="",0,IF(ISNUMBER($E4),($E4+$F4)*Stock!AA4/100,Stock!AA4))</f>
        <v>998619444.37026978</v>
      </c>
      <c r="AG4" s="9">
        <f ca="1">IF(Stock!AB4="",0,IF(ISNUMBER($E4),($E4+$F4)*Stock!AB4/100,Stock!AB4))</f>
        <v>998619444.37026978</v>
      </c>
      <c r="AH4" s="9">
        <f ca="1">IF(Stock!AC4="",0,IF(ISNUMBER($E4),($E4+$F4)*Stock!AC4/100,Stock!AC4))</f>
        <v>998619444.37026978</v>
      </c>
      <c r="AI4" s="9">
        <f ca="1">IF(Stock!AD4="",0,IF(ISNUMBER($E4),($E4+$F4)*Stock!AD4/100,Stock!AD4))</f>
        <v>998619444.37026978</v>
      </c>
      <c r="AJ4" s="9">
        <f ca="1">IF(Stock!AE4="",0,IF(ISNUMBER($E4),($E4+$F4)*Stock!AE4/100,Stock!AE4))</f>
        <v>998619444.37026978</v>
      </c>
      <c r="AK4" s="9">
        <f ca="1">IF(Stock!AF4="",0,IF(ISNUMBER($E4),($E4+$F4)*Stock!AF4/100,Stock!AF4))</f>
        <v>998619444.37026978</v>
      </c>
      <c r="AL4" s="9">
        <f ca="1">IF(Stock!AG4="",0,IF(ISNUMBER($E4),($E4+$F4)*Stock!AG4/100,Stock!AG4))</f>
        <v>998619444.37026978</v>
      </c>
      <c r="AM4" s="9">
        <f ca="1">IF(Stock!AH4="",0,IF(ISNUMBER($E4),($E4+$F4)*Stock!AH4/100,Stock!AH4))</f>
        <v>998619444.37026978</v>
      </c>
      <c r="AN4" s="9">
        <f ca="1">IF(Stock!AI4="",0,IF(ISNUMBER($E4),($E4+$F4)*Stock!AI4/100,Stock!AI4))</f>
        <v>998619444.37026978</v>
      </c>
      <c r="AO4" s="9">
        <f ca="1">IF(Stock!AJ4="",0,IF(ISNUMBER($E4),($E4+$F4)*Stock!AJ4/100,Stock!AJ4))</f>
        <v>998619444.37026978</v>
      </c>
      <c r="AP4" s="9">
        <f ca="1">IF(Stock!AK4="",0,IF(ISNUMBER($E4),($E4+$F4)*Stock!AK4/100,Stock!AK4))</f>
        <v>998619444.37026978</v>
      </c>
      <c r="AQ4" s="9">
        <f ca="1">IF(Stock!AL4="",0,IF(ISNUMBER($E4),($E4+$F4)*Stock!AL4/100,Stock!AL4))</f>
        <v>998619444.37026978</v>
      </c>
      <c r="AR4" s="9">
        <f ca="1">IF(Stock!AM4="",0,IF(ISNUMBER($E4),($E4+$F4)*Stock!AM4/100,Stock!AM4))</f>
        <v>998619444.37026978</v>
      </c>
      <c r="AS4" s="9">
        <f ca="1">IF(Stock!AN4="",0,IF(ISNUMBER($E4),($E4+$F4)*Stock!AN4/100,Stock!AN4))</f>
        <v>998619444.37026978</v>
      </c>
      <c r="AT4" s="9">
        <f ca="1">IF(Stock!AO4="",0,IF(ISNUMBER($E4),($E4+$F4)*Stock!AO4/100,Stock!AO4))</f>
        <v>998619444.37026978</v>
      </c>
      <c r="AU4" s="9">
        <f ca="1">IF(Stock!AP4="",0,IF(ISNUMBER($E4),($E4+$F4)*Stock!AP4/100,Stock!AP4))</f>
        <v>998619444.37026978</v>
      </c>
      <c r="AV4" s="9">
        <f ca="1">IF(Stock!AQ4="",0,IF(ISNUMBER($E4),($E4+$F4)*Stock!AQ4/100,Stock!AQ4))</f>
        <v>998619444.37026978</v>
      </c>
      <c r="AW4" s="9">
        <f ca="1">IF(Stock!AR4="",0,IF(ISNUMBER($E4),($E4+$F4)*Stock!AR4/100,Stock!AR4))</f>
        <v>998619444.37026978</v>
      </c>
      <c r="AX4" s="9">
        <f ca="1">IF(Stock!AS4="",0,IF(ISNUMBER($E4),($E4+$F4)*Stock!AS4/100,Stock!AS4))</f>
        <v>998619444.37026978</v>
      </c>
      <c r="AY4" s="9">
        <f ca="1">IF(Stock!AT4="",0,IF(ISNUMBER($E4),($E4+$F4)*Stock!AT4/100,Stock!AT4))</f>
        <v>998619444.37026978</v>
      </c>
      <c r="AZ4" s="9">
        <f ca="1">IF(Stock!AU4="",0,IF(ISNUMBER($E4),($E4+$F4)*Stock!AU4/100,Stock!AU4))</f>
        <v>998619444.37026978</v>
      </c>
      <c r="BA4" s="9">
        <f ca="1">IF(Stock!AV4="",0,IF(ISNUMBER($E4),($E4+$F4)*Stock!AV4/100,Stock!AV4))</f>
        <v>998619444.37026978</v>
      </c>
      <c r="BB4" s="9">
        <f ca="1">IF(Stock!AW4="",0,IF(ISNUMBER($E4),($E4+$F4)*Stock!AW4/100,Stock!AW4))</f>
        <v>998619444.37026978</v>
      </c>
      <c r="BC4" s="9">
        <f ca="1">IF(Stock!AX4="",0,IF(ISNUMBER($E4),($E4+$F4)*Stock!AX4/100,Stock!AX4))</f>
        <v>998619444.37026978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>
        <f ca="1">IF(A5="",0,IF(LEFT(C5,3) = "USB",100*(1-_xll.BDP(D5 &amp; " Govt",E$1)*(B5-TODAY()+1)/36000),_xll.BDP(D5 &amp; " Govt",E$1)))</f>
        <v>100.33203125</v>
      </c>
      <c r="F5" s="62">
        <f ca="1">IF(A5="",0,IF(LEFT(D5,1) = "B",0,_xll.BDP(D5 &amp; " Govt",F$1)))</f>
        <v>0.10699728</v>
      </c>
      <c r="G5" s="9">
        <f ca="1">IF(Stock!B5="",0,IF(ISNUMBER($E5),($E5+$F5)*Stock!B5/100,Stock!B5))</f>
        <v>253106351.89560002</v>
      </c>
      <c r="H5" s="9">
        <f ca="1">IF(Stock!C5="",0,IF(ISNUMBER($E5),($E5+$F5)*Stock!C5/100,Stock!C5))</f>
        <v>253106351.89560002</v>
      </c>
      <c r="I5" s="9">
        <f ca="1">IF(Stock!D5="",0,IF(ISNUMBER($E5),($E5+$F5)*Stock!D5/100,Stock!D5))</f>
        <v>253106351.89560002</v>
      </c>
      <c r="J5" s="9">
        <f ca="1">IF(Stock!E5="",0,IF(ISNUMBER($E5),($E5+$F5)*Stock!E5/100,Stock!E5))</f>
        <v>253106351.89560002</v>
      </c>
      <c r="K5" s="9">
        <f ca="1">IF(Stock!F5="",0,IF(ISNUMBER($E5),($E5+$F5)*Stock!F5/100,Stock!F5))</f>
        <v>253106351.89560002</v>
      </c>
      <c r="L5" s="9">
        <f ca="1">IF(Stock!G5="",0,IF(ISNUMBER($E5),($E5+$F5)*Stock!G5/100,Stock!G5))</f>
        <v>253106351.89560002</v>
      </c>
      <c r="M5" s="9">
        <f ca="1">IF(Stock!H5="",0,IF(ISNUMBER($E5),($E5+$F5)*Stock!H5/100,Stock!H5))</f>
        <v>253106351.89560002</v>
      </c>
      <c r="N5" s="9">
        <f ca="1">IF(Stock!I5="",0,IF(ISNUMBER($E5),($E5+$F5)*Stock!I5/100,Stock!I5))</f>
        <v>253106351.89560002</v>
      </c>
      <c r="O5" s="9">
        <f ca="1">IF(Stock!J5="",0,IF(ISNUMBER($E5),($E5+$F5)*Stock!J5/100,Stock!J5))</f>
        <v>253106351.89560002</v>
      </c>
      <c r="P5" s="9">
        <f ca="1">IF(Stock!K5="",0,IF(ISNUMBER($E5),($E5+$F5)*Stock!K5/100,Stock!K5))</f>
        <v>253106351.89560002</v>
      </c>
      <c r="Q5" s="9">
        <f ca="1">IF(Stock!L5="",0,IF(ISNUMBER($E5),($E5+$F5)*Stock!L5/100,Stock!L5))</f>
        <v>253106351.89560002</v>
      </c>
      <c r="R5" s="9">
        <f ca="1">IF(Stock!M5="",0,IF(ISNUMBER($E5),($E5+$F5)*Stock!M5/100,Stock!M5))</f>
        <v>253106351.89560002</v>
      </c>
      <c r="S5" s="9">
        <f ca="1">IF(Stock!N5="",0,IF(ISNUMBER($E5),($E5+$F5)*Stock!N5/100,Stock!N5))</f>
        <v>253106351.89560002</v>
      </c>
      <c r="T5" s="9">
        <f ca="1">IF(Stock!O5="",0,IF(ISNUMBER($E5),($E5+$F5)*Stock!O5/100,Stock!O5))</f>
        <v>253106351.89560002</v>
      </c>
      <c r="U5" s="9">
        <f ca="1">IF(Stock!P5="",0,IF(ISNUMBER($E5),($E5+$F5)*Stock!P5/100,Stock!P5))</f>
        <v>253106351.89560002</v>
      </c>
      <c r="V5" s="9">
        <f ca="1">IF(Stock!Q5="",0,IF(ISNUMBER($E5),($E5+$F5)*Stock!Q5/100,Stock!Q5))</f>
        <v>253106351.89560002</v>
      </c>
      <c r="W5" s="9">
        <f ca="1">IF(Stock!R5="",0,IF(ISNUMBER($E5),($E5+$F5)*Stock!R5/100,Stock!R5))</f>
        <v>253106351.89560002</v>
      </c>
      <c r="X5" s="9">
        <f ca="1">IF(Stock!S5="",0,IF(ISNUMBER($E5),($E5+$F5)*Stock!S5/100,Stock!S5))</f>
        <v>253106351.89560002</v>
      </c>
      <c r="Y5" s="9">
        <f ca="1">IF(Stock!T5="",0,IF(ISNUMBER($E5),($E5+$F5)*Stock!T5/100,Stock!T5))</f>
        <v>253106351.89560002</v>
      </c>
      <c r="Z5" s="9">
        <f ca="1">IF(Stock!U5="",0,IF(ISNUMBER($E5),($E5+$F5)*Stock!U5/100,Stock!U5))</f>
        <v>253106351.89560002</v>
      </c>
      <c r="AA5" s="9">
        <f ca="1">IF(Stock!V5="",0,IF(ISNUMBER($E5),($E5+$F5)*Stock!V5/100,Stock!V5))</f>
        <v>253106351.89560002</v>
      </c>
      <c r="AB5" s="9">
        <f ca="1">IF(Stock!W5="",0,IF(ISNUMBER($E5),($E5+$F5)*Stock!W5/100,Stock!W5))</f>
        <v>253106351.89560002</v>
      </c>
      <c r="AC5" s="9">
        <f ca="1">IF(Stock!X5="",0,IF(ISNUMBER($E5),($E5+$F5)*Stock!X5/100,Stock!X5))</f>
        <v>253106351.89560002</v>
      </c>
      <c r="AD5" s="9">
        <f ca="1">IF(Stock!Y5="",0,IF(ISNUMBER($E5),($E5+$F5)*Stock!Y5/100,Stock!Y5))</f>
        <v>253106351.89560002</v>
      </c>
      <c r="AE5" s="9">
        <f ca="1">IF(Stock!Z5="",0,IF(ISNUMBER($E5),($E5+$F5)*Stock!Z5/100,Stock!Z5))</f>
        <v>253106351.89560002</v>
      </c>
      <c r="AF5" s="9">
        <f ca="1">IF(Stock!AA5="",0,IF(ISNUMBER($E5),($E5+$F5)*Stock!AA5/100,Stock!AA5))</f>
        <v>253106351.89560002</v>
      </c>
      <c r="AG5" s="9">
        <f ca="1">IF(Stock!AB5="",0,IF(ISNUMBER($E5),($E5+$F5)*Stock!AB5/100,Stock!AB5))</f>
        <v>253106351.89560002</v>
      </c>
      <c r="AH5" s="9">
        <f ca="1">IF(Stock!AC5="",0,IF(ISNUMBER($E5),($E5+$F5)*Stock!AC5/100,Stock!AC5))</f>
        <v>253106351.89560002</v>
      </c>
      <c r="AI5" s="9">
        <f ca="1">IF(Stock!AD5="",0,IF(ISNUMBER($E5),($E5+$F5)*Stock!AD5/100,Stock!AD5))</f>
        <v>253106351.89560002</v>
      </c>
      <c r="AJ5" s="9">
        <f ca="1">IF(Stock!AE5="",0,IF(ISNUMBER($E5),($E5+$F5)*Stock!AE5/100,Stock!AE5))</f>
        <v>253106351.89560002</v>
      </c>
      <c r="AK5" s="9">
        <f ca="1">IF(Stock!AF5="",0,IF(ISNUMBER($E5),($E5+$F5)*Stock!AF5/100,Stock!AF5))</f>
        <v>253106351.89560002</v>
      </c>
      <c r="AL5" s="9">
        <f ca="1">IF(Stock!AG5="",0,IF(ISNUMBER($E5),($E5+$F5)*Stock!AG5/100,Stock!AG5))</f>
        <v>253106351.89560002</v>
      </c>
      <c r="AM5" s="9">
        <f ca="1">IF(Stock!AH5="",0,IF(ISNUMBER($E5),($E5+$F5)*Stock!AH5/100,Stock!AH5))</f>
        <v>253106351.89560002</v>
      </c>
      <c r="AN5" s="9">
        <f ca="1">IF(Stock!AI5="",0,IF(ISNUMBER($E5),($E5+$F5)*Stock!AI5/100,Stock!AI5))</f>
        <v>253106351.89560002</v>
      </c>
      <c r="AO5" s="9">
        <f ca="1">IF(Stock!AJ5="",0,IF(ISNUMBER($E5),($E5+$F5)*Stock!AJ5/100,Stock!AJ5))</f>
        <v>253106351.89560002</v>
      </c>
      <c r="AP5" s="9">
        <f ca="1">IF(Stock!AK5="",0,IF(ISNUMBER($E5),($E5+$F5)*Stock!AK5/100,Stock!AK5))</f>
        <v>253106351.89560002</v>
      </c>
      <c r="AQ5" s="9">
        <f ca="1">IF(Stock!AL5="",0,IF(ISNUMBER($E5),($E5+$F5)*Stock!AL5/100,Stock!AL5))</f>
        <v>253106351.89560002</v>
      </c>
      <c r="AR5" s="9">
        <f ca="1">IF(Stock!AM5="",0,IF(ISNUMBER($E5),($E5+$F5)*Stock!AM5/100,Stock!AM5))</f>
        <v>253106351.89560002</v>
      </c>
      <c r="AS5" s="9">
        <f ca="1">IF(Stock!AN5="",0,IF(ISNUMBER($E5),($E5+$F5)*Stock!AN5/100,Stock!AN5))</f>
        <v>253106351.89560002</v>
      </c>
      <c r="AT5" s="9">
        <f ca="1">IF(Stock!AO5="",0,IF(ISNUMBER($E5),($E5+$F5)*Stock!AO5/100,Stock!AO5))</f>
        <v>253106351.89560002</v>
      </c>
      <c r="AU5" s="9">
        <f ca="1">IF(Stock!AP5="",0,IF(ISNUMBER($E5),($E5+$F5)*Stock!AP5/100,Stock!AP5))</f>
        <v>253106351.89560002</v>
      </c>
      <c r="AV5" s="9">
        <f ca="1">IF(Stock!AQ5="",0,IF(ISNUMBER($E5),($E5+$F5)*Stock!AQ5/100,Stock!AQ5))</f>
        <v>253106351.89560002</v>
      </c>
      <c r="AW5" s="9">
        <f ca="1">IF(Stock!AR5="",0,IF(ISNUMBER($E5),($E5+$F5)*Stock!AR5/100,Stock!AR5))</f>
        <v>253106351.89560002</v>
      </c>
      <c r="AX5" s="9">
        <f ca="1">IF(Stock!AS5="",0,IF(ISNUMBER($E5),($E5+$F5)*Stock!AS5/100,Stock!AS5))</f>
        <v>253106351.89560002</v>
      </c>
      <c r="AY5" s="9">
        <f ca="1">IF(Stock!AT5="",0,IF(ISNUMBER($E5),($E5+$F5)*Stock!AT5/100,Stock!AT5))</f>
        <v>253106351.89560002</v>
      </c>
      <c r="AZ5" s="9">
        <f ca="1">IF(Stock!AU5="",0,IF(ISNUMBER($E5),($E5+$F5)*Stock!AU5/100,Stock!AU5))</f>
        <v>253106351.89560002</v>
      </c>
      <c r="BA5" s="9">
        <f ca="1">IF(Stock!AV5="",0,IF(ISNUMBER($E5),($E5+$F5)*Stock!AV5/100,Stock!AV5))</f>
        <v>253106351.89560002</v>
      </c>
      <c r="BB5" s="9">
        <f ca="1">IF(Stock!AW5="",0,IF(ISNUMBER($E5),($E5+$F5)*Stock!AW5/100,Stock!AW5))</f>
        <v>253106351.89560002</v>
      </c>
      <c r="BC5" s="9">
        <f ca="1">IF(Stock!AX5="",0,IF(ISNUMBER($E5),($E5+$F5)*Stock!AX5/100,Stock!AX5))</f>
        <v>253106351.89560002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>
        <f ca="1">IF(A6="",0,IF(LEFT(C6,3) = "USB",100*(1-_xll.BDP(D6 &amp; " Govt",E$1)*(B6-TODAY()+1)/36000),_xll.BDP(D6 &amp; " Govt",E$1)))</f>
        <v>99.843861107031501</v>
      </c>
      <c r="F6" s="62">
        <f ca="1">IF(A6="",0,IF(LEFT(D6,1) = "B",0,_xll.BDP(D6 &amp; " Govt",F$1)))</f>
        <v>0</v>
      </c>
      <c r="G6" s="9">
        <f ca="1">IF(Stock!B6="",0,IF(ISNUMBER($E6),($E6+$F6)*Stock!B6/100,Stock!B6))</f>
        <v>266583109.15577412</v>
      </c>
      <c r="H6" s="9">
        <f ca="1">IF(Stock!C6="",0,IF(ISNUMBER($E6),($E6+$F6)*Stock!C6/100,Stock!C6))</f>
        <v>266583109.15577412</v>
      </c>
      <c r="I6" s="9">
        <f ca="1">IF(Stock!D6="",0,IF(ISNUMBER($E6),($E6+$F6)*Stock!D6/100,Stock!D6))</f>
        <v>266583109.15577412</v>
      </c>
      <c r="J6" s="9">
        <f ca="1">IF(Stock!E6="",0,IF(ISNUMBER($E6),($E6+$F6)*Stock!E6/100,Stock!E6))</f>
        <v>266583109.15577412</v>
      </c>
      <c r="K6" s="9">
        <f ca="1">IF(Stock!F6="",0,IF(ISNUMBER($E6),($E6+$F6)*Stock!F6/100,Stock!F6))</f>
        <v>266583109.15577412</v>
      </c>
      <c r="L6" s="9">
        <f ca="1">IF(Stock!G6="",0,IF(ISNUMBER($E6),($E6+$F6)*Stock!G6/100,Stock!G6))</f>
        <v>266583109.15577412</v>
      </c>
      <c r="M6" s="9">
        <f ca="1">IF(Stock!H6="",0,IF(ISNUMBER($E6),($E6+$F6)*Stock!H6/100,Stock!H6))</f>
        <v>266583109.15577412</v>
      </c>
      <c r="N6" s="9">
        <f ca="1">IF(Stock!I6="",0,IF(ISNUMBER($E6),($E6+$F6)*Stock!I6/100,Stock!I6))</f>
        <v>266583109.15577412</v>
      </c>
      <c r="O6" s="9">
        <f ca="1">IF(Stock!J6="",0,IF(ISNUMBER($E6),($E6+$F6)*Stock!J6/100,Stock!J6))</f>
        <v>266583109.15577412</v>
      </c>
      <c r="P6" s="9">
        <f ca="1">IF(Stock!K6="",0,IF(ISNUMBER($E6),($E6+$F6)*Stock!K6/100,Stock!K6))</f>
        <v>266583109.15577412</v>
      </c>
      <c r="Q6" s="9">
        <f ca="1">IF(Stock!L6="",0,IF(ISNUMBER($E6),($E6+$F6)*Stock!L6/100,Stock!L6))</f>
        <v>477253656.09161055</v>
      </c>
      <c r="R6" s="9">
        <f ca="1">IF(Stock!M6="",0,IF(ISNUMBER($E6),($E6+$F6)*Stock!M6/100,Stock!M6))</f>
        <v>477253656.09161055</v>
      </c>
      <c r="S6" s="9">
        <f ca="1">IF(Stock!N6="",0,IF(ISNUMBER($E6),($E6+$F6)*Stock!N6/100,Stock!N6))</f>
        <v>477253656.09161055</v>
      </c>
      <c r="T6" s="9">
        <f ca="1">IF(Stock!O6="",0,IF(ISNUMBER($E6),($E6+$F6)*Stock!O6/100,Stock!O6))</f>
        <v>477253656.09161055</v>
      </c>
      <c r="U6" s="9">
        <f ca="1">IF(Stock!P6="",0,IF(ISNUMBER($E6),($E6+$F6)*Stock!P6/100,Stock!P6))</f>
        <v>477253656.09161055</v>
      </c>
      <c r="V6" s="9">
        <f ca="1">IF(Stock!Q6="",0,IF(ISNUMBER($E6),($E6+$F6)*Stock!Q6/100,Stock!Q6))</f>
        <v>477253656.09161055</v>
      </c>
      <c r="W6" s="9">
        <f ca="1">IF(Stock!R6="",0,IF(ISNUMBER($E6),($E6+$F6)*Stock!R6/100,Stock!R6))</f>
        <v>477253656.09161055</v>
      </c>
      <c r="X6" s="9">
        <f ca="1">IF(Stock!S6="",0,IF(ISNUMBER($E6),($E6+$F6)*Stock!S6/100,Stock!S6))</f>
        <v>477253656.09161055</v>
      </c>
      <c r="Y6" s="9">
        <f ca="1">IF(Stock!T6="",0,IF(ISNUMBER($E6),($E6+$F6)*Stock!T6/100,Stock!T6))</f>
        <v>477253656.09161055</v>
      </c>
      <c r="Z6" s="9">
        <f ca="1">IF(Stock!U6="",0,IF(ISNUMBER($E6),($E6+$F6)*Stock!U6/100,Stock!U6))</f>
        <v>477253656.09161055</v>
      </c>
      <c r="AA6" s="9">
        <f ca="1">IF(Stock!V6="",0,IF(ISNUMBER($E6),($E6+$F6)*Stock!V6/100,Stock!V6))</f>
        <v>477253656.09161055</v>
      </c>
      <c r="AB6" s="9">
        <f ca="1">IF(Stock!W6="",0,IF(ISNUMBER($E6),($E6+$F6)*Stock!W6/100,Stock!W6))</f>
        <v>477253656.09161055</v>
      </c>
      <c r="AC6" s="9">
        <f ca="1">IF(Stock!X6="",0,IF(ISNUMBER($E6),($E6+$F6)*Stock!X6/100,Stock!X6))</f>
        <v>477253656.09161055</v>
      </c>
      <c r="AD6" s="9">
        <f ca="1">IF(Stock!Y6="",0,IF(ISNUMBER($E6),($E6+$F6)*Stock!Y6/100,Stock!Y6))</f>
        <v>477253656.09161055</v>
      </c>
      <c r="AE6" s="9">
        <f ca="1">IF(Stock!Z6="",0,IF(ISNUMBER($E6),($E6+$F6)*Stock!Z6/100,Stock!Z6))</f>
        <v>477253656.09161055</v>
      </c>
      <c r="AF6" s="9">
        <f ca="1">IF(Stock!AA6="",0,IF(ISNUMBER($E6),($E6+$F6)*Stock!AA6/100,Stock!AA6))</f>
        <v>477253656.09161055</v>
      </c>
      <c r="AG6" s="9">
        <f ca="1">IF(Stock!AB6="",0,IF(ISNUMBER($E6),($E6+$F6)*Stock!AB6/100,Stock!AB6))</f>
        <v>477253656.09161055</v>
      </c>
      <c r="AH6" s="9">
        <f ca="1">IF(Stock!AC6="",0,IF(ISNUMBER($E6),($E6+$F6)*Stock!AC6/100,Stock!AC6))</f>
        <v>477253656.09161055</v>
      </c>
      <c r="AI6" s="9">
        <f ca="1">IF(Stock!AD6="",0,IF(ISNUMBER($E6),($E6+$F6)*Stock!AD6/100,Stock!AD6))</f>
        <v>477253656.09161055</v>
      </c>
      <c r="AJ6" s="9">
        <f ca="1">IF(Stock!AE6="",0,IF(ISNUMBER($E6),($E6+$F6)*Stock!AE6/100,Stock!AE6))</f>
        <v>477253656.09161055</v>
      </c>
      <c r="AK6" s="9">
        <f ca="1">IF(Stock!AF6="",0,IF(ISNUMBER($E6),($E6+$F6)*Stock!AF6/100,Stock!AF6))</f>
        <v>477253656.09161055</v>
      </c>
      <c r="AL6" s="9">
        <f ca="1">IF(Stock!AG6="",0,IF(ISNUMBER($E6),($E6+$F6)*Stock!AG6/100,Stock!AG6))</f>
        <v>477253656.09161055</v>
      </c>
      <c r="AM6" s="9">
        <f ca="1">IF(Stock!AH6="",0,IF(ISNUMBER($E6),($E6+$F6)*Stock!AH6/100,Stock!AH6))</f>
        <v>477253656.09161055</v>
      </c>
      <c r="AN6" s="9">
        <f ca="1">IF(Stock!AI6="",0,IF(ISNUMBER($E6),($E6+$F6)*Stock!AI6/100,Stock!AI6))</f>
        <v>477253656.09161055</v>
      </c>
      <c r="AO6" s="9">
        <f ca="1">IF(Stock!AJ6="",0,IF(ISNUMBER($E6),($E6+$F6)*Stock!AJ6/100,Stock!AJ6))</f>
        <v>477253656.09161055</v>
      </c>
      <c r="AP6" s="9">
        <f ca="1">IF(Stock!AK6="",0,IF(ISNUMBER($E6),($E6+$F6)*Stock!AK6/100,Stock!AK6))</f>
        <v>477253656.09161055</v>
      </c>
      <c r="AQ6" s="9">
        <f ca="1">IF(Stock!AL6="",0,IF(ISNUMBER($E6),($E6+$F6)*Stock!AL6/100,Stock!AL6))</f>
        <v>477253656.09161055</v>
      </c>
      <c r="AR6" s="9">
        <f ca="1">IF(Stock!AM6="",0,IF(ISNUMBER($E6),($E6+$F6)*Stock!AM6/100,Stock!AM6))</f>
        <v>477253656.09161055</v>
      </c>
      <c r="AS6" s="9">
        <f ca="1">IF(Stock!AN6="",0,IF(ISNUMBER($E6),($E6+$F6)*Stock!AN6/100,Stock!AN6))</f>
        <v>477253656.09161055</v>
      </c>
      <c r="AT6" s="9">
        <f ca="1">IF(Stock!AO6="",0,IF(ISNUMBER($E6),($E6+$F6)*Stock!AO6/100,Stock!AO6))</f>
        <v>477253656.09161055</v>
      </c>
      <c r="AU6" s="9">
        <f ca="1">IF(Stock!AP6="",0,IF(ISNUMBER($E6),($E6+$F6)*Stock!AP6/100,Stock!AP6))</f>
        <v>477253656.09161055</v>
      </c>
      <c r="AV6" s="9">
        <f ca="1">IF(Stock!AQ6="",0,IF(ISNUMBER($E6),($E6+$F6)*Stock!AQ6/100,Stock!AQ6))</f>
        <v>477253656.09161055</v>
      </c>
      <c r="AW6" s="9">
        <f ca="1">IF(Stock!AR6="",0,IF(ISNUMBER($E6),($E6+$F6)*Stock!AR6/100,Stock!AR6))</f>
        <v>477253656.09161055</v>
      </c>
      <c r="AX6" s="9">
        <f ca="1">IF(Stock!AS6="",0,IF(ISNUMBER($E6),($E6+$F6)*Stock!AS6/100,Stock!AS6))</f>
        <v>477253656.09161055</v>
      </c>
      <c r="AY6" s="9">
        <f ca="1">IF(Stock!AT6="",0,IF(ISNUMBER($E6),($E6+$F6)*Stock!AT6/100,Stock!AT6))</f>
        <v>477253656.09161055</v>
      </c>
      <c r="AZ6" s="9">
        <f ca="1">IF(Stock!AU6="",0,IF(ISNUMBER($E6),($E6+$F6)*Stock!AU6/100,Stock!AU6))</f>
        <v>477253656.09161055</v>
      </c>
      <c r="BA6" s="9">
        <f ca="1">IF(Stock!AV6="",0,IF(ISNUMBER($E6),($E6+$F6)*Stock!AV6/100,Stock!AV6))</f>
        <v>477253656.09161055</v>
      </c>
      <c r="BB6" s="9">
        <f ca="1">IF(Stock!AW6="",0,IF(ISNUMBER($E6),($E6+$F6)*Stock!AW6/100,Stock!AW6))</f>
        <v>477253656.09161055</v>
      </c>
      <c r="BC6" s="9">
        <f ca="1">IF(Stock!AX6="",0,IF(ISNUMBER($E6),($E6+$F6)*Stock!AX6/100,Stock!AX6))</f>
        <v>477253656.09161055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>
        <f ca="1">IF(A7="",0,IF(LEFT(C7,3) = "USB",100*(1-_xll.BDP(D7 &amp; " Govt",E$1)*(B7-TODAY()+1)/36000),_xll.BDP(D7 &amp; " Govt",E$1)))</f>
        <v>99.825000000000003</v>
      </c>
      <c r="F7" s="62">
        <f ca="1">IF(A7="",0,IF(LEFT(D7,1) = "B",0,_xll.BDP(D7 &amp; " Govt",F$1)))</f>
        <v>0</v>
      </c>
      <c r="G7" s="9">
        <f ca="1"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>
        <f ca="1">IF(A8="",0,IF(LEFT(C8,3) = "USB",100*(1-_xll.BDP(D8 &amp; " Govt",E$1)*(B8-TODAY()+1)/36000),_xll.BDP(D8 &amp; " Govt",E$1)))</f>
        <v>100.23828125</v>
      </c>
      <c r="F8" s="62">
        <f ca="1">IF(A8="",0,IF(LEFT(D8,1) = "B",0,_xll.BDP(D8 &amp; " Govt",F$1)))</f>
        <v>4.3715850000000001E-2</v>
      </c>
      <c r="G8" s="9">
        <f ca="1">IF(Stock!B8="",0,IF(ISNUMBER($E8),($E8+$F8)*Stock!B8/100,Stock!B8))</f>
        <v>457285906.77599996</v>
      </c>
      <c r="H8" s="9">
        <f ca="1">IF(Stock!C8="",0,IF(ISNUMBER($E8),($E8+$F8)*Stock!C8/100,Stock!C8))</f>
        <v>457285906.77599996</v>
      </c>
      <c r="I8" s="9">
        <f ca="1">IF(Stock!D8="",0,IF(ISNUMBER($E8),($E8+$F8)*Stock!D8/100,Stock!D8))</f>
        <v>457285906.77599996</v>
      </c>
      <c r="J8" s="9">
        <f ca="1">IF(Stock!E8="",0,IF(ISNUMBER($E8),($E8+$F8)*Stock!E8/100,Stock!E8))</f>
        <v>457285906.77599996</v>
      </c>
      <c r="K8" s="9">
        <f ca="1">IF(Stock!F8="",0,IF(ISNUMBER($E8),($E8+$F8)*Stock!F8/100,Stock!F8))</f>
        <v>457285906.77599996</v>
      </c>
      <c r="L8" s="9">
        <f ca="1">IF(Stock!G8="",0,IF(ISNUMBER($E8),($E8+$F8)*Stock!G8/100,Stock!G8))</f>
        <v>457285906.77599996</v>
      </c>
      <c r="M8" s="9">
        <f ca="1">IF(Stock!H8="",0,IF(ISNUMBER($E8),($E8+$F8)*Stock!H8/100,Stock!H8))</f>
        <v>457285906.77599996</v>
      </c>
      <c r="N8" s="9">
        <f ca="1">IF(Stock!I8="",0,IF(ISNUMBER($E8),($E8+$F8)*Stock!I8/100,Stock!I8))</f>
        <v>457285906.77599996</v>
      </c>
      <c r="O8" s="9">
        <f ca="1">IF(Stock!J8="",0,IF(ISNUMBER($E8),($E8+$F8)*Stock!J8/100,Stock!J8))</f>
        <v>457285906.77599996</v>
      </c>
      <c r="P8" s="9">
        <f ca="1">IF(Stock!K8="",0,IF(ISNUMBER($E8),($E8+$F8)*Stock!K8/100,Stock!K8))</f>
        <v>457285906.77599996</v>
      </c>
      <c r="Q8" s="9">
        <f ca="1">IF(Stock!L8="",0,IF(ISNUMBER($E8),($E8+$F8)*Stock!L8/100,Stock!L8))</f>
        <v>457285906.77599996</v>
      </c>
      <c r="R8" s="9">
        <f ca="1">IF(Stock!M8="",0,IF(ISNUMBER($E8),($E8+$F8)*Stock!M8/100,Stock!M8))</f>
        <v>457285906.77599996</v>
      </c>
      <c r="S8" s="9">
        <f ca="1">IF(Stock!N8="",0,IF(ISNUMBER($E8),($E8+$F8)*Stock!N8/100,Stock!N8))</f>
        <v>457285906.77599996</v>
      </c>
      <c r="T8" s="9">
        <f ca="1">IF(Stock!O8="",0,IF(ISNUMBER($E8),($E8+$F8)*Stock!O8/100,Stock!O8))</f>
        <v>457285906.77599996</v>
      </c>
      <c r="U8" s="9">
        <f ca="1">IF(Stock!P8="",0,IF(ISNUMBER($E8),($E8+$F8)*Stock!P8/100,Stock!P8))</f>
        <v>457285906.77599996</v>
      </c>
      <c r="V8" s="9">
        <f ca="1">IF(Stock!Q8="",0,IF(ISNUMBER($E8),($E8+$F8)*Stock!Q8/100,Stock!Q8))</f>
        <v>457285906.77599996</v>
      </c>
      <c r="W8" s="9">
        <f ca="1">IF(Stock!R8="",0,IF(ISNUMBER($E8),($E8+$F8)*Stock!R8/100,Stock!R8))</f>
        <v>457285906.77599996</v>
      </c>
      <c r="X8" s="9">
        <f ca="1">IF(Stock!S8="",0,IF(ISNUMBER($E8),($E8+$F8)*Stock!S8/100,Stock!S8))</f>
        <v>457285906.77599996</v>
      </c>
      <c r="Y8" s="9">
        <f ca="1">IF(Stock!T8="",0,IF(ISNUMBER($E8),($E8+$F8)*Stock!T8/100,Stock!T8))</f>
        <v>457285906.77599996</v>
      </c>
      <c r="Z8" s="9">
        <f ca="1">IF(Stock!U8="",0,IF(ISNUMBER($E8),($E8+$F8)*Stock!U8/100,Stock!U8))</f>
        <v>457285906.77599996</v>
      </c>
      <c r="AA8" s="9">
        <f ca="1">IF(Stock!V8="",0,IF(ISNUMBER($E8),($E8+$F8)*Stock!V8/100,Stock!V8))</f>
        <v>457285906.77599996</v>
      </c>
      <c r="AB8" s="9">
        <f ca="1">IF(Stock!W8="",0,IF(ISNUMBER($E8),($E8+$F8)*Stock!W8/100,Stock!W8))</f>
        <v>457285906.77599996</v>
      </c>
      <c r="AC8" s="9">
        <f ca="1">IF(Stock!X8="",0,IF(ISNUMBER($E8),($E8+$F8)*Stock!X8/100,Stock!X8))</f>
        <v>457285906.77599996</v>
      </c>
      <c r="AD8" s="9">
        <f ca="1">IF(Stock!Y8="",0,IF(ISNUMBER($E8),($E8+$F8)*Stock!Y8/100,Stock!Y8))</f>
        <v>457285906.77599996</v>
      </c>
      <c r="AE8" s="9">
        <f ca="1">IF(Stock!Z8="",0,IF(ISNUMBER($E8),($E8+$F8)*Stock!Z8/100,Stock!Z8))</f>
        <v>457285906.77599996</v>
      </c>
      <c r="AF8" s="9">
        <f ca="1">IF(Stock!AA8="",0,IF(ISNUMBER($E8),($E8+$F8)*Stock!AA8/100,Stock!AA8))</f>
        <v>457285906.77599996</v>
      </c>
      <c r="AG8" s="9">
        <f ca="1">IF(Stock!AB8="",0,IF(ISNUMBER($E8),($E8+$F8)*Stock!AB8/100,Stock!AB8))</f>
        <v>457285906.77599996</v>
      </c>
      <c r="AH8" s="9">
        <f ca="1">IF(Stock!AC8="",0,IF(ISNUMBER($E8),($E8+$F8)*Stock!AC8/100,Stock!AC8))</f>
        <v>457285906.77599996</v>
      </c>
      <c r="AI8" s="9">
        <f ca="1">IF(Stock!AD8="",0,IF(ISNUMBER($E8),($E8+$F8)*Stock!AD8/100,Stock!AD8))</f>
        <v>457285906.77599996</v>
      </c>
      <c r="AJ8" s="9">
        <f ca="1">IF(Stock!AE8="",0,IF(ISNUMBER($E8),($E8+$F8)*Stock!AE8/100,Stock!AE8))</f>
        <v>457285906.77599996</v>
      </c>
      <c r="AK8" s="9">
        <f ca="1">IF(Stock!AF8="",0,IF(ISNUMBER($E8),($E8+$F8)*Stock!AF8/100,Stock!AF8))</f>
        <v>457285906.77599996</v>
      </c>
      <c r="AL8" s="9">
        <f ca="1">IF(Stock!AG8="",0,IF(ISNUMBER($E8),($E8+$F8)*Stock!AG8/100,Stock!AG8))</f>
        <v>457285906.77599996</v>
      </c>
      <c r="AM8" s="9">
        <f ca="1">IF(Stock!AH8="",0,IF(ISNUMBER($E8),($E8+$F8)*Stock!AH8/100,Stock!AH8))</f>
        <v>457285906.77599996</v>
      </c>
      <c r="AN8" s="9">
        <f ca="1">IF(Stock!AI8="",0,IF(ISNUMBER($E8),($E8+$F8)*Stock!AI8/100,Stock!AI8))</f>
        <v>457285906.77599996</v>
      </c>
      <c r="AO8" s="9">
        <f ca="1">IF(Stock!AJ8="",0,IF(ISNUMBER($E8),($E8+$F8)*Stock!AJ8/100,Stock!AJ8))</f>
        <v>457285906.77599996</v>
      </c>
      <c r="AP8" s="9">
        <f ca="1">IF(Stock!AK8="",0,IF(ISNUMBER($E8),($E8+$F8)*Stock!AK8/100,Stock!AK8))</f>
        <v>457285906.77599996</v>
      </c>
      <c r="AQ8" s="9">
        <f ca="1">IF(Stock!AL8="",0,IF(ISNUMBER($E8),($E8+$F8)*Stock!AL8/100,Stock!AL8))</f>
        <v>457285906.77599996</v>
      </c>
      <c r="AR8" s="9">
        <f ca="1">IF(Stock!AM8="",0,IF(ISNUMBER($E8),($E8+$F8)*Stock!AM8/100,Stock!AM8))</f>
        <v>457285906.77599996</v>
      </c>
      <c r="AS8" s="9">
        <f ca="1">IF(Stock!AN8="",0,IF(ISNUMBER($E8),($E8+$F8)*Stock!AN8/100,Stock!AN8))</f>
        <v>457285906.77599996</v>
      </c>
      <c r="AT8" s="9">
        <f ca="1">IF(Stock!AO8="",0,IF(ISNUMBER($E8),($E8+$F8)*Stock!AO8/100,Stock!AO8))</f>
        <v>457285906.77599996</v>
      </c>
      <c r="AU8" s="9">
        <f ca="1">IF(Stock!AP8="",0,IF(ISNUMBER($E8),($E8+$F8)*Stock!AP8/100,Stock!AP8))</f>
        <v>457285906.77599996</v>
      </c>
      <c r="AV8" s="9">
        <f ca="1">IF(Stock!AQ8="",0,IF(ISNUMBER($E8),($E8+$F8)*Stock!AQ8/100,Stock!AQ8))</f>
        <v>457285906.77599996</v>
      </c>
      <c r="AW8" s="9">
        <f ca="1">IF(Stock!AR8="",0,IF(ISNUMBER($E8),($E8+$F8)*Stock!AR8/100,Stock!AR8))</f>
        <v>457285906.77599996</v>
      </c>
      <c r="AX8" s="9">
        <f ca="1">IF(Stock!AS8="",0,IF(ISNUMBER($E8),($E8+$F8)*Stock!AS8/100,Stock!AS8))</f>
        <v>457285906.77599996</v>
      </c>
      <c r="AY8" s="9">
        <f ca="1">IF(Stock!AT8="",0,IF(ISNUMBER($E8),($E8+$F8)*Stock!AT8/100,Stock!AT8))</f>
        <v>457285906.77599996</v>
      </c>
      <c r="AZ8" s="9">
        <f ca="1">IF(Stock!AU8="",0,IF(ISNUMBER($E8),($E8+$F8)*Stock!AU8/100,Stock!AU8))</f>
        <v>457285906.77599996</v>
      </c>
      <c r="BA8" s="9">
        <f ca="1">IF(Stock!AV8="",0,IF(ISNUMBER($E8),($E8+$F8)*Stock!AV8/100,Stock!AV8))</f>
        <v>457285906.77599996</v>
      </c>
      <c r="BB8" s="9">
        <f ca="1">IF(Stock!AW8="",0,IF(ISNUMBER($E8),($E8+$F8)*Stock!AW8/100,Stock!AW8))</f>
        <v>457285906.77599996</v>
      </c>
      <c r="BC8" s="9">
        <f ca="1">IF(Stock!AX8="",0,IF(ISNUMBER($E8),($E8+$F8)*Stock!AX8/100,Stock!AX8))</f>
        <v>457285906.77599996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>
        <f ca="1">IF(A9="",0,IF(LEFT(C9,3) = "USB",100*(1-_xll.BDP(D9 &amp; " Govt",E$1)*(B9-TODAY()+1)/36000),_xll.BDP(D9 &amp; " Govt",E$1)))</f>
        <v>100.83203125</v>
      </c>
      <c r="F9" s="62">
        <f ca="1">IF(A9="",0,IF(LEFT(D9,1) = "B",0,_xll.BDP(D9 &amp; " Govt",F$1)))</f>
        <v>5.2254099999999998E-2</v>
      </c>
      <c r="G9" s="9">
        <f ca="1"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>
        <f ca="1">IF(A10="",0,IF(LEFT(C10,3) = "USB",100*(1-_xll.BDP(D10 &amp; " Govt",E$1)*(B10-TODAY()+1)/36000),_xll.BDP(D10 &amp; " Govt",E$1)))</f>
        <v>99.79272223909696</v>
      </c>
      <c r="F10" s="62">
        <f ca="1">IF(A10="",0,IF(LEFT(D10,1) = "B",0,_xll.BDP(D10 &amp; " Govt",F$1)))</f>
        <v>0</v>
      </c>
      <c r="G10" s="9">
        <f ca="1">IF(Stock!B10="",0,IF(ISNUMBER($E10),($E10+$F10)*Stock!B10/100,Stock!B10))</f>
        <v>193597881.14384812</v>
      </c>
      <c r="H10" s="9">
        <f ca="1">IF(Stock!C10="",0,IF(ISNUMBER($E10),($E10+$F10)*Stock!C10/100,Stock!C10))</f>
        <v>193597881.14384812</v>
      </c>
      <c r="I10" s="9">
        <f ca="1">IF(Stock!D10="",0,IF(ISNUMBER($E10),($E10+$F10)*Stock!D10/100,Stock!D10))</f>
        <v>193597881.14384812</v>
      </c>
      <c r="J10" s="9">
        <f ca="1">IF(Stock!E10="",0,IF(ISNUMBER($E10),($E10+$F10)*Stock!E10/100,Stock!E10))</f>
        <v>193597881.14384812</v>
      </c>
      <c r="K10" s="9">
        <f ca="1">IF(Stock!F10="",0,IF(ISNUMBER($E10),($E10+$F10)*Stock!F10/100,Stock!F10))</f>
        <v>193597881.14384812</v>
      </c>
      <c r="L10" s="9">
        <f ca="1">IF(Stock!G10="",0,IF(ISNUMBER($E10),($E10+$F10)*Stock!G10/100,Stock!G10))</f>
        <v>193597881.14384812</v>
      </c>
      <c r="M10" s="9">
        <f ca="1">IF(Stock!H10="",0,IF(ISNUMBER($E10),($E10+$F10)*Stock!H10/100,Stock!H10))</f>
        <v>193597881.14384812</v>
      </c>
      <c r="N10" s="9">
        <f ca="1">IF(Stock!I10="",0,IF(ISNUMBER($E10),($E10+$F10)*Stock!I10/100,Stock!I10))</f>
        <v>193597881.14384812</v>
      </c>
      <c r="O10" s="9">
        <f ca="1">IF(Stock!J10="",0,IF(ISNUMBER($E10),($E10+$F10)*Stock!J10/100,Stock!J10))</f>
        <v>193597881.14384812</v>
      </c>
      <c r="P10" s="9">
        <f ca="1">IF(Stock!K10="",0,IF(ISNUMBER($E10),($E10+$F10)*Stock!K10/100,Stock!K10))</f>
        <v>193597881.14384812</v>
      </c>
      <c r="Q10" s="9">
        <f ca="1">IF(Stock!L10="",0,IF(ISNUMBER($E10),($E10+$F10)*Stock!L10/100,Stock!L10))</f>
        <v>193597881.14384812</v>
      </c>
      <c r="R10" s="9">
        <f ca="1">IF(Stock!M10="",0,IF(ISNUMBER($E10),($E10+$F10)*Stock!M10/100,Stock!M10))</f>
        <v>193597881.14384812</v>
      </c>
      <c r="S10" s="9">
        <f ca="1">IF(Stock!N10="",0,IF(ISNUMBER($E10),($E10+$F10)*Stock!N10/100,Stock!N10))</f>
        <v>193597881.14384812</v>
      </c>
      <c r="T10" s="9">
        <f ca="1">IF(Stock!O10="",0,IF(ISNUMBER($E10),($E10+$F10)*Stock!O10/100,Stock!O10))</f>
        <v>193597881.14384812</v>
      </c>
      <c r="U10" s="9">
        <f ca="1">IF(Stock!P10="",0,IF(ISNUMBER($E10),($E10+$F10)*Stock!P10/100,Stock!P10))</f>
        <v>193597881.14384812</v>
      </c>
      <c r="V10" s="9">
        <f ca="1">IF(Stock!Q10="",0,IF(ISNUMBER($E10),($E10+$F10)*Stock!Q10/100,Stock!Q10))</f>
        <v>193597881.14384812</v>
      </c>
      <c r="W10" s="9">
        <f ca="1">IF(Stock!R10="",0,IF(ISNUMBER($E10),($E10+$F10)*Stock!R10/100,Stock!R10))</f>
        <v>193597881.14384812</v>
      </c>
      <c r="X10" s="9">
        <f ca="1">IF(Stock!S10="",0,IF(ISNUMBER($E10),($E10+$F10)*Stock!S10/100,Stock!S10))</f>
        <v>193597881.14384812</v>
      </c>
      <c r="Y10" s="9">
        <f ca="1">IF(Stock!T10="",0,IF(ISNUMBER($E10),($E10+$F10)*Stock!T10/100,Stock!T10))</f>
        <v>193597881.14384812</v>
      </c>
      <c r="Z10" s="9">
        <f ca="1">IF(Stock!U10="",0,IF(ISNUMBER($E10),($E10+$F10)*Stock!U10/100,Stock!U10))</f>
        <v>193597881.14384812</v>
      </c>
      <c r="AA10" s="9">
        <f ca="1">IF(Stock!V10="",0,IF(ISNUMBER($E10),($E10+$F10)*Stock!V10/100,Stock!V10))</f>
        <v>193597881.14384812</v>
      </c>
      <c r="AB10" s="9">
        <f ca="1">IF(Stock!W10="",0,IF(ISNUMBER($E10),($E10+$F10)*Stock!W10/100,Stock!W10))</f>
        <v>193597881.14384812</v>
      </c>
      <c r="AC10" s="9">
        <f ca="1">IF(Stock!X10="",0,IF(ISNUMBER($E10),($E10+$F10)*Stock!X10/100,Stock!X10))</f>
        <v>193597881.14384812</v>
      </c>
      <c r="AD10" s="9">
        <f ca="1">IF(Stock!Y10="",0,IF(ISNUMBER($E10),($E10+$F10)*Stock!Y10/100,Stock!Y10))</f>
        <v>193597881.14384812</v>
      </c>
      <c r="AE10" s="9">
        <f ca="1">IF(Stock!Z10="",0,IF(ISNUMBER($E10),($E10+$F10)*Stock!Z10/100,Stock!Z10))</f>
        <v>193597881.14384812</v>
      </c>
      <c r="AF10" s="9">
        <f ca="1">IF(Stock!AA10="",0,IF(ISNUMBER($E10),($E10+$F10)*Stock!AA10/100,Stock!AA10))</f>
        <v>193597881.14384812</v>
      </c>
      <c r="AG10" s="9">
        <f ca="1">IF(Stock!AB10="",0,IF(ISNUMBER($E10),($E10+$F10)*Stock!AB10/100,Stock!AB10))</f>
        <v>193597881.14384812</v>
      </c>
      <c r="AH10" s="9">
        <f ca="1">IF(Stock!AC10="",0,IF(ISNUMBER($E10),($E10+$F10)*Stock!AC10/100,Stock!AC10))</f>
        <v>193597881.14384812</v>
      </c>
      <c r="AI10" s="9">
        <f ca="1">IF(Stock!AD10="",0,IF(ISNUMBER($E10),($E10+$F10)*Stock!AD10/100,Stock!AD10))</f>
        <v>193597881.14384812</v>
      </c>
      <c r="AJ10" s="9">
        <f ca="1">IF(Stock!AE10="",0,IF(ISNUMBER($E10),($E10+$F10)*Stock!AE10/100,Stock!AE10))</f>
        <v>193597881.14384812</v>
      </c>
      <c r="AK10" s="9">
        <f ca="1">IF(Stock!AF10="",0,IF(ISNUMBER($E10),($E10+$F10)*Stock!AF10/100,Stock!AF10))</f>
        <v>193597881.14384812</v>
      </c>
      <c r="AL10" s="9">
        <f ca="1">IF(Stock!AG10="",0,IF(ISNUMBER($E10),($E10+$F10)*Stock!AG10/100,Stock!AG10))</f>
        <v>193597881.14384812</v>
      </c>
      <c r="AM10" s="9">
        <f ca="1">IF(Stock!AH10="",0,IF(ISNUMBER($E10),($E10+$F10)*Stock!AH10/100,Stock!AH10))</f>
        <v>193597881.14384812</v>
      </c>
      <c r="AN10" s="9">
        <f ca="1">IF(Stock!AI10="",0,IF(ISNUMBER($E10),($E10+$F10)*Stock!AI10/100,Stock!AI10))</f>
        <v>193597881.14384812</v>
      </c>
      <c r="AO10" s="9">
        <f ca="1">IF(Stock!AJ10="",0,IF(ISNUMBER($E10),($E10+$F10)*Stock!AJ10/100,Stock!AJ10))</f>
        <v>193597881.14384812</v>
      </c>
      <c r="AP10" s="9">
        <f ca="1">IF(Stock!AK10="",0,IF(ISNUMBER($E10),($E10+$F10)*Stock!AK10/100,Stock!AK10))</f>
        <v>193597881.14384812</v>
      </c>
      <c r="AQ10" s="9">
        <f ca="1">IF(Stock!AL10="",0,IF(ISNUMBER($E10),($E10+$F10)*Stock!AL10/100,Stock!AL10))</f>
        <v>193597881.14384812</v>
      </c>
      <c r="AR10" s="9">
        <f ca="1">IF(Stock!AM10="",0,IF(ISNUMBER($E10),($E10+$F10)*Stock!AM10/100,Stock!AM10))</f>
        <v>193597881.14384812</v>
      </c>
      <c r="AS10" s="9">
        <f ca="1">IF(Stock!AN10="",0,IF(ISNUMBER($E10),($E10+$F10)*Stock!AN10/100,Stock!AN10))</f>
        <v>193597881.14384812</v>
      </c>
      <c r="AT10" s="9">
        <f ca="1">IF(Stock!AO10="",0,IF(ISNUMBER($E10),($E10+$F10)*Stock!AO10/100,Stock!AO10))</f>
        <v>193597881.14384812</v>
      </c>
      <c r="AU10" s="9">
        <f ca="1">IF(Stock!AP10="",0,IF(ISNUMBER($E10),($E10+$F10)*Stock!AP10/100,Stock!AP10))</f>
        <v>193597881.14384812</v>
      </c>
      <c r="AV10" s="9">
        <f ca="1">IF(Stock!AQ10="",0,IF(ISNUMBER($E10),($E10+$F10)*Stock!AQ10/100,Stock!AQ10))</f>
        <v>193597881.14384812</v>
      </c>
      <c r="AW10" s="9">
        <f ca="1">IF(Stock!AR10="",0,IF(ISNUMBER($E10),($E10+$F10)*Stock!AR10/100,Stock!AR10))</f>
        <v>193597881.14384812</v>
      </c>
      <c r="AX10" s="9">
        <f ca="1">IF(Stock!AS10="",0,IF(ISNUMBER($E10),($E10+$F10)*Stock!AS10/100,Stock!AS10))</f>
        <v>193597881.14384812</v>
      </c>
      <c r="AY10" s="9">
        <f ca="1">IF(Stock!AT10="",0,IF(ISNUMBER($E10),($E10+$F10)*Stock!AT10/100,Stock!AT10))</f>
        <v>193597881.14384812</v>
      </c>
      <c r="AZ10" s="9">
        <f ca="1">IF(Stock!AU10="",0,IF(ISNUMBER($E10),($E10+$F10)*Stock!AU10/100,Stock!AU10))</f>
        <v>193597881.14384812</v>
      </c>
      <c r="BA10" s="9">
        <f ca="1">IF(Stock!AV10="",0,IF(ISNUMBER($E10),($E10+$F10)*Stock!AV10/100,Stock!AV10))</f>
        <v>193597881.14384812</v>
      </c>
      <c r="BB10" s="9">
        <f ca="1">IF(Stock!AW10="",0,IF(ISNUMBER($E10),($E10+$F10)*Stock!AW10/100,Stock!AW10))</f>
        <v>193597881.14384812</v>
      </c>
      <c r="BC10" s="9">
        <f ca="1">IF(Stock!AX10="",0,IF(ISNUMBER($E10),($E10+$F10)*Stock!AX10/100,Stock!AX10))</f>
        <v>193597881.14384812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>
        <f ca="1">IF(A11="",0,IF(LEFT(C11,3) = "USB",100*(1-_xll.BDP(D11 &amp; " Govt",E$1)*(B11-TODAY()+1)/36000),_xll.BDP(D11 &amp; " Govt",E$1)))</f>
        <v>100.12890625</v>
      </c>
      <c r="F11" s="62">
        <f ca="1">IF(A11="",0,IF(LEFT(D11,1) = "B",0,_xll.BDP(D11 &amp; " Govt",F$1)))</f>
        <v>0.15762362999999999</v>
      </c>
      <c r="G11" s="9">
        <f ca="1"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471346690.43599999</v>
      </c>
      <c r="R11" s="9">
        <f ca="1">IF(Stock!M11="",0,IF(ISNUMBER($E11),($E11+$F11)*Stock!M11/100,Stock!M11))</f>
        <v>471346690.43599999</v>
      </c>
      <c r="S11" s="9">
        <f ca="1">IF(Stock!N11="",0,IF(ISNUMBER($E11),($E11+$F11)*Stock!N11/100,Stock!N11))</f>
        <v>471346690.43599999</v>
      </c>
      <c r="T11" s="9">
        <f ca="1">IF(Stock!O11="",0,IF(ISNUMBER($E11),($E11+$F11)*Stock!O11/100,Stock!O11))</f>
        <v>471346690.43599999</v>
      </c>
      <c r="U11" s="9">
        <f ca="1">IF(Stock!P11="",0,IF(ISNUMBER($E11),($E11+$F11)*Stock!P11/100,Stock!P11))</f>
        <v>471346690.43599999</v>
      </c>
      <c r="V11" s="9">
        <f ca="1">IF(Stock!Q11="",0,IF(ISNUMBER($E11),($E11+$F11)*Stock!Q11/100,Stock!Q11))</f>
        <v>471346690.43599999</v>
      </c>
      <c r="W11" s="9">
        <f ca="1">IF(Stock!R11="",0,IF(ISNUMBER($E11),($E11+$F11)*Stock!R11/100,Stock!R11))</f>
        <v>471346690.43599999</v>
      </c>
      <c r="X11" s="9">
        <f ca="1">IF(Stock!S11="",0,IF(ISNUMBER($E11),($E11+$F11)*Stock!S11/100,Stock!S11))</f>
        <v>471346690.43599999</v>
      </c>
      <c r="Y11" s="9">
        <f ca="1">IF(Stock!T11="",0,IF(ISNUMBER($E11),($E11+$F11)*Stock!T11/100,Stock!T11))</f>
        <v>471346690.43599999</v>
      </c>
      <c r="Z11" s="9">
        <f ca="1">IF(Stock!U11="",0,IF(ISNUMBER($E11),($E11+$F11)*Stock!U11/100,Stock!U11))</f>
        <v>471346690.43599999</v>
      </c>
      <c r="AA11" s="9">
        <f ca="1">IF(Stock!V11="",0,IF(ISNUMBER($E11),($E11+$F11)*Stock!V11/100,Stock!V11))</f>
        <v>471346690.43599999</v>
      </c>
      <c r="AB11" s="9">
        <f ca="1">IF(Stock!W11="",0,IF(ISNUMBER($E11),($E11+$F11)*Stock!W11/100,Stock!W11))</f>
        <v>471346690.43599999</v>
      </c>
      <c r="AC11" s="9">
        <f ca="1">IF(Stock!X11="",0,IF(ISNUMBER($E11),($E11+$F11)*Stock!X11/100,Stock!X11))</f>
        <v>471346690.43599999</v>
      </c>
      <c r="AD11" s="9">
        <f ca="1">IF(Stock!Y11="",0,IF(ISNUMBER($E11),($E11+$F11)*Stock!Y11/100,Stock!Y11))</f>
        <v>471346690.43599999</v>
      </c>
      <c r="AE11" s="9">
        <f ca="1">IF(Stock!Z11="",0,IF(ISNUMBER($E11),($E11+$F11)*Stock!Z11/100,Stock!Z11))</f>
        <v>471346690.43599999</v>
      </c>
      <c r="AF11" s="9">
        <f ca="1">IF(Stock!AA11="",0,IF(ISNUMBER($E11),($E11+$F11)*Stock!AA11/100,Stock!AA11))</f>
        <v>471346690.43599999</v>
      </c>
      <c r="AG11" s="9">
        <f ca="1">IF(Stock!AB11="",0,IF(ISNUMBER($E11),($E11+$F11)*Stock!AB11/100,Stock!AB11))</f>
        <v>471346690.43599999</v>
      </c>
      <c r="AH11" s="9">
        <f ca="1">IF(Stock!AC11="",0,IF(ISNUMBER($E11),($E11+$F11)*Stock!AC11/100,Stock!AC11))</f>
        <v>471346690.43599999</v>
      </c>
      <c r="AI11" s="9">
        <f ca="1">IF(Stock!AD11="",0,IF(ISNUMBER($E11),($E11+$F11)*Stock!AD11/100,Stock!AD11))</f>
        <v>471346690.43599999</v>
      </c>
      <c r="AJ11" s="9">
        <f ca="1">IF(Stock!AE11="",0,IF(ISNUMBER($E11),($E11+$F11)*Stock!AE11/100,Stock!AE11))</f>
        <v>471346690.43599999</v>
      </c>
      <c r="AK11" s="9">
        <f ca="1">IF(Stock!AF11="",0,IF(ISNUMBER($E11),($E11+$F11)*Stock!AF11/100,Stock!AF11))</f>
        <v>471346690.43599999</v>
      </c>
      <c r="AL11" s="9">
        <f ca="1">IF(Stock!AG11="",0,IF(ISNUMBER($E11),($E11+$F11)*Stock!AG11/100,Stock!AG11))</f>
        <v>471346690.43599999</v>
      </c>
      <c r="AM11" s="9">
        <f ca="1">IF(Stock!AH11="",0,IF(ISNUMBER($E11),($E11+$F11)*Stock!AH11/100,Stock!AH11))</f>
        <v>471346690.43599999</v>
      </c>
      <c r="AN11" s="9">
        <f ca="1">IF(Stock!AI11="",0,IF(ISNUMBER($E11),($E11+$F11)*Stock!AI11/100,Stock!AI11))</f>
        <v>471346690.43599999</v>
      </c>
      <c r="AO11" s="9">
        <f ca="1">IF(Stock!AJ11="",0,IF(ISNUMBER($E11),($E11+$F11)*Stock!AJ11/100,Stock!AJ11))</f>
        <v>471346690.43599999</v>
      </c>
      <c r="AP11" s="9">
        <f ca="1">IF(Stock!AK11="",0,IF(ISNUMBER($E11),($E11+$F11)*Stock!AK11/100,Stock!AK11))</f>
        <v>471346690.43599999</v>
      </c>
      <c r="AQ11" s="9">
        <f ca="1">IF(Stock!AL11="",0,IF(ISNUMBER($E11),($E11+$F11)*Stock!AL11/100,Stock!AL11))</f>
        <v>471346690.43599999</v>
      </c>
      <c r="AR11" s="9">
        <f ca="1">IF(Stock!AM11="",0,IF(ISNUMBER($E11),($E11+$F11)*Stock!AM11/100,Stock!AM11))</f>
        <v>471346690.43599999</v>
      </c>
      <c r="AS11" s="9">
        <f ca="1">IF(Stock!AN11="",0,IF(ISNUMBER($E11),($E11+$F11)*Stock!AN11/100,Stock!AN11))</f>
        <v>471346690.43599999</v>
      </c>
      <c r="AT11" s="9">
        <f ca="1">IF(Stock!AO11="",0,IF(ISNUMBER($E11),($E11+$F11)*Stock!AO11/100,Stock!AO11))</f>
        <v>471346690.43599999</v>
      </c>
      <c r="AU11" s="9">
        <f ca="1">IF(Stock!AP11="",0,IF(ISNUMBER($E11),($E11+$F11)*Stock!AP11/100,Stock!AP11))</f>
        <v>471346690.43599999</v>
      </c>
      <c r="AV11" s="9">
        <f ca="1">IF(Stock!AQ11="",0,IF(ISNUMBER($E11),($E11+$F11)*Stock!AQ11/100,Stock!AQ11))</f>
        <v>471346690.43599999</v>
      </c>
      <c r="AW11" s="9">
        <f ca="1">IF(Stock!AR11="",0,IF(ISNUMBER($E11),($E11+$F11)*Stock!AR11/100,Stock!AR11))</f>
        <v>471346690.43599999</v>
      </c>
      <c r="AX11" s="9">
        <f ca="1">IF(Stock!AS11="",0,IF(ISNUMBER($E11),($E11+$F11)*Stock!AS11/100,Stock!AS11))</f>
        <v>471346690.43599999</v>
      </c>
      <c r="AY11" s="9">
        <f ca="1">IF(Stock!AT11="",0,IF(ISNUMBER($E11),($E11+$F11)*Stock!AT11/100,Stock!AT11))</f>
        <v>471346690.43599999</v>
      </c>
      <c r="AZ11" s="9">
        <f ca="1">IF(Stock!AU11="",0,IF(ISNUMBER($E11),($E11+$F11)*Stock!AU11/100,Stock!AU11))</f>
        <v>471346690.43599999</v>
      </c>
      <c r="BA11" s="9">
        <f ca="1">IF(Stock!AV11="",0,IF(ISNUMBER($E11),($E11+$F11)*Stock!AV11/100,Stock!AV11))</f>
        <v>471346690.43599999</v>
      </c>
      <c r="BB11" s="9">
        <f ca="1">IF(Stock!AW11="",0,IF(ISNUMBER($E11),($E11+$F11)*Stock!AW11/100,Stock!AW11))</f>
        <v>471346690.43599999</v>
      </c>
      <c r="BC11" s="9">
        <f ca="1">IF(Stock!AX11="",0,IF(ISNUMBER($E11),($E11+$F11)*Stock!AX11/100,Stock!AX11))</f>
        <v>471346690.43599999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>
        <f ca="1">IF(A12="",0,IF(LEFT(C12,3) = "USB",100*(1-_xll.BDP(D12 &amp; " Govt",E$1)*(B12-TODAY()+1)/36000),_xll.BDP(D12 &amp; " Govt",E$1)))</f>
        <v>99.80078125</v>
      </c>
      <c r="F12" s="62">
        <f ca="1">IF(A12="",0,IF(LEFT(D12,1) = "B",0,_xll.BDP(D12 &amp; " Govt",F$1)))</f>
        <v>3.17623E-2</v>
      </c>
      <c r="G12" s="9">
        <f ca="1">IF(Stock!B12="",0,IF(ISNUMBER($E12),($E12+$F12)*Stock!B12/100,Stock!B12))</f>
        <v>504154344.92750001</v>
      </c>
      <c r="H12" s="9">
        <f ca="1">IF(Stock!C12="",0,IF(ISNUMBER($E12),($E12+$F12)*Stock!C12/100,Stock!C12))</f>
        <v>504154344.92750001</v>
      </c>
      <c r="I12" s="9">
        <f ca="1">IF(Stock!D12="",0,IF(ISNUMBER($E12),($E12+$F12)*Stock!D12/100,Stock!D12))</f>
        <v>504154344.92750001</v>
      </c>
      <c r="J12" s="9">
        <f ca="1">IF(Stock!E12="",0,IF(ISNUMBER($E12),($E12+$F12)*Stock!E12/100,Stock!E12))</f>
        <v>504154344.92750001</v>
      </c>
      <c r="K12" s="9">
        <f ca="1">IF(Stock!F12="",0,IF(ISNUMBER($E12),($E12+$F12)*Stock!F12/100,Stock!F12))</f>
        <v>504154344.92750001</v>
      </c>
      <c r="L12" s="9">
        <f ca="1">IF(Stock!G12="",0,IF(ISNUMBER($E12),($E12+$F12)*Stock!G12/100,Stock!G12))</f>
        <v>1502479780.4275</v>
      </c>
      <c r="M12" s="9">
        <f ca="1">IF(Stock!H12="",0,IF(ISNUMBER($E12),($E12+$F12)*Stock!H12/100,Stock!H12))</f>
        <v>1502479780.4275</v>
      </c>
      <c r="N12" s="9">
        <f ca="1">IF(Stock!I12="",0,IF(ISNUMBER($E12),($E12+$F12)*Stock!I12/100,Stock!I12))</f>
        <v>1502479780.4275</v>
      </c>
      <c r="O12" s="9">
        <f ca="1">IF(Stock!J12="",0,IF(ISNUMBER($E12),($E12+$F12)*Stock!J12/100,Stock!J12))</f>
        <v>1502479780.4275</v>
      </c>
      <c r="P12" s="9">
        <f ca="1">IF(Stock!K12="",0,IF(ISNUMBER($E12),($E12+$F12)*Stock!K12/100,Stock!K12))</f>
        <v>1502479780.4275</v>
      </c>
      <c r="Q12" s="9">
        <f ca="1">IF(Stock!L12="",0,IF(ISNUMBER($E12),($E12+$F12)*Stock!L12/100,Stock!L12))</f>
        <v>1502479780.4275</v>
      </c>
      <c r="R12" s="9">
        <f ca="1">IF(Stock!M12="",0,IF(ISNUMBER($E12),($E12+$F12)*Stock!M12/100,Stock!M12))</f>
        <v>1502479780.4275</v>
      </c>
      <c r="S12" s="9">
        <f ca="1">IF(Stock!N12="",0,IF(ISNUMBER($E12),($E12+$F12)*Stock!N12/100,Stock!N12))</f>
        <v>1502479780.4275</v>
      </c>
      <c r="T12" s="9">
        <f ca="1">IF(Stock!O12="",0,IF(ISNUMBER($E12),($E12+$F12)*Stock!O12/100,Stock!O12))</f>
        <v>1502479780.4275</v>
      </c>
      <c r="U12" s="9">
        <f ca="1">IF(Stock!P12="",0,IF(ISNUMBER($E12),($E12+$F12)*Stock!P12/100,Stock!P12))</f>
        <v>1502479780.4275</v>
      </c>
      <c r="V12" s="9">
        <f ca="1">IF(Stock!Q12="",0,IF(ISNUMBER($E12),($E12+$F12)*Stock!Q12/100,Stock!Q12))</f>
        <v>1502479780.4275</v>
      </c>
      <c r="W12" s="9">
        <f ca="1">IF(Stock!R12="",0,IF(ISNUMBER($E12),($E12+$F12)*Stock!R12/100,Stock!R12))</f>
        <v>1502479780.4275</v>
      </c>
      <c r="X12" s="9">
        <f ca="1">IF(Stock!S12="",0,IF(ISNUMBER($E12),($E12+$F12)*Stock!S12/100,Stock!S12))</f>
        <v>1502479780.4275</v>
      </c>
      <c r="Y12" s="9">
        <f ca="1">IF(Stock!T12="",0,IF(ISNUMBER($E12),($E12+$F12)*Stock!T12/100,Stock!T12))</f>
        <v>1502479780.4275</v>
      </c>
      <c r="Z12" s="9">
        <f ca="1">IF(Stock!U12="",0,IF(ISNUMBER($E12),($E12+$F12)*Stock!U12/100,Stock!U12))</f>
        <v>1502479780.4275</v>
      </c>
      <c r="AA12" s="9">
        <f ca="1">IF(Stock!V12="",0,IF(ISNUMBER($E12),($E12+$F12)*Stock!V12/100,Stock!V12))</f>
        <v>1502479780.4275</v>
      </c>
      <c r="AB12" s="9">
        <f ca="1">IF(Stock!W12="",0,IF(ISNUMBER($E12),($E12+$F12)*Stock!W12/100,Stock!W12))</f>
        <v>1502479780.4275</v>
      </c>
      <c r="AC12" s="9">
        <f ca="1">IF(Stock!X12="",0,IF(ISNUMBER($E12),($E12+$F12)*Stock!X12/100,Stock!X12))</f>
        <v>1502479780.4275</v>
      </c>
      <c r="AD12" s="9">
        <f ca="1">IF(Stock!Y12="",0,IF(ISNUMBER($E12),($E12+$F12)*Stock!Y12/100,Stock!Y12))</f>
        <v>1502479780.4275</v>
      </c>
      <c r="AE12" s="9">
        <f ca="1">IF(Stock!Z12="",0,IF(ISNUMBER($E12),($E12+$F12)*Stock!Z12/100,Stock!Z12))</f>
        <v>1502479780.4275</v>
      </c>
      <c r="AF12" s="9">
        <f ca="1">IF(Stock!AA12="",0,IF(ISNUMBER($E12),($E12+$F12)*Stock!AA12/100,Stock!AA12))</f>
        <v>1502479780.4275</v>
      </c>
      <c r="AG12" s="9">
        <f ca="1">IF(Stock!AB12="",0,IF(ISNUMBER($E12),($E12+$F12)*Stock!AB12/100,Stock!AB12))</f>
        <v>1502479780.4275</v>
      </c>
      <c r="AH12" s="9">
        <f ca="1">IF(Stock!AC12="",0,IF(ISNUMBER($E12),($E12+$F12)*Stock!AC12/100,Stock!AC12))</f>
        <v>1502479780.4275</v>
      </c>
      <c r="AI12" s="9">
        <f ca="1">IF(Stock!AD12="",0,IF(ISNUMBER($E12),($E12+$F12)*Stock!AD12/100,Stock!AD12))</f>
        <v>1502479780.4275</v>
      </c>
      <c r="AJ12" s="9">
        <f ca="1">IF(Stock!AE12="",0,IF(ISNUMBER($E12),($E12+$F12)*Stock!AE12/100,Stock!AE12))</f>
        <v>1502479780.4275</v>
      </c>
      <c r="AK12" s="9">
        <f ca="1">IF(Stock!AF12="",0,IF(ISNUMBER($E12),($E12+$F12)*Stock!AF12/100,Stock!AF12))</f>
        <v>1502479780.4275</v>
      </c>
      <c r="AL12" s="9">
        <f ca="1">IF(Stock!AG12="",0,IF(ISNUMBER($E12),($E12+$F12)*Stock!AG12/100,Stock!AG12))</f>
        <v>1502479780.4275</v>
      </c>
      <c r="AM12" s="9">
        <f ca="1">IF(Stock!AH12="",0,IF(ISNUMBER($E12),($E12+$F12)*Stock!AH12/100,Stock!AH12))</f>
        <v>1502479780.4275</v>
      </c>
      <c r="AN12" s="9">
        <f ca="1">IF(Stock!AI12="",0,IF(ISNUMBER($E12),($E12+$F12)*Stock!AI12/100,Stock!AI12))</f>
        <v>1502479780.4275</v>
      </c>
      <c r="AO12" s="9">
        <f ca="1">IF(Stock!AJ12="",0,IF(ISNUMBER($E12),($E12+$F12)*Stock!AJ12/100,Stock!AJ12))</f>
        <v>1502479780.4275</v>
      </c>
      <c r="AP12" s="9">
        <f ca="1">IF(Stock!AK12="",0,IF(ISNUMBER($E12),($E12+$F12)*Stock!AK12/100,Stock!AK12))</f>
        <v>1502479780.4275</v>
      </c>
      <c r="AQ12" s="9">
        <f ca="1">IF(Stock!AL12="",0,IF(ISNUMBER($E12),($E12+$F12)*Stock!AL12/100,Stock!AL12))</f>
        <v>1502479780.4275</v>
      </c>
      <c r="AR12" s="9">
        <f ca="1">IF(Stock!AM12="",0,IF(ISNUMBER($E12),($E12+$F12)*Stock!AM12/100,Stock!AM12))</f>
        <v>1502479780.4275</v>
      </c>
      <c r="AS12" s="9">
        <f ca="1">IF(Stock!AN12="",0,IF(ISNUMBER($E12),($E12+$F12)*Stock!AN12/100,Stock!AN12))</f>
        <v>1502479780.4275</v>
      </c>
      <c r="AT12" s="9">
        <f ca="1">IF(Stock!AO12="",0,IF(ISNUMBER($E12),($E12+$F12)*Stock!AO12/100,Stock!AO12))</f>
        <v>1502479780.4275</v>
      </c>
      <c r="AU12" s="9">
        <f ca="1">IF(Stock!AP12="",0,IF(ISNUMBER($E12),($E12+$F12)*Stock!AP12/100,Stock!AP12))</f>
        <v>1502479780.4275</v>
      </c>
      <c r="AV12" s="9">
        <f ca="1">IF(Stock!AQ12="",0,IF(ISNUMBER($E12),($E12+$F12)*Stock!AQ12/100,Stock!AQ12))</f>
        <v>1502479780.4275</v>
      </c>
      <c r="AW12" s="9">
        <f ca="1">IF(Stock!AR12="",0,IF(ISNUMBER($E12),($E12+$F12)*Stock!AR12/100,Stock!AR12))</f>
        <v>1502479780.4275</v>
      </c>
      <c r="AX12" s="9">
        <f ca="1">IF(Stock!AS12="",0,IF(ISNUMBER($E12),($E12+$F12)*Stock!AS12/100,Stock!AS12))</f>
        <v>1502479780.4275</v>
      </c>
      <c r="AY12" s="9">
        <f ca="1">IF(Stock!AT12="",0,IF(ISNUMBER($E12),($E12+$F12)*Stock!AT12/100,Stock!AT12))</f>
        <v>1502479780.4275</v>
      </c>
      <c r="AZ12" s="9">
        <f ca="1">IF(Stock!AU12="",0,IF(ISNUMBER($E12),($E12+$F12)*Stock!AU12/100,Stock!AU12))</f>
        <v>1502479780.4275</v>
      </c>
      <c r="BA12" s="9">
        <f ca="1">IF(Stock!AV12="",0,IF(ISNUMBER($E12),($E12+$F12)*Stock!AV12/100,Stock!AV12))</f>
        <v>1502479780.4275</v>
      </c>
      <c r="BB12" s="9">
        <f ca="1">IF(Stock!AW12="",0,IF(ISNUMBER($E12),($E12+$F12)*Stock!AW12/100,Stock!AW12))</f>
        <v>1502479780.4275</v>
      </c>
      <c r="BC12" s="9">
        <f ca="1">IF(Stock!AX12="",0,IF(ISNUMBER($E12),($E12+$F12)*Stock!AX12/100,Stock!AX12))</f>
        <v>1502479780.4275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>
        <f ca="1">IF(A13="",0,IF(LEFT(C13,3) = "USB",100*(1-_xll.BDP(D13 &amp; " Govt",E$1)*(B13-TODAY()+1)/36000),_xll.BDP(D13 &amp; " Govt",E$1)))</f>
        <v>99.947265625</v>
      </c>
      <c r="F13" s="62">
        <f ca="1">IF(A13="",0,IF(LEFT(D13,1) = "B",0,_xll.BDP(D13 &amp; " Govt",F$1)))</f>
        <v>4.2798910000000003E-2</v>
      </c>
      <c r="G13" s="9">
        <f ca="1">IF(Stock!B13="",0,IF(ISNUMBER($E13),($E13+$F13)*Stock!B13/100,Stock!B13))</f>
        <v>182981818.09904999</v>
      </c>
      <c r="H13" s="9">
        <f ca="1">IF(Stock!C13="",0,IF(ISNUMBER($E13),($E13+$F13)*Stock!C13/100,Stock!C13))</f>
        <v>182981818.09904999</v>
      </c>
      <c r="I13" s="9">
        <f ca="1">IF(Stock!D13="",0,IF(ISNUMBER($E13),($E13+$F13)*Stock!D13/100,Stock!D13))</f>
        <v>182981818.09904999</v>
      </c>
      <c r="J13" s="9">
        <f ca="1">IF(Stock!E13="",0,IF(ISNUMBER($E13),($E13+$F13)*Stock!E13/100,Stock!E13))</f>
        <v>182981818.09904999</v>
      </c>
      <c r="K13" s="9">
        <f ca="1">IF(Stock!F13="",0,IF(ISNUMBER($E13),($E13+$F13)*Stock!F13/100,Stock!F13))</f>
        <v>182981818.09904999</v>
      </c>
      <c r="L13" s="9">
        <f ca="1">IF(Stock!G13="",0,IF(ISNUMBER($E13),($E13+$F13)*Stock!G13/100,Stock!G13))</f>
        <v>432956979.43654996</v>
      </c>
      <c r="M13" s="9">
        <f ca="1">IF(Stock!H13="",0,IF(ISNUMBER($E13),($E13+$F13)*Stock!H13/100,Stock!H13))</f>
        <v>432956979.43654996</v>
      </c>
      <c r="N13" s="9">
        <f ca="1">IF(Stock!I13="",0,IF(ISNUMBER($E13),($E13+$F13)*Stock!I13/100,Stock!I13))</f>
        <v>432956979.43654996</v>
      </c>
      <c r="O13" s="9">
        <f ca="1">IF(Stock!J13="",0,IF(ISNUMBER($E13),($E13+$F13)*Stock!J13/100,Stock!J13))</f>
        <v>432956979.43654996</v>
      </c>
      <c r="P13" s="9">
        <f ca="1">IF(Stock!K13="",0,IF(ISNUMBER($E13),($E13+$F13)*Stock!K13/100,Stock!K13))</f>
        <v>432956979.43654996</v>
      </c>
      <c r="Q13" s="9">
        <f ca="1">IF(Stock!L13="",0,IF(ISNUMBER($E13),($E13+$F13)*Stock!L13/100,Stock!L13))</f>
        <v>432956979.43654996</v>
      </c>
      <c r="R13" s="9">
        <f ca="1">IF(Stock!M13="",0,IF(ISNUMBER($E13),($E13+$F13)*Stock!M13/100,Stock!M13))</f>
        <v>432956979.43654996</v>
      </c>
      <c r="S13" s="9">
        <f ca="1">IF(Stock!N13="",0,IF(ISNUMBER($E13),($E13+$F13)*Stock!N13/100,Stock!N13))</f>
        <v>432956979.43654996</v>
      </c>
      <c r="T13" s="9">
        <f ca="1">IF(Stock!O13="",0,IF(ISNUMBER($E13),($E13+$F13)*Stock!O13/100,Stock!O13))</f>
        <v>432956979.43654996</v>
      </c>
      <c r="U13" s="9">
        <f ca="1">IF(Stock!P13="",0,IF(ISNUMBER($E13),($E13+$F13)*Stock!P13/100,Stock!P13))</f>
        <v>432956979.43654996</v>
      </c>
      <c r="V13" s="9">
        <f ca="1">IF(Stock!Q13="",0,IF(ISNUMBER($E13),($E13+$F13)*Stock!Q13/100,Stock!Q13))</f>
        <v>432956979.43654996</v>
      </c>
      <c r="W13" s="9">
        <f ca="1">IF(Stock!R13="",0,IF(ISNUMBER($E13),($E13+$F13)*Stock!R13/100,Stock!R13))</f>
        <v>432956979.43654996</v>
      </c>
      <c r="X13" s="9">
        <f ca="1">IF(Stock!S13="",0,IF(ISNUMBER($E13),($E13+$F13)*Stock!S13/100,Stock!S13))</f>
        <v>432956979.43654996</v>
      </c>
      <c r="Y13" s="9">
        <f ca="1">IF(Stock!T13="",0,IF(ISNUMBER($E13),($E13+$F13)*Stock!T13/100,Stock!T13))</f>
        <v>432956979.43654996</v>
      </c>
      <c r="Z13" s="9">
        <f ca="1">IF(Stock!U13="",0,IF(ISNUMBER($E13),($E13+$F13)*Stock!U13/100,Stock!U13))</f>
        <v>432956979.43654996</v>
      </c>
      <c r="AA13" s="9">
        <f ca="1">IF(Stock!V13="",0,IF(ISNUMBER($E13),($E13+$F13)*Stock!V13/100,Stock!V13))</f>
        <v>432956979.43654996</v>
      </c>
      <c r="AB13" s="9">
        <f ca="1">IF(Stock!W13="",0,IF(ISNUMBER($E13),($E13+$F13)*Stock!W13/100,Stock!W13))</f>
        <v>432956979.43654996</v>
      </c>
      <c r="AC13" s="9">
        <f ca="1">IF(Stock!X13="",0,IF(ISNUMBER($E13),($E13+$F13)*Stock!X13/100,Stock!X13))</f>
        <v>432956979.43654996</v>
      </c>
      <c r="AD13" s="9">
        <f ca="1">IF(Stock!Y13="",0,IF(ISNUMBER($E13),($E13+$F13)*Stock!Y13/100,Stock!Y13))</f>
        <v>432956979.43654996</v>
      </c>
      <c r="AE13" s="9">
        <f ca="1">IF(Stock!Z13="",0,IF(ISNUMBER($E13),($E13+$F13)*Stock!Z13/100,Stock!Z13))</f>
        <v>432956979.43654996</v>
      </c>
      <c r="AF13" s="9">
        <f ca="1">IF(Stock!AA13="",0,IF(ISNUMBER($E13),($E13+$F13)*Stock!AA13/100,Stock!AA13))</f>
        <v>432956979.43654996</v>
      </c>
      <c r="AG13" s="9">
        <f ca="1">IF(Stock!AB13="",0,IF(ISNUMBER($E13),($E13+$F13)*Stock!AB13/100,Stock!AB13))</f>
        <v>432956979.43654996</v>
      </c>
      <c r="AH13" s="9">
        <f ca="1">IF(Stock!AC13="",0,IF(ISNUMBER($E13),($E13+$F13)*Stock!AC13/100,Stock!AC13))</f>
        <v>432956979.43654996</v>
      </c>
      <c r="AI13" s="9">
        <f ca="1">IF(Stock!AD13="",0,IF(ISNUMBER($E13),($E13+$F13)*Stock!AD13/100,Stock!AD13))</f>
        <v>432956979.43654996</v>
      </c>
      <c r="AJ13" s="9">
        <f ca="1">IF(Stock!AE13="",0,IF(ISNUMBER($E13),($E13+$F13)*Stock!AE13/100,Stock!AE13))</f>
        <v>432956979.43654996</v>
      </c>
      <c r="AK13" s="9">
        <f ca="1">IF(Stock!AF13="",0,IF(ISNUMBER($E13),($E13+$F13)*Stock!AF13/100,Stock!AF13))</f>
        <v>432956979.43654996</v>
      </c>
      <c r="AL13" s="9">
        <f ca="1">IF(Stock!AG13="",0,IF(ISNUMBER($E13),($E13+$F13)*Stock!AG13/100,Stock!AG13))</f>
        <v>432956979.43654996</v>
      </c>
      <c r="AM13" s="9">
        <f ca="1">IF(Stock!AH13="",0,IF(ISNUMBER($E13),($E13+$F13)*Stock!AH13/100,Stock!AH13))</f>
        <v>432956979.43654996</v>
      </c>
      <c r="AN13" s="9">
        <f ca="1">IF(Stock!AI13="",0,IF(ISNUMBER($E13),($E13+$F13)*Stock!AI13/100,Stock!AI13))</f>
        <v>432956979.43654996</v>
      </c>
      <c r="AO13" s="9">
        <f ca="1">IF(Stock!AJ13="",0,IF(ISNUMBER($E13),($E13+$F13)*Stock!AJ13/100,Stock!AJ13))</f>
        <v>432956979.43654996</v>
      </c>
      <c r="AP13" s="9">
        <f ca="1">IF(Stock!AK13="",0,IF(ISNUMBER($E13),($E13+$F13)*Stock!AK13/100,Stock!AK13))</f>
        <v>432956979.43654996</v>
      </c>
      <c r="AQ13" s="9">
        <f ca="1">IF(Stock!AL13="",0,IF(ISNUMBER($E13),($E13+$F13)*Stock!AL13/100,Stock!AL13))</f>
        <v>432956979.43654996</v>
      </c>
      <c r="AR13" s="9">
        <f ca="1">IF(Stock!AM13="",0,IF(ISNUMBER($E13),($E13+$F13)*Stock!AM13/100,Stock!AM13))</f>
        <v>432956979.43654996</v>
      </c>
      <c r="AS13" s="9">
        <f ca="1">IF(Stock!AN13="",0,IF(ISNUMBER($E13),($E13+$F13)*Stock!AN13/100,Stock!AN13))</f>
        <v>432956979.43654996</v>
      </c>
      <c r="AT13" s="9">
        <f ca="1">IF(Stock!AO13="",0,IF(ISNUMBER($E13),($E13+$F13)*Stock!AO13/100,Stock!AO13))</f>
        <v>432956979.43654996</v>
      </c>
      <c r="AU13" s="9">
        <f ca="1">IF(Stock!AP13="",0,IF(ISNUMBER($E13),($E13+$F13)*Stock!AP13/100,Stock!AP13))</f>
        <v>432956979.43654996</v>
      </c>
      <c r="AV13" s="9">
        <f ca="1">IF(Stock!AQ13="",0,IF(ISNUMBER($E13),($E13+$F13)*Stock!AQ13/100,Stock!AQ13))</f>
        <v>432956979.43654996</v>
      </c>
      <c r="AW13" s="9">
        <f ca="1">IF(Stock!AR13="",0,IF(ISNUMBER($E13),($E13+$F13)*Stock!AR13/100,Stock!AR13))</f>
        <v>432956979.43654996</v>
      </c>
      <c r="AX13" s="9">
        <f ca="1">IF(Stock!AS13="",0,IF(ISNUMBER($E13),($E13+$F13)*Stock!AS13/100,Stock!AS13))</f>
        <v>432956979.43654996</v>
      </c>
      <c r="AY13" s="9">
        <f ca="1">IF(Stock!AT13="",0,IF(ISNUMBER($E13),($E13+$F13)*Stock!AT13/100,Stock!AT13))</f>
        <v>432956979.43654996</v>
      </c>
      <c r="AZ13" s="9">
        <f ca="1">IF(Stock!AU13="",0,IF(ISNUMBER($E13),($E13+$F13)*Stock!AU13/100,Stock!AU13))</f>
        <v>432956979.43654996</v>
      </c>
      <c r="BA13" s="9">
        <f ca="1">IF(Stock!AV13="",0,IF(ISNUMBER($E13),($E13+$F13)*Stock!AV13/100,Stock!AV13))</f>
        <v>432956979.43654996</v>
      </c>
      <c r="BB13" s="9">
        <f ca="1">IF(Stock!AW13="",0,IF(ISNUMBER($E13),($E13+$F13)*Stock!AW13/100,Stock!AW13))</f>
        <v>432956979.43654996</v>
      </c>
      <c r="BC13" s="9">
        <f ca="1">IF(Stock!AX13="",0,IF(ISNUMBER($E13),($E13+$F13)*Stock!AX13/100,Stock!AX13))</f>
        <v>432956979.43654996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>
        <f ca="1">IF(A14="",0,IF(LEFT(C14,3) = "USB",100*(1-_xll.BDP(D14 &amp; " Govt",E$1)*(B14-TODAY()+1)/36000),_xll.BDP(D14 &amp; " Govt",E$1)))</f>
        <v>99.927734375</v>
      </c>
      <c r="F14" s="62">
        <f ca="1">IF(A14="",0,IF(LEFT(D14,1) = "B",0,_xll.BDP(D14 &amp; " Govt",F$1)))</f>
        <v>2.1857919999999999E-2</v>
      </c>
      <c r="G14" s="9">
        <f ca="1"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684654707.22075009</v>
      </c>
      <c r="L14" s="9">
        <f ca="1">IF(Stock!G14="",0,IF(ISNUMBER($E14),($E14+$F14)*Stock!G14/100,Stock!G14))</f>
        <v>684654707.22075009</v>
      </c>
      <c r="M14" s="9">
        <f ca="1">IF(Stock!H14="",0,IF(ISNUMBER($E14),($E14+$F14)*Stock!H14/100,Stock!H14))</f>
        <v>684654707.22075009</v>
      </c>
      <c r="N14" s="9">
        <f ca="1">IF(Stock!I14="",0,IF(ISNUMBER($E14),($E14+$F14)*Stock!I14/100,Stock!I14))</f>
        <v>684654707.22075009</v>
      </c>
      <c r="O14" s="9">
        <f ca="1">IF(Stock!J14="",0,IF(ISNUMBER($E14),($E14+$F14)*Stock!J14/100,Stock!J14))</f>
        <v>684654707.22075009</v>
      </c>
      <c r="P14" s="9">
        <f ca="1">IF(Stock!K14="",0,IF(ISNUMBER($E14),($E14+$F14)*Stock!K14/100,Stock!K14))</f>
        <v>684654707.22075009</v>
      </c>
      <c r="Q14" s="9">
        <f ca="1">IF(Stock!L14="",0,IF(ISNUMBER($E14),($E14+$F14)*Stock!L14/100,Stock!L14))</f>
        <v>684654707.22075009</v>
      </c>
      <c r="R14" s="9">
        <f ca="1">IF(Stock!M14="",0,IF(ISNUMBER($E14),($E14+$F14)*Stock!M14/100,Stock!M14))</f>
        <v>684654707.22075009</v>
      </c>
      <c r="S14" s="9">
        <f ca="1">IF(Stock!N14="",0,IF(ISNUMBER($E14),($E14+$F14)*Stock!N14/100,Stock!N14))</f>
        <v>684654707.22075009</v>
      </c>
      <c r="T14" s="9">
        <f ca="1">IF(Stock!O14="",0,IF(ISNUMBER($E14),($E14+$F14)*Stock!O14/100,Stock!O14))</f>
        <v>684654707.22075009</v>
      </c>
      <c r="U14" s="9">
        <f ca="1">IF(Stock!P14="",0,IF(ISNUMBER($E14),($E14+$F14)*Stock!P14/100,Stock!P14))</f>
        <v>684654707.22075009</v>
      </c>
      <c r="V14" s="9">
        <f ca="1">IF(Stock!Q14="",0,IF(ISNUMBER($E14),($E14+$F14)*Stock!Q14/100,Stock!Q14))</f>
        <v>684654707.22075009</v>
      </c>
      <c r="W14" s="9">
        <f ca="1">IF(Stock!R14="",0,IF(ISNUMBER($E14),($E14+$F14)*Stock!R14/100,Stock!R14))</f>
        <v>684654707.22075009</v>
      </c>
      <c r="X14" s="9">
        <f ca="1">IF(Stock!S14="",0,IF(ISNUMBER($E14),($E14+$F14)*Stock!S14/100,Stock!S14))</f>
        <v>684654707.22075009</v>
      </c>
      <c r="Y14" s="9">
        <f ca="1">IF(Stock!T14="",0,IF(ISNUMBER($E14),($E14+$F14)*Stock!T14/100,Stock!T14))</f>
        <v>684654707.22075009</v>
      </c>
      <c r="Z14" s="9">
        <f ca="1">IF(Stock!U14="",0,IF(ISNUMBER($E14),($E14+$F14)*Stock!U14/100,Stock!U14))</f>
        <v>684654707.22075009</v>
      </c>
      <c r="AA14" s="9">
        <f ca="1">IF(Stock!V14="",0,IF(ISNUMBER($E14),($E14+$F14)*Stock!V14/100,Stock!V14))</f>
        <v>684654707.22075009</v>
      </c>
      <c r="AB14" s="9">
        <f ca="1">IF(Stock!W14="",0,IF(ISNUMBER($E14),($E14+$F14)*Stock!W14/100,Stock!W14))</f>
        <v>684654707.22075009</v>
      </c>
      <c r="AC14" s="9">
        <f ca="1">IF(Stock!X14="",0,IF(ISNUMBER($E14),($E14+$F14)*Stock!X14/100,Stock!X14))</f>
        <v>684654707.22075009</v>
      </c>
      <c r="AD14" s="9">
        <f ca="1">IF(Stock!Y14="",0,IF(ISNUMBER($E14),($E14+$F14)*Stock!Y14/100,Stock!Y14))</f>
        <v>684654707.22075009</v>
      </c>
      <c r="AE14" s="9">
        <f ca="1">IF(Stock!Z14="",0,IF(ISNUMBER($E14),($E14+$F14)*Stock!Z14/100,Stock!Z14))</f>
        <v>684654707.22075009</v>
      </c>
      <c r="AF14" s="9">
        <f ca="1">IF(Stock!AA14="",0,IF(ISNUMBER($E14),($E14+$F14)*Stock!AA14/100,Stock!AA14))</f>
        <v>684654707.22075009</v>
      </c>
      <c r="AG14" s="9">
        <f ca="1">IF(Stock!AB14="",0,IF(ISNUMBER($E14),($E14+$F14)*Stock!AB14/100,Stock!AB14))</f>
        <v>684654707.22075009</v>
      </c>
      <c r="AH14" s="9">
        <f ca="1">IF(Stock!AC14="",0,IF(ISNUMBER($E14),($E14+$F14)*Stock!AC14/100,Stock!AC14))</f>
        <v>684654707.22075009</v>
      </c>
      <c r="AI14" s="9">
        <f ca="1">IF(Stock!AD14="",0,IF(ISNUMBER($E14),($E14+$F14)*Stock!AD14/100,Stock!AD14))</f>
        <v>684654707.22075009</v>
      </c>
      <c r="AJ14" s="9">
        <f ca="1">IF(Stock!AE14="",0,IF(ISNUMBER($E14),($E14+$F14)*Stock!AE14/100,Stock!AE14))</f>
        <v>684654707.22075009</v>
      </c>
      <c r="AK14" s="9">
        <f ca="1">IF(Stock!AF14="",0,IF(ISNUMBER($E14),($E14+$F14)*Stock!AF14/100,Stock!AF14))</f>
        <v>684654707.22075009</v>
      </c>
      <c r="AL14" s="9">
        <f ca="1">IF(Stock!AG14="",0,IF(ISNUMBER($E14),($E14+$F14)*Stock!AG14/100,Stock!AG14))</f>
        <v>684654707.22075009</v>
      </c>
      <c r="AM14" s="9">
        <f ca="1">IF(Stock!AH14="",0,IF(ISNUMBER($E14),($E14+$F14)*Stock!AH14/100,Stock!AH14))</f>
        <v>684654707.22075009</v>
      </c>
      <c r="AN14" s="9">
        <f ca="1">IF(Stock!AI14="",0,IF(ISNUMBER($E14),($E14+$F14)*Stock!AI14/100,Stock!AI14))</f>
        <v>684654707.22075009</v>
      </c>
      <c r="AO14" s="9">
        <f ca="1">IF(Stock!AJ14="",0,IF(ISNUMBER($E14),($E14+$F14)*Stock!AJ14/100,Stock!AJ14))</f>
        <v>684654707.22075009</v>
      </c>
      <c r="AP14" s="9">
        <f ca="1">IF(Stock!AK14="",0,IF(ISNUMBER($E14),($E14+$F14)*Stock!AK14/100,Stock!AK14))</f>
        <v>684654707.22075009</v>
      </c>
      <c r="AQ14" s="9">
        <f ca="1">IF(Stock!AL14="",0,IF(ISNUMBER($E14),($E14+$F14)*Stock!AL14/100,Stock!AL14))</f>
        <v>684654707.22075009</v>
      </c>
      <c r="AR14" s="9">
        <f ca="1">IF(Stock!AM14="",0,IF(ISNUMBER($E14),($E14+$F14)*Stock!AM14/100,Stock!AM14))</f>
        <v>684654707.22075009</v>
      </c>
      <c r="AS14" s="9">
        <f ca="1">IF(Stock!AN14="",0,IF(ISNUMBER($E14),($E14+$F14)*Stock!AN14/100,Stock!AN14))</f>
        <v>684654707.22075009</v>
      </c>
      <c r="AT14" s="9">
        <f ca="1">IF(Stock!AO14="",0,IF(ISNUMBER($E14),($E14+$F14)*Stock!AO14/100,Stock!AO14))</f>
        <v>684654707.22075009</v>
      </c>
      <c r="AU14" s="9">
        <f ca="1">IF(Stock!AP14="",0,IF(ISNUMBER($E14),($E14+$F14)*Stock!AP14/100,Stock!AP14))</f>
        <v>684654707.22075009</v>
      </c>
      <c r="AV14" s="9">
        <f ca="1">IF(Stock!AQ14="",0,IF(ISNUMBER($E14),($E14+$F14)*Stock!AQ14/100,Stock!AQ14))</f>
        <v>684654707.22075009</v>
      </c>
      <c r="AW14" s="9">
        <f ca="1">IF(Stock!AR14="",0,IF(ISNUMBER($E14),($E14+$F14)*Stock!AR14/100,Stock!AR14))</f>
        <v>684654707.22075009</v>
      </c>
      <c r="AX14" s="9">
        <f ca="1">IF(Stock!AS14="",0,IF(ISNUMBER($E14),($E14+$F14)*Stock!AS14/100,Stock!AS14))</f>
        <v>684654707.22075009</v>
      </c>
      <c r="AY14" s="9">
        <f ca="1">IF(Stock!AT14="",0,IF(ISNUMBER($E14),($E14+$F14)*Stock!AT14/100,Stock!AT14))</f>
        <v>684654707.22075009</v>
      </c>
      <c r="AZ14" s="9">
        <f ca="1">IF(Stock!AU14="",0,IF(ISNUMBER($E14),($E14+$F14)*Stock!AU14/100,Stock!AU14))</f>
        <v>684654707.22075009</v>
      </c>
      <c r="BA14" s="9">
        <f ca="1">IF(Stock!AV14="",0,IF(ISNUMBER($E14),($E14+$F14)*Stock!AV14/100,Stock!AV14))</f>
        <v>684654707.22075009</v>
      </c>
      <c r="BB14" s="9">
        <f ca="1">IF(Stock!AW14="",0,IF(ISNUMBER($E14),($E14+$F14)*Stock!AW14/100,Stock!AW14))</f>
        <v>684654707.22075009</v>
      </c>
      <c r="BC14" s="9">
        <f ca="1">IF(Stock!AX14="",0,IF(ISNUMBER($E14),($E14+$F14)*Stock!AX14/100,Stock!AX14))</f>
        <v>684654707.22075009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>
        <f ca="1">IF(A15="",0,IF(LEFT(C15,3) = "USB",100*(1-_xll.BDP(D15 &amp; " Govt",E$1)*(B15-TODAY()+1)/36000),_xll.BDP(D15 &amp; " Govt",E$1)))</f>
        <v>99.90234375</v>
      </c>
      <c r="F15" s="62">
        <f ca="1">IF(A15="",0,IF(LEFT(D15,1) = "B",0,_xll.BDP(D15 &amp; " Govt",F$1)))</f>
        <v>0.10508242</v>
      </c>
      <c r="G15" s="9">
        <f ca="1">IF(Stock!B15="",0,IF(ISNUMBER($E15),($E15+$F15)*Stock!B15/100,Stock!B15))</f>
        <v>637047304.70290005</v>
      </c>
      <c r="H15" s="9">
        <f ca="1">IF(Stock!C15="",0,IF(ISNUMBER($E15),($E15+$F15)*Stock!C15/100,Stock!C15))</f>
        <v>637047304.70290005</v>
      </c>
      <c r="I15" s="9">
        <f ca="1">IF(Stock!D15="",0,IF(ISNUMBER($E15),($E15+$F15)*Stock!D15/100,Stock!D15))</f>
        <v>637047304.70290005</v>
      </c>
      <c r="J15" s="9">
        <f ca="1">IF(Stock!E15="",0,IF(ISNUMBER($E15),($E15+$F15)*Stock!E15/100,Stock!E15))</f>
        <v>1137084435.5529001</v>
      </c>
      <c r="K15" s="9">
        <f ca="1">IF(Stock!F15="",0,IF(ISNUMBER($E15),($E15+$F15)*Stock!F15/100,Stock!F15))</f>
        <v>1137084435.5529001</v>
      </c>
      <c r="L15" s="9">
        <f ca="1">IF(Stock!G15="",0,IF(ISNUMBER($E15),($E15+$F15)*Stock!G15/100,Stock!G15))</f>
        <v>1137084435.5529001</v>
      </c>
      <c r="M15" s="9">
        <f ca="1">IF(Stock!H15="",0,IF(ISNUMBER($E15),($E15+$F15)*Stock!H15/100,Stock!H15))</f>
        <v>1137084435.5529001</v>
      </c>
      <c r="N15" s="9">
        <f ca="1">IF(Stock!I15="",0,IF(ISNUMBER($E15),($E15+$F15)*Stock!I15/100,Stock!I15))</f>
        <v>1137084435.5529001</v>
      </c>
      <c r="O15" s="9">
        <f ca="1">IF(Stock!J15="",0,IF(ISNUMBER($E15),($E15+$F15)*Stock!J15/100,Stock!J15))</f>
        <v>1137084435.5529001</v>
      </c>
      <c r="P15" s="9">
        <f ca="1">IF(Stock!K15="",0,IF(ISNUMBER($E15),($E15+$F15)*Stock!K15/100,Stock!K15))</f>
        <v>1137084435.5529001</v>
      </c>
      <c r="Q15" s="9">
        <f ca="1">IF(Stock!L15="",0,IF(ISNUMBER($E15),($E15+$F15)*Stock!L15/100,Stock!L15))</f>
        <v>1137084435.5529001</v>
      </c>
      <c r="R15" s="9">
        <f ca="1">IF(Stock!M15="",0,IF(ISNUMBER($E15),($E15+$F15)*Stock!M15/100,Stock!M15))</f>
        <v>1137084435.5529001</v>
      </c>
      <c r="S15" s="9">
        <f ca="1">IF(Stock!N15="",0,IF(ISNUMBER($E15),($E15+$F15)*Stock!N15/100,Stock!N15))</f>
        <v>1137084435.5529001</v>
      </c>
      <c r="T15" s="9">
        <f ca="1">IF(Stock!O15="",0,IF(ISNUMBER($E15),($E15+$F15)*Stock!O15/100,Stock!O15))</f>
        <v>1137084435.5529001</v>
      </c>
      <c r="U15" s="9">
        <f ca="1">IF(Stock!P15="",0,IF(ISNUMBER($E15),($E15+$F15)*Stock!P15/100,Stock!P15))</f>
        <v>1137084435.5529001</v>
      </c>
      <c r="V15" s="9">
        <f ca="1">IF(Stock!Q15="",0,IF(ISNUMBER($E15),($E15+$F15)*Stock!Q15/100,Stock!Q15))</f>
        <v>1137084435.5529001</v>
      </c>
      <c r="W15" s="9">
        <f ca="1">IF(Stock!R15="",0,IF(ISNUMBER($E15),($E15+$F15)*Stock!R15/100,Stock!R15))</f>
        <v>1137084435.5529001</v>
      </c>
      <c r="X15" s="9">
        <f ca="1">IF(Stock!S15="",0,IF(ISNUMBER($E15),($E15+$F15)*Stock!S15/100,Stock!S15))</f>
        <v>1137084435.5529001</v>
      </c>
      <c r="Y15" s="9">
        <f ca="1">IF(Stock!T15="",0,IF(ISNUMBER($E15),($E15+$F15)*Stock!T15/100,Stock!T15))</f>
        <v>1137084435.5529001</v>
      </c>
      <c r="Z15" s="9">
        <f ca="1">IF(Stock!U15="",0,IF(ISNUMBER($E15),($E15+$F15)*Stock!U15/100,Stock!U15))</f>
        <v>1137084435.5529001</v>
      </c>
      <c r="AA15" s="9">
        <f ca="1">IF(Stock!V15="",0,IF(ISNUMBER($E15),($E15+$F15)*Stock!V15/100,Stock!V15))</f>
        <v>1137084435.5529001</v>
      </c>
      <c r="AB15" s="9">
        <f ca="1">IF(Stock!W15="",0,IF(ISNUMBER($E15),($E15+$F15)*Stock!W15/100,Stock!W15))</f>
        <v>1137084435.5529001</v>
      </c>
      <c r="AC15" s="9">
        <f ca="1">IF(Stock!X15="",0,IF(ISNUMBER($E15),($E15+$F15)*Stock!X15/100,Stock!X15))</f>
        <v>1137084435.5529001</v>
      </c>
      <c r="AD15" s="9">
        <f ca="1">IF(Stock!Y15="",0,IF(ISNUMBER($E15),($E15+$F15)*Stock!Y15/100,Stock!Y15))</f>
        <v>1137084435.5529001</v>
      </c>
      <c r="AE15" s="9">
        <f ca="1">IF(Stock!Z15="",0,IF(ISNUMBER($E15),($E15+$F15)*Stock!Z15/100,Stock!Z15))</f>
        <v>1137084435.5529001</v>
      </c>
      <c r="AF15" s="9">
        <f ca="1">IF(Stock!AA15="",0,IF(ISNUMBER($E15),($E15+$F15)*Stock!AA15/100,Stock!AA15))</f>
        <v>1137084435.5529001</v>
      </c>
      <c r="AG15" s="9">
        <f ca="1">IF(Stock!AB15="",0,IF(ISNUMBER($E15),($E15+$F15)*Stock!AB15/100,Stock!AB15))</f>
        <v>1137084435.5529001</v>
      </c>
      <c r="AH15" s="9">
        <f ca="1">IF(Stock!AC15="",0,IF(ISNUMBER($E15),($E15+$F15)*Stock!AC15/100,Stock!AC15))</f>
        <v>1137084435.5529001</v>
      </c>
      <c r="AI15" s="9">
        <f ca="1">IF(Stock!AD15="",0,IF(ISNUMBER($E15),($E15+$F15)*Stock!AD15/100,Stock!AD15))</f>
        <v>1137084435.5529001</v>
      </c>
      <c r="AJ15" s="9">
        <f ca="1">IF(Stock!AE15="",0,IF(ISNUMBER($E15),($E15+$F15)*Stock!AE15/100,Stock!AE15))</f>
        <v>1137084435.5529001</v>
      </c>
      <c r="AK15" s="9">
        <f ca="1">IF(Stock!AF15="",0,IF(ISNUMBER($E15),($E15+$F15)*Stock!AF15/100,Stock!AF15))</f>
        <v>1137084435.5529001</v>
      </c>
      <c r="AL15" s="9">
        <f ca="1">IF(Stock!AG15="",0,IF(ISNUMBER($E15),($E15+$F15)*Stock!AG15/100,Stock!AG15))</f>
        <v>1137084435.5529001</v>
      </c>
      <c r="AM15" s="9">
        <f ca="1">IF(Stock!AH15="",0,IF(ISNUMBER($E15),($E15+$F15)*Stock!AH15/100,Stock!AH15))</f>
        <v>1137084435.5529001</v>
      </c>
      <c r="AN15" s="9">
        <f ca="1">IF(Stock!AI15="",0,IF(ISNUMBER($E15),($E15+$F15)*Stock!AI15/100,Stock!AI15))</f>
        <v>1137084435.5529001</v>
      </c>
      <c r="AO15" s="9">
        <f ca="1">IF(Stock!AJ15="",0,IF(ISNUMBER($E15),($E15+$F15)*Stock!AJ15/100,Stock!AJ15))</f>
        <v>1137084435.5529001</v>
      </c>
      <c r="AP15" s="9">
        <f ca="1">IF(Stock!AK15="",0,IF(ISNUMBER($E15),($E15+$F15)*Stock!AK15/100,Stock!AK15))</f>
        <v>1137084435.5529001</v>
      </c>
      <c r="AQ15" s="9">
        <f ca="1">IF(Stock!AL15="",0,IF(ISNUMBER($E15),($E15+$F15)*Stock!AL15/100,Stock!AL15))</f>
        <v>1137084435.5529001</v>
      </c>
      <c r="AR15" s="9">
        <f ca="1">IF(Stock!AM15="",0,IF(ISNUMBER($E15),($E15+$F15)*Stock!AM15/100,Stock!AM15))</f>
        <v>1137084435.5529001</v>
      </c>
      <c r="AS15" s="9">
        <f ca="1">IF(Stock!AN15="",0,IF(ISNUMBER($E15),($E15+$F15)*Stock!AN15/100,Stock!AN15))</f>
        <v>1137084435.5529001</v>
      </c>
      <c r="AT15" s="9">
        <f ca="1">IF(Stock!AO15="",0,IF(ISNUMBER($E15),($E15+$F15)*Stock!AO15/100,Stock!AO15))</f>
        <v>1137084435.5529001</v>
      </c>
      <c r="AU15" s="9">
        <f ca="1">IF(Stock!AP15="",0,IF(ISNUMBER($E15),($E15+$F15)*Stock!AP15/100,Stock!AP15))</f>
        <v>1137084435.5529001</v>
      </c>
      <c r="AV15" s="9">
        <f ca="1">IF(Stock!AQ15="",0,IF(ISNUMBER($E15),($E15+$F15)*Stock!AQ15/100,Stock!AQ15))</f>
        <v>1137084435.5529001</v>
      </c>
      <c r="AW15" s="9">
        <f ca="1">IF(Stock!AR15="",0,IF(ISNUMBER($E15),($E15+$F15)*Stock!AR15/100,Stock!AR15))</f>
        <v>1137084435.5529001</v>
      </c>
      <c r="AX15" s="9">
        <f ca="1">IF(Stock!AS15="",0,IF(ISNUMBER($E15),($E15+$F15)*Stock!AS15/100,Stock!AS15))</f>
        <v>1137084435.5529001</v>
      </c>
      <c r="AY15" s="9">
        <f ca="1">IF(Stock!AT15="",0,IF(ISNUMBER($E15),($E15+$F15)*Stock!AT15/100,Stock!AT15))</f>
        <v>1137084435.5529001</v>
      </c>
      <c r="AZ15" s="9">
        <f ca="1">IF(Stock!AU15="",0,IF(ISNUMBER($E15),($E15+$F15)*Stock!AU15/100,Stock!AU15))</f>
        <v>1137084435.5529001</v>
      </c>
      <c r="BA15" s="9">
        <f ca="1">IF(Stock!AV15="",0,IF(ISNUMBER($E15),($E15+$F15)*Stock!AV15/100,Stock!AV15))</f>
        <v>1137084435.5529001</v>
      </c>
      <c r="BB15" s="9">
        <f ca="1">IF(Stock!AW15="",0,IF(ISNUMBER($E15),($E15+$F15)*Stock!AW15/100,Stock!AW15))</f>
        <v>1137084435.5529001</v>
      </c>
      <c r="BC15" s="9">
        <f ca="1">IF(Stock!AX15="",0,IF(ISNUMBER($E15),($E15+$F15)*Stock!AX15/100,Stock!AX15))</f>
        <v>1137084435.5529001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>
        <f ca="1">IF(A16="",0,IF(LEFT(C16,3) = "USB",100*(1-_xll.BDP(D16 &amp; " Govt",E$1)*(B16-TODAY()+1)/36000),_xll.BDP(D16 &amp; " Govt",E$1)))</f>
        <v>99.87890625</v>
      </c>
      <c r="F16" s="62">
        <f ca="1">IF(A16="",0,IF(LEFT(D16,1) = "B",0,_xll.BDP(D16 &amp; " Govt",F$1)))</f>
        <v>6.3524590000000006E-2</v>
      </c>
      <c r="G16" s="9">
        <f ca="1">IF(Stock!B16="",0,IF(ISNUMBER($E16),($E16+$F16)*Stock!B16/100,Stock!B16))</f>
        <v>207880256.14720002</v>
      </c>
      <c r="H16" s="9">
        <f ca="1">IF(Stock!C16="",0,IF(ISNUMBER($E16),($E16+$F16)*Stock!C16/100,Stock!C16))</f>
        <v>207880256.14720002</v>
      </c>
      <c r="I16" s="9">
        <f ca="1">IF(Stock!D16="",0,IF(ISNUMBER($E16),($E16+$F16)*Stock!D16/100,Stock!D16))</f>
        <v>207880256.14720002</v>
      </c>
      <c r="J16" s="9">
        <f ca="1">IF(Stock!E16="",0,IF(ISNUMBER($E16),($E16+$F16)*Stock!E16/100,Stock!E16))</f>
        <v>207880256.14720002</v>
      </c>
      <c r="K16" s="9">
        <f ca="1">IF(Stock!F16="",0,IF(ISNUMBER($E16),($E16+$F16)*Stock!F16/100,Stock!F16))</f>
        <v>207880256.14720002</v>
      </c>
      <c r="L16" s="9">
        <f ca="1">IF(Stock!G16="",0,IF(ISNUMBER($E16),($E16+$F16)*Stock!G16/100,Stock!G16))</f>
        <v>207880256.14720002</v>
      </c>
      <c r="M16" s="9">
        <f ca="1">IF(Stock!H16="",0,IF(ISNUMBER($E16),($E16+$F16)*Stock!H16/100,Stock!H16))</f>
        <v>207880256.14720002</v>
      </c>
      <c r="N16" s="9">
        <f ca="1">IF(Stock!I16="",0,IF(ISNUMBER($E16),($E16+$F16)*Stock!I16/100,Stock!I16))</f>
        <v>207880256.14720002</v>
      </c>
      <c r="O16" s="9">
        <f ca="1">IF(Stock!J16="",0,IF(ISNUMBER($E16),($E16+$F16)*Stock!J16/100,Stock!J16))</f>
        <v>1045397826.5864</v>
      </c>
      <c r="P16" s="9">
        <f ca="1">IF(Stock!K16="",0,IF(ISNUMBER($E16),($E16+$F16)*Stock!K16/100,Stock!K16))</f>
        <v>1045397826.5864</v>
      </c>
      <c r="Q16" s="9">
        <f ca="1">IF(Stock!L16="",0,IF(ISNUMBER($E16),($E16+$F16)*Stock!L16/100,Stock!L16))</f>
        <v>1045397826.5864</v>
      </c>
      <c r="R16" s="9">
        <f ca="1">IF(Stock!M16="",0,IF(ISNUMBER($E16),($E16+$F16)*Stock!M16/100,Stock!M16))</f>
        <v>1045397826.5864</v>
      </c>
      <c r="S16" s="9">
        <f ca="1">IF(Stock!N16="",0,IF(ISNUMBER($E16),($E16+$F16)*Stock!N16/100,Stock!N16))</f>
        <v>1045397826.5864</v>
      </c>
      <c r="T16" s="9">
        <f ca="1">IF(Stock!O16="",0,IF(ISNUMBER($E16),($E16+$F16)*Stock!O16/100,Stock!O16))</f>
        <v>1045397826.5864</v>
      </c>
      <c r="U16" s="9">
        <f ca="1">IF(Stock!P16="",0,IF(ISNUMBER($E16),($E16+$F16)*Stock!P16/100,Stock!P16))</f>
        <v>1045397826.5864</v>
      </c>
      <c r="V16" s="9">
        <f ca="1">IF(Stock!Q16="",0,IF(ISNUMBER($E16),($E16+$F16)*Stock!Q16/100,Stock!Q16))</f>
        <v>1045397826.5864</v>
      </c>
      <c r="W16" s="9">
        <f ca="1">IF(Stock!R16="",0,IF(ISNUMBER($E16),($E16+$F16)*Stock!R16/100,Stock!R16))</f>
        <v>1045397826.5864</v>
      </c>
      <c r="X16" s="9">
        <f ca="1">IF(Stock!S16="",0,IF(ISNUMBER($E16),($E16+$F16)*Stock!S16/100,Stock!S16))</f>
        <v>1045397826.5864</v>
      </c>
      <c r="Y16" s="9">
        <f ca="1">IF(Stock!T16="",0,IF(ISNUMBER($E16),($E16+$F16)*Stock!T16/100,Stock!T16))</f>
        <v>1045397826.5864</v>
      </c>
      <c r="Z16" s="9">
        <f ca="1">IF(Stock!U16="",0,IF(ISNUMBER($E16),($E16+$F16)*Stock!U16/100,Stock!U16))</f>
        <v>1045397826.5864</v>
      </c>
      <c r="AA16" s="9">
        <f ca="1">IF(Stock!V16="",0,IF(ISNUMBER($E16),($E16+$F16)*Stock!V16/100,Stock!V16))</f>
        <v>1045397826.5864</v>
      </c>
      <c r="AB16" s="9">
        <f ca="1">IF(Stock!W16="",0,IF(ISNUMBER($E16),($E16+$F16)*Stock!W16/100,Stock!W16))</f>
        <v>1045397826.5864</v>
      </c>
      <c r="AC16" s="9">
        <f ca="1">IF(Stock!X16="",0,IF(ISNUMBER($E16),($E16+$F16)*Stock!X16/100,Stock!X16))</f>
        <v>1045397826.5864</v>
      </c>
      <c r="AD16" s="9">
        <f ca="1">IF(Stock!Y16="",0,IF(ISNUMBER($E16),($E16+$F16)*Stock!Y16/100,Stock!Y16))</f>
        <v>1045397826.5864</v>
      </c>
      <c r="AE16" s="9">
        <f ca="1">IF(Stock!Z16="",0,IF(ISNUMBER($E16),($E16+$F16)*Stock!Z16/100,Stock!Z16))</f>
        <v>1045397826.5864</v>
      </c>
      <c r="AF16" s="9">
        <f ca="1">IF(Stock!AA16="",0,IF(ISNUMBER($E16),($E16+$F16)*Stock!AA16/100,Stock!AA16))</f>
        <v>1045397826.5864</v>
      </c>
      <c r="AG16" s="9">
        <f ca="1">IF(Stock!AB16="",0,IF(ISNUMBER($E16),($E16+$F16)*Stock!AB16/100,Stock!AB16))</f>
        <v>1045397826.5864</v>
      </c>
      <c r="AH16" s="9">
        <f ca="1">IF(Stock!AC16="",0,IF(ISNUMBER($E16),($E16+$F16)*Stock!AC16/100,Stock!AC16))</f>
        <v>1045397826.5864</v>
      </c>
      <c r="AI16" s="9">
        <f ca="1">IF(Stock!AD16="",0,IF(ISNUMBER($E16),($E16+$F16)*Stock!AD16/100,Stock!AD16))</f>
        <v>1045397826.5864</v>
      </c>
      <c r="AJ16" s="9">
        <f ca="1">IF(Stock!AE16="",0,IF(ISNUMBER($E16),($E16+$F16)*Stock!AE16/100,Stock!AE16))</f>
        <v>1045397826.5864</v>
      </c>
      <c r="AK16" s="9">
        <f ca="1">IF(Stock!AF16="",0,IF(ISNUMBER($E16),($E16+$F16)*Stock!AF16/100,Stock!AF16))</f>
        <v>1045397826.5864</v>
      </c>
      <c r="AL16" s="9">
        <f ca="1">IF(Stock!AG16="",0,IF(ISNUMBER($E16),($E16+$F16)*Stock!AG16/100,Stock!AG16))</f>
        <v>1045397826.5864</v>
      </c>
      <c r="AM16" s="9">
        <f ca="1">IF(Stock!AH16="",0,IF(ISNUMBER($E16),($E16+$F16)*Stock!AH16/100,Stock!AH16))</f>
        <v>1045397826.5864</v>
      </c>
      <c r="AN16" s="9">
        <f ca="1">IF(Stock!AI16="",0,IF(ISNUMBER($E16),($E16+$F16)*Stock!AI16/100,Stock!AI16))</f>
        <v>1045397826.5864</v>
      </c>
      <c r="AO16" s="9">
        <f ca="1">IF(Stock!AJ16="",0,IF(ISNUMBER($E16),($E16+$F16)*Stock!AJ16/100,Stock!AJ16))</f>
        <v>1045397826.5864</v>
      </c>
      <c r="AP16" s="9">
        <f ca="1">IF(Stock!AK16="",0,IF(ISNUMBER($E16),($E16+$F16)*Stock!AK16/100,Stock!AK16))</f>
        <v>1045397826.5864</v>
      </c>
      <c r="AQ16" s="9">
        <f ca="1">IF(Stock!AL16="",0,IF(ISNUMBER($E16),($E16+$F16)*Stock!AL16/100,Stock!AL16))</f>
        <v>1045397826.5864</v>
      </c>
      <c r="AR16" s="9">
        <f ca="1">IF(Stock!AM16="",0,IF(ISNUMBER($E16),($E16+$F16)*Stock!AM16/100,Stock!AM16))</f>
        <v>1045397826.5864</v>
      </c>
      <c r="AS16" s="9">
        <f ca="1">IF(Stock!AN16="",0,IF(ISNUMBER($E16),($E16+$F16)*Stock!AN16/100,Stock!AN16))</f>
        <v>1045397826.5864</v>
      </c>
      <c r="AT16" s="9">
        <f ca="1">IF(Stock!AO16="",0,IF(ISNUMBER($E16),($E16+$F16)*Stock!AO16/100,Stock!AO16))</f>
        <v>1045397826.5864</v>
      </c>
      <c r="AU16" s="9">
        <f ca="1">IF(Stock!AP16="",0,IF(ISNUMBER($E16),($E16+$F16)*Stock!AP16/100,Stock!AP16))</f>
        <v>1045397826.5864</v>
      </c>
      <c r="AV16" s="9">
        <f ca="1">IF(Stock!AQ16="",0,IF(ISNUMBER($E16),($E16+$F16)*Stock!AQ16/100,Stock!AQ16))</f>
        <v>1045397826.5864</v>
      </c>
      <c r="AW16" s="9">
        <f ca="1">IF(Stock!AR16="",0,IF(ISNUMBER($E16),($E16+$F16)*Stock!AR16/100,Stock!AR16))</f>
        <v>1045397826.5864</v>
      </c>
      <c r="AX16" s="9">
        <f ca="1">IF(Stock!AS16="",0,IF(ISNUMBER($E16),($E16+$F16)*Stock!AS16/100,Stock!AS16))</f>
        <v>1045397826.5864</v>
      </c>
      <c r="AY16" s="9">
        <f ca="1">IF(Stock!AT16="",0,IF(ISNUMBER($E16),($E16+$F16)*Stock!AT16/100,Stock!AT16))</f>
        <v>1045397826.5864</v>
      </c>
      <c r="AZ16" s="9">
        <f ca="1">IF(Stock!AU16="",0,IF(ISNUMBER($E16),($E16+$F16)*Stock!AU16/100,Stock!AU16))</f>
        <v>1045397826.5864</v>
      </c>
      <c r="BA16" s="9">
        <f ca="1">IF(Stock!AV16="",0,IF(ISNUMBER($E16),($E16+$F16)*Stock!AV16/100,Stock!AV16))</f>
        <v>1045397826.5864</v>
      </c>
      <c r="BB16" s="9">
        <f ca="1">IF(Stock!AW16="",0,IF(ISNUMBER($E16),($E16+$F16)*Stock!AW16/100,Stock!AW16))</f>
        <v>1045397826.5864</v>
      </c>
      <c r="BC16" s="9">
        <f ca="1">IF(Stock!AX16="",0,IF(ISNUMBER($E16),($E16+$F16)*Stock!AX16/100,Stock!AX16))</f>
        <v>1045397826.5864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>
        <f ca="1">IF(A17="",0,IF(LEFT(C17,3) = "USB",100*(1-_xll.BDP(D17 &amp; " Govt",E$1)*(B17-TODAY()+1)/36000),_xll.BDP(D17 &amp; " Govt",E$1)))</f>
        <v>99.87890625</v>
      </c>
      <c r="F17" s="62">
        <f ca="1">IF(A17="",0,IF(LEFT(D17,1) = "B",0,_xll.BDP(D17 &amp; " Govt",F$1)))</f>
        <v>4.2798910000000003E-2</v>
      </c>
      <c r="G17" s="9">
        <f ca="1">IF(Stock!B17="",0,IF(ISNUMBER($E17),($E17+$F17)*Stock!B17/100,Stock!B17))</f>
        <v>311755720.09920001</v>
      </c>
      <c r="H17" s="9">
        <f ca="1">IF(Stock!C17="",0,IF(ISNUMBER($E17),($E17+$F17)*Stock!C17/100,Stock!C17))</f>
        <v>311755720.09920001</v>
      </c>
      <c r="I17" s="9">
        <f ca="1">IF(Stock!D17="",0,IF(ISNUMBER($E17),($E17+$F17)*Stock!D17/100,Stock!D17))</f>
        <v>311755720.09920001</v>
      </c>
      <c r="J17" s="9">
        <f ca="1">IF(Stock!E17="",0,IF(ISNUMBER($E17),($E17+$F17)*Stock!E17/100,Stock!E17))</f>
        <v>311755720.09920001</v>
      </c>
      <c r="K17" s="9">
        <f ca="1">IF(Stock!F17="",0,IF(ISNUMBER($E17),($E17+$F17)*Stock!F17/100,Stock!F17))</f>
        <v>311755720.09920001</v>
      </c>
      <c r="L17" s="9">
        <f ca="1">IF(Stock!G17="",0,IF(ISNUMBER($E17),($E17+$F17)*Stock!G17/100,Stock!G17))</f>
        <v>311755720.09920001</v>
      </c>
      <c r="M17" s="9">
        <f ca="1">IF(Stock!H17="",0,IF(ISNUMBER($E17),($E17+$F17)*Stock!H17/100,Stock!H17))</f>
        <v>311755720.09920001</v>
      </c>
      <c r="N17" s="9">
        <f ca="1">IF(Stock!I17="",0,IF(ISNUMBER($E17),($E17+$F17)*Stock!I17/100,Stock!I17))</f>
        <v>311755720.09920001</v>
      </c>
      <c r="O17" s="9">
        <f ca="1">IF(Stock!J17="",0,IF(ISNUMBER($E17),($E17+$F17)*Stock!J17/100,Stock!J17))</f>
        <v>311755720.09920001</v>
      </c>
      <c r="P17" s="9">
        <f ca="1">IF(Stock!K17="",0,IF(ISNUMBER($E17),($E17+$F17)*Stock!K17/100,Stock!K17))</f>
        <v>311755720.09920001</v>
      </c>
      <c r="Q17" s="9">
        <f ca="1">IF(Stock!L17="",0,IF(ISNUMBER($E17),($E17+$F17)*Stock!L17/100,Stock!L17))</f>
        <v>311755720.09920001</v>
      </c>
      <c r="R17" s="9">
        <f ca="1">IF(Stock!M17="",0,IF(ISNUMBER($E17),($E17+$F17)*Stock!M17/100,Stock!M17))</f>
        <v>311755720.09920001</v>
      </c>
      <c r="S17" s="9">
        <f ca="1">IF(Stock!N17="",0,IF(ISNUMBER($E17),($E17+$F17)*Stock!N17/100,Stock!N17))</f>
        <v>311755720.09920001</v>
      </c>
      <c r="T17" s="9">
        <f ca="1">IF(Stock!O17="",0,IF(ISNUMBER($E17),($E17+$F17)*Stock!O17/100,Stock!O17))</f>
        <v>311755720.09920001</v>
      </c>
      <c r="U17" s="9">
        <f ca="1">IF(Stock!P17="",0,IF(ISNUMBER($E17),($E17+$F17)*Stock!P17/100,Stock!P17))</f>
        <v>311755720.09920001</v>
      </c>
      <c r="V17" s="9">
        <f ca="1">IF(Stock!Q17="",0,IF(ISNUMBER($E17),($E17+$F17)*Stock!Q17/100,Stock!Q17))</f>
        <v>311755720.09920001</v>
      </c>
      <c r="W17" s="9">
        <f ca="1">IF(Stock!R17="",0,IF(ISNUMBER($E17),($E17+$F17)*Stock!R17/100,Stock!R17))</f>
        <v>311755720.09920001</v>
      </c>
      <c r="X17" s="9">
        <f ca="1">IF(Stock!S17="",0,IF(ISNUMBER($E17),($E17+$F17)*Stock!S17/100,Stock!S17))</f>
        <v>311755720.09920001</v>
      </c>
      <c r="Y17" s="9">
        <f ca="1">IF(Stock!T17="",0,IF(ISNUMBER($E17),($E17+$F17)*Stock!T17/100,Stock!T17))</f>
        <v>311755720.09920001</v>
      </c>
      <c r="Z17" s="9">
        <f ca="1">IF(Stock!U17="",0,IF(ISNUMBER($E17),($E17+$F17)*Stock!U17/100,Stock!U17))</f>
        <v>311755720.09920001</v>
      </c>
      <c r="AA17" s="9">
        <f ca="1">IF(Stock!V17="",0,IF(ISNUMBER($E17),($E17+$F17)*Stock!V17/100,Stock!V17))</f>
        <v>311755720.09920001</v>
      </c>
      <c r="AB17" s="9">
        <f ca="1">IF(Stock!W17="",0,IF(ISNUMBER($E17),($E17+$F17)*Stock!W17/100,Stock!W17))</f>
        <v>311755720.09920001</v>
      </c>
      <c r="AC17" s="9">
        <f ca="1">IF(Stock!X17="",0,IF(ISNUMBER($E17),($E17+$F17)*Stock!X17/100,Stock!X17))</f>
        <v>311755720.09920001</v>
      </c>
      <c r="AD17" s="9">
        <f ca="1">IF(Stock!Y17="",0,IF(ISNUMBER($E17),($E17+$F17)*Stock!Y17/100,Stock!Y17))</f>
        <v>311755720.09920001</v>
      </c>
      <c r="AE17" s="9">
        <f ca="1">IF(Stock!Z17="",0,IF(ISNUMBER($E17),($E17+$F17)*Stock!Z17/100,Stock!Z17))</f>
        <v>311755720.09920001</v>
      </c>
      <c r="AF17" s="9">
        <f ca="1">IF(Stock!AA17="",0,IF(ISNUMBER($E17),($E17+$F17)*Stock!AA17/100,Stock!AA17))</f>
        <v>311755720.09920001</v>
      </c>
      <c r="AG17" s="9">
        <f ca="1">IF(Stock!AB17="",0,IF(ISNUMBER($E17),($E17+$F17)*Stock!AB17/100,Stock!AB17))</f>
        <v>311755720.09920001</v>
      </c>
      <c r="AH17" s="9">
        <f ca="1">IF(Stock!AC17="",0,IF(ISNUMBER($E17),($E17+$F17)*Stock!AC17/100,Stock!AC17))</f>
        <v>311755720.09920001</v>
      </c>
      <c r="AI17" s="9">
        <f ca="1">IF(Stock!AD17="",0,IF(ISNUMBER($E17),($E17+$F17)*Stock!AD17/100,Stock!AD17))</f>
        <v>311755720.09920001</v>
      </c>
      <c r="AJ17" s="9">
        <f ca="1">IF(Stock!AE17="",0,IF(ISNUMBER($E17),($E17+$F17)*Stock!AE17/100,Stock!AE17))</f>
        <v>311755720.09920001</v>
      </c>
      <c r="AK17" s="9">
        <f ca="1">IF(Stock!AF17="",0,IF(ISNUMBER($E17),($E17+$F17)*Stock!AF17/100,Stock!AF17))</f>
        <v>311755720.09920001</v>
      </c>
      <c r="AL17" s="9">
        <f ca="1">IF(Stock!AG17="",0,IF(ISNUMBER($E17),($E17+$F17)*Stock!AG17/100,Stock!AG17))</f>
        <v>311755720.09920001</v>
      </c>
      <c r="AM17" s="9">
        <f ca="1">IF(Stock!AH17="",0,IF(ISNUMBER($E17),($E17+$F17)*Stock!AH17/100,Stock!AH17))</f>
        <v>311755720.09920001</v>
      </c>
      <c r="AN17" s="9">
        <f ca="1">IF(Stock!AI17="",0,IF(ISNUMBER($E17),($E17+$F17)*Stock!AI17/100,Stock!AI17))</f>
        <v>311755720.09920001</v>
      </c>
      <c r="AO17" s="9">
        <f ca="1">IF(Stock!AJ17="",0,IF(ISNUMBER($E17),($E17+$F17)*Stock!AJ17/100,Stock!AJ17))</f>
        <v>311755720.09920001</v>
      </c>
      <c r="AP17" s="9">
        <f ca="1">IF(Stock!AK17="",0,IF(ISNUMBER($E17),($E17+$F17)*Stock!AK17/100,Stock!AK17))</f>
        <v>311755720.09920001</v>
      </c>
      <c r="AQ17" s="9">
        <f ca="1">IF(Stock!AL17="",0,IF(ISNUMBER($E17),($E17+$F17)*Stock!AL17/100,Stock!AL17))</f>
        <v>311755720.09920001</v>
      </c>
      <c r="AR17" s="9">
        <f ca="1">IF(Stock!AM17="",0,IF(ISNUMBER($E17),($E17+$F17)*Stock!AM17/100,Stock!AM17))</f>
        <v>311755720.09920001</v>
      </c>
      <c r="AS17" s="9">
        <f ca="1">IF(Stock!AN17="",0,IF(ISNUMBER($E17),($E17+$F17)*Stock!AN17/100,Stock!AN17))</f>
        <v>311755720.09920001</v>
      </c>
      <c r="AT17" s="9">
        <f ca="1">IF(Stock!AO17="",0,IF(ISNUMBER($E17),($E17+$F17)*Stock!AO17/100,Stock!AO17))</f>
        <v>311755720.09920001</v>
      </c>
      <c r="AU17" s="9">
        <f ca="1">IF(Stock!AP17="",0,IF(ISNUMBER($E17),($E17+$F17)*Stock!AP17/100,Stock!AP17))</f>
        <v>311755720.09920001</v>
      </c>
      <c r="AV17" s="9">
        <f ca="1">IF(Stock!AQ17="",0,IF(ISNUMBER($E17),($E17+$F17)*Stock!AQ17/100,Stock!AQ17))</f>
        <v>311755720.09920001</v>
      </c>
      <c r="AW17" s="9">
        <f ca="1">IF(Stock!AR17="",0,IF(ISNUMBER($E17),($E17+$F17)*Stock!AR17/100,Stock!AR17))</f>
        <v>311755720.09920001</v>
      </c>
      <c r="AX17" s="9">
        <f ca="1">IF(Stock!AS17="",0,IF(ISNUMBER($E17),($E17+$F17)*Stock!AS17/100,Stock!AS17))</f>
        <v>311755720.09920001</v>
      </c>
      <c r="AY17" s="9">
        <f ca="1">IF(Stock!AT17="",0,IF(ISNUMBER($E17),($E17+$F17)*Stock!AT17/100,Stock!AT17))</f>
        <v>311755720.09920001</v>
      </c>
      <c r="AZ17" s="9">
        <f ca="1">IF(Stock!AU17="",0,IF(ISNUMBER($E17),($E17+$F17)*Stock!AU17/100,Stock!AU17))</f>
        <v>311755720.09920001</v>
      </c>
      <c r="BA17" s="9">
        <f ca="1">IF(Stock!AV17="",0,IF(ISNUMBER($E17),($E17+$F17)*Stock!AV17/100,Stock!AV17))</f>
        <v>311755720.09920001</v>
      </c>
      <c r="BB17" s="9">
        <f ca="1">IF(Stock!AW17="",0,IF(ISNUMBER($E17),($E17+$F17)*Stock!AW17/100,Stock!AW17))</f>
        <v>311755720.09920001</v>
      </c>
      <c r="BC17" s="9">
        <f ca="1">IF(Stock!AX17="",0,IF(ISNUMBER($E17),($E17+$F17)*Stock!AX17/100,Stock!AX17))</f>
        <v>311755720.09920001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>
        <f ca="1">IF(A18="",0,IF(LEFT(C18,3) = "USB",100*(1-_xll.BDP(D18 &amp; " Govt",E$1)*(B18-TODAY()+1)/36000),_xll.BDP(D18 &amp; " Govt",E$1)))</f>
        <v>99.8671875</v>
      </c>
      <c r="F18" s="62">
        <f ca="1">IF(A18="",0,IF(LEFT(D18,1) = "B",0,_xll.BDP(D18 &amp; " Govt",F$1)))</f>
        <v>1.3587E-3</v>
      </c>
      <c r="G18" s="9">
        <f ca="1">IF(Stock!B18="",0,IF(ISNUMBER($E18),($E18+$F18)*Stock!B18/100,Stock!B18))</f>
        <v>0</v>
      </c>
      <c r="H18" s="9">
        <f ca="1">IF(Stock!C18="",0,IF(ISNUMBER($E18),($E18+$F18)*Stock!C18/100,Stock!C18))</f>
        <v>210722632.48199999</v>
      </c>
      <c r="I18" s="9">
        <f ca="1">IF(Stock!D18="",0,IF(ISNUMBER($E18),($E18+$F18)*Stock!D18/100,Stock!D18))</f>
        <v>210722632.48199999</v>
      </c>
      <c r="J18" s="9">
        <f ca="1">IF(Stock!E18="",0,IF(ISNUMBER($E18),($E18+$F18)*Stock!E18/100,Stock!E18))</f>
        <v>210722632.48199999</v>
      </c>
      <c r="K18" s="9">
        <f ca="1">IF(Stock!F18="",0,IF(ISNUMBER($E18),($E18+$F18)*Stock!F18/100,Stock!F18))</f>
        <v>210722632.48199999</v>
      </c>
      <c r="L18" s="9">
        <f ca="1">IF(Stock!G18="",0,IF(ISNUMBER($E18),($E18+$F18)*Stock!G18/100,Stock!G18))</f>
        <v>210722632.48199999</v>
      </c>
      <c r="M18" s="9">
        <f ca="1">IF(Stock!H18="",0,IF(ISNUMBER($E18),($E18+$F18)*Stock!H18/100,Stock!H18))</f>
        <v>210722632.48199999</v>
      </c>
      <c r="N18" s="9">
        <f ca="1">IF(Stock!I18="",0,IF(ISNUMBER($E18),($E18+$F18)*Stock!I18/100,Stock!I18))</f>
        <v>210722632.48199999</v>
      </c>
      <c r="O18" s="9">
        <f ca="1">IF(Stock!J18="",0,IF(ISNUMBER($E18),($E18+$F18)*Stock!J18/100,Stock!J18))</f>
        <v>210722632.48199999</v>
      </c>
      <c r="P18" s="9">
        <f ca="1">IF(Stock!K18="",0,IF(ISNUMBER($E18),($E18+$F18)*Stock!K18/100,Stock!K18))</f>
        <v>210722632.48199999</v>
      </c>
      <c r="Q18" s="9">
        <f ca="1">IF(Stock!L18="",0,IF(ISNUMBER($E18),($E18+$F18)*Stock!L18/100,Stock!L18))</f>
        <v>210722632.48199999</v>
      </c>
      <c r="R18" s="9">
        <f ca="1">IF(Stock!M18="",0,IF(ISNUMBER($E18),($E18+$F18)*Stock!M18/100,Stock!M18))</f>
        <v>210722632.48199999</v>
      </c>
      <c r="S18" s="9">
        <f ca="1">IF(Stock!N18="",0,IF(ISNUMBER($E18),($E18+$F18)*Stock!N18/100,Stock!N18))</f>
        <v>210722632.48199999</v>
      </c>
      <c r="T18" s="9">
        <f ca="1">IF(Stock!O18="",0,IF(ISNUMBER($E18),($E18+$F18)*Stock!O18/100,Stock!O18))</f>
        <v>210722632.48199999</v>
      </c>
      <c r="U18" s="9">
        <f ca="1">IF(Stock!P18="",0,IF(ISNUMBER($E18),($E18+$F18)*Stock!P18/100,Stock!P18))</f>
        <v>210722632.48199999</v>
      </c>
      <c r="V18" s="9">
        <f ca="1">IF(Stock!Q18="",0,IF(ISNUMBER($E18),($E18+$F18)*Stock!Q18/100,Stock!Q18))</f>
        <v>210722632.48199999</v>
      </c>
      <c r="W18" s="9">
        <f ca="1">IF(Stock!R18="",0,IF(ISNUMBER($E18),($E18+$F18)*Stock!R18/100,Stock!R18))</f>
        <v>210722632.48199999</v>
      </c>
      <c r="X18" s="9">
        <f ca="1">IF(Stock!S18="",0,IF(ISNUMBER($E18),($E18+$F18)*Stock!S18/100,Stock!S18))</f>
        <v>210722632.48199999</v>
      </c>
      <c r="Y18" s="9">
        <f ca="1">IF(Stock!T18="",0,IF(ISNUMBER($E18),($E18+$F18)*Stock!T18/100,Stock!T18))</f>
        <v>210722632.48199999</v>
      </c>
      <c r="Z18" s="9">
        <f ca="1">IF(Stock!U18="",0,IF(ISNUMBER($E18),($E18+$F18)*Stock!U18/100,Stock!U18))</f>
        <v>210722632.48199999</v>
      </c>
      <c r="AA18" s="9">
        <f ca="1">IF(Stock!V18="",0,IF(ISNUMBER($E18),($E18+$F18)*Stock!V18/100,Stock!V18))</f>
        <v>210722632.48199999</v>
      </c>
      <c r="AB18" s="9">
        <f ca="1">IF(Stock!W18="",0,IF(ISNUMBER($E18),($E18+$F18)*Stock!W18/100,Stock!W18))</f>
        <v>210722632.48199999</v>
      </c>
      <c r="AC18" s="9">
        <f ca="1">IF(Stock!X18="",0,IF(ISNUMBER($E18),($E18+$F18)*Stock!X18/100,Stock!X18))</f>
        <v>210722632.48199999</v>
      </c>
      <c r="AD18" s="9">
        <f ca="1">IF(Stock!Y18="",0,IF(ISNUMBER($E18),($E18+$F18)*Stock!Y18/100,Stock!Y18))</f>
        <v>210722632.48199999</v>
      </c>
      <c r="AE18" s="9">
        <f ca="1">IF(Stock!Z18="",0,IF(ISNUMBER($E18),($E18+$F18)*Stock!Z18/100,Stock!Z18))</f>
        <v>210722632.48199999</v>
      </c>
      <c r="AF18" s="9">
        <f ca="1">IF(Stock!AA18="",0,IF(ISNUMBER($E18),($E18+$F18)*Stock!AA18/100,Stock!AA18))</f>
        <v>210722632.48199999</v>
      </c>
      <c r="AG18" s="9">
        <f ca="1">IF(Stock!AB18="",0,IF(ISNUMBER($E18),($E18+$F18)*Stock!AB18/100,Stock!AB18))</f>
        <v>210722632.48199999</v>
      </c>
      <c r="AH18" s="9">
        <f ca="1">IF(Stock!AC18="",0,IF(ISNUMBER($E18),($E18+$F18)*Stock!AC18/100,Stock!AC18))</f>
        <v>210722632.48199999</v>
      </c>
      <c r="AI18" s="9">
        <f ca="1">IF(Stock!AD18="",0,IF(ISNUMBER($E18),($E18+$F18)*Stock!AD18/100,Stock!AD18))</f>
        <v>210722632.48199999</v>
      </c>
      <c r="AJ18" s="9">
        <f ca="1">IF(Stock!AE18="",0,IF(ISNUMBER($E18),($E18+$F18)*Stock!AE18/100,Stock!AE18))</f>
        <v>210722632.48199999</v>
      </c>
      <c r="AK18" s="9">
        <f ca="1">IF(Stock!AF18="",0,IF(ISNUMBER($E18),($E18+$F18)*Stock!AF18/100,Stock!AF18))</f>
        <v>210722632.48199999</v>
      </c>
      <c r="AL18" s="9">
        <f ca="1">IF(Stock!AG18="",0,IF(ISNUMBER($E18),($E18+$F18)*Stock!AG18/100,Stock!AG18))</f>
        <v>210722632.48199999</v>
      </c>
      <c r="AM18" s="9">
        <f ca="1">IF(Stock!AH18="",0,IF(ISNUMBER($E18),($E18+$F18)*Stock!AH18/100,Stock!AH18))</f>
        <v>210722632.48199999</v>
      </c>
      <c r="AN18" s="9">
        <f ca="1">IF(Stock!AI18="",0,IF(ISNUMBER($E18),($E18+$F18)*Stock!AI18/100,Stock!AI18))</f>
        <v>210722632.48199999</v>
      </c>
      <c r="AO18" s="9">
        <f ca="1">IF(Stock!AJ18="",0,IF(ISNUMBER($E18),($E18+$F18)*Stock!AJ18/100,Stock!AJ18))</f>
        <v>210722632.48199999</v>
      </c>
      <c r="AP18" s="9">
        <f ca="1">IF(Stock!AK18="",0,IF(ISNUMBER($E18),($E18+$F18)*Stock!AK18/100,Stock!AK18))</f>
        <v>210722632.48199999</v>
      </c>
      <c r="AQ18" s="9">
        <f ca="1">IF(Stock!AL18="",0,IF(ISNUMBER($E18),($E18+$F18)*Stock!AL18/100,Stock!AL18))</f>
        <v>210722632.48199999</v>
      </c>
      <c r="AR18" s="9">
        <f ca="1">IF(Stock!AM18="",0,IF(ISNUMBER($E18),($E18+$F18)*Stock!AM18/100,Stock!AM18))</f>
        <v>210722632.48199999</v>
      </c>
      <c r="AS18" s="9">
        <f ca="1">IF(Stock!AN18="",0,IF(ISNUMBER($E18),($E18+$F18)*Stock!AN18/100,Stock!AN18))</f>
        <v>210722632.48199999</v>
      </c>
      <c r="AT18" s="9">
        <f ca="1">IF(Stock!AO18="",0,IF(ISNUMBER($E18),($E18+$F18)*Stock!AO18/100,Stock!AO18))</f>
        <v>210722632.48199999</v>
      </c>
      <c r="AU18" s="9">
        <f ca="1">IF(Stock!AP18="",0,IF(ISNUMBER($E18),($E18+$F18)*Stock!AP18/100,Stock!AP18))</f>
        <v>210722632.48199999</v>
      </c>
      <c r="AV18" s="9">
        <f ca="1">IF(Stock!AQ18="",0,IF(ISNUMBER($E18),($E18+$F18)*Stock!AQ18/100,Stock!AQ18))</f>
        <v>210722632.48199999</v>
      </c>
      <c r="AW18" s="9">
        <f ca="1">IF(Stock!AR18="",0,IF(ISNUMBER($E18),($E18+$F18)*Stock!AR18/100,Stock!AR18))</f>
        <v>210722632.48199999</v>
      </c>
      <c r="AX18" s="9">
        <f ca="1">IF(Stock!AS18="",0,IF(ISNUMBER($E18),($E18+$F18)*Stock!AS18/100,Stock!AS18))</f>
        <v>210722632.48199999</v>
      </c>
      <c r="AY18" s="9">
        <f ca="1">IF(Stock!AT18="",0,IF(ISNUMBER($E18),($E18+$F18)*Stock!AT18/100,Stock!AT18))</f>
        <v>210722632.48199999</v>
      </c>
      <c r="AZ18" s="9">
        <f ca="1">IF(Stock!AU18="",0,IF(ISNUMBER($E18),($E18+$F18)*Stock!AU18/100,Stock!AU18))</f>
        <v>210722632.48199999</v>
      </c>
      <c r="BA18" s="9">
        <f ca="1">IF(Stock!AV18="",0,IF(ISNUMBER($E18),($E18+$F18)*Stock!AV18/100,Stock!AV18))</f>
        <v>210722632.48199999</v>
      </c>
      <c r="BB18" s="9">
        <f ca="1">IF(Stock!AW18="",0,IF(ISNUMBER($E18),($E18+$F18)*Stock!AW18/100,Stock!AW18))</f>
        <v>210722632.48199999</v>
      </c>
      <c r="BC18" s="9">
        <f ca="1">IF(Stock!AX18="",0,IF(ISNUMBER($E18),($E18+$F18)*Stock!AX18/100,Stock!AX18))</f>
        <v>210722632.48199999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>
        <f ca="1">IF(A19="",0,IF(LEFT(C19,3) = "USB",100*(1-_xll.BDP(D19 &amp; " Govt",E$1)*(B19-TODAY()+1)/36000),_xll.BDP(D19 &amp; " Govt",E$1)))</f>
        <v>105.71875</v>
      </c>
      <c r="F19" s="62">
        <f ca="1">IF(A19="",0,IF(LEFT(D19,1) = "B",0,_xll.BDP(D19 &amp; " Govt",F$1)))</f>
        <v>0.63524590000000003</v>
      </c>
      <c r="G19" s="9">
        <f ca="1"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>
        <f ca="1">IF(A20="",0,IF(LEFT(C20,3) = "USB",100*(1-_xll.BDP(D20 &amp; " Govt",E$1)*(B20-TODAY()+1)/36000),_xll.BDP(D20 &amp; " Govt",E$1)))</f>
        <v>105.8125</v>
      </c>
      <c r="F20" s="62">
        <f ca="1">IF(A20="",0,IF(LEFT(D20,1) = "B",0,_xll.BDP(D20 &amp; " Govt",F$1)))</f>
        <v>0.42798913</v>
      </c>
      <c r="G20" s="9">
        <f ca="1"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>
        <f ca="1">IF(A21="",0,IF(LEFT(C21,3) = "USB",100*(1-_xll.BDP(D21 &amp; " Govt",E$1)*(B21-TODAY()+1)/36000),_xll.BDP(D21 &amp; " Govt",E$1)))</f>
        <v>117.81640625</v>
      </c>
      <c r="F21" s="62">
        <f ca="1">IF(A21="",0,IF(LEFT(D21,1) = "B",0,_xll.BDP(D21 &amp; " Govt",F$1)))</f>
        <v>1.75343407</v>
      </c>
      <c r="G21" s="9">
        <f ca="1"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>
        <f ca="1">IF(A22="",0,IF(LEFT(C22,3) = "USB",100*(1-_xll.BDP(D22 &amp; " Govt",E$1)*(B22-TODAY()+1)/36000),_xll.BDP(D22 &amp; " Govt",E$1)))</f>
        <v>100.890625</v>
      </c>
      <c r="F22" s="62">
        <f ca="1">IF(A22="",0,IF(LEFT(D22,1) = "B",0,_xll.BDP(D22 &amp; " Govt",F$1)))</f>
        <v>0.29483695999999998</v>
      </c>
      <c r="G22" s="9">
        <f ca="1"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>
        <f ca="1">IF(A23="",0,IF(LEFT(C23,3) = "USB",100*(1-_xll.BDP(D23 &amp; " Govt",E$1)*(B23-TODAY()+1)/36000),_xll.BDP(D23 &amp; " Govt",E$1)))</f>
        <v>101.39453125</v>
      </c>
      <c r="F23" s="62">
        <f ca="1">IF(A23="",0,IF(LEFT(D23,1) = "B",0,_xll.BDP(D23 &amp; " Govt",F$1)))</f>
        <v>0.25409836000000002</v>
      </c>
      <c r="G23" s="9">
        <f ca="1">IF(Stock!B23="",0,IF(ISNUMBER($E23),($E23+$F23)*Stock!B23/100,Stock!B23))</f>
        <v>33544047.771300003</v>
      </c>
      <c r="H23" s="9">
        <f ca="1">IF(Stock!C23="",0,IF(ISNUMBER($E23),($E23+$F23)*Stock!C23/100,Stock!C23))</f>
        <v>33544047.771300003</v>
      </c>
      <c r="I23" s="9">
        <f ca="1">IF(Stock!D23="",0,IF(ISNUMBER($E23),($E23+$F23)*Stock!D23/100,Stock!D23))</f>
        <v>33544047.771300003</v>
      </c>
      <c r="J23" s="9">
        <f ca="1">IF(Stock!E23="",0,IF(ISNUMBER($E23),($E23+$F23)*Stock!E23/100,Stock!E23))</f>
        <v>33544047.771300003</v>
      </c>
      <c r="K23" s="9">
        <f ca="1">IF(Stock!F23="",0,IF(ISNUMBER($E23),($E23+$F23)*Stock!F23/100,Stock!F23))</f>
        <v>33544047.771300003</v>
      </c>
      <c r="L23" s="9">
        <f ca="1">IF(Stock!G23="",0,IF(ISNUMBER($E23),($E23+$F23)*Stock!G23/100,Stock!G23))</f>
        <v>33544047.771300003</v>
      </c>
      <c r="M23" s="9">
        <f ca="1">IF(Stock!H23="",0,IF(ISNUMBER($E23),($E23+$F23)*Stock!H23/100,Stock!H23))</f>
        <v>33544047.771300003</v>
      </c>
      <c r="N23" s="9">
        <f ca="1">IF(Stock!I23="",0,IF(ISNUMBER($E23),($E23+$F23)*Stock!I23/100,Stock!I23))</f>
        <v>33544047.771300003</v>
      </c>
      <c r="O23" s="9">
        <f ca="1">IF(Stock!J23="",0,IF(ISNUMBER($E23),($E23+$F23)*Stock!J23/100,Stock!J23))</f>
        <v>33544047.771300003</v>
      </c>
      <c r="P23" s="9">
        <f ca="1">IF(Stock!K23="",0,IF(ISNUMBER($E23),($E23+$F23)*Stock!K23/100,Stock!K23))</f>
        <v>33544047.771300003</v>
      </c>
      <c r="Q23" s="9">
        <f ca="1">IF(Stock!L23="",0,IF(ISNUMBER($E23),($E23+$F23)*Stock!L23/100,Stock!L23))</f>
        <v>33544047.771300003</v>
      </c>
      <c r="R23" s="9">
        <f ca="1">IF(Stock!M23="",0,IF(ISNUMBER($E23),($E23+$F23)*Stock!M23/100,Stock!M23))</f>
        <v>33544047.771300003</v>
      </c>
      <c r="S23" s="9">
        <f ca="1">IF(Stock!N23="",0,IF(ISNUMBER($E23),($E23+$F23)*Stock!N23/100,Stock!N23))</f>
        <v>33544047.771300003</v>
      </c>
      <c r="T23" s="9">
        <f ca="1">IF(Stock!O23="",0,IF(ISNUMBER($E23),($E23+$F23)*Stock!O23/100,Stock!O23))</f>
        <v>33544047.771300003</v>
      </c>
      <c r="U23" s="9">
        <f ca="1">IF(Stock!P23="",0,IF(ISNUMBER($E23),($E23+$F23)*Stock!P23/100,Stock!P23))</f>
        <v>33544047.771300003</v>
      </c>
      <c r="V23" s="9">
        <f ca="1">IF(Stock!Q23="",0,IF(ISNUMBER($E23),($E23+$F23)*Stock!Q23/100,Stock!Q23))</f>
        <v>33544047.771300003</v>
      </c>
      <c r="W23" s="9">
        <f ca="1">IF(Stock!R23="",0,IF(ISNUMBER($E23),($E23+$F23)*Stock!R23/100,Stock!R23))</f>
        <v>33544047.771300003</v>
      </c>
      <c r="X23" s="9">
        <f ca="1">IF(Stock!S23="",0,IF(ISNUMBER($E23),($E23+$F23)*Stock!S23/100,Stock!S23))</f>
        <v>33544047.771300003</v>
      </c>
      <c r="Y23" s="9">
        <f ca="1">IF(Stock!T23="",0,IF(ISNUMBER($E23),($E23+$F23)*Stock!T23/100,Stock!T23))</f>
        <v>33544047.771300003</v>
      </c>
      <c r="Z23" s="9">
        <f ca="1">IF(Stock!U23="",0,IF(ISNUMBER($E23),($E23+$F23)*Stock!U23/100,Stock!U23))</f>
        <v>33544047.771300003</v>
      </c>
      <c r="AA23" s="9">
        <f ca="1">IF(Stock!V23="",0,IF(ISNUMBER($E23),($E23+$F23)*Stock!V23/100,Stock!V23))</f>
        <v>33544047.771300003</v>
      </c>
      <c r="AB23" s="9">
        <f ca="1">IF(Stock!W23="",0,IF(ISNUMBER($E23),($E23+$F23)*Stock!W23/100,Stock!W23))</f>
        <v>33544047.771300003</v>
      </c>
      <c r="AC23" s="9">
        <f ca="1">IF(Stock!X23="",0,IF(ISNUMBER($E23),($E23+$F23)*Stock!X23/100,Stock!X23))</f>
        <v>33544047.771300003</v>
      </c>
      <c r="AD23" s="9">
        <f ca="1">IF(Stock!Y23="",0,IF(ISNUMBER($E23),($E23+$F23)*Stock!Y23/100,Stock!Y23))</f>
        <v>33544047.771300003</v>
      </c>
      <c r="AE23" s="9">
        <f ca="1">IF(Stock!Z23="",0,IF(ISNUMBER($E23),($E23+$F23)*Stock!Z23/100,Stock!Z23))</f>
        <v>33544047.771300003</v>
      </c>
      <c r="AF23" s="9">
        <f ca="1">IF(Stock!AA23="",0,IF(ISNUMBER($E23),($E23+$F23)*Stock!AA23/100,Stock!AA23))</f>
        <v>33544047.771300003</v>
      </c>
      <c r="AG23" s="9">
        <f ca="1">IF(Stock!AB23="",0,IF(ISNUMBER($E23),($E23+$F23)*Stock!AB23/100,Stock!AB23))</f>
        <v>33544047.771300003</v>
      </c>
      <c r="AH23" s="9">
        <f ca="1">IF(Stock!AC23="",0,IF(ISNUMBER($E23),($E23+$F23)*Stock!AC23/100,Stock!AC23))</f>
        <v>33544047.771300003</v>
      </c>
      <c r="AI23" s="9">
        <f ca="1">IF(Stock!AD23="",0,IF(ISNUMBER($E23),($E23+$F23)*Stock!AD23/100,Stock!AD23))</f>
        <v>33544047.771300003</v>
      </c>
      <c r="AJ23" s="9">
        <f ca="1">IF(Stock!AE23="",0,IF(ISNUMBER($E23),($E23+$F23)*Stock!AE23/100,Stock!AE23))</f>
        <v>33544047.771300003</v>
      </c>
      <c r="AK23" s="9">
        <f ca="1">IF(Stock!AF23="",0,IF(ISNUMBER($E23),($E23+$F23)*Stock!AF23/100,Stock!AF23))</f>
        <v>33544047.771300003</v>
      </c>
      <c r="AL23" s="9">
        <f ca="1">IF(Stock!AG23="",0,IF(ISNUMBER($E23),($E23+$F23)*Stock!AG23/100,Stock!AG23))</f>
        <v>33544047.771300003</v>
      </c>
      <c r="AM23" s="9">
        <f ca="1">IF(Stock!AH23="",0,IF(ISNUMBER($E23),($E23+$F23)*Stock!AH23/100,Stock!AH23))</f>
        <v>33544047.771300003</v>
      </c>
      <c r="AN23" s="9">
        <f ca="1">IF(Stock!AI23="",0,IF(ISNUMBER($E23),($E23+$F23)*Stock!AI23/100,Stock!AI23))</f>
        <v>33544047.771300003</v>
      </c>
      <c r="AO23" s="9">
        <f ca="1">IF(Stock!AJ23="",0,IF(ISNUMBER($E23),($E23+$F23)*Stock!AJ23/100,Stock!AJ23))</f>
        <v>33544047.771300003</v>
      </c>
      <c r="AP23" s="9">
        <f ca="1">IF(Stock!AK23="",0,IF(ISNUMBER($E23),($E23+$F23)*Stock!AK23/100,Stock!AK23))</f>
        <v>33544047.771300003</v>
      </c>
      <c r="AQ23" s="9">
        <f ca="1">IF(Stock!AL23="",0,IF(ISNUMBER($E23),($E23+$F23)*Stock!AL23/100,Stock!AL23))</f>
        <v>33544047.771300003</v>
      </c>
      <c r="AR23" s="9">
        <f ca="1">IF(Stock!AM23="",0,IF(ISNUMBER($E23),($E23+$F23)*Stock!AM23/100,Stock!AM23))</f>
        <v>33544047.771300003</v>
      </c>
      <c r="AS23" s="9">
        <f ca="1">IF(Stock!AN23="",0,IF(ISNUMBER($E23),($E23+$F23)*Stock!AN23/100,Stock!AN23))</f>
        <v>33544047.771300003</v>
      </c>
      <c r="AT23" s="9">
        <f ca="1">IF(Stock!AO23="",0,IF(ISNUMBER($E23),($E23+$F23)*Stock!AO23/100,Stock!AO23))</f>
        <v>33544047.771300003</v>
      </c>
      <c r="AU23" s="9">
        <f ca="1">IF(Stock!AP23="",0,IF(ISNUMBER($E23),($E23+$F23)*Stock!AP23/100,Stock!AP23))</f>
        <v>33544047.771300003</v>
      </c>
      <c r="AV23" s="9">
        <f ca="1">IF(Stock!AQ23="",0,IF(ISNUMBER($E23),($E23+$F23)*Stock!AQ23/100,Stock!AQ23))</f>
        <v>33544047.771300003</v>
      </c>
      <c r="AW23" s="9">
        <f ca="1">IF(Stock!AR23="",0,IF(ISNUMBER($E23),($E23+$F23)*Stock!AR23/100,Stock!AR23))</f>
        <v>33544047.771300003</v>
      </c>
      <c r="AX23" s="9">
        <f ca="1">IF(Stock!AS23="",0,IF(ISNUMBER($E23),($E23+$F23)*Stock!AS23/100,Stock!AS23))</f>
        <v>33544047.771300003</v>
      </c>
      <c r="AY23" s="9">
        <f ca="1">IF(Stock!AT23="",0,IF(ISNUMBER($E23),($E23+$F23)*Stock!AT23/100,Stock!AT23))</f>
        <v>33544047.771300003</v>
      </c>
      <c r="AZ23" s="9">
        <f ca="1">IF(Stock!AU23="",0,IF(ISNUMBER($E23),($E23+$F23)*Stock!AU23/100,Stock!AU23))</f>
        <v>33544047.771300003</v>
      </c>
      <c r="BA23" s="9">
        <f ca="1">IF(Stock!AV23="",0,IF(ISNUMBER($E23),($E23+$F23)*Stock!AV23/100,Stock!AV23))</f>
        <v>33544047.771300003</v>
      </c>
      <c r="BB23" s="9">
        <f ca="1">IF(Stock!AW23="",0,IF(ISNUMBER($E23),($E23+$F23)*Stock!AW23/100,Stock!AW23))</f>
        <v>33544047.771300003</v>
      </c>
      <c r="BC23" s="9">
        <f ca="1">IF(Stock!AX23="",0,IF(ISNUMBER($E23),($E23+$F23)*Stock!AX23/100,Stock!AX23))</f>
        <v>33544047.771300003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>
        <f ca="1">IF(A24="",0,IF(LEFT(C24,3) = "USB",100*(1-_xll.BDP(D24 &amp; " Govt",E$1)*(B24-TODAY()+1)/36000),_xll.BDP(D24 &amp; " Govt",E$1)))</f>
        <v>99.54296875</v>
      </c>
      <c r="F24" s="62">
        <f ca="1">IF(A24="",0,IF(LEFT(D24,1) = "B",0,_xll.BDP(D24 &amp; " Govt",F$1)))</f>
        <v>5.4644810000000002E-2</v>
      </c>
      <c r="G24" s="9">
        <f ca="1">IF(Stock!B24="",0,IF(ISNUMBER($E24),($E24+$F24)*Stock!B24/100,Stock!B24))</f>
        <v>475080616.68120003</v>
      </c>
      <c r="H24" s="9">
        <f ca="1">IF(Stock!C24="",0,IF(ISNUMBER($E24),($E24+$F24)*Stock!C24/100,Stock!C24))</f>
        <v>475080616.68120003</v>
      </c>
      <c r="I24" s="9">
        <f ca="1">IF(Stock!D24="",0,IF(ISNUMBER($E24),($E24+$F24)*Stock!D24/100,Stock!D24))</f>
        <v>475080616.68120003</v>
      </c>
      <c r="J24" s="9">
        <f ca="1">IF(Stock!E24="",0,IF(ISNUMBER($E24),($E24+$F24)*Stock!E24/100,Stock!E24))</f>
        <v>475080616.68120003</v>
      </c>
      <c r="K24" s="9">
        <f ca="1">IF(Stock!F24="",0,IF(ISNUMBER($E24),($E24+$F24)*Stock!F24/100,Stock!F24))</f>
        <v>475080616.68120003</v>
      </c>
      <c r="L24" s="9">
        <f ca="1">IF(Stock!G24="",0,IF(ISNUMBER($E24),($E24+$F24)*Stock!G24/100,Stock!G24))</f>
        <v>475080616.68120003</v>
      </c>
      <c r="M24" s="9">
        <f ca="1">IF(Stock!H24="",0,IF(ISNUMBER($E24),($E24+$F24)*Stock!H24/100,Stock!H24))</f>
        <v>475080616.68120003</v>
      </c>
      <c r="N24" s="9">
        <f ca="1">IF(Stock!I24="",0,IF(ISNUMBER($E24),($E24+$F24)*Stock!I24/100,Stock!I24))</f>
        <v>475080616.68120003</v>
      </c>
      <c r="O24" s="9">
        <f ca="1">IF(Stock!J24="",0,IF(ISNUMBER($E24),($E24+$F24)*Stock!J24/100,Stock!J24))</f>
        <v>475080616.68120003</v>
      </c>
      <c r="P24" s="9">
        <f ca="1">IF(Stock!K24="",0,IF(ISNUMBER($E24),($E24+$F24)*Stock!K24/100,Stock!K24))</f>
        <v>475080616.68120003</v>
      </c>
      <c r="Q24" s="9">
        <f ca="1">IF(Stock!L24="",0,IF(ISNUMBER($E24),($E24+$F24)*Stock!L24/100,Stock!L24))</f>
        <v>475080616.68120003</v>
      </c>
      <c r="R24" s="9">
        <f ca="1">IF(Stock!M24="",0,IF(ISNUMBER($E24),($E24+$F24)*Stock!M24/100,Stock!M24))</f>
        <v>475080616.68120003</v>
      </c>
      <c r="S24" s="9">
        <f ca="1">IF(Stock!N24="",0,IF(ISNUMBER($E24),($E24+$F24)*Stock!N24/100,Stock!N24))</f>
        <v>475080616.68120003</v>
      </c>
      <c r="T24" s="9">
        <f ca="1">IF(Stock!O24="",0,IF(ISNUMBER($E24),($E24+$F24)*Stock!O24/100,Stock!O24))</f>
        <v>475080616.68120003</v>
      </c>
      <c r="U24" s="9">
        <f ca="1">IF(Stock!P24="",0,IF(ISNUMBER($E24),($E24+$F24)*Stock!P24/100,Stock!P24))</f>
        <v>475080616.68120003</v>
      </c>
      <c r="V24" s="9">
        <f ca="1">IF(Stock!Q24="",0,IF(ISNUMBER($E24),($E24+$F24)*Stock!Q24/100,Stock!Q24))</f>
        <v>475080616.68120003</v>
      </c>
      <c r="W24" s="9">
        <f ca="1">IF(Stock!R24="",0,IF(ISNUMBER($E24),($E24+$F24)*Stock!R24/100,Stock!R24))</f>
        <v>475080616.68120003</v>
      </c>
      <c r="X24" s="9">
        <f ca="1">IF(Stock!S24="",0,IF(ISNUMBER($E24),($E24+$F24)*Stock!S24/100,Stock!S24))</f>
        <v>475080616.68120003</v>
      </c>
      <c r="Y24" s="9">
        <f ca="1">IF(Stock!T24="",0,IF(ISNUMBER($E24),($E24+$F24)*Stock!T24/100,Stock!T24))</f>
        <v>475080616.68120003</v>
      </c>
      <c r="Z24" s="9">
        <f ca="1">IF(Stock!U24="",0,IF(ISNUMBER($E24),($E24+$F24)*Stock!U24/100,Stock!U24))</f>
        <v>475080616.68120003</v>
      </c>
      <c r="AA24" s="9">
        <f ca="1">IF(Stock!V24="",0,IF(ISNUMBER($E24),($E24+$F24)*Stock!V24/100,Stock!V24))</f>
        <v>475080616.68120003</v>
      </c>
      <c r="AB24" s="9">
        <f ca="1">IF(Stock!W24="",0,IF(ISNUMBER($E24),($E24+$F24)*Stock!W24/100,Stock!W24))</f>
        <v>475080616.68120003</v>
      </c>
      <c r="AC24" s="9">
        <f ca="1">IF(Stock!X24="",0,IF(ISNUMBER($E24),($E24+$F24)*Stock!X24/100,Stock!X24))</f>
        <v>475080616.68120003</v>
      </c>
      <c r="AD24" s="9">
        <f ca="1">IF(Stock!Y24="",0,IF(ISNUMBER($E24),($E24+$F24)*Stock!Y24/100,Stock!Y24))</f>
        <v>475080616.68120003</v>
      </c>
      <c r="AE24" s="9">
        <f ca="1">IF(Stock!Z24="",0,IF(ISNUMBER($E24),($E24+$F24)*Stock!Z24/100,Stock!Z24))</f>
        <v>475080616.68120003</v>
      </c>
      <c r="AF24" s="9">
        <f ca="1">IF(Stock!AA24="",0,IF(ISNUMBER($E24),($E24+$F24)*Stock!AA24/100,Stock!AA24))</f>
        <v>475080616.68120003</v>
      </c>
      <c r="AG24" s="9">
        <f ca="1">IF(Stock!AB24="",0,IF(ISNUMBER($E24),($E24+$F24)*Stock!AB24/100,Stock!AB24))</f>
        <v>475080616.68120003</v>
      </c>
      <c r="AH24" s="9">
        <f ca="1">IF(Stock!AC24="",0,IF(ISNUMBER($E24),($E24+$F24)*Stock!AC24/100,Stock!AC24))</f>
        <v>475080616.68120003</v>
      </c>
      <c r="AI24" s="9">
        <f ca="1">IF(Stock!AD24="",0,IF(ISNUMBER($E24),($E24+$F24)*Stock!AD24/100,Stock!AD24))</f>
        <v>475080616.68120003</v>
      </c>
      <c r="AJ24" s="9">
        <f ca="1">IF(Stock!AE24="",0,IF(ISNUMBER($E24),($E24+$F24)*Stock!AE24/100,Stock!AE24))</f>
        <v>475080616.68120003</v>
      </c>
      <c r="AK24" s="9">
        <f ca="1">IF(Stock!AF24="",0,IF(ISNUMBER($E24),($E24+$F24)*Stock!AF24/100,Stock!AF24))</f>
        <v>475080616.68120003</v>
      </c>
      <c r="AL24" s="9">
        <f ca="1">IF(Stock!AG24="",0,IF(ISNUMBER($E24),($E24+$F24)*Stock!AG24/100,Stock!AG24))</f>
        <v>475080616.68120003</v>
      </c>
      <c r="AM24" s="9">
        <f ca="1">IF(Stock!AH24="",0,IF(ISNUMBER($E24),($E24+$F24)*Stock!AH24/100,Stock!AH24))</f>
        <v>475080616.68120003</v>
      </c>
      <c r="AN24" s="9">
        <f ca="1">IF(Stock!AI24="",0,IF(ISNUMBER($E24),($E24+$F24)*Stock!AI24/100,Stock!AI24))</f>
        <v>475080616.68120003</v>
      </c>
      <c r="AO24" s="9">
        <f ca="1">IF(Stock!AJ24="",0,IF(ISNUMBER($E24),($E24+$F24)*Stock!AJ24/100,Stock!AJ24))</f>
        <v>475080616.68120003</v>
      </c>
      <c r="AP24" s="9">
        <f ca="1">IF(Stock!AK24="",0,IF(ISNUMBER($E24),($E24+$F24)*Stock!AK24/100,Stock!AK24))</f>
        <v>475080616.68120003</v>
      </c>
      <c r="AQ24" s="9">
        <f ca="1">IF(Stock!AL24="",0,IF(ISNUMBER($E24),($E24+$F24)*Stock!AL24/100,Stock!AL24))</f>
        <v>475080616.68120003</v>
      </c>
      <c r="AR24" s="9">
        <f ca="1">IF(Stock!AM24="",0,IF(ISNUMBER($E24),($E24+$F24)*Stock!AM24/100,Stock!AM24))</f>
        <v>475080616.68120003</v>
      </c>
      <c r="AS24" s="9">
        <f ca="1">IF(Stock!AN24="",0,IF(ISNUMBER($E24),($E24+$F24)*Stock!AN24/100,Stock!AN24))</f>
        <v>475080616.68120003</v>
      </c>
      <c r="AT24" s="9">
        <f ca="1">IF(Stock!AO24="",0,IF(ISNUMBER($E24),($E24+$F24)*Stock!AO24/100,Stock!AO24))</f>
        <v>475080616.68120003</v>
      </c>
      <c r="AU24" s="9">
        <f ca="1">IF(Stock!AP24="",0,IF(ISNUMBER($E24),($E24+$F24)*Stock!AP24/100,Stock!AP24))</f>
        <v>475080616.68120003</v>
      </c>
      <c r="AV24" s="9">
        <f ca="1">IF(Stock!AQ24="",0,IF(ISNUMBER($E24),($E24+$F24)*Stock!AQ24/100,Stock!AQ24))</f>
        <v>475080616.68120003</v>
      </c>
      <c r="AW24" s="9">
        <f ca="1">IF(Stock!AR24="",0,IF(ISNUMBER($E24),($E24+$F24)*Stock!AR24/100,Stock!AR24))</f>
        <v>475080616.68120003</v>
      </c>
      <c r="AX24" s="9">
        <f ca="1">IF(Stock!AS24="",0,IF(ISNUMBER($E24),($E24+$F24)*Stock!AS24/100,Stock!AS24))</f>
        <v>475080616.68120003</v>
      </c>
      <c r="AY24" s="9">
        <f ca="1">IF(Stock!AT24="",0,IF(ISNUMBER($E24),($E24+$F24)*Stock!AT24/100,Stock!AT24))</f>
        <v>475080616.68120003</v>
      </c>
      <c r="AZ24" s="9">
        <f ca="1">IF(Stock!AU24="",0,IF(ISNUMBER($E24),($E24+$F24)*Stock!AU24/100,Stock!AU24))</f>
        <v>475080616.68120003</v>
      </c>
      <c r="BA24" s="9">
        <f ca="1">IF(Stock!AV24="",0,IF(ISNUMBER($E24),($E24+$F24)*Stock!AV24/100,Stock!AV24))</f>
        <v>475080616.68120003</v>
      </c>
      <c r="BB24" s="9">
        <f ca="1">IF(Stock!AW24="",0,IF(ISNUMBER($E24),($E24+$F24)*Stock!AW24/100,Stock!AW24))</f>
        <v>475080616.68120003</v>
      </c>
      <c r="BC24" s="9">
        <f ca="1">IF(Stock!AX24="",0,IF(ISNUMBER($E24),($E24+$F24)*Stock!AX24/100,Stock!AX24))</f>
        <v>475080616.68120003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>
        <f ca="1">IF(A25="",0,IF(LEFT(C25,3) = "USB",100*(1-_xll.BDP(D25 &amp; " Govt",E$1)*(B25-TODAY()+1)/36000),_xll.BDP(D25 &amp; " Govt",E$1)))</f>
        <v>100.11328125</v>
      </c>
      <c r="F25" s="62">
        <f ca="1">IF(A25="",0,IF(LEFT(D25,1) = "B",0,_xll.BDP(D25 &amp; " Govt",F$1)))</f>
        <v>4.0760900000000001E-3</v>
      </c>
      <c r="G25" s="9">
        <f ca="1">IF(Stock!B25="",0,IF(ISNUMBER($E25),($E25+$F25)*Stock!B25/100,Stock!B25))</f>
        <v>0</v>
      </c>
      <c r="H25" s="9">
        <f ca="1">IF(Stock!C25="",0,IF(ISNUMBER($E25),($E25+$F25)*Stock!C25/100,Stock!C25))</f>
        <v>346406056.39639997</v>
      </c>
      <c r="I25" s="9">
        <f ca="1">IF(Stock!D25="",0,IF(ISNUMBER($E25),($E25+$F25)*Stock!D25/100,Stock!D25))</f>
        <v>346406056.39639997</v>
      </c>
      <c r="J25" s="9">
        <f ca="1">IF(Stock!E25="",0,IF(ISNUMBER($E25),($E25+$F25)*Stock!E25/100,Stock!E25))</f>
        <v>346406056.39639997</v>
      </c>
      <c r="K25" s="9">
        <f ca="1">IF(Stock!F25="",0,IF(ISNUMBER($E25),($E25+$F25)*Stock!F25/100,Stock!F25))</f>
        <v>346406056.39639997</v>
      </c>
      <c r="L25" s="9">
        <f ca="1">IF(Stock!G25="",0,IF(ISNUMBER($E25),($E25+$F25)*Stock!G25/100,Stock!G25))</f>
        <v>346406056.39639997</v>
      </c>
      <c r="M25" s="9">
        <f ca="1">IF(Stock!H25="",0,IF(ISNUMBER($E25),($E25+$F25)*Stock!H25/100,Stock!H25))</f>
        <v>346406056.39639997</v>
      </c>
      <c r="N25" s="9">
        <f ca="1">IF(Stock!I25="",0,IF(ISNUMBER($E25),($E25+$F25)*Stock!I25/100,Stock!I25))</f>
        <v>346406056.39639997</v>
      </c>
      <c r="O25" s="9">
        <f ca="1">IF(Stock!J25="",0,IF(ISNUMBER($E25),($E25+$F25)*Stock!J25/100,Stock!J25))</f>
        <v>346406056.39639997</v>
      </c>
      <c r="P25" s="9">
        <f ca="1">IF(Stock!K25="",0,IF(ISNUMBER($E25),($E25+$F25)*Stock!K25/100,Stock!K25))</f>
        <v>346406056.39639997</v>
      </c>
      <c r="Q25" s="9">
        <f ca="1">IF(Stock!L25="",0,IF(ISNUMBER($E25),($E25+$F25)*Stock!L25/100,Stock!L25))</f>
        <v>346406056.39639997</v>
      </c>
      <c r="R25" s="9">
        <f ca="1">IF(Stock!M25="",0,IF(ISNUMBER($E25),($E25+$F25)*Stock!M25/100,Stock!M25))</f>
        <v>346406056.39639997</v>
      </c>
      <c r="S25" s="9">
        <f ca="1">IF(Stock!N25="",0,IF(ISNUMBER($E25),($E25+$F25)*Stock!N25/100,Stock!N25))</f>
        <v>346406056.39639997</v>
      </c>
      <c r="T25" s="9">
        <f ca="1">IF(Stock!O25="",0,IF(ISNUMBER($E25),($E25+$F25)*Stock!O25/100,Stock!O25))</f>
        <v>346406056.39639997</v>
      </c>
      <c r="U25" s="9">
        <f ca="1">IF(Stock!P25="",0,IF(ISNUMBER($E25),($E25+$F25)*Stock!P25/100,Stock!P25))</f>
        <v>346406056.39639997</v>
      </c>
      <c r="V25" s="9">
        <f ca="1">IF(Stock!Q25="",0,IF(ISNUMBER($E25),($E25+$F25)*Stock!Q25/100,Stock!Q25))</f>
        <v>346406056.39639997</v>
      </c>
      <c r="W25" s="9">
        <f ca="1">IF(Stock!R25="",0,IF(ISNUMBER($E25),($E25+$F25)*Stock!R25/100,Stock!R25))</f>
        <v>346406056.39639997</v>
      </c>
      <c r="X25" s="9">
        <f ca="1">IF(Stock!S25="",0,IF(ISNUMBER($E25),($E25+$F25)*Stock!S25/100,Stock!S25))</f>
        <v>346406056.39639997</v>
      </c>
      <c r="Y25" s="9">
        <f ca="1">IF(Stock!T25="",0,IF(ISNUMBER($E25),($E25+$F25)*Stock!T25/100,Stock!T25))</f>
        <v>346406056.39639997</v>
      </c>
      <c r="Z25" s="9">
        <f ca="1">IF(Stock!U25="",0,IF(ISNUMBER($E25),($E25+$F25)*Stock!U25/100,Stock!U25))</f>
        <v>346406056.39639997</v>
      </c>
      <c r="AA25" s="9">
        <f ca="1">IF(Stock!V25="",0,IF(ISNUMBER($E25),($E25+$F25)*Stock!V25/100,Stock!V25))</f>
        <v>346406056.39639997</v>
      </c>
      <c r="AB25" s="9">
        <f ca="1">IF(Stock!W25="",0,IF(ISNUMBER($E25),($E25+$F25)*Stock!W25/100,Stock!W25))</f>
        <v>346406056.39639997</v>
      </c>
      <c r="AC25" s="9">
        <f ca="1">IF(Stock!X25="",0,IF(ISNUMBER($E25),($E25+$F25)*Stock!X25/100,Stock!X25))</f>
        <v>346406056.39639997</v>
      </c>
      <c r="AD25" s="9">
        <f ca="1">IF(Stock!Y25="",0,IF(ISNUMBER($E25),($E25+$F25)*Stock!Y25/100,Stock!Y25))</f>
        <v>346406056.39639997</v>
      </c>
      <c r="AE25" s="9">
        <f ca="1">IF(Stock!Z25="",0,IF(ISNUMBER($E25),($E25+$F25)*Stock!Z25/100,Stock!Z25))</f>
        <v>346406056.39639997</v>
      </c>
      <c r="AF25" s="9">
        <f ca="1">IF(Stock!AA25="",0,IF(ISNUMBER($E25),($E25+$F25)*Stock!AA25/100,Stock!AA25))</f>
        <v>346406056.39639997</v>
      </c>
      <c r="AG25" s="9">
        <f ca="1">IF(Stock!AB25="",0,IF(ISNUMBER($E25),($E25+$F25)*Stock!AB25/100,Stock!AB25))</f>
        <v>346406056.39639997</v>
      </c>
      <c r="AH25" s="9">
        <f ca="1">IF(Stock!AC25="",0,IF(ISNUMBER($E25),($E25+$F25)*Stock!AC25/100,Stock!AC25))</f>
        <v>346406056.39639997</v>
      </c>
      <c r="AI25" s="9">
        <f ca="1">IF(Stock!AD25="",0,IF(ISNUMBER($E25),($E25+$F25)*Stock!AD25/100,Stock!AD25))</f>
        <v>346406056.39639997</v>
      </c>
      <c r="AJ25" s="9">
        <f ca="1">IF(Stock!AE25="",0,IF(ISNUMBER($E25),($E25+$F25)*Stock!AE25/100,Stock!AE25))</f>
        <v>346406056.39639997</v>
      </c>
      <c r="AK25" s="9">
        <f ca="1">IF(Stock!AF25="",0,IF(ISNUMBER($E25),($E25+$F25)*Stock!AF25/100,Stock!AF25))</f>
        <v>346406056.39639997</v>
      </c>
      <c r="AL25" s="9">
        <f ca="1">IF(Stock!AG25="",0,IF(ISNUMBER($E25),($E25+$F25)*Stock!AG25/100,Stock!AG25))</f>
        <v>346406056.39639997</v>
      </c>
      <c r="AM25" s="9">
        <f ca="1">IF(Stock!AH25="",0,IF(ISNUMBER($E25),($E25+$F25)*Stock!AH25/100,Stock!AH25))</f>
        <v>346406056.39639997</v>
      </c>
      <c r="AN25" s="9">
        <f ca="1">IF(Stock!AI25="",0,IF(ISNUMBER($E25),($E25+$F25)*Stock!AI25/100,Stock!AI25))</f>
        <v>346406056.39639997</v>
      </c>
      <c r="AO25" s="9">
        <f ca="1">IF(Stock!AJ25="",0,IF(ISNUMBER($E25),($E25+$F25)*Stock!AJ25/100,Stock!AJ25))</f>
        <v>346406056.39639997</v>
      </c>
      <c r="AP25" s="9">
        <f ca="1">IF(Stock!AK25="",0,IF(ISNUMBER($E25),($E25+$F25)*Stock!AK25/100,Stock!AK25))</f>
        <v>346406056.39639997</v>
      </c>
      <c r="AQ25" s="9">
        <f ca="1">IF(Stock!AL25="",0,IF(ISNUMBER($E25),($E25+$F25)*Stock!AL25/100,Stock!AL25))</f>
        <v>346406056.39639997</v>
      </c>
      <c r="AR25" s="9">
        <f ca="1">IF(Stock!AM25="",0,IF(ISNUMBER($E25),($E25+$F25)*Stock!AM25/100,Stock!AM25))</f>
        <v>346406056.39639997</v>
      </c>
      <c r="AS25" s="9">
        <f ca="1">IF(Stock!AN25="",0,IF(ISNUMBER($E25),($E25+$F25)*Stock!AN25/100,Stock!AN25))</f>
        <v>346406056.39639997</v>
      </c>
      <c r="AT25" s="9">
        <f ca="1">IF(Stock!AO25="",0,IF(ISNUMBER($E25),($E25+$F25)*Stock!AO25/100,Stock!AO25))</f>
        <v>346406056.39639997</v>
      </c>
      <c r="AU25" s="9">
        <f ca="1">IF(Stock!AP25="",0,IF(ISNUMBER($E25),($E25+$F25)*Stock!AP25/100,Stock!AP25))</f>
        <v>346406056.39639997</v>
      </c>
      <c r="AV25" s="9">
        <f ca="1">IF(Stock!AQ25="",0,IF(ISNUMBER($E25),($E25+$F25)*Stock!AQ25/100,Stock!AQ25))</f>
        <v>346406056.39639997</v>
      </c>
      <c r="AW25" s="9">
        <f ca="1">IF(Stock!AR25="",0,IF(ISNUMBER($E25),($E25+$F25)*Stock!AR25/100,Stock!AR25))</f>
        <v>346406056.39639997</v>
      </c>
      <c r="AX25" s="9">
        <f ca="1">IF(Stock!AS25="",0,IF(ISNUMBER($E25),($E25+$F25)*Stock!AS25/100,Stock!AS25))</f>
        <v>346406056.39639997</v>
      </c>
      <c r="AY25" s="9">
        <f ca="1">IF(Stock!AT25="",0,IF(ISNUMBER($E25),($E25+$F25)*Stock!AT25/100,Stock!AT25))</f>
        <v>346406056.39639997</v>
      </c>
      <c r="AZ25" s="9">
        <f ca="1">IF(Stock!AU25="",0,IF(ISNUMBER($E25),($E25+$F25)*Stock!AU25/100,Stock!AU25))</f>
        <v>346406056.39639997</v>
      </c>
      <c r="BA25" s="9">
        <f ca="1">IF(Stock!AV25="",0,IF(ISNUMBER($E25),($E25+$F25)*Stock!AV25/100,Stock!AV25))</f>
        <v>346406056.39639997</v>
      </c>
      <c r="BB25" s="9">
        <f ca="1">IF(Stock!AW25="",0,IF(ISNUMBER($E25),($E25+$F25)*Stock!AW25/100,Stock!AW25))</f>
        <v>346406056.39639997</v>
      </c>
      <c r="BC25" s="9">
        <f ca="1">IF(Stock!AX25="",0,IF(ISNUMBER($E25),($E25+$F25)*Stock!AX25/100,Stock!AX25))</f>
        <v>346406056.39639997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>
        <f ca="1">IF(A26="",0,IF(LEFT(C26,3) = "USB",100*(1-_xll.BDP(D26 &amp; " Govt",E$1)*(B26-TODAY()+1)/36000),_xll.BDP(D26 &amp; " Govt",E$1)))</f>
        <v>103.875</v>
      </c>
      <c r="F26" s="62">
        <f ca="1">IF(A26="",0,IF(LEFT(D26,1) = "B",0,_xll.BDP(D26 &amp; " Govt",F$1)))</f>
        <v>0.26086957</v>
      </c>
      <c r="G26" s="9">
        <f ca="1"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>
        <f ca="1">IF(A27="",0,IF(LEFT(C27,3) = "USB",100*(1-_xll.BDP(D27 &amp; " Govt",E$1)*(B27-TODAY()+1)/36000),_xll.BDP(D27 &amp; " Govt",E$1)))</f>
        <v>103.5546875</v>
      </c>
      <c r="F27" s="62">
        <f ca="1">IF(A27="",0,IF(LEFT(D27,1) = "B",0,_xll.BDP(D27 &amp; " Govt",F$1)))</f>
        <v>0.75824175999999999</v>
      </c>
      <c r="G27" s="9">
        <f ca="1">IF(Stock!B27="",0,IF(ISNUMBER($E27),($E27+$F27)*Stock!B27/100,Stock!B27))</f>
        <v>221143410.03120002</v>
      </c>
      <c r="H27" s="9">
        <f ca="1">IF(Stock!C27="",0,IF(ISNUMBER($E27),($E27+$F27)*Stock!C27/100,Stock!C27))</f>
        <v>221143410.03120002</v>
      </c>
      <c r="I27" s="9">
        <f ca="1">IF(Stock!D27="",0,IF(ISNUMBER($E27),($E27+$F27)*Stock!D27/100,Stock!D27))</f>
        <v>221143410.03120002</v>
      </c>
      <c r="J27" s="9">
        <f ca="1">IF(Stock!E27="",0,IF(ISNUMBER($E27),($E27+$F27)*Stock!E27/100,Stock!E27))</f>
        <v>221143410.03120002</v>
      </c>
      <c r="K27" s="9">
        <f ca="1">IF(Stock!F27="",0,IF(ISNUMBER($E27),($E27+$F27)*Stock!F27/100,Stock!F27))</f>
        <v>221143410.03120002</v>
      </c>
      <c r="L27" s="9">
        <f ca="1">IF(Stock!G27="",0,IF(ISNUMBER($E27),($E27+$F27)*Stock!G27/100,Stock!G27))</f>
        <v>221143410.03120002</v>
      </c>
      <c r="M27" s="9">
        <f ca="1">IF(Stock!H27="",0,IF(ISNUMBER($E27),($E27+$F27)*Stock!H27/100,Stock!H27))</f>
        <v>221143410.03120002</v>
      </c>
      <c r="N27" s="9">
        <f ca="1">IF(Stock!I27="",0,IF(ISNUMBER($E27),($E27+$F27)*Stock!I27/100,Stock!I27))</f>
        <v>221143410.03120002</v>
      </c>
      <c r="O27" s="9">
        <f ca="1">IF(Stock!J27="",0,IF(ISNUMBER($E27),($E27+$F27)*Stock!J27/100,Stock!J27))</f>
        <v>221143410.03120002</v>
      </c>
      <c r="P27" s="9">
        <f ca="1">IF(Stock!K27="",0,IF(ISNUMBER($E27),($E27+$F27)*Stock!K27/100,Stock!K27))</f>
        <v>221143410.03120002</v>
      </c>
      <c r="Q27" s="9">
        <f ca="1">IF(Stock!L27="",0,IF(ISNUMBER($E27),($E27+$F27)*Stock!L27/100,Stock!L27))</f>
        <v>221143410.03120002</v>
      </c>
      <c r="R27" s="9">
        <f ca="1">IF(Stock!M27="",0,IF(ISNUMBER($E27),($E27+$F27)*Stock!M27/100,Stock!M27))</f>
        <v>221143410.03120002</v>
      </c>
      <c r="S27" s="9">
        <f ca="1">IF(Stock!N27="",0,IF(ISNUMBER($E27),($E27+$F27)*Stock!N27/100,Stock!N27))</f>
        <v>221143410.03120002</v>
      </c>
      <c r="T27" s="9">
        <f ca="1">IF(Stock!O27="",0,IF(ISNUMBER($E27),($E27+$F27)*Stock!O27/100,Stock!O27))</f>
        <v>221143410.03120002</v>
      </c>
      <c r="U27" s="9">
        <f ca="1">IF(Stock!P27="",0,IF(ISNUMBER($E27),($E27+$F27)*Stock!P27/100,Stock!P27))</f>
        <v>221143410.03120002</v>
      </c>
      <c r="V27" s="9">
        <f ca="1">IF(Stock!Q27="",0,IF(ISNUMBER($E27),($E27+$F27)*Stock!Q27/100,Stock!Q27))</f>
        <v>221143410.03120002</v>
      </c>
      <c r="W27" s="9">
        <f ca="1">IF(Stock!R27="",0,IF(ISNUMBER($E27),($E27+$F27)*Stock!R27/100,Stock!R27))</f>
        <v>221143410.03120002</v>
      </c>
      <c r="X27" s="9">
        <f ca="1">IF(Stock!S27="",0,IF(ISNUMBER($E27),($E27+$F27)*Stock!S27/100,Stock!S27))</f>
        <v>221143410.03120002</v>
      </c>
      <c r="Y27" s="9">
        <f ca="1">IF(Stock!T27="",0,IF(ISNUMBER($E27),($E27+$F27)*Stock!T27/100,Stock!T27))</f>
        <v>221143410.03120002</v>
      </c>
      <c r="Z27" s="9">
        <f ca="1">IF(Stock!U27="",0,IF(ISNUMBER($E27),($E27+$F27)*Stock!U27/100,Stock!U27))</f>
        <v>221143410.03120002</v>
      </c>
      <c r="AA27" s="9">
        <f ca="1">IF(Stock!V27="",0,IF(ISNUMBER($E27),($E27+$F27)*Stock!V27/100,Stock!V27))</f>
        <v>221143410.03120002</v>
      </c>
      <c r="AB27" s="9">
        <f ca="1">IF(Stock!W27="",0,IF(ISNUMBER($E27),($E27+$F27)*Stock!W27/100,Stock!W27))</f>
        <v>221143410.03120002</v>
      </c>
      <c r="AC27" s="9">
        <f ca="1">IF(Stock!X27="",0,IF(ISNUMBER($E27),($E27+$F27)*Stock!X27/100,Stock!X27))</f>
        <v>221143410.03120002</v>
      </c>
      <c r="AD27" s="9">
        <f ca="1">IF(Stock!Y27="",0,IF(ISNUMBER($E27),($E27+$F27)*Stock!Y27/100,Stock!Y27))</f>
        <v>221143410.03120002</v>
      </c>
      <c r="AE27" s="9">
        <f ca="1">IF(Stock!Z27="",0,IF(ISNUMBER($E27),($E27+$F27)*Stock!Z27/100,Stock!Z27))</f>
        <v>221143410.03120002</v>
      </c>
      <c r="AF27" s="9">
        <f ca="1">IF(Stock!AA27="",0,IF(ISNUMBER($E27),($E27+$F27)*Stock!AA27/100,Stock!AA27))</f>
        <v>221143410.03120002</v>
      </c>
      <c r="AG27" s="9">
        <f ca="1">IF(Stock!AB27="",0,IF(ISNUMBER($E27),($E27+$F27)*Stock!AB27/100,Stock!AB27))</f>
        <v>221143410.03120002</v>
      </c>
      <c r="AH27" s="9">
        <f ca="1">IF(Stock!AC27="",0,IF(ISNUMBER($E27),($E27+$F27)*Stock!AC27/100,Stock!AC27))</f>
        <v>221143410.03120002</v>
      </c>
      <c r="AI27" s="9">
        <f ca="1">IF(Stock!AD27="",0,IF(ISNUMBER($E27),($E27+$F27)*Stock!AD27/100,Stock!AD27))</f>
        <v>221143410.03120002</v>
      </c>
      <c r="AJ27" s="9">
        <f ca="1">IF(Stock!AE27="",0,IF(ISNUMBER($E27),($E27+$F27)*Stock!AE27/100,Stock!AE27))</f>
        <v>221143410.03120002</v>
      </c>
      <c r="AK27" s="9">
        <f ca="1">IF(Stock!AF27="",0,IF(ISNUMBER($E27),($E27+$F27)*Stock!AF27/100,Stock!AF27))</f>
        <v>221143410.03120002</v>
      </c>
      <c r="AL27" s="9">
        <f ca="1">IF(Stock!AG27="",0,IF(ISNUMBER($E27),($E27+$F27)*Stock!AG27/100,Stock!AG27))</f>
        <v>221143410.03120002</v>
      </c>
      <c r="AM27" s="9">
        <f ca="1">IF(Stock!AH27="",0,IF(ISNUMBER($E27),($E27+$F27)*Stock!AH27/100,Stock!AH27))</f>
        <v>221143410.03120002</v>
      </c>
      <c r="AN27" s="9">
        <f ca="1">IF(Stock!AI27="",0,IF(ISNUMBER($E27),($E27+$F27)*Stock!AI27/100,Stock!AI27))</f>
        <v>221143410.03120002</v>
      </c>
      <c r="AO27" s="9">
        <f ca="1">IF(Stock!AJ27="",0,IF(ISNUMBER($E27),($E27+$F27)*Stock!AJ27/100,Stock!AJ27))</f>
        <v>221143410.03120002</v>
      </c>
      <c r="AP27" s="9">
        <f ca="1">IF(Stock!AK27="",0,IF(ISNUMBER($E27),($E27+$F27)*Stock!AK27/100,Stock!AK27))</f>
        <v>221143410.03120002</v>
      </c>
      <c r="AQ27" s="9">
        <f ca="1">IF(Stock!AL27="",0,IF(ISNUMBER($E27),($E27+$F27)*Stock!AL27/100,Stock!AL27))</f>
        <v>221143410.03120002</v>
      </c>
      <c r="AR27" s="9">
        <f ca="1">IF(Stock!AM27="",0,IF(ISNUMBER($E27),($E27+$F27)*Stock!AM27/100,Stock!AM27))</f>
        <v>221143410.03120002</v>
      </c>
      <c r="AS27" s="9">
        <f ca="1">IF(Stock!AN27="",0,IF(ISNUMBER($E27),($E27+$F27)*Stock!AN27/100,Stock!AN27))</f>
        <v>221143410.03120002</v>
      </c>
      <c r="AT27" s="9">
        <f ca="1">IF(Stock!AO27="",0,IF(ISNUMBER($E27),($E27+$F27)*Stock!AO27/100,Stock!AO27))</f>
        <v>221143410.03120002</v>
      </c>
      <c r="AU27" s="9">
        <f ca="1">IF(Stock!AP27="",0,IF(ISNUMBER($E27),($E27+$F27)*Stock!AP27/100,Stock!AP27))</f>
        <v>221143410.03120002</v>
      </c>
      <c r="AV27" s="9">
        <f ca="1">IF(Stock!AQ27="",0,IF(ISNUMBER($E27),($E27+$F27)*Stock!AQ27/100,Stock!AQ27))</f>
        <v>221143410.03120002</v>
      </c>
      <c r="AW27" s="9">
        <f ca="1">IF(Stock!AR27="",0,IF(ISNUMBER($E27),($E27+$F27)*Stock!AR27/100,Stock!AR27))</f>
        <v>221143410.03120002</v>
      </c>
      <c r="AX27" s="9">
        <f ca="1">IF(Stock!AS27="",0,IF(ISNUMBER($E27),($E27+$F27)*Stock!AS27/100,Stock!AS27))</f>
        <v>221143410.03120002</v>
      </c>
      <c r="AY27" s="9">
        <f ca="1">IF(Stock!AT27="",0,IF(ISNUMBER($E27),($E27+$F27)*Stock!AT27/100,Stock!AT27))</f>
        <v>221143410.03120002</v>
      </c>
      <c r="AZ27" s="9">
        <f ca="1">IF(Stock!AU27="",0,IF(ISNUMBER($E27),($E27+$F27)*Stock!AU27/100,Stock!AU27))</f>
        <v>221143410.03120002</v>
      </c>
      <c r="BA27" s="9">
        <f ca="1">IF(Stock!AV27="",0,IF(ISNUMBER($E27),($E27+$F27)*Stock!AV27/100,Stock!AV27))</f>
        <v>221143410.03120002</v>
      </c>
      <c r="BB27" s="9">
        <f ca="1">IF(Stock!AW27="",0,IF(ISNUMBER($E27),($E27+$F27)*Stock!AW27/100,Stock!AW27))</f>
        <v>221143410.03120002</v>
      </c>
      <c r="BC27" s="9">
        <f ca="1">IF(Stock!AX27="",0,IF(ISNUMBER($E27),($E27+$F27)*Stock!AX27/100,Stock!AX27))</f>
        <v>221143410.03120002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>
        <f ca="1">IF(A28="",0,IF(LEFT(C28,3) = "USB",100*(1-_xll.BDP(D28 &amp; " Govt",E$1)*(B28-TODAY()+1)/36000),_xll.BDP(D28 &amp; " Govt",E$1)))</f>
        <v>101.0234375</v>
      </c>
      <c r="F28" s="62">
        <f ca="1">IF(A28="",0,IF(LEFT(D28,1) = "B",0,_xll.BDP(D28 &amp; " Govt",F$1)))</f>
        <v>0.22826087</v>
      </c>
      <c r="G28" s="9">
        <f ca="1">IF(Stock!B28="",0,IF(ISNUMBER($E28),($E28+$F28)*Stock!B28/100,Stock!B28))</f>
        <v>271354551.63160002</v>
      </c>
      <c r="H28" s="9">
        <f ca="1">IF(Stock!C28="",0,IF(ISNUMBER($E28),($E28+$F28)*Stock!C28/100,Stock!C28))</f>
        <v>271354551.63160002</v>
      </c>
      <c r="I28" s="9">
        <f ca="1">IF(Stock!D28="",0,IF(ISNUMBER($E28),($E28+$F28)*Stock!D28/100,Stock!D28))</f>
        <v>271354551.63160002</v>
      </c>
      <c r="J28" s="9">
        <f ca="1">IF(Stock!E28="",0,IF(ISNUMBER($E28),($E28+$F28)*Stock!E28/100,Stock!E28))</f>
        <v>271354551.63160002</v>
      </c>
      <c r="K28" s="9">
        <f ca="1">IF(Stock!F28="",0,IF(ISNUMBER($E28),($E28+$F28)*Stock!F28/100,Stock!F28))</f>
        <v>271354551.63160002</v>
      </c>
      <c r="L28" s="9">
        <f ca="1">IF(Stock!G28="",0,IF(ISNUMBER($E28),($E28+$F28)*Stock!G28/100,Stock!G28))</f>
        <v>271354551.63160002</v>
      </c>
      <c r="M28" s="9">
        <f ca="1">IF(Stock!H28="",0,IF(ISNUMBER($E28),($E28+$F28)*Stock!H28/100,Stock!H28))</f>
        <v>271354551.63160002</v>
      </c>
      <c r="N28" s="9">
        <f ca="1">IF(Stock!I28="",0,IF(ISNUMBER($E28),($E28+$F28)*Stock!I28/100,Stock!I28))</f>
        <v>271354551.63160002</v>
      </c>
      <c r="O28" s="9">
        <f ca="1">IF(Stock!J28="",0,IF(ISNUMBER($E28),($E28+$F28)*Stock!J28/100,Stock!J28))</f>
        <v>271354551.63160002</v>
      </c>
      <c r="P28" s="9">
        <f ca="1">IF(Stock!K28="",0,IF(ISNUMBER($E28),($E28+$F28)*Stock!K28/100,Stock!K28))</f>
        <v>271354551.63160002</v>
      </c>
      <c r="Q28" s="9">
        <f ca="1">IF(Stock!L28="",0,IF(ISNUMBER($E28),($E28+$F28)*Stock!L28/100,Stock!L28))</f>
        <v>271354551.63160002</v>
      </c>
      <c r="R28" s="9">
        <f ca="1">IF(Stock!M28="",0,IF(ISNUMBER($E28),($E28+$F28)*Stock!M28/100,Stock!M28))</f>
        <v>271354551.63160002</v>
      </c>
      <c r="S28" s="9">
        <f ca="1">IF(Stock!N28="",0,IF(ISNUMBER($E28),($E28+$F28)*Stock!N28/100,Stock!N28))</f>
        <v>271354551.63160002</v>
      </c>
      <c r="T28" s="9">
        <f ca="1">IF(Stock!O28="",0,IF(ISNUMBER($E28),($E28+$F28)*Stock!O28/100,Stock!O28))</f>
        <v>271354551.63160002</v>
      </c>
      <c r="U28" s="9">
        <f ca="1">IF(Stock!P28="",0,IF(ISNUMBER($E28),($E28+$F28)*Stock!P28/100,Stock!P28))</f>
        <v>271354551.63160002</v>
      </c>
      <c r="V28" s="9">
        <f ca="1">IF(Stock!Q28="",0,IF(ISNUMBER($E28),($E28+$F28)*Stock!Q28/100,Stock!Q28))</f>
        <v>271354551.63160002</v>
      </c>
      <c r="W28" s="9">
        <f ca="1">IF(Stock!R28="",0,IF(ISNUMBER($E28),($E28+$F28)*Stock!R28/100,Stock!R28))</f>
        <v>271354551.63160002</v>
      </c>
      <c r="X28" s="9">
        <f ca="1">IF(Stock!S28="",0,IF(ISNUMBER($E28),($E28+$F28)*Stock!S28/100,Stock!S28))</f>
        <v>271354551.63160002</v>
      </c>
      <c r="Y28" s="9">
        <f ca="1">IF(Stock!T28="",0,IF(ISNUMBER($E28),($E28+$F28)*Stock!T28/100,Stock!T28))</f>
        <v>271354551.63160002</v>
      </c>
      <c r="Z28" s="9">
        <f ca="1">IF(Stock!U28="",0,IF(ISNUMBER($E28),($E28+$F28)*Stock!U28/100,Stock!U28))</f>
        <v>271354551.63160002</v>
      </c>
      <c r="AA28" s="9">
        <f ca="1">IF(Stock!V28="",0,IF(ISNUMBER($E28),($E28+$F28)*Stock!V28/100,Stock!V28))</f>
        <v>271354551.63160002</v>
      </c>
      <c r="AB28" s="9">
        <f ca="1">IF(Stock!W28="",0,IF(ISNUMBER($E28),($E28+$F28)*Stock!W28/100,Stock!W28))</f>
        <v>271354551.63160002</v>
      </c>
      <c r="AC28" s="9">
        <f ca="1">IF(Stock!X28="",0,IF(ISNUMBER($E28),($E28+$F28)*Stock!X28/100,Stock!X28))</f>
        <v>271354551.63160002</v>
      </c>
      <c r="AD28" s="9">
        <f ca="1">IF(Stock!Y28="",0,IF(ISNUMBER($E28),($E28+$F28)*Stock!Y28/100,Stock!Y28))</f>
        <v>271354551.63160002</v>
      </c>
      <c r="AE28" s="9">
        <f ca="1">IF(Stock!Z28="",0,IF(ISNUMBER($E28),($E28+$F28)*Stock!Z28/100,Stock!Z28))</f>
        <v>271354551.63160002</v>
      </c>
      <c r="AF28" s="9">
        <f ca="1">IF(Stock!AA28="",0,IF(ISNUMBER($E28),($E28+$F28)*Stock!AA28/100,Stock!AA28))</f>
        <v>271354551.63160002</v>
      </c>
      <c r="AG28" s="9">
        <f ca="1">IF(Stock!AB28="",0,IF(ISNUMBER($E28),($E28+$F28)*Stock!AB28/100,Stock!AB28))</f>
        <v>271354551.63160002</v>
      </c>
      <c r="AH28" s="9">
        <f ca="1">IF(Stock!AC28="",0,IF(ISNUMBER($E28),($E28+$F28)*Stock!AC28/100,Stock!AC28))</f>
        <v>271354551.63160002</v>
      </c>
      <c r="AI28" s="9">
        <f ca="1">IF(Stock!AD28="",0,IF(ISNUMBER($E28),($E28+$F28)*Stock!AD28/100,Stock!AD28))</f>
        <v>271354551.63160002</v>
      </c>
      <c r="AJ28" s="9">
        <f ca="1">IF(Stock!AE28="",0,IF(ISNUMBER($E28),($E28+$F28)*Stock!AE28/100,Stock!AE28))</f>
        <v>271354551.63160002</v>
      </c>
      <c r="AK28" s="9">
        <f ca="1">IF(Stock!AF28="",0,IF(ISNUMBER($E28),($E28+$F28)*Stock!AF28/100,Stock!AF28))</f>
        <v>271354551.63160002</v>
      </c>
      <c r="AL28" s="9">
        <f ca="1">IF(Stock!AG28="",0,IF(ISNUMBER($E28),($E28+$F28)*Stock!AG28/100,Stock!AG28))</f>
        <v>271354551.63160002</v>
      </c>
      <c r="AM28" s="9">
        <f ca="1">IF(Stock!AH28="",0,IF(ISNUMBER($E28),($E28+$F28)*Stock!AH28/100,Stock!AH28))</f>
        <v>271354551.63160002</v>
      </c>
      <c r="AN28" s="9">
        <f ca="1">IF(Stock!AI28="",0,IF(ISNUMBER($E28),($E28+$F28)*Stock!AI28/100,Stock!AI28))</f>
        <v>271354551.63160002</v>
      </c>
      <c r="AO28" s="9">
        <f ca="1">IF(Stock!AJ28="",0,IF(ISNUMBER($E28),($E28+$F28)*Stock!AJ28/100,Stock!AJ28))</f>
        <v>271354551.63160002</v>
      </c>
      <c r="AP28" s="9">
        <f ca="1">IF(Stock!AK28="",0,IF(ISNUMBER($E28),($E28+$F28)*Stock!AK28/100,Stock!AK28))</f>
        <v>271354551.63160002</v>
      </c>
      <c r="AQ28" s="9">
        <f ca="1">IF(Stock!AL28="",0,IF(ISNUMBER($E28),($E28+$F28)*Stock!AL28/100,Stock!AL28))</f>
        <v>271354551.63160002</v>
      </c>
      <c r="AR28" s="9">
        <f ca="1">IF(Stock!AM28="",0,IF(ISNUMBER($E28),($E28+$F28)*Stock!AM28/100,Stock!AM28))</f>
        <v>271354551.63160002</v>
      </c>
      <c r="AS28" s="9">
        <f ca="1">IF(Stock!AN28="",0,IF(ISNUMBER($E28),($E28+$F28)*Stock!AN28/100,Stock!AN28))</f>
        <v>271354551.63160002</v>
      </c>
      <c r="AT28" s="9">
        <f ca="1">IF(Stock!AO28="",0,IF(ISNUMBER($E28),($E28+$F28)*Stock!AO28/100,Stock!AO28))</f>
        <v>271354551.63160002</v>
      </c>
      <c r="AU28" s="9">
        <f ca="1">IF(Stock!AP28="",0,IF(ISNUMBER($E28),($E28+$F28)*Stock!AP28/100,Stock!AP28))</f>
        <v>271354551.63160002</v>
      </c>
      <c r="AV28" s="9">
        <f ca="1">IF(Stock!AQ28="",0,IF(ISNUMBER($E28),($E28+$F28)*Stock!AQ28/100,Stock!AQ28))</f>
        <v>271354551.63160002</v>
      </c>
      <c r="AW28" s="9">
        <f ca="1">IF(Stock!AR28="",0,IF(ISNUMBER($E28),($E28+$F28)*Stock!AR28/100,Stock!AR28))</f>
        <v>271354551.63160002</v>
      </c>
      <c r="AX28" s="9">
        <f ca="1">IF(Stock!AS28="",0,IF(ISNUMBER($E28),($E28+$F28)*Stock!AS28/100,Stock!AS28))</f>
        <v>271354551.63160002</v>
      </c>
      <c r="AY28" s="9">
        <f ca="1">IF(Stock!AT28="",0,IF(ISNUMBER($E28),($E28+$F28)*Stock!AT28/100,Stock!AT28))</f>
        <v>271354551.63160002</v>
      </c>
      <c r="AZ28" s="9">
        <f ca="1">IF(Stock!AU28="",0,IF(ISNUMBER($E28),($E28+$F28)*Stock!AU28/100,Stock!AU28))</f>
        <v>271354551.63160002</v>
      </c>
      <c r="BA28" s="9">
        <f ca="1">IF(Stock!AV28="",0,IF(ISNUMBER($E28),($E28+$F28)*Stock!AV28/100,Stock!AV28))</f>
        <v>271354551.63160002</v>
      </c>
      <c r="BB28" s="9">
        <f ca="1">IF(Stock!AW28="",0,IF(ISNUMBER($E28),($E28+$F28)*Stock!AW28/100,Stock!AW28))</f>
        <v>271354551.63160002</v>
      </c>
      <c r="BC28" s="9">
        <f ca="1">IF(Stock!AX28="",0,IF(ISNUMBER($E28),($E28+$F28)*Stock!AX28/100,Stock!AX28))</f>
        <v>271354551.63160002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>IF(Stock!C29="",0,IF(ISNUMBER($E29),($E29+$F29)*Stock!C29/100,Stock!C29))</f>
        <v>0</v>
      </c>
      <c r="I29" s="9">
        <f>IF(Stock!D29="",0,IF(ISNUMBER($E29),($E29+$F29)*Stock!D29/100,Stock!D29))</f>
        <v>0</v>
      </c>
      <c r="J29" s="9">
        <f>IF(Stock!E29="",0,IF(ISNUMBER($E29),($E29+$F29)*Stock!E29/100,Stock!E29))</f>
        <v>0</v>
      </c>
      <c r="K29" s="9">
        <f>IF(Stock!F29="",0,IF(ISNUMBER($E29),($E29+$F29)*Stock!F29/100,Stock!F29))</f>
        <v>0</v>
      </c>
      <c r="L29" s="9">
        <f>IF(Stock!G29="",0,IF(ISNUMBER($E29),($E29+$F29)*Stock!G29/100,Stock!G29))</f>
        <v>0</v>
      </c>
      <c r="M29" s="9">
        <f>IF(Stock!H29="",0,IF(ISNUMBER($E29),($E29+$F29)*Stock!H29/100,Stock!H29))</f>
        <v>0</v>
      </c>
      <c r="N29" s="9">
        <f>IF(Stock!I29="",0,IF(ISNUMBER($E29),($E29+$F29)*Stock!I29/100,Stock!I29))</f>
        <v>0</v>
      </c>
      <c r="O29" s="9">
        <f>IF(Stock!J29="",0,IF(ISNUMBER($E29),($E29+$F29)*Stock!J29/100,Stock!J29))</f>
        <v>0</v>
      </c>
      <c r="P29" s="9">
        <f>IF(Stock!K29="",0,IF(ISNUMBER($E29),($E29+$F29)*Stock!K29/100,Stock!K29))</f>
        <v>0</v>
      </c>
      <c r="Q29" s="9">
        <f>IF(Stock!L29="",0,IF(ISNUMBER($E29),($E29+$F29)*Stock!L29/100,Stock!L29))</f>
        <v>0</v>
      </c>
      <c r="R29" s="9">
        <f>IF(Stock!M29="",0,IF(ISNUMBER($E29),($E29+$F29)*Stock!M29/100,Stock!M29))</f>
        <v>0</v>
      </c>
      <c r="S29" s="9">
        <f>IF(Stock!N29="",0,IF(ISNUMBER($E29),($E29+$F29)*Stock!N29/100,Stock!N29))</f>
        <v>0</v>
      </c>
      <c r="T29" s="9">
        <f>IF(Stock!O29="",0,IF(ISNUMBER($E29),($E29+$F29)*Stock!O29/100,Stock!O29))</f>
        <v>0</v>
      </c>
      <c r="U29" s="9">
        <f>IF(Stock!P29="",0,IF(ISNUMBER($E29),($E29+$F29)*Stock!P29/100,Stock!P29))</f>
        <v>0</v>
      </c>
      <c r="V29" s="9">
        <f>IF(Stock!Q29="",0,IF(ISNUMBER($E29),($E29+$F29)*Stock!Q29/100,Stock!Q29))</f>
        <v>0</v>
      </c>
      <c r="W29" s="9">
        <f>IF(Stock!R29="",0,IF(ISNUMBER($E29),($E29+$F29)*Stock!R29/100,Stock!R29))</f>
        <v>0</v>
      </c>
      <c r="X29" s="9">
        <f>IF(Stock!S29="",0,IF(ISNUMBER($E29),($E29+$F29)*Stock!S29/100,Stock!S29))</f>
        <v>0</v>
      </c>
      <c r="Y29" s="9">
        <f>IF(Stock!T29="",0,IF(ISNUMBER($E29),($E29+$F29)*Stock!T29/100,Stock!T29))</f>
        <v>0</v>
      </c>
      <c r="Z29" s="9">
        <f>IF(Stock!U29="",0,IF(ISNUMBER($E29),($E29+$F29)*Stock!U29/100,Stock!U29))</f>
        <v>0</v>
      </c>
      <c r="AA29" s="9">
        <f>IF(Stock!V29="",0,IF(ISNUMBER($E29),($E29+$F29)*Stock!V29/100,Stock!V29))</f>
        <v>0</v>
      </c>
      <c r="AB29" s="9">
        <f>IF(Stock!W29="",0,IF(ISNUMBER($E29),($E29+$F29)*Stock!W29/100,Stock!W29))</f>
        <v>0</v>
      </c>
      <c r="AC29" s="9">
        <f>IF(Stock!X29="",0,IF(ISNUMBER($E29),($E29+$F29)*Stock!X29/100,Stock!X29))</f>
        <v>0</v>
      </c>
      <c r="AD29" s="9">
        <f>IF(Stock!Y29="",0,IF(ISNUMBER($E29),($E29+$F29)*Stock!Y29/100,Stock!Y29))</f>
        <v>0</v>
      </c>
      <c r="AE29" s="9">
        <f>IF(Stock!Z29="",0,IF(ISNUMBER($E29),($E29+$F29)*Stock!Z29/100,Stock!Z29))</f>
        <v>0</v>
      </c>
      <c r="AF29" s="9">
        <f>IF(Stock!AA29="",0,IF(ISNUMBER($E29),($E29+$F29)*Stock!AA29/100,Stock!AA29))</f>
        <v>0</v>
      </c>
      <c r="AG29" s="9">
        <f>IF(Stock!AB29="",0,IF(ISNUMBER($E29),($E29+$F29)*Stock!AB29/100,Stock!AB29))</f>
        <v>0</v>
      </c>
      <c r="AH29" s="9">
        <f>IF(Stock!AC29="",0,IF(ISNUMBER($E29),($E29+$F29)*Stock!AC29/100,Stock!AC29))</f>
        <v>0</v>
      </c>
      <c r="AI29" s="9">
        <f>IF(Stock!AD29="",0,IF(ISNUMBER($E29),($E29+$F29)*Stock!AD29/100,Stock!AD29))</f>
        <v>0</v>
      </c>
      <c r="AJ29" s="9">
        <f>IF(Stock!AE29="",0,IF(ISNUMBER($E29),($E29+$F29)*Stock!AE29/100,Stock!AE29))</f>
        <v>0</v>
      </c>
      <c r="AK29" s="9">
        <f>IF(Stock!AF29="",0,IF(ISNUMBER($E29),($E29+$F29)*Stock!AF29/100,Stock!AF29))</f>
        <v>0</v>
      </c>
      <c r="AL29" s="9">
        <f>IF(Stock!AG29="",0,IF(ISNUMBER($E29),($E29+$F29)*Stock!AG29/100,Stock!AG29))</f>
        <v>0</v>
      </c>
      <c r="AM29" s="9">
        <f>IF(Stock!AH29="",0,IF(ISNUMBER($E29),($E29+$F29)*Stock!AH29/100,Stock!AH29))</f>
        <v>0</v>
      </c>
      <c r="AN29" s="9">
        <f>IF(Stock!AI29="",0,IF(ISNUMBER($E29),($E29+$F29)*Stock!AI29/100,Stock!AI29))</f>
        <v>0</v>
      </c>
      <c r="AO29" s="9">
        <f>IF(Stock!AJ29="",0,IF(ISNUMBER($E29),($E29+$F29)*Stock!AJ29/100,Stock!AJ29))</f>
        <v>0</v>
      </c>
      <c r="AP29" s="9">
        <f>IF(Stock!AK29="",0,IF(ISNUMBER($E29),($E29+$F29)*Stock!AK29/100,Stock!AK29))</f>
        <v>0</v>
      </c>
      <c r="AQ29" s="9">
        <f>IF(Stock!AL29="",0,IF(ISNUMBER($E29),($E29+$F29)*Stock!AL29/100,Stock!AL29))</f>
        <v>0</v>
      </c>
      <c r="AR29" s="9">
        <f>IF(Stock!AM29="",0,IF(ISNUMBER($E29),($E29+$F29)*Stock!AM29/100,Stock!AM29))</f>
        <v>0</v>
      </c>
      <c r="AS29" s="9">
        <f>IF(Stock!AN29="",0,IF(ISNUMBER($E29),($E29+$F29)*Stock!AN29/100,Stock!AN29))</f>
        <v>0</v>
      </c>
      <c r="AT29" s="9">
        <f>IF(Stock!AO29="",0,IF(ISNUMBER($E29),($E29+$F29)*Stock!AO29/100,Stock!AO29))</f>
        <v>0</v>
      </c>
      <c r="AU29" s="9">
        <f>IF(Stock!AP29="",0,IF(ISNUMBER($E29),($E29+$F29)*Stock!AP29/100,Stock!AP29))</f>
        <v>0</v>
      </c>
      <c r="AV29" s="9">
        <f>IF(Stock!AQ29="",0,IF(ISNUMBER($E29),($E29+$F29)*Stock!AQ29/100,Stock!AQ29))</f>
        <v>0</v>
      </c>
      <c r="AW29" s="9">
        <f>IF(Stock!AR29="",0,IF(ISNUMBER($E29),($E29+$F29)*Stock!AR29/100,Stock!AR29))</f>
        <v>0</v>
      </c>
      <c r="AX29" s="9">
        <f>IF(Stock!AS29="",0,IF(ISNUMBER($E29),($E29+$F29)*Stock!AS29/100,Stock!AS29))</f>
        <v>0</v>
      </c>
      <c r="AY29" s="9">
        <f>IF(Stock!AT29="",0,IF(ISNUMBER($E29),($E29+$F29)*Stock!AT29/100,Stock!AT29))</f>
        <v>0</v>
      </c>
      <c r="AZ29" s="9">
        <f>IF(Stock!AU29="",0,IF(ISNUMBER($E29),($E29+$F29)*Stock!AU29/100,Stock!AU29))</f>
        <v>0</v>
      </c>
      <c r="BA29" s="9">
        <f>IF(Stock!AV29="",0,IF(ISNUMBER($E29),($E29+$F29)*Stock!AV29/100,Stock!AV29))</f>
        <v>0</v>
      </c>
      <c r="BB29" s="9">
        <f>IF(Stock!AW29="",0,IF(ISNUMBER($E29),($E29+$F29)*Stock!AW29/100,Stock!AW29))</f>
        <v>0</v>
      </c>
      <c r="BC29" s="9">
        <f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>IF(Stock!C30="",0,IF(ISNUMBER($E30),($E30+$F30)*Stock!C30/100,Stock!C30))</f>
        <v>0</v>
      </c>
      <c r="I30" s="9">
        <f>IF(Stock!D30="",0,IF(ISNUMBER($E30),($E30+$F30)*Stock!D30/100,Stock!D30))</f>
        <v>0</v>
      </c>
      <c r="J30" s="9">
        <f>IF(Stock!E30="",0,IF(ISNUMBER($E30),($E30+$F30)*Stock!E30/100,Stock!E30))</f>
        <v>0</v>
      </c>
      <c r="K30" s="9">
        <f>IF(Stock!F30="",0,IF(ISNUMBER($E30),($E30+$F30)*Stock!F30/100,Stock!F30))</f>
        <v>0</v>
      </c>
      <c r="L30" s="9">
        <f>IF(Stock!G30="",0,IF(ISNUMBER($E30),($E30+$F30)*Stock!G30/100,Stock!G30))</f>
        <v>0</v>
      </c>
      <c r="M30" s="9">
        <f>IF(Stock!H30="",0,IF(ISNUMBER($E30),($E30+$F30)*Stock!H30/100,Stock!H30))</f>
        <v>0</v>
      </c>
      <c r="N30" s="9">
        <f>IF(Stock!I30="",0,IF(ISNUMBER($E30),($E30+$F30)*Stock!I30/100,Stock!I30))</f>
        <v>0</v>
      </c>
      <c r="O30" s="9">
        <f>IF(Stock!J30="",0,IF(ISNUMBER($E30),($E30+$F30)*Stock!J30/100,Stock!J30))</f>
        <v>0</v>
      </c>
      <c r="P30" s="9">
        <f>IF(Stock!K30="",0,IF(ISNUMBER($E30),($E30+$F30)*Stock!K30/100,Stock!K30))</f>
        <v>0</v>
      </c>
      <c r="Q30" s="9">
        <f>IF(Stock!L30="",0,IF(ISNUMBER($E30),($E30+$F30)*Stock!L30/100,Stock!L30))</f>
        <v>0</v>
      </c>
      <c r="R30" s="9">
        <f>IF(Stock!M30="",0,IF(ISNUMBER($E30),($E30+$F30)*Stock!M30/100,Stock!M30))</f>
        <v>0</v>
      </c>
      <c r="S30" s="9">
        <f>IF(Stock!N30="",0,IF(ISNUMBER($E30),($E30+$F30)*Stock!N30/100,Stock!N30))</f>
        <v>0</v>
      </c>
      <c r="T30" s="9">
        <f>IF(Stock!O30="",0,IF(ISNUMBER($E30),($E30+$F30)*Stock!O30/100,Stock!O30))</f>
        <v>0</v>
      </c>
      <c r="U30" s="9">
        <f>IF(Stock!P30="",0,IF(ISNUMBER($E30),($E30+$F30)*Stock!P30/100,Stock!P30))</f>
        <v>0</v>
      </c>
      <c r="V30" s="9">
        <f>IF(Stock!Q30="",0,IF(ISNUMBER($E30),($E30+$F30)*Stock!Q30/100,Stock!Q30))</f>
        <v>0</v>
      </c>
      <c r="W30" s="9">
        <f>IF(Stock!R30="",0,IF(ISNUMBER($E30),($E30+$F30)*Stock!R30/100,Stock!R30))</f>
        <v>0</v>
      </c>
      <c r="X30" s="9">
        <f>IF(Stock!S30="",0,IF(ISNUMBER($E30),($E30+$F30)*Stock!S30/100,Stock!S30))</f>
        <v>0</v>
      </c>
      <c r="Y30" s="9">
        <f>IF(Stock!T30="",0,IF(ISNUMBER($E30),($E30+$F30)*Stock!T30/100,Stock!T30))</f>
        <v>0</v>
      </c>
      <c r="Z30" s="9">
        <f>IF(Stock!U30="",0,IF(ISNUMBER($E30),($E30+$F30)*Stock!U30/100,Stock!U30))</f>
        <v>0</v>
      </c>
      <c r="AA30" s="9">
        <f>IF(Stock!V30="",0,IF(ISNUMBER($E30),($E30+$F30)*Stock!V30/100,Stock!V30))</f>
        <v>0</v>
      </c>
      <c r="AB30" s="9">
        <f>IF(Stock!W30="",0,IF(ISNUMBER($E30),($E30+$F30)*Stock!W30/100,Stock!W30))</f>
        <v>0</v>
      </c>
      <c r="AC30" s="9">
        <f>IF(Stock!X30="",0,IF(ISNUMBER($E30),($E30+$F30)*Stock!X30/100,Stock!X30))</f>
        <v>0</v>
      </c>
      <c r="AD30" s="9">
        <f>IF(Stock!Y30="",0,IF(ISNUMBER($E30),($E30+$F30)*Stock!Y30/100,Stock!Y30))</f>
        <v>0</v>
      </c>
      <c r="AE30" s="9">
        <f>IF(Stock!Z30="",0,IF(ISNUMBER($E30),($E30+$F30)*Stock!Z30/100,Stock!Z30))</f>
        <v>0</v>
      </c>
      <c r="AF30" s="9">
        <f>IF(Stock!AA30="",0,IF(ISNUMBER($E30),($E30+$F30)*Stock!AA30/100,Stock!AA30))</f>
        <v>0</v>
      </c>
      <c r="AG30" s="9">
        <f>IF(Stock!AB30="",0,IF(ISNUMBER($E30),($E30+$F30)*Stock!AB30/100,Stock!AB30))</f>
        <v>0</v>
      </c>
      <c r="AH30" s="9">
        <f>IF(Stock!AC30="",0,IF(ISNUMBER($E30),($E30+$F30)*Stock!AC30/100,Stock!AC30))</f>
        <v>0</v>
      </c>
      <c r="AI30" s="9">
        <f>IF(Stock!AD30="",0,IF(ISNUMBER($E30),($E30+$F30)*Stock!AD30/100,Stock!AD30))</f>
        <v>0</v>
      </c>
      <c r="AJ30" s="9">
        <f>IF(Stock!AE30="",0,IF(ISNUMBER($E30),($E30+$F30)*Stock!AE30/100,Stock!AE30))</f>
        <v>0</v>
      </c>
      <c r="AK30" s="9">
        <f>IF(Stock!AF30="",0,IF(ISNUMBER($E30),($E30+$F30)*Stock!AF30/100,Stock!AF30))</f>
        <v>0</v>
      </c>
      <c r="AL30" s="9">
        <f>IF(Stock!AG30="",0,IF(ISNUMBER($E30),($E30+$F30)*Stock!AG30/100,Stock!AG30))</f>
        <v>0</v>
      </c>
      <c r="AM30" s="9">
        <f>IF(Stock!AH30="",0,IF(ISNUMBER($E30),($E30+$F30)*Stock!AH30/100,Stock!AH30))</f>
        <v>0</v>
      </c>
      <c r="AN30" s="9">
        <f>IF(Stock!AI30="",0,IF(ISNUMBER($E30),($E30+$F30)*Stock!AI30/100,Stock!AI30))</f>
        <v>0</v>
      </c>
      <c r="AO30" s="9">
        <f>IF(Stock!AJ30="",0,IF(ISNUMBER($E30),($E30+$F30)*Stock!AJ30/100,Stock!AJ30))</f>
        <v>0</v>
      </c>
      <c r="AP30" s="9">
        <f>IF(Stock!AK30="",0,IF(ISNUMBER($E30),($E30+$F30)*Stock!AK30/100,Stock!AK30))</f>
        <v>0</v>
      </c>
      <c r="AQ30" s="9">
        <f>IF(Stock!AL30="",0,IF(ISNUMBER($E30),($E30+$F30)*Stock!AL30/100,Stock!AL30))</f>
        <v>0</v>
      </c>
      <c r="AR30" s="9">
        <f>IF(Stock!AM30="",0,IF(ISNUMBER($E30),($E30+$F30)*Stock!AM30/100,Stock!AM30))</f>
        <v>0</v>
      </c>
      <c r="AS30" s="9">
        <f>IF(Stock!AN30="",0,IF(ISNUMBER($E30),($E30+$F30)*Stock!AN30/100,Stock!AN30))</f>
        <v>0</v>
      </c>
      <c r="AT30" s="9">
        <f>IF(Stock!AO30="",0,IF(ISNUMBER($E30),($E30+$F30)*Stock!AO30/100,Stock!AO30))</f>
        <v>0</v>
      </c>
      <c r="AU30" s="9">
        <f>IF(Stock!AP30="",0,IF(ISNUMBER($E30),($E30+$F30)*Stock!AP30/100,Stock!AP30))</f>
        <v>0</v>
      </c>
      <c r="AV30" s="9">
        <f>IF(Stock!AQ30="",0,IF(ISNUMBER($E30),($E30+$F30)*Stock!AQ30/100,Stock!AQ30))</f>
        <v>0</v>
      </c>
      <c r="AW30" s="9">
        <f>IF(Stock!AR30="",0,IF(ISNUMBER($E30),($E30+$F30)*Stock!AR30/100,Stock!AR30))</f>
        <v>0</v>
      </c>
      <c r="AX30" s="9">
        <f>IF(Stock!AS30="",0,IF(ISNUMBER($E30),($E30+$F30)*Stock!AS30/100,Stock!AS30))</f>
        <v>0</v>
      </c>
      <c r="AY30" s="9">
        <f>IF(Stock!AT30="",0,IF(ISNUMBER($E30),($E30+$F30)*Stock!AT30/100,Stock!AT30))</f>
        <v>0</v>
      </c>
      <c r="AZ30" s="9">
        <f>IF(Stock!AU30="",0,IF(ISNUMBER($E30),($E30+$F30)*Stock!AU30/100,Stock!AU30))</f>
        <v>0</v>
      </c>
      <c r="BA30" s="9">
        <f>IF(Stock!AV30="",0,IF(ISNUMBER($E30),($E30+$F30)*Stock!AV30/100,Stock!AV30))</f>
        <v>0</v>
      </c>
      <c r="BB30" s="9">
        <f>IF(Stock!AW30="",0,IF(ISNUMBER($E30),($E30+$F30)*Stock!AW30/100,Stock!AW30))</f>
        <v>0</v>
      </c>
      <c r="BC30" s="9">
        <f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>IF(Stock!C31="",0,IF(ISNUMBER($E31),($E31+$F31)*Stock!C31/100,Stock!C31))</f>
        <v>0</v>
      </c>
      <c r="I31" s="9">
        <f>IF(Stock!D31="",0,IF(ISNUMBER($E31),($E31+$F31)*Stock!D31/100,Stock!D31))</f>
        <v>0</v>
      </c>
      <c r="J31" s="9">
        <f>IF(Stock!E31="",0,IF(ISNUMBER($E31),($E31+$F31)*Stock!E31/100,Stock!E31))</f>
        <v>0</v>
      </c>
      <c r="K31" s="9">
        <f>IF(Stock!F31="",0,IF(ISNUMBER($E31),($E31+$F31)*Stock!F31/100,Stock!F31))</f>
        <v>0</v>
      </c>
      <c r="L31" s="9">
        <f>IF(Stock!G31="",0,IF(ISNUMBER($E31),($E31+$F31)*Stock!G31/100,Stock!G31))</f>
        <v>0</v>
      </c>
      <c r="M31" s="9">
        <f>IF(Stock!H31="",0,IF(ISNUMBER($E31),($E31+$F31)*Stock!H31/100,Stock!H31))</f>
        <v>0</v>
      </c>
      <c r="N31" s="9">
        <f>IF(Stock!I31="",0,IF(ISNUMBER($E31),($E31+$F31)*Stock!I31/100,Stock!I31))</f>
        <v>0</v>
      </c>
      <c r="O31" s="9">
        <f>IF(Stock!J31="",0,IF(ISNUMBER($E31),($E31+$F31)*Stock!J31/100,Stock!J31))</f>
        <v>0</v>
      </c>
      <c r="P31" s="9">
        <f>IF(Stock!K31="",0,IF(ISNUMBER($E31),($E31+$F31)*Stock!K31/100,Stock!K31))</f>
        <v>0</v>
      </c>
      <c r="Q31" s="9">
        <f>IF(Stock!L31="",0,IF(ISNUMBER($E31),($E31+$F31)*Stock!L31/100,Stock!L31))</f>
        <v>0</v>
      </c>
      <c r="R31" s="9">
        <f>IF(Stock!M31="",0,IF(ISNUMBER($E31),($E31+$F31)*Stock!M31/100,Stock!M31))</f>
        <v>0</v>
      </c>
      <c r="S31" s="9">
        <f>IF(Stock!N31="",0,IF(ISNUMBER($E31),($E31+$F31)*Stock!N31/100,Stock!N31))</f>
        <v>0</v>
      </c>
      <c r="T31" s="9">
        <f>IF(Stock!O31="",0,IF(ISNUMBER($E31),($E31+$F31)*Stock!O31/100,Stock!O31))</f>
        <v>0</v>
      </c>
      <c r="U31" s="9">
        <f>IF(Stock!P31="",0,IF(ISNUMBER($E31),($E31+$F31)*Stock!P31/100,Stock!P31))</f>
        <v>0</v>
      </c>
      <c r="V31" s="9">
        <f>IF(Stock!Q31="",0,IF(ISNUMBER($E31),($E31+$F31)*Stock!Q31/100,Stock!Q31))</f>
        <v>0</v>
      </c>
      <c r="W31" s="9">
        <f>IF(Stock!R31="",0,IF(ISNUMBER($E31),($E31+$F31)*Stock!R31/100,Stock!R31))</f>
        <v>0</v>
      </c>
      <c r="X31" s="9">
        <f>IF(Stock!S31="",0,IF(ISNUMBER($E31),($E31+$F31)*Stock!S31/100,Stock!S31))</f>
        <v>0</v>
      </c>
      <c r="Y31" s="9">
        <f>IF(Stock!T31="",0,IF(ISNUMBER($E31),($E31+$F31)*Stock!T31/100,Stock!T31))</f>
        <v>0</v>
      </c>
      <c r="Z31" s="9">
        <f>IF(Stock!U31="",0,IF(ISNUMBER($E31),($E31+$F31)*Stock!U31/100,Stock!U31))</f>
        <v>0</v>
      </c>
      <c r="AA31" s="9">
        <f>IF(Stock!V31="",0,IF(ISNUMBER($E31),($E31+$F31)*Stock!V31/100,Stock!V31))</f>
        <v>0</v>
      </c>
      <c r="AB31" s="9">
        <f>IF(Stock!W31="",0,IF(ISNUMBER($E31),($E31+$F31)*Stock!W31/100,Stock!W31))</f>
        <v>0</v>
      </c>
      <c r="AC31" s="9">
        <f>IF(Stock!X31="",0,IF(ISNUMBER($E31),($E31+$F31)*Stock!X31/100,Stock!X31))</f>
        <v>0</v>
      </c>
      <c r="AD31" s="9">
        <f>IF(Stock!Y31="",0,IF(ISNUMBER($E31),($E31+$F31)*Stock!Y31/100,Stock!Y31))</f>
        <v>0</v>
      </c>
      <c r="AE31" s="9">
        <f>IF(Stock!Z31="",0,IF(ISNUMBER($E31),($E31+$F31)*Stock!Z31/100,Stock!Z31))</f>
        <v>0</v>
      </c>
      <c r="AF31" s="9">
        <f>IF(Stock!AA31="",0,IF(ISNUMBER($E31),($E31+$F31)*Stock!AA31/100,Stock!AA31))</f>
        <v>0</v>
      </c>
      <c r="AG31" s="9">
        <f>IF(Stock!AB31="",0,IF(ISNUMBER($E31),($E31+$F31)*Stock!AB31/100,Stock!AB31))</f>
        <v>0</v>
      </c>
      <c r="AH31" s="9">
        <f>IF(Stock!AC31="",0,IF(ISNUMBER($E31),($E31+$F31)*Stock!AC31/100,Stock!AC31))</f>
        <v>0</v>
      </c>
      <c r="AI31" s="9">
        <f>IF(Stock!AD31="",0,IF(ISNUMBER($E31),($E31+$F31)*Stock!AD31/100,Stock!AD31))</f>
        <v>0</v>
      </c>
      <c r="AJ31" s="9">
        <f>IF(Stock!AE31="",0,IF(ISNUMBER($E31),($E31+$F31)*Stock!AE31/100,Stock!AE31))</f>
        <v>0</v>
      </c>
      <c r="AK31" s="9">
        <f>IF(Stock!AF31="",0,IF(ISNUMBER($E31),($E31+$F31)*Stock!AF31/100,Stock!AF31))</f>
        <v>0</v>
      </c>
      <c r="AL31" s="9">
        <f>IF(Stock!AG31="",0,IF(ISNUMBER($E31),($E31+$F31)*Stock!AG31/100,Stock!AG31))</f>
        <v>0</v>
      </c>
      <c r="AM31" s="9">
        <f>IF(Stock!AH31="",0,IF(ISNUMBER($E31),($E31+$F31)*Stock!AH31/100,Stock!AH31))</f>
        <v>0</v>
      </c>
      <c r="AN31" s="9">
        <f>IF(Stock!AI31="",0,IF(ISNUMBER($E31),($E31+$F31)*Stock!AI31/100,Stock!AI31))</f>
        <v>0</v>
      </c>
      <c r="AO31" s="9">
        <f>IF(Stock!AJ31="",0,IF(ISNUMBER($E31),($E31+$F31)*Stock!AJ31/100,Stock!AJ31))</f>
        <v>0</v>
      </c>
      <c r="AP31" s="9">
        <f>IF(Stock!AK31="",0,IF(ISNUMBER($E31),($E31+$F31)*Stock!AK31/100,Stock!AK31))</f>
        <v>0</v>
      </c>
      <c r="AQ31" s="9">
        <f>IF(Stock!AL31="",0,IF(ISNUMBER($E31),($E31+$F31)*Stock!AL31/100,Stock!AL31))</f>
        <v>0</v>
      </c>
      <c r="AR31" s="9">
        <f>IF(Stock!AM31="",0,IF(ISNUMBER($E31),($E31+$F31)*Stock!AM31/100,Stock!AM31))</f>
        <v>0</v>
      </c>
      <c r="AS31" s="9">
        <f>IF(Stock!AN31="",0,IF(ISNUMBER($E31),($E31+$F31)*Stock!AN31/100,Stock!AN31))</f>
        <v>0</v>
      </c>
      <c r="AT31" s="9">
        <f>IF(Stock!AO31="",0,IF(ISNUMBER($E31),($E31+$F31)*Stock!AO31/100,Stock!AO31))</f>
        <v>0</v>
      </c>
      <c r="AU31" s="9">
        <f>IF(Stock!AP31="",0,IF(ISNUMBER($E31),($E31+$F31)*Stock!AP31/100,Stock!AP31))</f>
        <v>0</v>
      </c>
      <c r="AV31" s="9">
        <f>IF(Stock!AQ31="",0,IF(ISNUMBER($E31),($E31+$F31)*Stock!AQ31/100,Stock!AQ31))</f>
        <v>0</v>
      </c>
      <c r="AW31" s="9">
        <f>IF(Stock!AR31="",0,IF(ISNUMBER($E31),($E31+$F31)*Stock!AR31/100,Stock!AR31))</f>
        <v>0</v>
      </c>
      <c r="AX31" s="9">
        <f>IF(Stock!AS31="",0,IF(ISNUMBER($E31),($E31+$F31)*Stock!AS31/100,Stock!AS31))</f>
        <v>0</v>
      </c>
      <c r="AY31" s="9">
        <f>IF(Stock!AT31="",0,IF(ISNUMBER($E31),($E31+$F31)*Stock!AT31/100,Stock!AT31))</f>
        <v>0</v>
      </c>
      <c r="AZ31" s="9">
        <f>IF(Stock!AU31="",0,IF(ISNUMBER($E31),($E31+$F31)*Stock!AU31/100,Stock!AU31))</f>
        <v>0</v>
      </c>
      <c r="BA31" s="9">
        <f>IF(Stock!AV31="",0,IF(ISNUMBER($E31),($E31+$F31)*Stock!AV31/100,Stock!AV31))</f>
        <v>0</v>
      </c>
      <c r="BB31" s="9">
        <f>IF(Stock!AW31="",0,IF(ISNUMBER($E31),($E31+$F31)*Stock!AW31/100,Stock!AW31))</f>
        <v>0</v>
      </c>
      <c r="BC31" s="9">
        <f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>IF(Stock!C32="",0,IF(ISNUMBER($E32),($E32+$F32)*Stock!C32/100,Stock!C32))</f>
        <v>0</v>
      </c>
      <c r="I32" s="9">
        <f>IF(Stock!D32="",0,IF(ISNUMBER($E32),($E32+$F32)*Stock!D32/100,Stock!D32))</f>
        <v>0</v>
      </c>
      <c r="J32" s="9">
        <f>IF(Stock!E32="",0,IF(ISNUMBER($E32),($E32+$F32)*Stock!E32/100,Stock!E32))</f>
        <v>0</v>
      </c>
      <c r="K32" s="9">
        <f>IF(Stock!F32="",0,IF(ISNUMBER($E32),($E32+$F32)*Stock!F32/100,Stock!F32))</f>
        <v>0</v>
      </c>
      <c r="L32" s="9">
        <f>IF(Stock!G32="",0,IF(ISNUMBER($E32),($E32+$F32)*Stock!G32/100,Stock!G32))</f>
        <v>0</v>
      </c>
      <c r="M32" s="9">
        <f>IF(Stock!H32="",0,IF(ISNUMBER($E32),($E32+$F32)*Stock!H32/100,Stock!H32))</f>
        <v>0</v>
      </c>
      <c r="N32" s="9">
        <f>IF(Stock!I32="",0,IF(ISNUMBER($E32),($E32+$F32)*Stock!I32/100,Stock!I32))</f>
        <v>0</v>
      </c>
      <c r="O32" s="9">
        <f>IF(Stock!J32="",0,IF(ISNUMBER($E32),($E32+$F32)*Stock!J32/100,Stock!J32))</f>
        <v>0</v>
      </c>
      <c r="P32" s="9">
        <f>IF(Stock!K32="",0,IF(ISNUMBER($E32),($E32+$F32)*Stock!K32/100,Stock!K32))</f>
        <v>0</v>
      </c>
      <c r="Q32" s="9">
        <f>IF(Stock!L32="",0,IF(ISNUMBER($E32),($E32+$F32)*Stock!L32/100,Stock!L32))</f>
        <v>0</v>
      </c>
      <c r="R32" s="9">
        <f>IF(Stock!M32="",0,IF(ISNUMBER($E32),($E32+$F32)*Stock!M32/100,Stock!M32))</f>
        <v>0</v>
      </c>
      <c r="S32" s="9">
        <f>IF(Stock!N32="",0,IF(ISNUMBER($E32),($E32+$F32)*Stock!N32/100,Stock!N32))</f>
        <v>0</v>
      </c>
      <c r="T32" s="9">
        <f>IF(Stock!O32="",0,IF(ISNUMBER($E32),($E32+$F32)*Stock!O32/100,Stock!O32))</f>
        <v>0</v>
      </c>
      <c r="U32" s="9">
        <f>IF(Stock!P32="",0,IF(ISNUMBER($E32),($E32+$F32)*Stock!P32/100,Stock!P32))</f>
        <v>0</v>
      </c>
      <c r="V32" s="9">
        <f>IF(Stock!Q32="",0,IF(ISNUMBER($E32),($E32+$F32)*Stock!Q32/100,Stock!Q32))</f>
        <v>0</v>
      </c>
      <c r="W32" s="9">
        <f>IF(Stock!R32="",0,IF(ISNUMBER($E32),($E32+$F32)*Stock!R32/100,Stock!R32))</f>
        <v>0</v>
      </c>
      <c r="X32" s="9">
        <f>IF(Stock!S32="",0,IF(ISNUMBER($E32),($E32+$F32)*Stock!S32/100,Stock!S32))</f>
        <v>0</v>
      </c>
      <c r="Y32" s="9">
        <f>IF(Stock!T32="",0,IF(ISNUMBER($E32),($E32+$F32)*Stock!T32/100,Stock!T32))</f>
        <v>0</v>
      </c>
      <c r="Z32" s="9">
        <f>IF(Stock!U32="",0,IF(ISNUMBER($E32),($E32+$F32)*Stock!U32/100,Stock!U32))</f>
        <v>0</v>
      </c>
      <c r="AA32" s="9">
        <f>IF(Stock!V32="",0,IF(ISNUMBER($E32),($E32+$F32)*Stock!V32/100,Stock!V32))</f>
        <v>0</v>
      </c>
      <c r="AB32" s="9">
        <f>IF(Stock!W32="",0,IF(ISNUMBER($E32),($E32+$F32)*Stock!W32/100,Stock!W32))</f>
        <v>0</v>
      </c>
      <c r="AC32" s="9">
        <f>IF(Stock!X32="",0,IF(ISNUMBER($E32),($E32+$F32)*Stock!X32/100,Stock!X32))</f>
        <v>0</v>
      </c>
      <c r="AD32" s="9">
        <f>IF(Stock!Y32="",0,IF(ISNUMBER($E32),($E32+$F32)*Stock!Y32/100,Stock!Y32))</f>
        <v>0</v>
      </c>
      <c r="AE32" s="9">
        <f>IF(Stock!Z32="",0,IF(ISNUMBER($E32),($E32+$F32)*Stock!Z32/100,Stock!Z32))</f>
        <v>0</v>
      </c>
      <c r="AF32" s="9">
        <f>IF(Stock!AA32="",0,IF(ISNUMBER($E32),($E32+$F32)*Stock!AA32/100,Stock!AA32))</f>
        <v>0</v>
      </c>
      <c r="AG32" s="9">
        <f>IF(Stock!AB32="",0,IF(ISNUMBER($E32),($E32+$F32)*Stock!AB32/100,Stock!AB32))</f>
        <v>0</v>
      </c>
      <c r="AH32" s="9">
        <f>IF(Stock!AC32="",0,IF(ISNUMBER($E32),($E32+$F32)*Stock!AC32/100,Stock!AC32))</f>
        <v>0</v>
      </c>
      <c r="AI32" s="9">
        <f>IF(Stock!AD32="",0,IF(ISNUMBER($E32),($E32+$F32)*Stock!AD32/100,Stock!AD32))</f>
        <v>0</v>
      </c>
      <c r="AJ32" s="9">
        <f>IF(Stock!AE32="",0,IF(ISNUMBER($E32),($E32+$F32)*Stock!AE32/100,Stock!AE32))</f>
        <v>0</v>
      </c>
      <c r="AK32" s="9">
        <f>IF(Stock!AF32="",0,IF(ISNUMBER($E32),($E32+$F32)*Stock!AF32/100,Stock!AF32))</f>
        <v>0</v>
      </c>
      <c r="AL32" s="9">
        <f>IF(Stock!AG32="",0,IF(ISNUMBER($E32),($E32+$F32)*Stock!AG32/100,Stock!AG32))</f>
        <v>0</v>
      </c>
      <c r="AM32" s="9">
        <f>IF(Stock!AH32="",0,IF(ISNUMBER($E32),($E32+$F32)*Stock!AH32/100,Stock!AH32))</f>
        <v>0</v>
      </c>
      <c r="AN32" s="9">
        <f>IF(Stock!AI32="",0,IF(ISNUMBER($E32),($E32+$F32)*Stock!AI32/100,Stock!AI32))</f>
        <v>0</v>
      </c>
      <c r="AO32" s="9">
        <f>IF(Stock!AJ32="",0,IF(ISNUMBER($E32),($E32+$F32)*Stock!AJ32/100,Stock!AJ32))</f>
        <v>0</v>
      </c>
      <c r="AP32" s="9">
        <f>IF(Stock!AK32="",0,IF(ISNUMBER($E32),($E32+$F32)*Stock!AK32/100,Stock!AK32))</f>
        <v>0</v>
      </c>
      <c r="AQ32" s="9">
        <f>IF(Stock!AL32="",0,IF(ISNUMBER($E32),($E32+$F32)*Stock!AL32/100,Stock!AL32))</f>
        <v>0</v>
      </c>
      <c r="AR32" s="9">
        <f>IF(Stock!AM32="",0,IF(ISNUMBER($E32),($E32+$F32)*Stock!AM32/100,Stock!AM32))</f>
        <v>0</v>
      </c>
      <c r="AS32" s="9">
        <f>IF(Stock!AN32="",0,IF(ISNUMBER($E32),($E32+$F32)*Stock!AN32/100,Stock!AN32))</f>
        <v>0</v>
      </c>
      <c r="AT32" s="9">
        <f>IF(Stock!AO32="",0,IF(ISNUMBER($E32),($E32+$F32)*Stock!AO32/100,Stock!AO32))</f>
        <v>0</v>
      </c>
      <c r="AU32" s="9">
        <f>IF(Stock!AP32="",0,IF(ISNUMBER($E32),($E32+$F32)*Stock!AP32/100,Stock!AP32))</f>
        <v>0</v>
      </c>
      <c r="AV32" s="9">
        <f>IF(Stock!AQ32="",0,IF(ISNUMBER($E32),($E32+$F32)*Stock!AQ32/100,Stock!AQ32))</f>
        <v>0</v>
      </c>
      <c r="AW32" s="9">
        <f>IF(Stock!AR32="",0,IF(ISNUMBER($E32),($E32+$F32)*Stock!AR32/100,Stock!AR32))</f>
        <v>0</v>
      </c>
      <c r="AX32" s="9">
        <f>IF(Stock!AS32="",0,IF(ISNUMBER($E32),($E32+$F32)*Stock!AS32/100,Stock!AS32))</f>
        <v>0</v>
      </c>
      <c r="AY32" s="9">
        <f>IF(Stock!AT32="",0,IF(ISNUMBER($E32),($E32+$F32)*Stock!AT32/100,Stock!AT32))</f>
        <v>0</v>
      </c>
      <c r="AZ32" s="9">
        <f>IF(Stock!AU32="",0,IF(ISNUMBER($E32),($E32+$F32)*Stock!AU32/100,Stock!AU32))</f>
        <v>0</v>
      </c>
      <c r="BA32" s="9">
        <f>IF(Stock!AV32="",0,IF(ISNUMBER($E32),($E32+$F32)*Stock!AV32/100,Stock!AV32))</f>
        <v>0</v>
      </c>
      <c r="BB32" s="9">
        <f>IF(Stock!AW32="",0,IF(ISNUMBER($E32),($E32+$F32)*Stock!AW32/100,Stock!AW32))</f>
        <v>0</v>
      </c>
      <c r="BC32" s="9">
        <f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>IF(Stock!C33="",0,IF(ISNUMBER($E33),($E33+$F33)*Stock!C33/100,Stock!C33))</f>
        <v>0</v>
      </c>
      <c r="I33" s="9">
        <f>IF(Stock!D33="",0,IF(ISNUMBER($E33),($E33+$F33)*Stock!D33/100,Stock!D33))</f>
        <v>0</v>
      </c>
      <c r="J33" s="9">
        <f>IF(Stock!E33="",0,IF(ISNUMBER($E33),($E33+$F33)*Stock!E33/100,Stock!E33))</f>
        <v>0</v>
      </c>
      <c r="K33" s="9">
        <f>IF(Stock!F33="",0,IF(ISNUMBER($E33),($E33+$F33)*Stock!F33/100,Stock!F33))</f>
        <v>0</v>
      </c>
      <c r="L33" s="9">
        <f>IF(Stock!G33="",0,IF(ISNUMBER($E33),($E33+$F33)*Stock!G33/100,Stock!G33))</f>
        <v>0</v>
      </c>
      <c r="M33" s="9">
        <f>IF(Stock!H33="",0,IF(ISNUMBER($E33),($E33+$F33)*Stock!H33/100,Stock!H33))</f>
        <v>0</v>
      </c>
      <c r="N33" s="9">
        <f>IF(Stock!I33="",0,IF(ISNUMBER($E33),($E33+$F33)*Stock!I33/100,Stock!I33))</f>
        <v>0</v>
      </c>
      <c r="O33" s="9">
        <f>IF(Stock!J33="",0,IF(ISNUMBER($E33),($E33+$F33)*Stock!J33/100,Stock!J33))</f>
        <v>0</v>
      </c>
      <c r="P33" s="9">
        <f>IF(Stock!K33="",0,IF(ISNUMBER($E33),($E33+$F33)*Stock!K33/100,Stock!K33))</f>
        <v>0</v>
      </c>
      <c r="Q33" s="9">
        <f>IF(Stock!L33="",0,IF(ISNUMBER($E33),($E33+$F33)*Stock!L33/100,Stock!L33))</f>
        <v>0</v>
      </c>
      <c r="R33" s="9">
        <f>IF(Stock!M33="",0,IF(ISNUMBER($E33),($E33+$F33)*Stock!M33/100,Stock!M33))</f>
        <v>0</v>
      </c>
      <c r="S33" s="9">
        <f>IF(Stock!N33="",0,IF(ISNUMBER($E33),($E33+$F33)*Stock!N33/100,Stock!N33))</f>
        <v>0</v>
      </c>
      <c r="T33" s="9">
        <f>IF(Stock!O33="",0,IF(ISNUMBER($E33),($E33+$F33)*Stock!O33/100,Stock!O33))</f>
        <v>0</v>
      </c>
      <c r="U33" s="9">
        <f>IF(Stock!P33="",0,IF(ISNUMBER($E33),($E33+$F33)*Stock!P33/100,Stock!P33))</f>
        <v>0</v>
      </c>
      <c r="V33" s="9">
        <f>IF(Stock!Q33="",0,IF(ISNUMBER($E33),($E33+$F33)*Stock!Q33/100,Stock!Q33))</f>
        <v>0</v>
      </c>
      <c r="W33" s="9">
        <f>IF(Stock!R33="",0,IF(ISNUMBER($E33),($E33+$F33)*Stock!R33/100,Stock!R33))</f>
        <v>0</v>
      </c>
      <c r="X33" s="9">
        <f>IF(Stock!S33="",0,IF(ISNUMBER($E33),($E33+$F33)*Stock!S33/100,Stock!S33))</f>
        <v>0</v>
      </c>
      <c r="Y33" s="9">
        <f>IF(Stock!T33="",0,IF(ISNUMBER($E33),($E33+$F33)*Stock!T33/100,Stock!T33))</f>
        <v>0</v>
      </c>
      <c r="Z33" s="9">
        <f>IF(Stock!U33="",0,IF(ISNUMBER($E33),($E33+$F33)*Stock!U33/100,Stock!U33))</f>
        <v>0</v>
      </c>
      <c r="AA33" s="9">
        <f>IF(Stock!V33="",0,IF(ISNUMBER($E33),($E33+$F33)*Stock!V33/100,Stock!V33))</f>
        <v>0</v>
      </c>
      <c r="AB33" s="9">
        <f>IF(Stock!W33="",0,IF(ISNUMBER($E33),($E33+$F33)*Stock!W33/100,Stock!W33))</f>
        <v>0</v>
      </c>
      <c r="AC33" s="9">
        <f>IF(Stock!X33="",0,IF(ISNUMBER($E33),($E33+$F33)*Stock!X33/100,Stock!X33))</f>
        <v>0</v>
      </c>
      <c r="AD33" s="9">
        <f>IF(Stock!Y33="",0,IF(ISNUMBER($E33),($E33+$F33)*Stock!Y33/100,Stock!Y33))</f>
        <v>0</v>
      </c>
      <c r="AE33" s="9">
        <f>IF(Stock!Z33="",0,IF(ISNUMBER($E33),($E33+$F33)*Stock!Z33/100,Stock!Z33))</f>
        <v>0</v>
      </c>
      <c r="AF33" s="9">
        <f>IF(Stock!AA33="",0,IF(ISNUMBER($E33),($E33+$F33)*Stock!AA33/100,Stock!AA33))</f>
        <v>0</v>
      </c>
      <c r="AG33" s="9">
        <f>IF(Stock!AB33="",0,IF(ISNUMBER($E33),($E33+$F33)*Stock!AB33/100,Stock!AB33))</f>
        <v>0</v>
      </c>
      <c r="AH33" s="9">
        <f>IF(Stock!AC33="",0,IF(ISNUMBER($E33),($E33+$F33)*Stock!AC33/100,Stock!AC33))</f>
        <v>0</v>
      </c>
      <c r="AI33" s="9">
        <f>IF(Stock!AD33="",0,IF(ISNUMBER($E33),($E33+$F33)*Stock!AD33/100,Stock!AD33))</f>
        <v>0</v>
      </c>
      <c r="AJ33" s="9">
        <f>IF(Stock!AE33="",0,IF(ISNUMBER($E33),($E33+$F33)*Stock!AE33/100,Stock!AE33))</f>
        <v>0</v>
      </c>
      <c r="AK33" s="9">
        <f>IF(Stock!AF33="",0,IF(ISNUMBER($E33),($E33+$F33)*Stock!AF33/100,Stock!AF33))</f>
        <v>0</v>
      </c>
      <c r="AL33" s="9">
        <f>IF(Stock!AG33="",0,IF(ISNUMBER($E33),($E33+$F33)*Stock!AG33/100,Stock!AG33))</f>
        <v>0</v>
      </c>
      <c r="AM33" s="9">
        <f>IF(Stock!AH33="",0,IF(ISNUMBER($E33),($E33+$F33)*Stock!AH33/100,Stock!AH33))</f>
        <v>0</v>
      </c>
      <c r="AN33" s="9">
        <f>IF(Stock!AI33="",0,IF(ISNUMBER($E33),($E33+$F33)*Stock!AI33/100,Stock!AI33))</f>
        <v>0</v>
      </c>
      <c r="AO33" s="9">
        <f>IF(Stock!AJ33="",0,IF(ISNUMBER($E33),($E33+$F33)*Stock!AJ33/100,Stock!AJ33))</f>
        <v>0</v>
      </c>
      <c r="AP33" s="9">
        <f>IF(Stock!AK33="",0,IF(ISNUMBER($E33),($E33+$F33)*Stock!AK33/100,Stock!AK33))</f>
        <v>0</v>
      </c>
      <c r="AQ33" s="9">
        <f>IF(Stock!AL33="",0,IF(ISNUMBER($E33),($E33+$F33)*Stock!AL33/100,Stock!AL33))</f>
        <v>0</v>
      </c>
      <c r="AR33" s="9">
        <f>IF(Stock!AM33="",0,IF(ISNUMBER($E33),($E33+$F33)*Stock!AM33/100,Stock!AM33))</f>
        <v>0</v>
      </c>
      <c r="AS33" s="9">
        <f>IF(Stock!AN33="",0,IF(ISNUMBER($E33),($E33+$F33)*Stock!AN33/100,Stock!AN33))</f>
        <v>0</v>
      </c>
      <c r="AT33" s="9">
        <f>IF(Stock!AO33="",0,IF(ISNUMBER($E33),($E33+$F33)*Stock!AO33/100,Stock!AO33))</f>
        <v>0</v>
      </c>
      <c r="AU33" s="9">
        <f>IF(Stock!AP33="",0,IF(ISNUMBER($E33),($E33+$F33)*Stock!AP33/100,Stock!AP33))</f>
        <v>0</v>
      </c>
      <c r="AV33" s="9">
        <f>IF(Stock!AQ33="",0,IF(ISNUMBER($E33),($E33+$F33)*Stock!AQ33/100,Stock!AQ33))</f>
        <v>0</v>
      </c>
      <c r="AW33" s="9">
        <f>IF(Stock!AR33="",0,IF(ISNUMBER($E33),($E33+$F33)*Stock!AR33/100,Stock!AR33))</f>
        <v>0</v>
      </c>
      <c r="AX33" s="9">
        <f>IF(Stock!AS33="",0,IF(ISNUMBER($E33),($E33+$F33)*Stock!AS33/100,Stock!AS33))</f>
        <v>0</v>
      </c>
      <c r="AY33" s="9">
        <f>IF(Stock!AT33="",0,IF(ISNUMBER($E33),($E33+$F33)*Stock!AT33/100,Stock!AT33))</f>
        <v>0</v>
      </c>
      <c r="AZ33" s="9">
        <f>IF(Stock!AU33="",0,IF(ISNUMBER($E33),($E33+$F33)*Stock!AU33/100,Stock!AU33))</f>
        <v>0</v>
      </c>
      <c r="BA33" s="9">
        <f>IF(Stock!AV33="",0,IF(ISNUMBER($E33),($E33+$F33)*Stock!AV33/100,Stock!AV33))</f>
        <v>0</v>
      </c>
      <c r="BB33" s="9">
        <f>IF(Stock!AW33="",0,IF(ISNUMBER($E33),($E33+$F33)*Stock!AW33/100,Stock!AW33))</f>
        <v>0</v>
      </c>
      <c r="BC33" s="9">
        <f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>IF(Stock!C34="",0,IF(ISNUMBER($E34),($E34+$F34)*Stock!C34/100,Stock!C34))</f>
        <v>0</v>
      </c>
      <c r="I34" s="9">
        <f>IF(Stock!D34="",0,IF(ISNUMBER($E34),($E34+$F34)*Stock!D34/100,Stock!D34))</f>
        <v>0</v>
      </c>
      <c r="J34" s="9">
        <f>IF(Stock!E34="",0,IF(ISNUMBER($E34),($E34+$F34)*Stock!E34/100,Stock!E34))</f>
        <v>0</v>
      </c>
      <c r="K34" s="9">
        <f>IF(Stock!F34="",0,IF(ISNUMBER($E34),($E34+$F34)*Stock!F34/100,Stock!F34))</f>
        <v>0</v>
      </c>
      <c r="L34" s="9">
        <f>IF(Stock!G34="",0,IF(ISNUMBER($E34),($E34+$F34)*Stock!G34/100,Stock!G34))</f>
        <v>0</v>
      </c>
      <c r="M34" s="9">
        <f>IF(Stock!H34="",0,IF(ISNUMBER($E34),($E34+$F34)*Stock!H34/100,Stock!H34))</f>
        <v>0</v>
      </c>
      <c r="N34" s="9">
        <f>IF(Stock!I34="",0,IF(ISNUMBER($E34),($E34+$F34)*Stock!I34/100,Stock!I34))</f>
        <v>0</v>
      </c>
      <c r="O34" s="9">
        <f>IF(Stock!J34="",0,IF(ISNUMBER($E34),($E34+$F34)*Stock!J34/100,Stock!J34))</f>
        <v>0</v>
      </c>
      <c r="P34" s="9">
        <f>IF(Stock!K34="",0,IF(ISNUMBER($E34),($E34+$F34)*Stock!K34/100,Stock!K34))</f>
        <v>0</v>
      </c>
      <c r="Q34" s="9">
        <f>IF(Stock!L34="",0,IF(ISNUMBER($E34),($E34+$F34)*Stock!L34/100,Stock!L34))</f>
        <v>0</v>
      </c>
      <c r="R34" s="9">
        <f>IF(Stock!M34="",0,IF(ISNUMBER($E34),($E34+$F34)*Stock!M34/100,Stock!M34))</f>
        <v>0</v>
      </c>
      <c r="S34" s="9">
        <f>IF(Stock!N34="",0,IF(ISNUMBER($E34),($E34+$F34)*Stock!N34/100,Stock!N34))</f>
        <v>0</v>
      </c>
      <c r="T34" s="9">
        <f>IF(Stock!O34="",0,IF(ISNUMBER($E34),($E34+$F34)*Stock!O34/100,Stock!O34))</f>
        <v>0</v>
      </c>
      <c r="U34" s="9">
        <f>IF(Stock!P34="",0,IF(ISNUMBER($E34),($E34+$F34)*Stock!P34/100,Stock!P34))</f>
        <v>0</v>
      </c>
      <c r="V34" s="9">
        <f>IF(Stock!Q34="",0,IF(ISNUMBER($E34),($E34+$F34)*Stock!Q34/100,Stock!Q34))</f>
        <v>0</v>
      </c>
      <c r="W34" s="9">
        <f>IF(Stock!R34="",0,IF(ISNUMBER($E34),($E34+$F34)*Stock!R34/100,Stock!R34))</f>
        <v>0</v>
      </c>
      <c r="X34" s="9">
        <f>IF(Stock!S34="",0,IF(ISNUMBER($E34),($E34+$F34)*Stock!S34/100,Stock!S34))</f>
        <v>0</v>
      </c>
      <c r="Y34" s="9">
        <f>IF(Stock!T34="",0,IF(ISNUMBER($E34),($E34+$F34)*Stock!T34/100,Stock!T34))</f>
        <v>0</v>
      </c>
      <c r="Z34" s="9">
        <f>IF(Stock!U34="",0,IF(ISNUMBER($E34),($E34+$F34)*Stock!U34/100,Stock!U34))</f>
        <v>0</v>
      </c>
      <c r="AA34" s="9">
        <f>IF(Stock!V34="",0,IF(ISNUMBER($E34),($E34+$F34)*Stock!V34/100,Stock!V34))</f>
        <v>0</v>
      </c>
      <c r="AB34" s="9">
        <f>IF(Stock!W34="",0,IF(ISNUMBER($E34),($E34+$F34)*Stock!W34/100,Stock!W34))</f>
        <v>0</v>
      </c>
      <c r="AC34" s="9">
        <f>IF(Stock!X34="",0,IF(ISNUMBER($E34),($E34+$F34)*Stock!X34/100,Stock!X34))</f>
        <v>0</v>
      </c>
      <c r="AD34" s="9">
        <f>IF(Stock!Y34="",0,IF(ISNUMBER($E34),($E34+$F34)*Stock!Y34/100,Stock!Y34))</f>
        <v>0</v>
      </c>
      <c r="AE34" s="9">
        <f>IF(Stock!Z34="",0,IF(ISNUMBER($E34),($E34+$F34)*Stock!Z34/100,Stock!Z34))</f>
        <v>0</v>
      </c>
      <c r="AF34" s="9">
        <f>IF(Stock!AA34="",0,IF(ISNUMBER($E34),($E34+$F34)*Stock!AA34/100,Stock!AA34))</f>
        <v>0</v>
      </c>
      <c r="AG34" s="9">
        <f>IF(Stock!AB34="",0,IF(ISNUMBER($E34),($E34+$F34)*Stock!AB34/100,Stock!AB34))</f>
        <v>0</v>
      </c>
      <c r="AH34" s="9">
        <f>IF(Stock!AC34="",0,IF(ISNUMBER($E34),($E34+$F34)*Stock!AC34/100,Stock!AC34))</f>
        <v>0</v>
      </c>
      <c r="AI34" s="9">
        <f>IF(Stock!AD34="",0,IF(ISNUMBER($E34),($E34+$F34)*Stock!AD34/100,Stock!AD34))</f>
        <v>0</v>
      </c>
      <c r="AJ34" s="9">
        <f>IF(Stock!AE34="",0,IF(ISNUMBER($E34),($E34+$F34)*Stock!AE34/100,Stock!AE34))</f>
        <v>0</v>
      </c>
      <c r="AK34" s="9">
        <f>IF(Stock!AF34="",0,IF(ISNUMBER($E34),($E34+$F34)*Stock!AF34/100,Stock!AF34))</f>
        <v>0</v>
      </c>
      <c r="AL34" s="9">
        <f>IF(Stock!AG34="",0,IF(ISNUMBER($E34),($E34+$F34)*Stock!AG34/100,Stock!AG34))</f>
        <v>0</v>
      </c>
      <c r="AM34" s="9">
        <f>IF(Stock!AH34="",0,IF(ISNUMBER($E34),($E34+$F34)*Stock!AH34/100,Stock!AH34))</f>
        <v>0</v>
      </c>
      <c r="AN34" s="9">
        <f>IF(Stock!AI34="",0,IF(ISNUMBER($E34),($E34+$F34)*Stock!AI34/100,Stock!AI34))</f>
        <v>0</v>
      </c>
      <c r="AO34" s="9">
        <f>IF(Stock!AJ34="",0,IF(ISNUMBER($E34),($E34+$F34)*Stock!AJ34/100,Stock!AJ34))</f>
        <v>0</v>
      </c>
      <c r="AP34" s="9">
        <f>IF(Stock!AK34="",0,IF(ISNUMBER($E34),($E34+$F34)*Stock!AK34/100,Stock!AK34))</f>
        <v>0</v>
      </c>
      <c r="AQ34" s="9">
        <f>IF(Stock!AL34="",0,IF(ISNUMBER($E34),($E34+$F34)*Stock!AL34/100,Stock!AL34))</f>
        <v>0</v>
      </c>
      <c r="AR34" s="9">
        <f>IF(Stock!AM34="",0,IF(ISNUMBER($E34),($E34+$F34)*Stock!AM34/100,Stock!AM34))</f>
        <v>0</v>
      </c>
      <c r="AS34" s="9">
        <f>IF(Stock!AN34="",0,IF(ISNUMBER($E34),($E34+$F34)*Stock!AN34/100,Stock!AN34))</f>
        <v>0</v>
      </c>
      <c r="AT34" s="9">
        <f>IF(Stock!AO34="",0,IF(ISNUMBER($E34),($E34+$F34)*Stock!AO34/100,Stock!AO34))</f>
        <v>0</v>
      </c>
      <c r="AU34" s="9">
        <f>IF(Stock!AP34="",0,IF(ISNUMBER($E34),($E34+$F34)*Stock!AP34/100,Stock!AP34))</f>
        <v>0</v>
      </c>
      <c r="AV34" s="9">
        <f>IF(Stock!AQ34="",0,IF(ISNUMBER($E34),($E34+$F34)*Stock!AQ34/100,Stock!AQ34))</f>
        <v>0</v>
      </c>
      <c r="AW34" s="9">
        <f>IF(Stock!AR34="",0,IF(ISNUMBER($E34),($E34+$F34)*Stock!AR34/100,Stock!AR34))</f>
        <v>0</v>
      </c>
      <c r="AX34" s="9">
        <f>IF(Stock!AS34="",0,IF(ISNUMBER($E34),($E34+$F34)*Stock!AS34/100,Stock!AS34))</f>
        <v>0</v>
      </c>
      <c r="AY34" s="9">
        <f>IF(Stock!AT34="",0,IF(ISNUMBER($E34),($E34+$F34)*Stock!AT34/100,Stock!AT34))</f>
        <v>0</v>
      </c>
      <c r="AZ34" s="9">
        <f>IF(Stock!AU34="",0,IF(ISNUMBER($E34),($E34+$F34)*Stock!AU34/100,Stock!AU34))</f>
        <v>0</v>
      </c>
      <c r="BA34" s="9">
        <f>IF(Stock!AV34="",0,IF(ISNUMBER($E34),($E34+$F34)*Stock!AV34/100,Stock!AV34))</f>
        <v>0</v>
      </c>
      <c r="BB34" s="9">
        <f>IF(Stock!AW34="",0,IF(ISNUMBER($E34),($E34+$F34)*Stock!AW34/100,Stock!AW34))</f>
        <v>0</v>
      </c>
      <c r="BC34" s="9">
        <f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>IF(Stock!C35="",0,IF(ISNUMBER($E35),($E35+$F35)*Stock!C35/100,Stock!C35))</f>
        <v>0</v>
      </c>
      <c r="I35" s="9">
        <f>IF(Stock!D35="",0,IF(ISNUMBER($E35),($E35+$F35)*Stock!D35/100,Stock!D35))</f>
        <v>0</v>
      </c>
      <c r="J35" s="9">
        <f>IF(Stock!E35="",0,IF(ISNUMBER($E35),($E35+$F35)*Stock!E35/100,Stock!E35))</f>
        <v>0</v>
      </c>
      <c r="K35" s="9">
        <f>IF(Stock!F35="",0,IF(ISNUMBER($E35),($E35+$F35)*Stock!F35/100,Stock!F35))</f>
        <v>0</v>
      </c>
      <c r="L35" s="9">
        <f>IF(Stock!G35="",0,IF(ISNUMBER($E35),($E35+$F35)*Stock!G35/100,Stock!G35))</f>
        <v>0</v>
      </c>
      <c r="M35" s="9">
        <f>IF(Stock!H35="",0,IF(ISNUMBER($E35),($E35+$F35)*Stock!H35/100,Stock!H35))</f>
        <v>0</v>
      </c>
      <c r="N35" s="9">
        <f>IF(Stock!I35="",0,IF(ISNUMBER($E35),($E35+$F35)*Stock!I35/100,Stock!I35))</f>
        <v>0</v>
      </c>
      <c r="O35" s="9">
        <f>IF(Stock!J35="",0,IF(ISNUMBER($E35),($E35+$F35)*Stock!J35/100,Stock!J35))</f>
        <v>0</v>
      </c>
      <c r="P35" s="9">
        <f>IF(Stock!K35="",0,IF(ISNUMBER($E35),($E35+$F35)*Stock!K35/100,Stock!K35))</f>
        <v>0</v>
      </c>
      <c r="Q35" s="9">
        <f>IF(Stock!L35="",0,IF(ISNUMBER($E35),($E35+$F35)*Stock!L35/100,Stock!L35))</f>
        <v>0</v>
      </c>
      <c r="R35" s="9">
        <f>IF(Stock!M35="",0,IF(ISNUMBER($E35),($E35+$F35)*Stock!M35/100,Stock!M35))</f>
        <v>0</v>
      </c>
      <c r="S35" s="9">
        <f>IF(Stock!N35="",0,IF(ISNUMBER($E35),($E35+$F35)*Stock!N35/100,Stock!N35))</f>
        <v>0</v>
      </c>
      <c r="T35" s="9">
        <f>IF(Stock!O35="",0,IF(ISNUMBER($E35),($E35+$F35)*Stock!O35/100,Stock!O35))</f>
        <v>0</v>
      </c>
      <c r="U35" s="9">
        <f>IF(Stock!P35="",0,IF(ISNUMBER($E35),($E35+$F35)*Stock!P35/100,Stock!P35))</f>
        <v>0</v>
      </c>
      <c r="V35" s="9">
        <f>IF(Stock!Q35="",0,IF(ISNUMBER($E35),($E35+$F35)*Stock!Q35/100,Stock!Q35))</f>
        <v>0</v>
      </c>
      <c r="W35" s="9">
        <f>IF(Stock!R35="",0,IF(ISNUMBER($E35),($E35+$F35)*Stock!R35/100,Stock!R35))</f>
        <v>0</v>
      </c>
      <c r="X35" s="9">
        <f>IF(Stock!S35="",0,IF(ISNUMBER($E35),($E35+$F35)*Stock!S35/100,Stock!S35))</f>
        <v>0</v>
      </c>
      <c r="Y35" s="9">
        <f>IF(Stock!T35="",0,IF(ISNUMBER($E35),($E35+$F35)*Stock!T35/100,Stock!T35))</f>
        <v>0</v>
      </c>
      <c r="Z35" s="9">
        <f>IF(Stock!U35="",0,IF(ISNUMBER($E35),($E35+$F35)*Stock!U35/100,Stock!U35))</f>
        <v>0</v>
      </c>
      <c r="AA35" s="9">
        <f>IF(Stock!V35="",0,IF(ISNUMBER($E35),($E35+$F35)*Stock!V35/100,Stock!V35))</f>
        <v>0</v>
      </c>
      <c r="AB35" s="9">
        <f>IF(Stock!W35="",0,IF(ISNUMBER($E35),($E35+$F35)*Stock!W35/100,Stock!W35))</f>
        <v>0</v>
      </c>
      <c r="AC35" s="9">
        <f>IF(Stock!X35="",0,IF(ISNUMBER($E35),($E35+$F35)*Stock!X35/100,Stock!X35))</f>
        <v>0</v>
      </c>
      <c r="AD35" s="9">
        <f>IF(Stock!Y35="",0,IF(ISNUMBER($E35),($E35+$F35)*Stock!Y35/100,Stock!Y35))</f>
        <v>0</v>
      </c>
      <c r="AE35" s="9">
        <f>IF(Stock!Z35="",0,IF(ISNUMBER($E35),($E35+$F35)*Stock!Z35/100,Stock!Z35))</f>
        <v>0</v>
      </c>
      <c r="AF35" s="9">
        <f>IF(Stock!AA35="",0,IF(ISNUMBER($E35),($E35+$F35)*Stock!AA35/100,Stock!AA35))</f>
        <v>0</v>
      </c>
      <c r="AG35" s="9">
        <f>IF(Stock!AB35="",0,IF(ISNUMBER($E35),($E35+$F35)*Stock!AB35/100,Stock!AB35))</f>
        <v>0</v>
      </c>
      <c r="AH35" s="9">
        <f>IF(Stock!AC35="",0,IF(ISNUMBER($E35),($E35+$F35)*Stock!AC35/100,Stock!AC35))</f>
        <v>0</v>
      </c>
      <c r="AI35" s="9">
        <f>IF(Stock!AD35="",0,IF(ISNUMBER($E35),($E35+$F35)*Stock!AD35/100,Stock!AD35))</f>
        <v>0</v>
      </c>
      <c r="AJ35" s="9">
        <f>IF(Stock!AE35="",0,IF(ISNUMBER($E35),($E35+$F35)*Stock!AE35/100,Stock!AE35))</f>
        <v>0</v>
      </c>
      <c r="AK35" s="9">
        <f>IF(Stock!AF35="",0,IF(ISNUMBER($E35),($E35+$F35)*Stock!AF35/100,Stock!AF35))</f>
        <v>0</v>
      </c>
      <c r="AL35" s="9">
        <f>IF(Stock!AG35="",0,IF(ISNUMBER($E35),($E35+$F35)*Stock!AG35/100,Stock!AG35))</f>
        <v>0</v>
      </c>
      <c r="AM35" s="9">
        <f>IF(Stock!AH35="",0,IF(ISNUMBER($E35),($E35+$F35)*Stock!AH35/100,Stock!AH35))</f>
        <v>0</v>
      </c>
      <c r="AN35" s="9">
        <f>IF(Stock!AI35="",0,IF(ISNUMBER($E35),($E35+$F35)*Stock!AI35/100,Stock!AI35))</f>
        <v>0</v>
      </c>
      <c r="AO35" s="9">
        <f>IF(Stock!AJ35="",0,IF(ISNUMBER($E35),($E35+$F35)*Stock!AJ35/100,Stock!AJ35))</f>
        <v>0</v>
      </c>
      <c r="AP35" s="9">
        <f>IF(Stock!AK35="",0,IF(ISNUMBER($E35),($E35+$F35)*Stock!AK35/100,Stock!AK35))</f>
        <v>0</v>
      </c>
      <c r="AQ35" s="9">
        <f>IF(Stock!AL35="",0,IF(ISNUMBER($E35),($E35+$F35)*Stock!AL35/100,Stock!AL35))</f>
        <v>0</v>
      </c>
      <c r="AR35" s="9">
        <f>IF(Stock!AM35="",0,IF(ISNUMBER($E35),($E35+$F35)*Stock!AM35/100,Stock!AM35))</f>
        <v>0</v>
      </c>
      <c r="AS35" s="9">
        <f>IF(Stock!AN35="",0,IF(ISNUMBER($E35),($E35+$F35)*Stock!AN35/100,Stock!AN35))</f>
        <v>0</v>
      </c>
      <c r="AT35" s="9">
        <f>IF(Stock!AO35="",0,IF(ISNUMBER($E35),($E35+$F35)*Stock!AO35/100,Stock!AO35))</f>
        <v>0</v>
      </c>
      <c r="AU35" s="9">
        <f>IF(Stock!AP35="",0,IF(ISNUMBER($E35),($E35+$F35)*Stock!AP35/100,Stock!AP35))</f>
        <v>0</v>
      </c>
      <c r="AV35" s="9">
        <f>IF(Stock!AQ35="",0,IF(ISNUMBER($E35),($E35+$F35)*Stock!AQ35/100,Stock!AQ35))</f>
        <v>0</v>
      </c>
      <c r="AW35" s="9">
        <f>IF(Stock!AR35="",0,IF(ISNUMBER($E35),($E35+$F35)*Stock!AR35/100,Stock!AR35))</f>
        <v>0</v>
      </c>
      <c r="AX35" s="9">
        <f>IF(Stock!AS35="",0,IF(ISNUMBER($E35),($E35+$F35)*Stock!AS35/100,Stock!AS35))</f>
        <v>0</v>
      </c>
      <c r="AY35" s="9">
        <f>IF(Stock!AT35="",0,IF(ISNUMBER($E35),($E35+$F35)*Stock!AT35/100,Stock!AT35))</f>
        <v>0</v>
      </c>
      <c r="AZ35" s="9">
        <f>IF(Stock!AU35="",0,IF(ISNUMBER($E35),($E35+$F35)*Stock!AU35/100,Stock!AU35))</f>
        <v>0</v>
      </c>
      <c r="BA35" s="9">
        <f>IF(Stock!AV35="",0,IF(ISNUMBER($E35),($E35+$F35)*Stock!AV35/100,Stock!AV35))</f>
        <v>0</v>
      </c>
      <c r="BB35" s="9">
        <f>IF(Stock!AW35="",0,IF(ISNUMBER($E35),($E35+$F35)*Stock!AW35/100,Stock!AW35))</f>
        <v>0</v>
      </c>
      <c r="BC35" s="9">
        <f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>IF(Stock!C36="",0,IF(ISNUMBER($E36),($E36+$F36)*Stock!C36/100,Stock!C36))</f>
        <v>0</v>
      </c>
      <c r="I36" s="9">
        <f>IF(Stock!D36="",0,IF(ISNUMBER($E36),($E36+$F36)*Stock!D36/100,Stock!D36))</f>
        <v>0</v>
      </c>
      <c r="J36" s="9">
        <f>IF(Stock!E36="",0,IF(ISNUMBER($E36),($E36+$F36)*Stock!E36/100,Stock!E36))</f>
        <v>0</v>
      </c>
      <c r="K36" s="9">
        <f>IF(Stock!F36="",0,IF(ISNUMBER($E36),($E36+$F36)*Stock!F36/100,Stock!F36))</f>
        <v>0</v>
      </c>
      <c r="L36" s="9">
        <f>IF(Stock!G36="",0,IF(ISNUMBER($E36),($E36+$F36)*Stock!G36/100,Stock!G36))</f>
        <v>0</v>
      </c>
      <c r="M36" s="9">
        <f>IF(Stock!H36="",0,IF(ISNUMBER($E36),($E36+$F36)*Stock!H36/100,Stock!H36))</f>
        <v>0</v>
      </c>
      <c r="N36" s="9">
        <f>IF(Stock!I36="",0,IF(ISNUMBER($E36),($E36+$F36)*Stock!I36/100,Stock!I36))</f>
        <v>0</v>
      </c>
      <c r="O36" s="9">
        <f>IF(Stock!J36="",0,IF(ISNUMBER($E36),($E36+$F36)*Stock!J36/100,Stock!J36))</f>
        <v>0</v>
      </c>
      <c r="P36" s="9">
        <f>IF(Stock!K36="",0,IF(ISNUMBER($E36),($E36+$F36)*Stock!K36/100,Stock!K36))</f>
        <v>0</v>
      </c>
      <c r="Q36" s="9">
        <f>IF(Stock!L36="",0,IF(ISNUMBER($E36),($E36+$F36)*Stock!L36/100,Stock!L36))</f>
        <v>0</v>
      </c>
      <c r="R36" s="9">
        <f>IF(Stock!M36="",0,IF(ISNUMBER($E36),($E36+$F36)*Stock!M36/100,Stock!M36))</f>
        <v>0</v>
      </c>
      <c r="S36" s="9">
        <f>IF(Stock!N36="",0,IF(ISNUMBER($E36),($E36+$F36)*Stock!N36/100,Stock!N36))</f>
        <v>0</v>
      </c>
      <c r="T36" s="9">
        <f>IF(Stock!O36="",0,IF(ISNUMBER($E36),($E36+$F36)*Stock!O36/100,Stock!O36))</f>
        <v>0</v>
      </c>
      <c r="U36" s="9">
        <f>IF(Stock!P36="",0,IF(ISNUMBER($E36),($E36+$F36)*Stock!P36/100,Stock!P36))</f>
        <v>0</v>
      </c>
      <c r="V36" s="9">
        <f>IF(Stock!Q36="",0,IF(ISNUMBER($E36),($E36+$F36)*Stock!Q36/100,Stock!Q36))</f>
        <v>0</v>
      </c>
      <c r="W36" s="9">
        <f>IF(Stock!R36="",0,IF(ISNUMBER($E36),($E36+$F36)*Stock!R36/100,Stock!R36))</f>
        <v>0</v>
      </c>
      <c r="X36" s="9">
        <f>IF(Stock!S36="",0,IF(ISNUMBER($E36),($E36+$F36)*Stock!S36/100,Stock!S36))</f>
        <v>0</v>
      </c>
      <c r="Y36" s="9">
        <f>IF(Stock!T36="",0,IF(ISNUMBER($E36),($E36+$F36)*Stock!T36/100,Stock!T36))</f>
        <v>0</v>
      </c>
      <c r="Z36" s="9">
        <f>IF(Stock!U36="",0,IF(ISNUMBER($E36),($E36+$F36)*Stock!U36/100,Stock!U36))</f>
        <v>0</v>
      </c>
      <c r="AA36" s="9">
        <f>IF(Stock!V36="",0,IF(ISNUMBER($E36),($E36+$F36)*Stock!V36/100,Stock!V36))</f>
        <v>0</v>
      </c>
      <c r="AB36" s="9">
        <f>IF(Stock!W36="",0,IF(ISNUMBER($E36),($E36+$F36)*Stock!W36/100,Stock!W36))</f>
        <v>0</v>
      </c>
      <c r="AC36" s="9">
        <f>IF(Stock!X36="",0,IF(ISNUMBER($E36),($E36+$F36)*Stock!X36/100,Stock!X36))</f>
        <v>0</v>
      </c>
      <c r="AD36" s="9">
        <f>IF(Stock!Y36="",0,IF(ISNUMBER($E36),($E36+$F36)*Stock!Y36/100,Stock!Y36))</f>
        <v>0</v>
      </c>
      <c r="AE36" s="9">
        <f>IF(Stock!Z36="",0,IF(ISNUMBER($E36),($E36+$F36)*Stock!Z36/100,Stock!Z36))</f>
        <v>0</v>
      </c>
      <c r="AF36" s="9">
        <f>IF(Stock!AA36="",0,IF(ISNUMBER($E36),($E36+$F36)*Stock!AA36/100,Stock!AA36))</f>
        <v>0</v>
      </c>
      <c r="AG36" s="9">
        <f>IF(Stock!AB36="",0,IF(ISNUMBER($E36),($E36+$F36)*Stock!AB36/100,Stock!AB36))</f>
        <v>0</v>
      </c>
      <c r="AH36" s="9">
        <f>IF(Stock!AC36="",0,IF(ISNUMBER($E36),($E36+$F36)*Stock!AC36/100,Stock!AC36))</f>
        <v>0</v>
      </c>
      <c r="AI36" s="9">
        <f>IF(Stock!AD36="",0,IF(ISNUMBER($E36),($E36+$F36)*Stock!AD36/100,Stock!AD36))</f>
        <v>0</v>
      </c>
      <c r="AJ36" s="9">
        <f>IF(Stock!AE36="",0,IF(ISNUMBER($E36),($E36+$F36)*Stock!AE36/100,Stock!AE36))</f>
        <v>0</v>
      </c>
      <c r="AK36" s="9">
        <f>IF(Stock!AF36="",0,IF(ISNUMBER($E36),($E36+$F36)*Stock!AF36/100,Stock!AF36))</f>
        <v>0</v>
      </c>
      <c r="AL36" s="9">
        <f>IF(Stock!AG36="",0,IF(ISNUMBER($E36),($E36+$F36)*Stock!AG36/100,Stock!AG36))</f>
        <v>0</v>
      </c>
      <c r="AM36" s="9">
        <f>IF(Stock!AH36="",0,IF(ISNUMBER($E36),($E36+$F36)*Stock!AH36/100,Stock!AH36))</f>
        <v>0</v>
      </c>
      <c r="AN36" s="9">
        <f>IF(Stock!AI36="",0,IF(ISNUMBER($E36),($E36+$F36)*Stock!AI36/100,Stock!AI36))</f>
        <v>0</v>
      </c>
      <c r="AO36" s="9">
        <f>IF(Stock!AJ36="",0,IF(ISNUMBER($E36),($E36+$F36)*Stock!AJ36/100,Stock!AJ36))</f>
        <v>0</v>
      </c>
      <c r="AP36" s="9">
        <f>IF(Stock!AK36="",0,IF(ISNUMBER($E36),($E36+$F36)*Stock!AK36/100,Stock!AK36))</f>
        <v>0</v>
      </c>
      <c r="AQ36" s="9">
        <f>IF(Stock!AL36="",0,IF(ISNUMBER($E36),($E36+$F36)*Stock!AL36/100,Stock!AL36))</f>
        <v>0</v>
      </c>
      <c r="AR36" s="9">
        <f>IF(Stock!AM36="",0,IF(ISNUMBER($E36),($E36+$F36)*Stock!AM36/100,Stock!AM36))</f>
        <v>0</v>
      </c>
      <c r="AS36" s="9">
        <f>IF(Stock!AN36="",0,IF(ISNUMBER($E36),($E36+$F36)*Stock!AN36/100,Stock!AN36))</f>
        <v>0</v>
      </c>
      <c r="AT36" s="9">
        <f>IF(Stock!AO36="",0,IF(ISNUMBER($E36),($E36+$F36)*Stock!AO36/100,Stock!AO36))</f>
        <v>0</v>
      </c>
      <c r="AU36" s="9">
        <f>IF(Stock!AP36="",0,IF(ISNUMBER($E36),($E36+$F36)*Stock!AP36/100,Stock!AP36))</f>
        <v>0</v>
      </c>
      <c r="AV36" s="9">
        <f>IF(Stock!AQ36="",0,IF(ISNUMBER($E36),($E36+$F36)*Stock!AQ36/100,Stock!AQ36))</f>
        <v>0</v>
      </c>
      <c r="AW36" s="9">
        <f>IF(Stock!AR36="",0,IF(ISNUMBER($E36),($E36+$F36)*Stock!AR36/100,Stock!AR36))</f>
        <v>0</v>
      </c>
      <c r="AX36" s="9">
        <f>IF(Stock!AS36="",0,IF(ISNUMBER($E36),($E36+$F36)*Stock!AS36/100,Stock!AS36))</f>
        <v>0</v>
      </c>
      <c r="AY36" s="9">
        <f>IF(Stock!AT36="",0,IF(ISNUMBER($E36),($E36+$F36)*Stock!AT36/100,Stock!AT36))</f>
        <v>0</v>
      </c>
      <c r="AZ36" s="9">
        <f>IF(Stock!AU36="",0,IF(ISNUMBER($E36),($E36+$F36)*Stock!AU36/100,Stock!AU36))</f>
        <v>0</v>
      </c>
      <c r="BA36" s="9">
        <f>IF(Stock!AV36="",0,IF(ISNUMBER($E36),($E36+$F36)*Stock!AV36/100,Stock!AV36))</f>
        <v>0</v>
      </c>
      <c r="BB36" s="9">
        <f>IF(Stock!AW36="",0,IF(ISNUMBER($E36),($E36+$F36)*Stock!AW36/100,Stock!AW36))</f>
        <v>0</v>
      </c>
      <c r="BC36" s="9">
        <f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>IF(Stock!C37="",0,IF(ISNUMBER($E37),($E37+$F37)*Stock!C37/100,Stock!C37))</f>
        <v>0</v>
      </c>
      <c r="I37" s="9">
        <f>IF(Stock!D37="",0,IF(ISNUMBER($E37),($E37+$F37)*Stock!D37/100,Stock!D37))</f>
        <v>0</v>
      </c>
      <c r="J37" s="9">
        <f>IF(Stock!E37="",0,IF(ISNUMBER($E37),($E37+$F37)*Stock!E37/100,Stock!E37))</f>
        <v>0</v>
      </c>
      <c r="K37" s="9">
        <f>IF(Stock!F37="",0,IF(ISNUMBER($E37),($E37+$F37)*Stock!F37/100,Stock!F37))</f>
        <v>0</v>
      </c>
      <c r="L37" s="9">
        <f>IF(Stock!G37="",0,IF(ISNUMBER($E37),($E37+$F37)*Stock!G37/100,Stock!G37))</f>
        <v>0</v>
      </c>
      <c r="M37" s="9">
        <f>IF(Stock!H37="",0,IF(ISNUMBER($E37),($E37+$F37)*Stock!H37/100,Stock!H37))</f>
        <v>0</v>
      </c>
      <c r="N37" s="9">
        <f>IF(Stock!I37="",0,IF(ISNUMBER($E37),($E37+$F37)*Stock!I37/100,Stock!I37))</f>
        <v>0</v>
      </c>
      <c r="O37" s="9">
        <f>IF(Stock!J37="",0,IF(ISNUMBER($E37),($E37+$F37)*Stock!J37/100,Stock!J37))</f>
        <v>0</v>
      </c>
      <c r="P37" s="9">
        <f>IF(Stock!K37="",0,IF(ISNUMBER($E37),($E37+$F37)*Stock!K37/100,Stock!K37))</f>
        <v>0</v>
      </c>
      <c r="Q37" s="9">
        <f>IF(Stock!L37="",0,IF(ISNUMBER($E37),($E37+$F37)*Stock!L37/100,Stock!L37))</f>
        <v>0</v>
      </c>
      <c r="R37" s="9">
        <f>IF(Stock!M37="",0,IF(ISNUMBER($E37),($E37+$F37)*Stock!M37/100,Stock!M37))</f>
        <v>0</v>
      </c>
      <c r="S37" s="9">
        <f>IF(Stock!N37="",0,IF(ISNUMBER($E37),($E37+$F37)*Stock!N37/100,Stock!N37))</f>
        <v>0</v>
      </c>
      <c r="T37" s="9">
        <f>IF(Stock!O37="",0,IF(ISNUMBER($E37),($E37+$F37)*Stock!O37/100,Stock!O37))</f>
        <v>0</v>
      </c>
      <c r="U37" s="9">
        <f>IF(Stock!P37="",0,IF(ISNUMBER($E37),($E37+$F37)*Stock!P37/100,Stock!P37))</f>
        <v>0</v>
      </c>
      <c r="V37" s="9">
        <f>IF(Stock!Q37="",0,IF(ISNUMBER($E37),($E37+$F37)*Stock!Q37/100,Stock!Q37))</f>
        <v>0</v>
      </c>
      <c r="W37" s="9">
        <f>IF(Stock!R37="",0,IF(ISNUMBER($E37),($E37+$F37)*Stock!R37/100,Stock!R37))</f>
        <v>0</v>
      </c>
      <c r="X37" s="9">
        <f>IF(Stock!S37="",0,IF(ISNUMBER($E37),($E37+$F37)*Stock!S37/100,Stock!S37))</f>
        <v>0</v>
      </c>
      <c r="Y37" s="9">
        <f>IF(Stock!T37="",0,IF(ISNUMBER($E37),($E37+$F37)*Stock!T37/100,Stock!T37))</f>
        <v>0</v>
      </c>
      <c r="Z37" s="9">
        <f>IF(Stock!U37="",0,IF(ISNUMBER($E37),($E37+$F37)*Stock!U37/100,Stock!U37))</f>
        <v>0</v>
      </c>
      <c r="AA37" s="9">
        <f>IF(Stock!V37="",0,IF(ISNUMBER($E37),($E37+$F37)*Stock!V37/100,Stock!V37))</f>
        <v>0</v>
      </c>
      <c r="AB37" s="9">
        <f>IF(Stock!W37="",0,IF(ISNUMBER($E37),($E37+$F37)*Stock!W37/100,Stock!W37))</f>
        <v>0</v>
      </c>
      <c r="AC37" s="9">
        <f>IF(Stock!X37="",0,IF(ISNUMBER($E37),($E37+$F37)*Stock!X37/100,Stock!X37))</f>
        <v>0</v>
      </c>
      <c r="AD37" s="9">
        <f>IF(Stock!Y37="",0,IF(ISNUMBER($E37),($E37+$F37)*Stock!Y37/100,Stock!Y37))</f>
        <v>0</v>
      </c>
      <c r="AE37" s="9">
        <f>IF(Stock!Z37="",0,IF(ISNUMBER($E37),($E37+$F37)*Stock!Z37/100,Stock!Z37))</f>
        <v>0</v>
      </c>
      <c r="AF37" s="9">
        <f>IF(Stock!AA37="",0,IF(ISNUMBER($E37),($E37+$F37)*Stock!AA37/100,Stock!AA37))</f>
        <v>0</v>
      </c>
      <c r="AG37" s="9">
        <f>IF(Stock!AB37="",0,IF(ISNUMBER($E37),($E37+$F37)*Stock!AB37/100,Stock!AB37))</f>
        <v>0</v>
      </c>
      <c r="AH37" s="9">
        <f>IF(Stock!AC37="",0,IF(ISNUMBER($E37),($E37+$F37)*Stock!AC37/100,Stock!AC37))</f>
        <v>0</v>
      </c>
      <c r="AI37" s="9">
        <f>IF(Stock!AD37="",0,IF(ISNUMBER($E37),($E37+$F37)*Stock!AD37/100,Stock!AD37))</f>
        <v>0</v>
      </c>
      <c r="AJ37" s="9">
        <f>IF(Stock!AE37="",0,IF(ISNUMBER($E37),($E37+$F37)*Stock!AE37/100,Stock!AE37))</f>
        <v>0</v>
      </c>
      <c r="AK37" s="9">
        <f>IF(Stock!AF37="",0,IF(ISNUMBER($E37),($E37+$F37)*Stock!AF37/100,Stock!AF37))</f>
        <v>0</v>
      </c>
      <c r="AL37" s="9">
        <f>IF(Stock!AG37="",0,IF(ISNUMBER($E37),($E37+$F37)*Stock!AG37/100,Stock!AG37))</f>
        <v>0</v>
      </c>
      <c r="AM37" s="9">
        <f>IF(Stock!AH37="",0,IF(ISNUMBER($E37),($E37+$F37)*Stock!AH37/100,Stock!AH37))</f>
        <v>0</v>
      </c>
      <c r="AN37" s="9">
        <f>IF(Stock!AI37="",0,IF(ISNUMBER($E37),($E37+$F37)*Stock!AI37/100,Stock!AI37))</f>
        <v>0</v>
      </c>
      <c r="AO37" s="9">
        <f>IF(Stock!AJ37="",0,IF(ISNUMBER($E37),($E37+$F37)*Stock!AJ37/100,Stock!AJ37))</f>
        <v>0</v>
      </c>
      <c r="AP37" s="9">
        <f>IF(Stock!AK37="",0,IF(ISNUMBER($E37),($E37+$F37)*Stock!AK37/100,Stock!AK37))</f>
        <v>0</v>
      </c>
      <c r="AQ37" s="9">
        <f>IF(Stock!AL37="",0,IF(ISNUMBER($E37),($E37+$F37)*Stock!AL37/100,Stock!AL37))</f>
        <v>0</v>
      </c>
      <c r="AR37" s="9">
        <f>IF(Stock!AM37="",0,IF(ISNUMBER($E37),($E37+$F37)*Stock!AM37/100,Stock!AM37))</f>
        <v>0</v>
      </c>
      <c r="AS37" s="9">
        <f>IF(Stock!AN37="",0,IF(ISNUMBER($E37),($E37+$F37)*Stock!AN37/100,Stock!AN37))</f>
        <v>0</v>
      </c>
      <c r="AT37" s="9">
        <f>IF(Stock!AO37="",0,IF(ISNUMBER($E37),($E37+$F37)*Stock!AO37/100,Stock!AO37))</f>
        <v>0</v>
      </c>
      <c r="AU37" s="9">
        <f>IF(Stock!AP37="",0,IF(ISNUMBER($E37),($E37+$F37)*Stock!AP37/100,Stock!AP37))</f>
        <v>0</v>
      </c>
      <c r="AV37" s="9">
        <f>IF(Stock!AQ37="",0,IF(ISNUMBER($E37),($E37+$F37)*Stock!AQ37/100,Stock!AQ37))</f>
        <v>0</v>
      </c>
      <c r="AW37" s="9">
        <f>IF(Stock!AR37="",0,IF(ISNUMBER($E37),($E37+$F37)*Stock!AR37/100,Stock!AR37))</f>
        <v>0</v>
      </c>
      <c r="AX37" s="9">
        <f>IF(Stock!AS37="",0,IF(ISNUMBER($E37),($E37+$F37)*Stock!AS37/100,Stock!AS37))</f>
        <v>0</v>
      </c>
      <c r="AY37" s="9">
        <f>IF(Stock!AT37="",0,IF(ISNUMBER($E37),($E37+$F37)*Stock!AT37/100,Stock!AT37))</f>
        <v>0</v>
      </c>
      <c r="AZ37" s="9">
        <f>IF(Stock!AU37="",0,IF(ISNUMBER($E37),($E37+$F37)*Stock!AU37/100,Stock!AU37))</f>
        <v>0</v>
      </c>
      <c r="BA37" s="9">
        <f>IF(Stock!AV37="",0,IF(ISNUMBER($E37),($E37+$F37)*Stock!AV37/100,Stock!AV37))</f>
        <v>0</v>
      </c>
      <c r="BB37" s="9">
        <f>IF(Stock!AW37="",0,IF(ISNUMBER($E37),($E37+$F37)*Stock!AW37/100,Stock!AW37))</f>
        <v>0</v>
      </c>
      <c r="BC37" s="9">
        <f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>IF(Stock!C38="",0,IF(ISNUMBER($E38),($E38+$F38)*Stock!C38/100,Stock!C38))</f>
        <v>0</v>
      </c>
      <c r="I38" s="9">
        <f>IF(Stock!D38="",0,IF(ISNUMBER($E38),($E38+$F38)*Stock!D38/100,Stock!D38))</f>
        <v>0</v>
      </c>
      <c r="J38" s="9">
        <f>IF(Stock!E38="",0,IF(ISNUMBER($E38),($E38+$F38)*Stock!E38/100,Stock!E38))</f>
        <v>0</v>
      </c>
      <c r="K38" s="9">
        <f>IF(Stock!F38="",0,IF(ISNUMBER($E38),($E38+$F38)*Stock!F38/100,Stock!F38))</f>
        <v>0</v>
      </c>
      <c r="L38" s="9">
        <f>IF(Stock!G38="",0,IF(ISNUMBER($E38),($E38+$F38)*Stock!G38/100,Stock!G38))</f>
        <v>0</v>
      </c>
      <c r="M38" s="9">
        <f>IF(Stock!H38="",0,IF(ISNUMBER($E38),($E38+$F38)*Stock!H38/100,Stock!H38))</f>
        <v>0</v>
      </c>
      <c r="N38" s="9">
        <f>IF(Stock!I38="",0,IF(ISNUMBER($E38),($E38+$F38)*Stock!I38/100,Stock!I38))</f>
        <v>0</v>
      </c>
      <c r="O38" s="9">
        <f>IF(Stock!J38="",0,IF(ISNUMBER($E38),($E38+$F38)*Stock!J38/100,Stock!J38))</f>
        <v>0</v>
      </c>
      <c r="P38" s="9">
        <f>IF(Stock!K38="",0,IF(ISNUMBER($E38),($E38+$F38)*Stock!K38/100,Stock!K38))</f>
        <v>0</v>
      </c>
      <c r="Q38" s="9">
        <f>IF(Stock!L38="",0,IF(ISNUMBER($E38),($E38+$F38)*Stock!L38/100,Stock!L38))</f>
        <v>0</v>
      </c>
      <c r="R38" s="9">
        <f>IF(Stock!M38="",0,IF(ISNUMBER($E38),($E38+$F38)*Stock!M38/100,Stock!M38))</f>
        <v>0</v>
      </c>
      <c r="S38" s="9">
        <f>IF(Stock!N38="",0,IF(ISNUMBER($E38),($E38+$F38)*Stock!N38/100,Stock!N38))</f>
        <v>0</v>
      </c>
      <c r="T38" s="9">
        <f>IF(Stock!O38="",0,IF(ISNUMBER($E38),($E38+$F38)*Stock!O38/100,Stock!O38))</f>
        <v>0</v>
      </c>
      <c r="U38" s="9">
        <f>IF(Stock!P38="",0,IF(ISNUMBER($E38),($E38+$F38)*Stock!P38/100,Stock!P38))</f>
        <v>0</v>
      </c>
      <c r="V38" s="9">
        <f>IF(Stock!Q38="",0,IF(ISNUMBER($E38),($E38+$F38)*Stock!Q38/100,Stock!Q38))</f>
        <v>0</v>
      </c>
      <c r="W38" s="9">
        <f>IF(Stock!R38="",0,IF(ISNUMBER($E38),($E38+$F38)*Stock!R38/100,Stock!R38))</f>
        <v>0</v>
      </c>
      <c r="X38" s="9">
        <f>IF(Stock!S38="",0,IF(ISNUMBER($E38),($E38+$F38)*Stock!S38/100,Stock!S38))</f>
        <v>0</v>
      </c>
      <c r="Y38" s="9">
        <f>IF(Stock!T38="",0,IF(ISNUMBER($E38),($E38+$F38)*Stock!T38/100,Stock!T38))</f>
        <v>0</v>
      </c>
      <c r="Z38" s="9">
        <f>IF(Stock!U38="",0,IF(ISNUMBER($E38),($E38+$F38)*Stock!U38/100,Stock!U38))</f>
        <v>0</v>
      </c>
      <c r="AA38" s="9">
        <f>IF(Stock!V38="",0,IF(ISNUMBER($E38),($E38+$F38)*Stock!V38/100,Stock!V38))</f>
        <v>0</v>
      </c>
      <c r="AB38" s="9">
        <f>IF(Stock!W38="",0,IF(ISNUMBER($E38),($E38+$F38)*Stock!W38/100,Stock!W38))</f>
        <v>0</v>
      </c>
      <c r="AC38" s="9">
        <f>IF(Stock!X38="",0,IF(ISNUMBER($E38),($E38+$F38)*Stock!X38/100,Stock!X38))</f>
        <v>0</v>
      </c>
      <c r="AD38" s="9">
        <f>IF(Stock!Y38="",0,IF(ISNUMBER($E38),($E38+$F38)*Stock!Y38/100,Stock!Y38))</f>
        <v>0</v>
      </c>
      <c r="AE38" s="9">
        <f>IF(Stock!Z38="",0,IF(ISNUMBER($E38),($E38+$F38)*Stock!Z38/100,Stock!Z38))</f>
        <v>0</v>
      </c>
      <c r="AF38" s="9">
        <f>IF(Stock!AA38="",0,IF(ISNUMBER($E38),($E38+$F38)*Stock!AA38/100,Stock!AA38))</f>
        <v>0</v>
      </c>
      <c r="AG38" s="9">
        <f>IF(Stock!AB38="",0,IF(ISNUMBER($E38),($E38+$F38)*Stock!AB38/100,Stock!AB38))</f>
        <v>0</v>
      </c>
      <c r="AH38" s="9">
        <f>IF(Stock!AC38="",0,IF(ISNUMBER($E38),($E38+$F38)*Stock!AC38/100,Stock!AC38))</f>
        <v>0</v>
      </c>
      <c r="AI38" s="9">
        <f>IF(Stock!AD38="",0,IF(ISNUMBER($E38),($E38+$F38)*Stock!AD38/100,Stock!AD38))</f>
        <v>0</v>
      </c>
      <c r="AJ38" s="9">
        <f>IF(Stock!AE38="",0,IF(ISNUMBER($E38),($E38+$F38)*Stock!AE38/100,Stock!AE38))</f>
        <v>0</v>
      </c>
      <c r="AK38" s="9">
        <f>IF(Stock!AF38="",0,IF(ISNUMBER($E38),($E38+$F38)*Stock!AF38/100,Stock!AF38))</f>
        <v>0</v>
      </c>
      <c r="AL38" s="9">
        <f>IF(Stock!AG38="",0,IF(ISNUMBER($E38),($E38+$F38)*Stock!AG38/100,Stock!AG38))</f>
        <v>0</v>
      </c>
      <c r="AM38" s="9">
        <f>IF(Stock!AH38="",0,IF(ISNUMBER($E38),($E38+$F38)*Stock!AH38/100,Stock!AH38))</f>
        <v>0</v>
      </c>
      <c r="AN38" s="9">
        <f>IF(Stock!AI38="",0,IF(ISNUMBER($E38),($E38+$F38)*Stock!AI38/100,Stock!AI38))</f>
        <v>0</v>
      </c>
      <c r="AO38" s="9">
        <f>IF(Stock!AJ38="",0,IF(ISNUMBER($E38),($E38+$F38)*Stock!AJ38/100,Stock!AJ38))</f>
        <v>0</v>
      </c>
      <c r="AP38" s="9">
        <f>IF(Stock!AK38="",0,IF(ISNUMBER($E38),($E38+$F38)*Stock!AK38/100,Stock!AK38))</f>
        <v>0</v>
      </c>
      <c r="AQ38" s="9">
        <f>IF(Stock!AL38="",0,IF(ISNUMBER($E38),($E38+$F38)*Stock!AL38/100,Stock!AL38))</f>
        <v>0</v>
      </c>
      <c r="AR38" s="9">
        <f>IF(Stock!AM38="",0,IF(ISNUMBER($E38),($E38+$F38)*Stock!AM38/100,Stock!AM38))</f>
        <v>0</v>
      </c>
      <c r="AS38" s="9">
        <f>IF(Stock!AN38="",0,IF(ISNUMBER($E38),($E38+$F38)*Stock!AN38/100,Stock!AN38))</f>
        <v>0</v>
      </c>
      <c r="AT38" s="9">
        <f>IF(Stock!AO38="",0,IF(ISNUMBER($E38),($E38+$F38)*Stock!AO38/100,Stock!AO38))</f>
        <v>0</v>
      </c>
      <c r="AU38" s="9">
        <f>IF(Stock!AP38="",0,IF(ISNUMBER($E38),($E38+$F38)*Stock!AP38/100,Stock!AP38))</f>
        <v>0</v>
      </c>
      <c r="AV38" s="9">
        <f>IF(Stock!AQ38="",0,IF(ISNUMBER($E38),($E38+$F38)*Stock!AQ38/100,Stock!AQ38))</f>
        <v>0</v>
      </c>
      <c r="AW38" s="9">
        <f>IF(Stock!AR38="",0,IF(ISNUMBER($E38),($E38+$F38)*Stock!AR38/100,Stock!AR38))</f>
        <v>0</v>
      </c>
      <c r="AX38" s="9">
        <f>IF(Stock!AS38="",0,IF(ISNUMBER($E38),($E38+$F38)*Stock!AS38/100,Stock!AS38))</f>
        <v>0</v>
      </c>
      <c r="AY38" s="9">
        <f>IF(Stock!AT38="",0,IF(ISNUMBER($E38),($E38+$F38)*Stock!AT38/100,Stock!AT38))</f>
        <v>0</v>
      </c>
      <c r="AZ38" s="9">
        <f>IF(Stock!AU38="",0,IF(ISNUMBER($E38),($E38+$F38)*Stock!AU38/100,Stock!AU38))</f>
        <v>0</v>
      </c>
      <c r="BA38" s="9">
        <f>IF(Stock!AV38="",0,IF(ISNUMBER($E38),($E38+$F38)*Stock!AV38/100,Stock!AV38))</f>
        <v>0</v>
      </c>
      <c r="BB38" s="9">
        <f>IF(Stock!AW38="",0,IF(ISNUMBER($E38),($E38+$F38)*Stock!AW38/100,Stock!AW38))</f>
        <v>0</v>
      </c>
      <c r="BC38" s="9">
        <f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>IF(Stock!C39="",0,IF(ISNUMBER($E39),($E39+$F39)*Stock!C39/100,Stock!C39))</f>
        <v>0</v>
      </c>
      <c r="I39" s="9">
        <f>IF(Stock!D39="",0,IF(ISNUMBER($E39),($E39+$F39)*Stock!D39/100,Stock!D39))</f>
        <v>0</v>
      </c>
      <c r="J39" s="9">
        <f>IF(Stock!E39="",0,IF(ISNUMBER($E39),($E39+$F39)*Stock!E39/100,Stock!E39))</f>
        <v>0</v>
      </c>
      <c r="K39" s="9">
        <f>IF(Stock!F39="",0,IF(ISNUMBER($E39),($E39+$F39)*Stock!F39/100,Stock!F39))</f>
        <v>0</v>
      </c>
      <c r="L39" s="9">
        <f>IF(Stock!G39="",0,IF(ISNUMBER($E39),($E39+$F39)*Stock!G39/100,Stock!G39))</f>
        <v>0</v>
      </c>
      <c r="M39" s="9">
        <f>IF(Stock!H39="",0,IF(ISNUMBER($E39),($E39+$F39)*Stock!H39/100,Stock!H39))</f>
        <v>0</v>
      </c>
      <c r="N39" s="9">
        <f>IF(Stock!I39="",0,IF(ISNUMBER($E39),($E39+$F39)*Stock!I39/100,Stock!I39))</f>
        <v>0</v>
      </c>
      <c r="O39" s="9">
        <f>IF(Stock!J39="",0,IF(ISNUMBER($E39),($E39+$F39)*Stock!J39/100,Stock!J39))</f>
        <v>0</v>
      </c>
      <c r="P39" s="9">
        <f>IF(Stock!K39="",0,IF(ISNUMBER($E39),($E39+$F39)*Stock!K39/100,Stock!K39))</f>
        <v>0</v>
      </c>
      <c r="Q39" s="9">
        <f>IF(Stock!L39="",0,IF(ISNUMBER($E39),($E39+$F39)*Stock!L39/100,Stock!L39))</f>
        <v>0</v>
      </c>
      <c r="R39" s="9">
        <f>IF(Stock!M39="",0,IF(ISNUMBER($E39),($E39+$F39)*Stock!M39/100,Stock!M39))</f>
        <v>0</v>
      </c>
      <c r="S39" s="9">
        <f>IF(Stock!N39="",0,IF(ISNUMBER($E39),($E39+$F39)*Stock!N39/100,Stock!N39))</f>
        <v>0</v>
      </c>
      <c r="T39" s="9">
        <f>IF(Stock!O39="",0,IF(ISNUMBER($E39),($E39+$F39)*Stock!O39/100,Stock!O39))</f>
        <v>0</v>
      </c>
      <c r="U39" s="9">
        <f>IF(Stock!P39="",0,IF(ISNUMBER($E39),($E39+$F39)*Stock!P39/100,Stock!P39))</f>
        <v>0</v>
      </c>
      <c r="V39" s="9">
        <f>IF(Stock!Q39="",0,IF(ISNUMBER($E39),($E39+$F39)*Stock!Q39/100,Stock!Q39))</f>
        <v>0</v>
      </c>
      <c r="W39" s="9">
        <f>IF(Stock!R39="",0,IF(ISNUMBER($E39),($E39+$F39)*Stock!R39/100,Stock!R39))</f>
        <v>0</v>
      </c>
      <c r="X39" s="9">
        <f>IF(Stock!S39="",0,IF(ISNUMBER($E39),($E39+$F39)*Stock!S39/100,Stock!S39))</f>
        <v>0</v>
      </c>
      <c r="Y39" s="9">
        <f>IF(Stock!T39="",0,IF(ISNUMBER($E39),($E39+$F39)*Stock!T39/100,Stock!T39))</f>
        <v>0</v>
      </c>
      <c r="Z39" s="9">
        <f>IF(Stock!U39="",0,IF(ISNUMBER($E39),($E39+$F39)*Stock!U39/100,Stock!U39))</f>
        <v>0</v>
      </c>
      <c r="AA39" s="9">
        <f>IF(Stock!V39="",0,IF(ISNUMBER($E39),($E39+$F39)*Stock!V39/100,Stock!V39))</f>
        <v>0</v>
      </c>
      <c r="AB39" s="9">
        <f>IF(Stock!W39="",0,IF(ISNUMBER($E39),($E39+$F39)*Stock!W39/100,Stock!W39))</f>
        <v>0</v>
      </c>
      <c r="AC39" s="9">
        <f>IF(Stock!X39="",0,IF(ISNUMBER($E39),($E39+$F39)*Stock!X39/100,Stock!X39))</f>
        <v>0</v>
      </c>
      <c r="AD39" s="9">
        <f>IF(Stock!Y39="",0,IF(ISNUMBER($E39),($E39+$F39)*Stock!Y39/100,Stock!Y39))</f>
        <v>0</v>
      </c>
      <c r="AE39" s="9">
        <f>IF(Stock!Z39="",0,IF(ISNUMBER($E39),($E39+$F39)*Stock!Z39/100,Stock!Z39))</f>
        <v>0</v>
      </c>
      <c r="AF39" s="9">
        <f>IF(Stock!AA39="",0,IF(ISNUMBER($E39),($E39+$F39)*Stock!AA39/100,Stock!AA39))</f>
        <v>0</v>
      </c>
      <c r="AG39" s="9">
        <f>IF(Stock!AB39="",0,IF(ISNUMBER($E39),($E39+$F39)*Stock!AB39/100,Stock!AB39))</f>
        <v>0</v>
      </c>
      <c r="AH39" s="9">
        <f>IF(Stock!AC39="",0,IF(ISNUMBER($E39),($E39+$F39)*Stock!AC39/100,Stock!AC39))</f>
        <v>0</v>
      </c>
      <c r="AI39" s="9">
        <f>IF(Stock!AD39="",0,IF(ISNUMBER($E39),($E39+$F39)*Stock!AD39/100,Stock!AD39))</f>
        <v>0</v>
      </c>
      <c r="AJ39" s="9">
        <f>IF(Stock!AE39="",0,IF(ISNUMBER($E39),($E39+$F39)*Stock!AE39/100,Stock!AE39))</f>
        <v>0</v>
      </c>
      <c r="AK39" s="9">
        <f>IF(Stock!AF39="",0,IF(ISNUMBER($E39),($E39+$F39)*Stock!AF39/100,Stock!AF39))</f>
        <v>0</v>
      </c>
      <c r="AL39" s="9">
        <f>IF(Stock!AG39="",0,IF(ISNUMBER($E39),($E39+$F39)*Stock!AG39/100,Stock!AG39))</f>
        <v>0</v>
      </c>
      <c r="AM39" s="9">
        <f>IF(Stock!AH39="",0,IF(ISNUMBER($E39),($E39+$F39)*Stock!AH39/100,Stock!AH39))</f>
        <v>0</v>
      </c>
      <c r="AN39" s="9">
        <f>IF(Stock!AI39="",0,IF(ISNUMBER($E39),($E39+$F39)*Stock!AI39/100,Stock!AI39))</f>
        <v>0</v>
      </c>
      <c r="AO39" s="9">
        <f>IF(Stock!AJ39="",0,IF(ISNUMBER($E39),($E39+$F39)*Stock!AJ39/100,Stock!AJ39))</f>
        <v>0</v>
      </c>
      <c r="AP39" s="9">
        <f>IF(Stock!AK39="",0,IF(ISNUMBER($E39),($E39+$F39)*Stock!AK39/100,Stock!AK39))</f>
        <v>0</v>
      </c>
      <c r="AQ39" s="9">
        <f>IF(Stock!AL39="",0,IF(ISNUMBER($E39),($E39+$F39)*Stock!AL39/100,Stock!AL39))</f>
        <v>0</v>
      </c>
      <c r="AR39" s="9">
        <f>IF(Stock!AM39="",0,IF(ISNUMBER($E39),($E39+$F39)*Stock!AM39/100,Stock!AM39))</f>
        <v>0</v>
      </c>
      <c r="AS39" s="9">
        <f>IF(Stock!AN39="",0,IF(ISNUMBER($E39),($E39+$F39)*Stock!AN39/100,Stock!AN39))</f>
        <v>0</v>
      </c>
      <c r="AT39" s="9">
        <f>IF(Stock!AO39="",0,IF(ISNUMBER($E39),($E39+$F39)*Stock!AO39/100,Stock!AO39))</f>
        <v>0</v>
      </c>
      <c r="AU39" s="9">
        <f>IF(Stock!AP39="",0,IF(ISNUMBER($E39),($E39+$F39)*Stock!AP39/100,Stock!AP39))</f>
        <v>0</v>
      </c>
      <c r="AV39" s="9">
        <f>IF(Stock!AQ39="",0,IF(ISNUMBER($E39),($E39+$F39)*Stock!AQ39/100,Stock!AQ39))</f>
        <v>0</v>
      </c>
      <c r="AW39" s="9">
        <f>IF(Stock!AR39="",0,IF(ISNUMBER($E39),($E39+$F39)*Stock!AR39/100,Stock!AR39))</f>
        <v>0</v>
      </c>
      <c r="AX39" s="9">
        <f>IF(Stock!AS39="",0,IF(ISNUMBER($E39),($E39+$F39)*Stock!AS39/100,Stock!AS39))</f>
        <v>0</v>
      </c>
      <c r="AY39" s="9">
        <f>IF(Stock!AT39="",0,IF(ISNUMBER($E39),($E39+$F39)*Stock!AT39/100,Stock!AT39))</f>
        <v>0</v>
      </c>
      <c r="AZ39" s="9">
        <f>IF(Stock!AU39="",0,IF(ISNUMBER($E39),($E39+$F39)*Stock!AU39/100,Stock!AU39))</f>
        <v>0</v>
      </c>
      <c r="BA39" s="9">
        <f>IF(Stock!AV39="",0,IF(ISNUMBER($E39),($E39+$F39)*Stock!AV39/100,Stock!AV39))</f>
        <v>0</v>
      </c>
      <c r="BB39" s="9">
        <f>IF(Stock!AW39="",0,IF(ISNUMBER($E39),($E39+$F39)*Stock!AW39/100,Stock!AW39))</f>
        <v>0</v>
      </c>
      <c r="BC39" s="9">
        <f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>IF(Stock!C40="",0,IF(ISNUMBER($E40),($E40+$F40)*Stock!C40/100,Stock!C40))</f>
        <v>0</v>
      </c>
      <c r="I40" s="9">
        <f>IF(Stock!D40="",0,IF(ISNUMBER($E40),($E40+$F40)*Stock!D40/100,Stock!D40))</f>
        <v>0</v>
      </c>
      <c r="J40" s="9">
        <f>IF(Stock!E40="",0,IF(ISNUMBER($E40),($E40+$F40)*Stock!E40/100,Stock!E40))</f>
        <v>0</v>
      </c>
      <c r="K40" s="9">
        <f>IF(Stock!F40="",0,IF(ISNUMBER($E40),($E40+$F40)*Stock!F40/100,Stock!F40))</f>
        <v>0</v>
      </c>
      <c r="L40" s="9">
        <f>IF(Stock!G40="",0,IF(ISNUMBER($E40),($E40+$F40)*Stock!G40/100,Stock!G40))</f>
        <v>0</v>
      </c>
      <c r="M40" s="9">
        <f>IF(Stock!H40="",0,IF(ISNUMBER($E40),($E40+$F40)*Stock!H40/100,Stock!H40))</f>
        <v>0</v>
      </c>
      <c r="N40" s="9">
        <f>IF(Stock!I40="",0,IF(ISNUMBER($E40),($E40+$F40)*Stock!I40/100,Stock!I40))</f>
        <v>0</v>
      </c>
      <c r="O40" s="9">
        <f>IF(Stock!J40="",0,IF(ISNUMBER($E40),($E40+$F40)*Stock!J40/100,Stock!J40))</f>
        <v>0</v>
      </c>
      <c r="P40" s="9">
        <f>IF(Stock!K40="",0,IF(ISNUMBER($E40),($E40+$F40)*Stock!K40/100,Stock!K40))</f>
        <v>0</v>
      </c>
      <c r="Q40" s="9">
        <f>IF(Stock!L40="",0,IF(ISNUMBER($E40),($E40+$F40)*Stock!L40/100,Stock!L40))</f>
        <v>0</v>
      </c>
      <c r="R40" s="9">
        <f>IF(Stock!M40="",0,IF(ISNUMBER($E40),($E40+$F40)*Stock!M40/100,Stock!M40))</f>
        <v>0</v>
      </c>
      <c r="S40" s="9">
        <f>IF(Stock!N40="",0,IF(ISNUMBER($E40),($E40+$F40)*Stock!N40/100,Stock!N40))</f>
        <v>0</v>
      </c>
      <c r="T40" s="9">
        <f>IF(Stock!O40="",0,IF(ISNUMBER($E40),($E40+$F40)*Stock!O40/100,Stock!O40))</f>
        <v>0</v>
      </c>
      <c r="U40" s="9">
        <f>IF(Stock!P40="",0,IF(ISNUMBER($E40),($E40+$F40)*Stock!P40/100,Stock!P40))</f>
        <v>0</v>
      </c>
      <c r="V40" s="9">
        <f>IF(Stock!Q40="",0,IF(ISNUMBER($E40),($E40+$F40)*Stock!Q40/100,Stock!Q40))</f>
        <v>0</v>
      </c>
      <c r="W40" s="9">
        <f>IF(Stock!R40="",0,IF(ISNUMBER($E40),($E40+$F40)*Stock!R40/100,Stock!R40))</f>
        <v>0</v>
      </c>
      <c r="X40" s="9">
        <f>IF(Stock!S40="",0,IF(ISNUMBER($E40),($E40+$F40)*Stock!S40/100,Stock!S40))</f>
        <v>0</v>
      </c>
      <c r="Y40" s="9">
        <f>IF(Stock!T40="",0,IF(ISNUMBER($E40),($E40+$F40)*Stock!T40/100,Stock!T40))</f>
        <v>0</v>
      </c>
      <c r="Z40" s="9">
        <f>IF(Stock!U40="",0,IF(ISNUMBER($E40),($E40+$F40)*Stock!U40/100,Stock!U40))</f>
        <v>0</v>
      </c>
      <c r="AA40" s="9">
        <f>IF(Stock!V40="",0,IF(ISNUMBER($E40),($E40+$F40)*Stock!V40/100,Stock!V40))</f>
        <v>0</v>
      </c>
      <c r="AB40" s="9">
        <f>IF(Stock!W40="",0,IF(ISNUMBER($E40),($E40+$F40)*Stock!W40/100,Stock!W40))</f>
        <v>0</v>
      </c>
      <c r="AC40" s="9">
        <f>IF(Stock!X40="",0,IF(ISNUMBER($E40),($E40+$F40)*Stock!X40/100,Stock!X40))</f>
        <v>0</v>
      </c>
      <c r="AD40" s="9">
        <f>IF(Stock!Y40="",0,IF(ISNUMBER($E40),($E40+$F40)*Stock!Y40/100,Stock!Y40))</f>
        <v>0</v>
      </c>
      <c r="AE40" s="9">
        <f>IF(Stock!Z40="",0,IF(ISNUMBER($E40),($E40+$F40)*Stock!Z40/100,Stock!Z40))</f>
        <v>0</v>
      </c>
      <c r="AF40" s="9">
        <f>IF(Stock!AA40="",0,IF(ISNUMBER($E40),($E40+$F40)*Stock!AA40/100,Stock!AA40))</f>
        <v>0</v>
      </c>
      <c r="AG40" s="9">
        <f>IF(Stock!AB40="",0,IF(ISNUMBER($E40),($E40+$F40)*Stock!AB40/100,Stock!AB40))</f>
        <v>0</v>
      </c>
      <c r="AH40" s="9">
        <f>IF(Stock!AC40="",0,IF(ISNUMBER($E40),($E40+$F40)*Stock!AC40/100,Stock!AC40))</f>
        <v>0</v>
      </c>
      <c r="AI40" s="9">
        <f>IF(Stock!AD40="",0,IF(ISNUMBER($E40),($E40+$F40)*Stock!AD40/100,Stock!AD40))</f>
        <v>0</v>
      </c>
      <c r="AJ40" s="9">
        <f>IF(Stock!AE40="",0,IF(ISNUMBER($E40),($E40+$F40)*Stock!AE40/100,Stock!AE40))</f>
        <v>0</v>
      </c>
      <c r="AK40" s="9">
        <f>IF(Stock!AF40="",0,IF(ISNUMBER($E40),($E40+$F40)*Stock!AF40/100,Stock!AF40))</f>
        <v>0</v>
      </c>
      <c r="AL40" s="9">
        <f>IF(Stock!AG40="",0,IF(ISNUMBER($E40),($E40+$F40)*Stock!AG40/100,Stock!AG40))</f>
        <v>0</v>
      </c>
      <c r="AM40" s="9">
        <f>IF(Stock!AH40="",0,IF(ISNUMBER($E40),($E40+$F40)*Stock!AH40/100,Stock!AH40))</f>
        <v>0</v>
      </c>
      <c r="AN40" s="9">
        <f>IF(Stock!AI40="",0,IF(ISNUMBER($E40),($E40+$F40)*Stock!AI40/100,Stock!AI40))</f>
        <v>0</v>
      </c>
      <c r="AO40" s="9">
        <f>IF(Stock!AJ40="",0,IF(ISNUMBER($E40),($E40+$F40)*Stock!AJ40/100,Stock!AJ40))</f>
        <v>0</v>
      </c>
      <c r="AP40" s="9">
        <f>IF(Stock!AK40="",0,IF(ISNUMBER($E40),($E40+$F40)*Stock!AK40/100,Stock!AK40))</f>
        <v>0</v>
      </c>
      <c r="AQ40" s="9">
        <f>IF(Stock!AL40="",0,IF(ISNUMBER($E40),($E40+$F40)*Stock!AL40/100,Stock!AL40))</f>
        <v>0</v>
      </c>
      <c r="AR40" s="9">
        <f>IF(Stock!AM40="",0,IF(ISNUMBER($E40),($E40+$F40)*Stock!AM40/100,Stock!AM40))</f>
        <v>0</v>
      </c>
      <c r="AS40" s="9">
        <f>IF(Stock!AN40="",0,IF(ISNUMBER($E40),($E40+$F40)*Stock!AN40/100,Stock!AN40))</f>
        <v>0</v>
      </c>
      <c r="AT40" s="9">
        <f>IF(Stock!AO40="",0,IF(ISNUMBER($E40),($E40+$F40)*Stock!AO40/100,Stock!AO40))</f>
        <v>0</v>
      </c>
      <c r="AU40" s="9">
        <f>IF(Stock!AP40="",0,IF(ISNUMBER($E40),($E40+$F40)*Stock!AP40/100,Stock!AP40))</f>
        <v>0</v>
      </c>
      <c r="AV40" s="9">
        <f>IF(Stock!AQ40="",0,IF(ISNUMBER($E40),($E40+$F40)*Stock!AQ40/100,Stock!AQ40))</f>
        <v>0</v>
      </c>
      <c r="AW40" s="9">
        <f>IF(Stock!AR40="",0,IF(ISNUMBER($E40),($E40+$F40)*Stock!AR40/100,Stock!AR40))</f>
        <v>0</v>
      </c>
      <c r="AX40" s="9">
        <f>IF(Stock!AS40="",0,IF(ISNUMBER($E40),($E40+$F40)*Stock!AS40/100,Stock!AS40))</f>
        <v>0</v>
      </c>
      <c r="AY40" s="9">
        <f>IF(Stock!AT40="",0,IF(ISNUMBER($E40),($E40+$F40)*Stock!AT40/100,Stock!AT40))</f>
        <v>0</v>
      </c>
      <c r="AZ40" s="9">
        <f>IF(Stock!AU40="",0,IF(ISNUMBER($E40),($E40+$F40)*Stock!AU40/100,Stock!AU40))</f>
        <v>0</v>
      </c>
      <c r="BA40" s="9">
        <f>IF(Stock!AV40="",0,IF(ISNUMBER($E40),($E40+$F40)*Stock!AV40/100,Stock!AV40))</f>
        <v>0</v>
      </c>
      <c r="BB40" s="9">
        <f>IF(Stock!AW40="",0,IF(ISNUMBER($E40),($E40+$F40)*Stock!AW40/100,Stock!AW40))</f>
        <v>0</v>
      </c>
      <c r="BC40" s="9">
        <f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>IF(Stock!C41="",0,IF(ISNUMBER($E41),($E41+$F41)*Stock!C41/100,Stock!C41))</f>
        <v>0</v>
      </c>
      <c r="I41" s="9">
        <f>IF(Stock!D41="",0,IF(ISNUMBER($E41),($E41+$F41)*Stock!D41/100,Stock!D41))</f>
        <v>0</v>
      </c>
      <c r="J41" s="9">
        <f>IF(Stock!E41="",0,IF(ISNUMBER($E41),($E41+$F41)*Stock!E41/100,Stock!E41))</f>
        <v>0</v>
      </c>
      <c r="K41" s="9">
        <f>IF(Stock!F41="",0,IF(ISNUMBER($E41),($E41+$F41)*Stock!F41/100,Stock!F41))</f>
        <v>0</v>
      </c>
      <c r="L41" s="9">
        <f>IF(Stock!G41="",0,IF(ISNUMBER($E41),($E41+$F41)*Stock!G41/100,Stock!G41))</f>
        <v>0</v>
      </c>
      <c r="M41" s="9">
        <f>IF(Stock!H41="",0,IF(ISNUMBER($E41),($E41+$F41)*Stock!H41/100,Stock!H41))</f>
        <v>0</v>
      </c>
      <c r="N41" s="9">
        <f>IF(Stock!I41="",0,IF(ISNUMBER($E41),($E41+$F41)*Stock!I41/100,Stock!I41))</f>
        <v>0</v>
      </c>
      <c r="O41" s="9">
        <f>IF(Stock!J41="",0,IF(ISNUMBER($E41),($E41+$F41)*Stock!J41/100,Stock!J41))</f>
        <v>0</v>
      </c>
      <c r="P41" s="9">
        <f>IF(Stock!K41="",0,IF(ISNUMBER($E41),($E41+$F41)*Stock!K41/100,Stock!K41))</f>
        <v>0</v>
      </c>
      <c r="Q41" s="9">
        <f>IF(Stock!L41="",0,IF(ISNUMBER($E41),($E41+$F41)*Stock!L41/100,Stock!L41))</f>
        <v>0</v>
      </c>
      <c r="R41" s="9">
        <f>IF(Stock!M41="",0,IF(ISNUMBER($E41),($E41+$F41)*Stock!M41/100,Stock!M41))</f>
        <v>0</v>
      </c>
      <c r="S41" s="9">
        <f>IF(Stock!N41="",0,IF(ISNUMBER($E41),($E41+$F41)*Stock!N41/100,Stock!N41))</f>
        <v>0</v>
      </c>
      <c r="T41" s="9">
        <f>IF(Stock!O41="",0,IF(ISNUMBER($E41),($E41+$F41)*Stock!O41/100,Stock!O41))</f>
        <v>0</v>
      </c>
      <c r="U41" s="9">
        <f>IF(Stock!P41="",0,IF(ISNUMBER($E41),($E41+$F41)*Stock!P41/100,Stock!P41))</f>
        <v>0</v>
      </c>
      <c r="V41" s="9">
        <f>IF(Stock!Q41="",0,IF(ISNUMBER($E41),($E41+$F41)*Stock!Q41/100,Stock!Q41))</f>
        <v>0</v>
      </c>
      <c r="W41" s="9">
        <f>IF(Stock!R41="",0,IF(ISNUMBER($E41),($E41+$F41)*Stock!R41/100,Stock!R41))</f>
        <v>0</v>
      </c>
      <c r="X41" s="9">
        <f>IF(Stock!S41="",0,IF(ISNUMBER($E41),($E41+$F41)*Stock!S41/100,Stock!S41))</f>
        <v>0</v>
      </c>
      <c r="Y41" s="9">
        <f>IF(Stock!T41="",0,IF(ISNUMBER($E41),($E41+$F41)*Stock!T41/100,Stock!T41))</f>
        <v>0</v>
      </c>
      <c r="Z41" s="9">
        <f>IF(Stock!U41="",0,IF(ISNUMBER($E41),($E41+$F41)*Stock!U41/100,Stock!U41))</f>
        <v>0</v>
      </c>
      <c r="AA41" s="9">
        <f>IF(Stock!V41="",0,IF(ISNUMBER($E41),($E41+$F41)*Stock!V41/100,Stock!V41))</f>
        <v>0</v>
      </c>
      <c r="AB41" s="9">
        <f>IF(Stock!W41="",0,IF(ISNUMBER($E41),($E41+$F41)*Stock!W41/100,Stock!W41))</f>
        <v>0</v>
      </c>
      <c r="AC41" s="9">
        <f>IF(Stock!X41="",0,IF(ISNUMBER($E41),($E41+$F41)*Stock!X41/100,Stock!X41))</f>
        <v>0</v>
      </c>
      <c r="AD41" s="9">
        <f>IF(Stock!Y41="",0,IF(ISNUMBER($E41),($E41+$F41)*Stock!Y41/100,Stock!Y41))</f>
        <v>0</v>
      </c>
      <c r="AE41" s="9">
        <f>IF(Stock!Z41="",0,IF(ISNUMBER($E41),($E41+$F41)*Stock!Z41/100,Stock!Z41))</f>
        <v>0</v>
      </c>
      <c r="AF41" s="9">
        <f>IF(Stock!AA41="",0,IF(ISNUMBER($E41),($E41+$F41)*Stock!AA41/100,Stock!AA41))</f>
        <v>0</v>
      </c>
      <c r="AG41" s="9">
        <f>IF(Stock!AB41="",0,IF(ISNUMBER($E41),($E41+$F41)*Stock!AB41/100,Stock!AB41))</f>
        <v>0</v>
      </c>
      <c r="AH41" s="9">
        <f>IF(Stock!AC41="",0,IF(ISNUMBER($E41),($E41+$F41)*Stock!AC41/100,Stock!AC41))</f>
        <v>0</v>
      </c>
      <c r="AI41" s="9">
        <f>IF(Stock!AD41="",0,IF(ISNUMBER($E41),($E41+$F41)*Stock!AD41/100,Stock!AD41))</f>
        <v>0</v>
      </c>
      <c r="AJ41" s="9">
        <f>IF(Stock!AE41="",0,IF(ISNUMBER($E41),($E41+$F41)*Stock!AE41/100,Stock!AE41))</f>
        <v>0</v>
      </c>
      <c r="AK41" s="9">
        <f>IF(Stock!AF41="",0,IF(ISNUMBER($E41),($E41+$F41)*Stock!AF41/100,Stock!AF41))</f>
        <v>0</v>
      </c>
      <c r="AL41" s="9">
        <f>IF(Stock!AG41="",0,IF(ISNUMBER($E41),($E41+$F41)*Stock!AG41/100,Stock!AG41))</f>
        <v>0</v>
      </c>
      <c r="AM41" s="9">
        <f>IF(Stock!AH41="",0,IF(ISNUMBER($E41),($E41+$F41)*Stock!AH41/100,Stock!AH41))</f>
        <v>0</v>
      </c>
      <c r="AN41" s="9">
        <f>IF(Stock!AI41="",0,IF(ISNUMBER($E41),($E41+$F41)*Stock!AI41/100,Stock!AI41))</f>
        <v>0</v>
      </c>
      <c r="AO41" s="9">
        <f>IF(Stock!AJ41="",0,IF(ISNUMBER($E41),($E41+$F41)*Stock!AJ41/100,Stock!AJ41))</f>
        <v>0</v>
      </c>
      <c r="AP41" s="9">
        <f>IF(Stock!AK41="",0,IF(ISNUMBER($E41),($E41+$F41)*Stock!AK41/100,Stock!AK41))</f>
        <v>0</v>
      </c>
      <c r="AQ41" s="9">
        <f>IF(Stock!AL41="",0,IF(ISNUMBER($E41),($E41+$F41)*Stock!AL41/100,Stock!AL41))</f>
        <v>0</v>
      </c>
      <c r="AR41" s="9">
        <f>IF(Stock!AM41="",0,IF(ISNUMBER($E41),($E41+$F41)*Stock!AM41/100,Stock!AM41))</f>
        <v>0</v>
      </c>
      <c r="AS41" s="9">
        <f>IF(Stock!AN41="",0,IF(ISNUMBER($E41),($E41+$F41)*Stock!AN41/100,Stock!AN41))</f>
        <v>0</v>
      </c>
      <c r="AT41" s="9">
        <f>IF(Stock!AO41="",0,IF(ISNUMBER($E41),($E41+$F41)*Stock!AO41/100,Stock!AO41))</f>
        <v>0</v>
      </c>
      <c r="AU41" s="9">
        <f>IF(Stock!AP41="",0,IF(ISNUMBER($E41),($E41+$F41)*Stock!AP41/100,Stock!AP41))</f>
        <v>0</v>
      </c>
      <c r="AV41" s="9">
        <f>IF(Stock!AQ41="",0,IF(ISNUMBER($E41),($E41+$F41)*Stock!AQ41/100,Stock!AQ41))</f>
        <v>0</v>
      </c>
      <c r="AW41" s="9">
        <f>IF(Stock!AR41="",0,IF(ISNUMBER($E41),($E41+$F41)*Stock!AR41/100,Stock!AR41))</f>
        <v>0</v>
      </c>
      <c r="AX41" s="9">
        <f>IF(Stock!AS41="",0,IF(ISNUMBER($E41),($E41+$F41)*Stock!AS41/100,Stock!AS41))</f>
        <v>0</v>
      </c>
      <c r="AY41" s="9">
        <f>IF(Stock!AT41="",0,IF(ISNUMBER($E41),($E41+$F41)*Stock!AT41/100,Stock!AT41))</f>
        <v>0</v>
      </c>
      <c r="AZ41" s="9">
        <f>IF(Stock!AU41="",0,IF(ISNUMBER($E41),($E41+$F41)*Stock!AU41/100,Stock!AU41))</f>
        <v>0</v>
      </c>
      <c r="BA41" s="9">
        <f>IF(Stock!AV41="",0,IF(ISNUMBER($E41),($E41+$F41)*Stock!AV41/100,Stock!AV41))</f>
        <v>0</v>
      </c>
      <c r="BB41" s="9">
        <f>IF(Stock!AW41="",0,IF(ISNUMBER($E41),($E41+$F41)*Stock!AW41/100,Stock!AW41))</f>
        <v>0</v>
      </c>
      <c r="BC41" s="9">
        <f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>IF(Stock!C42="",0,IF(ISNUMBER($E42),($E42+$F42)*Stock!C42/100,Stock!C42))</f>
        <v>0</v>
      </c>
      <c r="I42" s="9">
        <f>IF(Stock!D42="",0,IF(ISNUMBER($E42),($E42+$F42)*Stock!D42/100,Stock!D42))</f>
        <v>0</v>
      </c>
      <c r="J42" s="9">
        <f>IF(Stock!E42="",0,IF(ISNUMBER($E42),($E42+$F42)*Stock!E42/100,Stock!E42))</f>
        <v>0</v>
      </c>
      <c r="K42" s="9">
        <f>IF(Stock!F42="",0,IF(ISNUMBER($E42),($E42+$F42)*Stock!F42/100,Stock!F42))</f>
        <v>0</v>
      </c>
      <c r="L42" s="9">
        <f>IF(Stock!G42="",0,IF(ISNUMBER($E42),($E42+$F42)*Stock!G42/100,Stock!G42))</f>
        <v>0</v>
      </c>
      <c r="M42" s="9">
        <f>IF(Stock!H42="",0,IF(ISNUMBER($E42),($E42+$F42)*Stock!H42/100,Stock!H42))</f>
        <v>0</v>
      </c>
      <c r="N42" s="9">
        <f>IF(Stock!I42="",0,IF(ISNUMBER($E42),($E42+$F42)*Stock!I42/100,Stock!I42))</f>
        <v>0</v>
      </c>
      <c r="O42" s="9">
        <f>IF(Stock!J42="",0,IF(ISNUMBER($E42),($E42+$F42)*Stock!J42/100,Stock!J42))</f>
        <v>0</v>
      </c>
      <c r="P42" s="9">
        <f>IF(Stock!K42="",0,IF(ISNUMBER($E42),($E42+$F42)*Stock!K42/100,Stock!K42))</f>
        <v>0</v>
      </c>
      <c r="Q42" s="9">
        <f>IF(Stock!L42="",0,IF(ISNUMBER($E42),($E42+$F42)*Stock!L42/100,Stock!L42))</f>
        <v>0</v>
      </c>
      <c r="R42" s="9">
        <f>IF(Stock!M42="",0,IF(ISNUMBER($E42),($E42+$F42)*Stock!M42/100,Stock!M42))</f>
        <v>0</v>
      </c>
      <c r="S42" s="9">
        <f>IF(Stock!N42="",0,IF(ISNUMBER($E42),($E42+$F42)*Stock!N42/100,Stock!N42))</f>
        <v>0</v>
      </c>
      <c r="T42" s="9">
        <f>IF(Stock!O42="",0,IF(ISNUMBER($E42),($E42+$F42)*Stock!O42/100,Stock!O42))</f>
        <v>0</v>
      </c>
      <c r="U42" s="9">
        <f>IF(Stock!P42="",0,IF(ISNUMBER($E42),($E42+$F42)*Stock!P42/100,Stock!P42))</f>
        <v>0</v>
      </c>
      <c r="V42" s="9">
        <f>IF(Stock!Q42="",0,IF(ISNUMBER($E42),($E42+$F42)*Stock!Q42/100,Stock!Q42))</f>
        <v>0</v>
      </c>
      <c r="W42" s="9">
        <f>IF(Stock!R42="",0,IF(ISNUMBER($E42),($E42+$F42)*Stock!R42/100,Stock!R42))</f>
        <v>0</v>
      </c>
      <c r="X42" s="9">
        <f>IF(Stock!S42="",0,IF(ISNUMBER($E42),($E42+$F42)*Stock!S42/100,Stock!S42))</f>
        <v>0</v>
      </c>
      <c r="Y42" s="9">
        <f>IF(Stock!T42="",0,IF(ISNUMBER($E42),($E42+$F42)*Stock!T42/100,Stock!T42))</f>
        <v>0</v>
      </c>
      <c r="Z42" s="9">
        <f>IF(Stock!U42="",0,IF(ISNUMBER($E42),($E42+$F42)*Stock!U42/100,Stock!U42))</f>
        <v>0</v>
      </c>
      <c r="AA42" s="9">
        <f>IF(Stock!V42="",0,IF(ISNUMBER($E42),($E42+$F42)*Stock!V42/100,Stock!V42))</f>
        <v>0</v>
      </c>
      <c r="AB42" s="9">
        <f>IF(Stock!W42="",0,IF(ISNUMBER($E42),($E42+$F42)*Stock!W42/100,Stock!W42))</f>
        <v>0</v>
      </c>
      <c r="AC42" s="9">
        <f>IF(Stock!X42="",0,IF(ISNUMBER($E42),($E42+$F42)*Stock!X42/100,Stock!X42))</f>
        <v>0</v>
      </c>
      <c r="AD42" s="9">
        <f>IF(Stock!Y42="",0,IF(ISNUMBER($E42),($E42+$F42)*Stock!Y42/100,Stock!Y42))</f>
        <v>0</v>
      </c>
      <c r="AE42" s="9">
        <f>IF(Stock!Z42="",0,IF(ISNUMBER($E42),($E42+$F42)*Stock!Z42/100,Stock!Z42))</f>
        <v>0</v>
      </c>
      <c r="AF42" s="9">
        <f>IF(Stock!AA42="",0,IF(ISNUMBER($E42),($E42+$F42)*Stock!AA42/100,Stock!AA42))</f>
        <v>0</v>
      </c>
      <c r="AG42" s="9">
        <f>IF(Stock!AB42="",0,IF(ISNUMBER($E42),($E42+$F42)*Stock!AB42/100,Stock!AB42))</f>
        <v>0</v>
      </c>
      <c r="AH42" s="9">
        <f>IF(Stock!AC42="",0,IF(ISNUMBER($E42),($E42+$F42)*Stock!AC42/100,Stock!AC42))</f>
        <v>0</v>
      </c>
      <c r="AI42" s="9">
        <f>IF(Stock!AD42="",0,IF(ISNUMBER($E42),($E42+$F42)*Stock!AD42/100,Stock!AD42))</f>
        <v>0</v>
      </c>
      <c r="AJ42" s="9">
        <f>IF(Stock!AE42="",0,IF(ISNUMBER($E42),($E42+$F42)*Stock!AE42/100,Stock!AE42))</f>
        <v>0</v>
      </c>
      <c r="AK42" s="9">
        <f>IF(Stock!AF42="",0,IF(ISNUMBER($E42),($E42+$F42)*Stock!AF42/100,Stock!AF42))</f>
        <v>0</v>
      </c>
      <c r="AL42" s="9">
        <f>IF(Stock!AG42="",0,IF(ISNUMBER($E42),($E42+$F42)*Stock!AG42/100,Stock!AG42))</f>
        <v>0</v>
      </c>
      <c r="AM42" s="9">
        <f>IF(Stock!AH42="",0,IF(ISNUMBER($E42),($E42+$F42)*Stock!AH42/100,Stock!AH42))</f>
        <v>0</v>
      </c>
      <c r="AN42" s="9">
        <f>IF(Stock!AI42="",0,IF(ISNUMBER($E42),($E42+$F42)*Stock!AI42/100,Stock!AI42))</f>
        <v>0</v>
      </c>
      <c r="AO42" s="9">
        <f>IF(Stock!AJ42="",0,IF(ISNUMBER($E42),($E42+$F42)*Stock!AJ42/100,Stock!AJ42))</f>
        <v>0</v>
      </c>
      <c r="AP42" s="9">
        <f>IF(Stock!AK42="",0,IF(ISNUMBER($E42),($E42+$F42)*Stock!AK42/100,Stock!AK42))</f>
        <v>0</v>
      </c>
      <c r="AQ42" s="9">
        <f>IF(Stock!AL42="",0,IF(ISNUMBER($E42),($E42+$F42)*Stock!AL42/100,Stock!AL42))</f>
        <v>0</v>
      </c>
      <c r="AR42" s="9">
        <f>IF(Stock!AM42="",0,IF(ISNUMBER($E42),($E42+$F42)*Stock!AM42/100,Stock!AM42))</f>
        <v>0</v>
      </c>
      <c r="AS42" s="9">
        <f>IF(Stock!AN42="",0,IF(ISNUMBER($E42),($E42+$F42)*Stock!AN42/100,Stock!AN42))</f>
        <v>0</v>
      </c>
      <c r="AT42" s="9">
        <f>IF(Stock!AO42="",0,IF(ISNUMBER($E42),($E42+$F42)*Stock!AO42/100,Stock!AO42))</f>
        <v>0</v>
      </c>
      <c r="AU42" s="9">
        <f>IF(Stock!AP42="",0,IF(ISNUMBER($E42),($E42+$F42)*Stock!AP42/100,Stock!AP42))</f>
        <v>0</v>
      </c>
      <c r="AV42" s="9">
        <f>IF(Stock!AQ42="",0,IF(ISNUMBER($E42),($E42+$F42)*Stock!AQ42/100,Stock!AQ42))</f>
        <v>0</v>
      </c>
      <c r="AW42" s="9">
        <f>IF(Stock!AR42="",0,IF(ISNUMBER($E42),($E42+$F42)*Stock!AR42/100,Stock!AR42))</f>
        <v>0</v>
      </c>
      <c r="AX42" s="9">
        <f>IF(Stock!AS42="",0,IF(ISNUMBER($E42),($E42+$F42)*Stock!AS42/100,Stock!AS42))</f>
        <v>0</v>
      </c>
      <c r="AY42" s="9">
        <f>IF(Stock!AT42="",0,IF(ISNUMBER($E42),($E42+$F42)*Stock!AT42/100,Stock!AT42))</f>
        <v>0</v>
      </c>
      <c r="AZ42" s="9">
        <f>IF(Stock!AU42="",0,IF(ISNUMBER($E42),($E42+$F42)*Stock!AU42/100,Stock!AU42))</f>
        <v>0</v>
      </c>
      <c r="BA42" s="9">
        <f>IF(Stock!AV42="",0,IF(ISNUMBER($E42),($E42+$F42)*Stock!AV42/100,Stock!AV42))</f>
        <v>0</v>
      </c>
      <c r="BB42" s="9">
        <f>IF(Stock!AW42="",0,IF(ISNUMBER($E42),($E42+$F42)*Stock!AW42/100,Stock!AW42))</f>
        <v>0</v>
      </c>
      <c r="BC42" s="9">
        <f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>IF(Stock!C43="",0,IF(ISNUMBER($E43),($E43+$F43)*Stock!C43/100,Stock!C43))</f>
        <v>0</v>
      </c>
      <c r="I43" s="9">
        <f>IF(Stock!D43="",0,IF(ISNUMBER($E43),($E43+$F43)*Stock!D43/100,Stock!D43))</f>
        <v>0</v>
      </c>
      <c r="J43" s="9">
        <f>IF(Stock!E43="",0,IF(ISNUMBER($E43),($E43+$F43)*Stock!E43/100,Stock!E43))</f>
        <v>0</v>
      </c>
      <c r="K43" s="9">
        <f>IF(Stock!F43="",0,IF(ISNUMBER($E43),($E43+$F43)*Stock!F43/100,Stock!F43))</f>
        <v>0</v>
      </c>
      <c r="L43" s="9">
        <f>IF(Stock!G43="",0,IF(ISNUMBER($E43),($E43+$F43)*Stock!G43/100,Stock!G43))</f>
        <v>0</v>
      </c>
      <c r="M43" s="9">
        <f>IF(Stock!H43="",0,IF(ISNUMBER($E43),($E43+$F43)*Stock!H43/100,Stock!H43))</f>
        <v>0</v>
      </c>
      <c r="N43" s="9">
        <f>IF(Stock!I43="",0,IF(ISNUMBER($E43),($E43+$F43)*Stock!I43/100,Stock!I43))</f>
        <v>0</v>
      </c>
      <c r="O43" s="9">
        <f>IF(Stock!J43="",0,IF(ISNUMBER($E43),($E43+$F43)*Stock!J43/100,Stock!J43))</f>
        <v>0</v>
      </c>
      <c r="P43" s="9">
        <f>IF(Stock!K43="",0,IF(ISNUMBER($E43),($E43+$F43)*Stock!K43/100,Stock!K43))</f>
        <v>0</v>
      </c>
      <c r="Q43" s="9">
        <f>IF(Stock!L43="",0,IF(ISNUMBER($E43),($E43+$F43)*Stock!L43/100,Stock!L43))</f>
        <v>0</v>
      </c>
      <c r="R43" s="9">
        <f>IF(Stock!M43="",0,IF(ISNUMBER($E43),($E43+$F43)*Stock!M43/100,Stock!M43))</f>
        <v>0</v>
      </c>
      <c r="S43" s="9">
        <f>IF(Stock!N43="",0,IF(ISNUMBER($E43),($E43+$F43)*Stock!N43/100,Stock!N43))</f>
        <v>0</v>
      </c>
      <c r="T43" s="9">
        <f>IF(Stock!O43="",0,IF(ISNUMBER($E43),($E43+$F43)*Stock!O43/100,Stock!O43))</f>
        <v>0</v>
      </c>
      <c r="U43" s="9">
        <f>IF(Stock!P43="",0,IF(ISNUMBER($E43),($E43+$F43)*Stock!P43/100,Stock!P43))</f>
        <v>0</v>
      </c>
      <c r="V43" s="9">
        <f>IF(Stock!Q43="",0,IF(ISNUMBER($E43),($E43+$F43)*Stock!Q43/100,Stock!Q43))</f>
        <v>0</v>
      </c>
      <c r="W43" s="9">
        <f>IF(Stock!R43="",0,IF(ISNUMBER($E43),($E43+$F43)*Stock!R43/100,Stock!R43))</f>
        <v>0</v>
      </c>
      <c r="X43" s="9">
        <f>IF(Stock!S43="",0,IF(ISNUMBER($E43),($E43+$F43)*Stock!S43/100,Stock!S43))</f>
        <v>0</v>
      </c>
      <c r="Y43" s="9">
        <f>IF(Stock!T43="",0,IF(ISNUMBER($E43),($E43+$F43)*Stock!T43/100,Stock!T43))</f>
        <v>0</v>
      </c>
      <c r="Z43" s="9">
        <f>IF(Stock!U43="",0,IF(ISNUMBER($E43),($E43+$F43)*Stock!U43/100,Stock!U43))</f>
        <v>0</v>
      </c>
      <c r="AA43" s="9">
        <f>IF(Stock!V43="",0,IF(ISNUMBER($E43),($E43+$F43)*Stock!V43/100,Stock!V43))</f>
        <v>0</v>
      </c>
      <c r="AB43" s="9">
        <f>IF(Stock!W43="",0,IF(ISNUMBER($E43),($E43+$F43)*Stock!W43/100,Stock!W43))</f>
        <v>0</v>
      </c>
      <c r="AC43" s="9">
        <f>IF(Stock!X43="",0,IF(ISNUMBER($E43),($E43+$F43)*Stock!X43/100,Stock!X43))</f>
        <v>0</v>
      </c>
      <c r="AD43" s="9">
        <f>IF(Stock!Y43="",0,IF(ISNUMBER($E43),($E43+$F43)*Stock!Y43/100,Stock!Y43))</f>
        <v>0</v>
      </c>
      <c r="AE43" s="9">
        <f>IF(Stock!Z43="",0,IF(ISNUMBER($E43),($E43+$F43)*Stock!Z43/100,Stock!Z43))</f>
        <v>0</v>
      </c>
      <c r="AF43" s="9">
        <f>IF(Stock!AA43="",0,IF(ISNUMBER($E43),($E43+$F43)*Stock!AA43/100,Stock!AA43))</f>
        <v>0</v>
      </c>
      <c r="AG43" s="9">
        <f>IF(Stock!AB43="",0,IF(ISNUMBER($E43),($E43+$F43)*Stock!AB43/100,Stock!AB43))</f>
        <v>0</v>
      </c>
      <c r="AH43" s="9">
        <f>IF(Stock!AC43="",0,IF(ISNUMBER($E43),($E43+$F43)*Stock!AC43/100,Stock!AC43))</f>
        <v>0</v>
      </c>
      <c r="AI43" s="9">
        <f>IF(Stock!AD43="",0,IF(ISNUMBER($E43),($E43+$F43)*Stock!AD43/100,Stock!AD43))</f>
        <v>0</v>
      </c>
      <c r="AJ43" s="9">
        <f>IF(Stock!AE43="",0,IF(ISNUMBER($E43),($E43+$F43)*Stock!AE43/100,Stock!AE43))</f>
        <v>0</v>
      </c>
      <c r="AK43" s="9">
        <f>IF(Stock!AF43="",0,IF(ISNUMBER($E43),($E43+$F43)*Stock!AF43/100,Stock!AF43))</f>
        <v>0</v>
      </c>
      <c r="AL43" s="9">
        <f>IF(Stock!AG43="",0,IF(ISNUMBER($E43),($E43+$F43)*Stock!AG43/100,Stock!AG43))</f>
        <v>0</v>
      </c>
      <c r="AM43" s="9">
        <f>IF(Stock!AH43="",0,IF(ISNUMBER($E43),($E43+$F43)*Stock!AH43/100,Stock!AH43))</f>
        <v>0</v>
      </c>
      <c r="AN43" s="9">
        <f>IF(Stock!AI43="",0,IF(ISNUMBER($E43),($E43+$F43)*Stock!AI43/100,Stock!AI43))</f>
        <v>0</v>
      </c>
      <c r="AO43" s="9">
        <f>IF(Stock!AJ43="",0,IF(ISNUMBER($E43),($E43+$F43)*Stock!AJ43/100,Stock!AJ43))</f>
        <v>0</v>
      </c>
      <c r="AP43" s="9">
        <f>IF(Stock!AK43="",0,IF(ISNUMBER($E43),($E43+$F43)*Stock!AK43/100,Stock!AK43))</f>
        <v>0</v>
      </c>
      <c r="AQ43" s="9">
        <f>IF(Stock!AL43="",0,IF(ISNUMBER($E43),($E43+$F43)*Stock!AL43/100,Stock!AL43))</f>
        <v>0</v>
      </c>
      <c r="AR43" s="9">
        <f>IF(Stock!AM43="",0,IF(ISNUMBER($E43),($E43+$F43)*Stock!AM43/100,Stock!AM43))</f>
        <v>0</v>
      </c>
      <c r="AS43" s="9">
        <f>IF(Stock!AN43="",0,IF(ISNUMBER($E43),($E43+$F43)*Stock!AN43/100,Stock!AN43))</f>
        <v>0</v>
      </c>
      <c r="AT43" s="9">
        <f>IF(Stock!AO43="",0,IF(ISNUMBER($E43),($E43+$F43)*Stock!AO43/100,Stock!AO43))</f>
        <v>0</v>
      </c>
      <c r="AU43" s="9">
        <f>IF(Stock!AP43="",0,IF(ISNUMBER($E43),($E43+$F43)*Stock!AP43/100,Stock!AP43))</f>
        <v>0</v>
      </c>
      <c r="AV43" s="9">
        <f>IF(Stock!AQ43="",0,IF(ISNUMBER($E43),($E43+$F43)*Stock!AQ43/100,Stock!AQ43))</f>
        <v>0</v>
      </c>
      <c r="AW43" s="9">
        <f>IF(Stock!AR43="",0,IF(ISNUMBER($E43),($E43+$F43)*Stock!AR43/100,Stock!AR43))</f>
        <v>0</v>
      </c>
      <c r="AX43" s="9">
        <f>IF(Stock!AS43="",0,IF(ISNUMBER($E43),($E43+$F43)*Stock!AS43/100,Stock!AS43))</f>
        <v>0</v>
      </c>
      <c r="AY43" s="9">
        <f>IF(Stock!AT43="",0,IF(ISNUMBER($E43),($E43+$F43)*Stock!AT43/100,Stock!AT43))</f>
        <v>0</v>
      </c>
      <c r="AZ43" s="9">
        <f>IF(Stock!AU43="",0,IF(ISNUMBER($E43),($E43+$F43)*Stock!AU43/100,Stock!AU43))</f>
        <v>0</v>
      </c>
      <c r="BA43" s="9">
        <f>IF(Stock!AV43="",0,IF(ISNUMBER($E43),($E43+$F43)*Stock!AV43/100,Stock!AV43))</f>
        <v>0</v>
      </c>
      <c r="BB43" s="9">
        <f>IF(Stock!AW43="",0,IF(ISNUMBER($E43),($E43+$F43)*Stock!AW43/100,Stock!AW43))</f>
        <v>0</v>
      </c>
      <c r="BC43" s="9">
        <f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>IF(Stock!C44="",0,IF(ISNUMBER($E44),($E44+$F44)*Stock!C44/100,Stock!C44))</f>
        <v>0</v>
      </c>
      <c r="I44" s="9">
        <f>IF(Stock!D44="",0,IF(ISNUMBER($E44),($E44+$F44)*Stock!D44/100,Stock!D44))</f>
        <v>0</v>
      </c>
      <c r="J44" s="9">
        <f>IF(Stock!E44="",0,IF(ISNUMBER($E44),($E44+$F44)*Stock!E44/100,Stock!E44))</f>
        <v>0</v>
      </c>
      <c r="K44" s="9">
        <f>IF(Stock!F44="",0,IF(ISNUMBER($E44),($E44+$F44)*Stock!F44/100,Stock!F44))</f>
        <v>0</v>
      </c>
      <c r="L44" s="9">
        <f>IF(Stock!G44="",0,IF(ISNUMBER($E44),($E44+$F44)*Stock!G44/100,Stock!G44))</f>
        <v>0</v>
      </c>
      <c r="M44" s="9">
        <f>IF(Stock!H44="",0,IF(ISNUMBER($E44),($E44+$F44)*Stock!H44/100,Stock!H44))</f>
        <v>0</v>
      </c>
      <c r="N44" s="9">
        <f>IF(Stock!I44="",0,IF(ISNUMBER($E44),($E44+$F44)*Stock!I44/100,Stock!I44))</f>
        <v>0</v>
      </c>
      <c r="O44" s="9">
        <f>IF(Stock!J44="",0,IF(ISNUMBER($E44),($E44+$F44)*Stock!J44/100,Stock!J44))</f>
        <v>0</v>
      </c>
      <c r="P44" s="9">
        <f>IF(Stock!K44="",0,IF(ISNUMBER($E44),($E44+$F44)*Stock!K44/100,Stock!K44))</f>
        <v>0</v>
      </c>
      <c r="Q44" s="9">
        <f>IF(Stock!L44="",0,IF(ISNUMBER($E44),($E44+$F44)*Stock!L44/100,Stock!L44))</f>
        <v>0</v>
      </c>
      <c r="R44" s="9">
        <f>IF(Stock!M44="",0,IF(ISNUMBER($E44),($E44+$F44)*Stock!M44/100,Stock!M44))</f>
        <v>0</v>
      </c>
      <c r="S44" s="9">
        <f>IF(Stock!N44="",0,IF(ISNUMBER($E44),($E44+$F44)*Stock!N44/100,Stock!N44))</f>
        <v>0</v>
      </c>
      <c r="T44" s="9">
        <f>IF(Stock!O44="",0,IF(ISNUMBER($E44),($E44+$F44)*Stock!O44/100,Stock!O44))</f>
        <v>0</v>
      </c>
      <c r="U44" s="9">
        <f>IF(Stock!P44="",0,IF(ISNUMBER($E44),($E44+$F44)*Stock!P44/100,Stock!P44))</f>
        <v>0</v>
      </c>
      <c r="V44" s="9">
        <f>IF(Stock!Q44="",0,IF(ISNUMBER($E44),($E44+$F44)*Stock!Q44/100,Stock!Q44))</f>
        <v>0</v>
      </c>
      <c r="W44" s="9">
        <f>IF(Stock!R44="",0,IF(ISNUMBER($E44),($E44+$F44)*Stock!R44/100,Stock!R44))</f>
        <v>0</v>
      </c>
      <c r="X44" s="9">
        <f>IF(Stock!S44="",0,IF(ISNUMBER($E44),($E44+$F44)*Stock!S44/100,Stock!S44))</f>
        <v>0</v>
      </c>
      <c r="Y44" s="9">
        <f>IF(Stock!T44="",0,IF(ISNUMBER($E44),($E44+$F44)*Stock!T44/100,Stock!T44))</f>
        <v>0</v>
      </c>
      <c r="Z44" s="9">
        <f>IF(Stock!U44="",0,IF(ISNUMBER($E44),($E44+$F44)*Stock!U44/100,Stock!U44))</f>
        <v>0</v>
      </c>
      <c r="AA44" s="9">
        <f>IF(Stock!V44="",0,IF(ISNUMBER($E44),($E44+$F44)*Stock!V44/100,Stock!V44))</f>
        <v>0</v>
      </c>
      <c r="AB44" s="9">
        <f>IF(Stock!W44="",0,IF(ISNUMBER($E44),($E44+$F44)*Stock!W44/100,Stock!W44))</f>
        <v>0</v>
      </c>
      <c r="AC44" s="9">
        <f>IF(Stock!X44="",0,IF(ISNUMBER($E44),($E44+$F44)*Stock!X44/100,Stock!X44))</f>
        <v>0</v>
      </c>
      <c r="AD44" s="9">
        <f>IF(Stock!Y44="",0,IF(ISNUMBER($E44),($E44+$F44)*Stock!Y44/100,Stock!Y44))</f>
        <v>0</v>
      </c>
      <c r="AE44" s="9">
        <f>IF(Stock!Z44="",0,IF(ISNUMBER($E44),($E44+$F44)*Stock!Z44/100,Stock!Z44))</f>
        <v>0</v>
      </c>
      <c r="AF44" s="9">
        <f>IF(Stock!AA44="",0,IF(ISNUMBER($E44),($E44+$F44)*Stock!AA44/100,Stock!AA44))</f>
        <v>0</v>
      </c>
      <c r="AG44" s="9">
        <f>IF(Stock!AB44="",0,IF(ISNUMBER($E44),($E44+$F44)*Stock!AB44/100,Stock!AB44))</f>
        <v>0</v>
      </c>
      <c r="AH44" s="9">
        <f>IF(Stock!AC44="",0,IF(ISNUMBER($E44),($E44+$F44)*Stock!AC44/100,Stock!AC44))</f>
        <v>0</v>
      </c>
      <c r="AI44" s="9">
        <f>IF(Stock!AD44="",0,IF(ISNUMBER($E44),($E44+$F44)*Stock!AD44/100,Stock!AD44))</f>
        <v>0</v>
      </c>
      <c r="AJ44" s="9">
        <f>IF(Stock!AE44="",0,IF(ISNUMBER($E44),($E44+$F44)*Stock!AE44/100,Stock!AE44))</f>
        <v>0</v>
      </c>
      <c r="AK44" s="9">
        <f>IF(Stock!AF44="",0,IF(ISNUMBER($E44),($E44+$F44)*Stock!AF44/100,Stock!AF44))</f>
        <v>0</v>
      </c>
      <c r="AL44" s="9">
        <f>IF(Stock!AG44="",0,IF(ISNUMBER($E44),($E44+$F44)*Stock!AG44/100,Stock!AG44))</f>
        <v>0</v>
      </c>
      <c r="AM44" s="9">
        <f>IF(Stock!AH44="",0,IF(ISNUMBER($E44),($E44+$F44)*Stock!AH44/100,Stock!AH44))</f>
        <v>0</v>
      </c>
      <c r="AN44" s="9">
        <f>IF(Stock!AI44="",0,IF(ISNUMBER($E44),($E44+$F44)*Stock!AI44/100,Stock!AI44))</f>
        <v>0</v>
      </c>
      <c r="AO44" s="9">
        <f>IF(Stock!AJ44="",0,IF(ISNUMBER($E44),($E44+$F44)*Stock!AJ44/100,Stock!AJ44))</f>
        <v>0</v>
      </c>
      <c r="AP44" s="9">
        <f>IF(Stock!AK44="",0,IF(ISNUMBER($E44),($E44+$F44)*Stock!AK44/100,Stock!AK44))</f>
        <v>0</v>
      </c>
      <c r="AQ44" s="9">
        <f>IF(Stock!AL44="",0,IF(ISNUMBER($E44),($E44+$F44)*Stock!AL44/100,Stock!AL44))</f>
        <v>0</v>
      </c>
      <c r="AR44" s="9">
        <f>IF(Stock!AM44="",0,IF(ISNUMBER($E44),($E44+$F44)*Stock!AM44/100,Stock!AM44))</f>
        <v>0</v>
      </c>
      <c r="AS44" s="9">
        <f>IF(Stock!AN44="",0,IF(ISNUMBER($E44),($E44+$F44)*Stock!AN44/100,Stock!AN44))</f>
        <v>0</v>
      </c>
      <c r="AT44" s="9">
        <f>IF(Stock!AO44="",0,IF(ISNUMBER($E44),($E44+$F44)*Stock!AO44/100,Stock!AO44))</f>
        <v>0</v>
      </c>
      <c r="AU44" s="9">
        <f>IF(Stock!AP44="",0,IF(ISNUMBER($E44),($E44+$F44)*Stock!AP44/100,Stock!AP44))</f>
        <v>0</v>
      </c>
      <c r="AV44" s="9">
        <f>IF(Stock!AQ44="",0,IF(ISNUMBER($E44),($E44+$F44)*Stock!AQ44/100,Stock!AQ44))</f>
        <v>0</v>
      </c>
      <c r="AW44" s="9">
        <f>IF(Stock!AR44="",0,IF(ISNUMBER($E44),($E44+$F44)*Stock!AR44/100,Stock!AR44))</f>
        <v>0</v>
      </c>
      <c r="AX44" s="9">
        <f>IF(Stock!AS44="",0,IF(ISNUMBER($E44),($E44+$F44)*Stock!AS44/100,Stock!AS44))</f>
        <v>0</v>
      </c>
      <c r="AY44" s="9">
        <f>IF(Stock!AT44="",0,IF(ISNUMBER($E44),($E44+$F44)*Stock!AT44/100,Stock!AT44))</f>
        <v>0</v>
      </c>
      <c r="AZ44" s="9">
        <f>IF(Stock!AU44="",0,IF(ISNUMBER($E44),($E44+$F44)*Stock!AU44/100,Stock!AU44))</f>
        <v>0</v>
      </c>
      <c r="BA44" s="9">
        <f>IF(Stock!AV44="",0,IF(ISNUMBER($E44),($E44+$F44)*Stock!AV44/100,Stock!AV44))</f>
        <v>0</v>
      </c>
      <c r="BB44" s="9">
        <f>IF(Stock!AW44="",0,IF(ISNUMBER($E44),($E44+$F44)*Stock!AW44/100,Stock!AW44))</f>
        <v>0</v>
      </c>
      <c r="BC44" s="9">
        <f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>IF(Stock!C45="",0,IF(ISNUMBER($E45),($E45+$F45)*Stock!C45/100,Stock!C45))</f>
        <v>0</v>
      </c>
      <c r="I45" s="9">
        <f>IF(Stock!D45="",0,IF(ISNUMBER($E45),($E45+$F45)*Stock!D45/100,Stock!D45))</f>
        <v>0</v>
      </c>
      <c r="J45" s="9">
        <f>IF(Stock!E45="",0,IF(ISNUMBER($E45),($E45+$F45)*Stock!E45/100,Stock!E45))</f>
        <v>0</v>
      </c>
      <c r="K45" s="9">
        <f>IF(Stock!F45="",0,IF(ISNUMBER($E45),($E45+$F45)*Stock!F45/100,Stock!F45))</f>
        <v>0</v>
      </c>
      <c r="L45" s="9">
        <f>IF(Stock!G45="",0,IF(ISNUMBER($E45),($E45+$F45)*Stock!G45/100,Stock!G45))</f>
        <v>0</v>
      </c>
      <c r="M45" s="9">
        <f>IF(Stock!H45="",0,IF(ISNUMBER($E45),($E45+$F45)*Stock!H45/100,Stock!H45))</f>
        <v>0</v>
      </c>
      <c r="N45" s="9">
        <f>IF(Stock!I45="",0,IF(ISNUMBER($E45),($E45+$F45)*Stock!I45/100,Stock!I45))</f>
        <v>0</v>
      </c>
      <c r="O45" s="9">
        <f>IF(Stock!J45="",0,IF(ISNUMBER($E45),($E45+$F45)*Stock!J45/100,Stock!J45))</f>
        <v>0</v>
      </c>
      <c r="P45" s="9">
        <f>IF(Stock!K45="",0,IF(ISNUMBER($E45),($E45+$F45)*Stock!K45/100,Stock!K45))</f>
        <v>0</v>
      </c>
      <c r="Q45" s="9">
        <f>IF(Stock!L45="",0,IF(ISNUMBER($E45),($E45+$F45)*Stock!L45/100,Stock!L45))</f>
        <v>0</v>
      </c>
      <c r="R45" s="9">
        <f>IF(Stock!M45="",0,IF(ISNUMBER($E45),($E45+$F45)*Stock!M45/100,Stock!M45))</f>
        <v>0</v>
      </c>
      <c r="S45" s="9">
        <f>IF(Stock!N45="",0,IF(ISNUMBER($E45),($E45+$F45)*Stock!N45/100,Stock!N45))</f>
        <v>0</v>
      </c>
      <c r="T45" s="9">
        <f>IF(Stock!O45="",0,IF(ISNUMBER($E45),($E45+$F45)*Stock!O45/100,Stock!O45))</f>
        <v>0</v>
      </c>
      <c r="U45" s="9">
        <f>IF(Stock!P45="",0,IF(ISNUMBER($E45),($E45+$F45)*Stock!P45/100,Stock!P45))</f>
        <v>0</v>
      </c>
      <c r="V45" s="9">
        <f>IF(Stock!Q45="",0,IF(ISNUMBER($E45),($E45+$F45)*Stock!Q45/100,Stock!Q45))</f>
        <v>0</v>
      </c>
      <c r="W45" s="9">
        <f>IF(Stock!R45="",0,IF(ISNUMBER($E45),($E45+$F45)*Stock!R45/100,Stock!R45))</f>
        <v>0</v>
      </c>
      <c r="X45" s="9">
        <f>IF(Stock!S45="",0,IF(ISNUMBER($E45),($E45+$F45)*Stock!S45/100,Stock!S45))</f>
        <v>0</v>
      </c>
      <c r="Y45" s="9">
        <f>IF(Stock!T45="",0,IF(ISNUMBER($E45),($E45+$F45)*Stock!T45/100,Stock!T45))</f>
        <v>0</v>
      </c>
      <c r="Z45" s="9">
        <f>IF(Stock!U45="",0,IF(ISNUMBER($E45),($E45+$F45)*Stock!U45/100,Stock!U45))</f>
        <v>0</v>
      </c>
      <c r="AA45" s="9">
        <f>IF(Stock!V45="",0,IF(ISNUMBER($E45),($E45+$F45)*Stock!V45/100,Stock!V45))</f>
        <v>0</v>
      </c>
      <c r="AB45" s="9">
        <f>IF(Stock!W45="",0,IF(ISNUMBER($E45),($E45+$F45)*Stock!W45/100,Stock!W45))</f>
        <v>0</v>
      </c>
      <c r="AC45" s="9">
        <f>IF(Stock!X45="",0,IF(ISNUMBER($E45),($E45+$F45)*Stock!X45/100,Stock!X45))</f>
        <v>0</v>
      </c>
      <c r="AD45" s="9">
        <f>IF(Stock!Y45="",0,IF(ISNUMBER($E45),($E45+$F45)*Stock!Y45/100,Stock!Y45))</f>
        <v>0</v>
      </c>
      <c r="AE45" s="9">
        <f>IF(Stock!Z45="",0,IF(ISNUMBER($E45),($E45+$F45)*Stock!Z45/100,Stock!Z45))</f>
        <v>0</v>
      </c>
      <c r="AF45" s="9">
        <f>IF(Stock!AA45="",0,IF(ISNUMBER($E45),($E45+$F45)*Stock!AA45/100,Stock!AA45))</f>
        <v>0</v>
      </c>
      <c r="AG45" s="9">
        <f>IF(Stock!AB45="",0,IF(ISNUMBER($E45),($E45+$F45)*Stock!AB45/100,Stock!AB45))</f>
        <v>0</v>
      </c>
      <c r="AH45" s="9">
        <f>IF(Stock!AC45="",0,IF(ISNUMBER($E45),($E45+$F45)*Stock!AC45/100,Stock!AC45))</f>
        <v>0</v>
      </c>
      <c r="AI45" s="9">
        <f>IF(Stock!AD45="",0,IF(ISNUMBER($E45),($E45+$F45)*Stock!AD45/100,Stock!AD45))</f>
        <v>0</v>
      </c>
      <c r="AJ45" s="9">
        <f>IF(Stock!AE45="",0,IF(ISNUMBER($E45),($E45+$F45)*Stock!AE45/100,Stock!AE45))</f>
        <v>0</v>
      </c>
      <c r="AK45" s="9">
        <f>IF(Stock!AF45="",0,IF(ISNUMBER($E45),($E45+$F45)*Stock!AF45/100,Stock!AF45))</f>
        <v>0</v>
      </c>
      <c r="AL45" s="9">
        <f>IF(Stock!AG45="",0,IF(ISNUMBER($E45),($E45+$F45)*Stock!AG45/100,Stock!AG45))</f>
        <v>0</v>
      </c>
      <c r="AM45" s="9">
        <f>IF(Stock!AH45="",0,IF(ISNUMBER($E45),($E45+$F45)*Stock!AH45/100,Stock!AH45))</f>
        <v>0</v>
      </c>
      <c r="AN45" s="9">
        <f>IF(Stock!AI45="",0,IF(ISNUMBER($E45),($E45+$F45)*Stock!AI45/100,Stock!AI45))</f>
        <v>0</v>
      </c>
      <c r="AO45" s="9">
        <f>IF(Stock!AJ45="",0,IF(ISNUMBER($E45),($E45+$F45)*Stock!AJ45/100,Stock!AJ45))</f>
        <v>0</v>
      </c>
      <c r="AP45" s="9">
        <f>IF(Stock!AK45="",0,IF(ISNUMBER($E45),($E45+$F45)*Stock!AK45/100,Stock!AK45))</f>
        <v>0</v>
      </c>
      <c r="AQ45" s="9">
        <f>IF(Stock!AL45="",0,IF(ISNUMBER($E45),($E45+$F45)*Stock!AL45/100,Stock!AL45))</f>
        <v>0</v>
      </c>
      <c r="AR45" s="9">
        <f>IF(Stock!AM45="",0,IF(ISNUMBER($E45),($E45+$F45)*Stock!AM45/100,Stock!AM45))</f>
        <v>0</v>
      </c>
      <c r="AS45" s="9">
        <f>IF(Stock!AN45="",0,IF(ISNUMBER($E45),($E45+$F45)*Stock!AN45/100,Stock!AN45))</f>
        <v>0</v>
      </c>
      <c r="AT45" s="9">
        <f>IF(Stock!AO45="",0,IF(ISNUMBER($E45),($E45+$F45)*Stock!AO45/100,Stock!AO45))</f>
        <v>0</v>
      </c>
      <c r="AU45" s="9">
        <f>IF(Stock!AP45="",0,IF(ISNUMBER($E45),($E45+$F45)*Stock!AP45/100,Stock!AP45))</f>
        <v>0</v>
      </c>
      <c r="AV45" s="9">
        <f>IF(Stock!AQ45="",0,IF(ISNUMBER($E45),($E45+$F45)*Stock!AQ45/100,Stock!AQ45))</f>
        <v>0</v>
      </c>
      <c r="AW45" s="9">
        <f>IF(Stock!AR45="",0,IF(ISNUMBER($E45),($E45+$F45)*Stock!AR45/100,Stock!AR45))</f>
        <v>0</v>
      </c>
      <c r="AX45" s="9">
        <f>IF(Stock!AS45="",0,IF(ISNUMBER($E45),($E45+$F45)*Stock!AS45/100,Stock!AS45))</f>
        <v>0</v>
      </c>
      <c r="AY45" s="9">
        <f>IF(Stock!AT45="",0,IF(ISNUMBER($E45),($E45+$F45)*Stock!AT45/100,Stock!AT45))</f>
        <v>0</v>
      </c>
      <c r="AZ45" s="9">
        <f>IF(Stock!AU45="",0,IF(ISNUMBER($E45),($E45+$F45)*Stock!AU45/100,Stock!AU45))</f>
        <v>0</v>
      </c>
      <c r="BA45" s="9">
        <f>IF(Stock!AV45="",0,IF(ISNUMBER($E45),($E45+$F45)*Stock!AV45/100,Stock!AV45))</f>
        <v>0</v>
      </c>
      <c r="BB45" s="9">
        <f>IF(Stock!AW45="",0,IF(ISNUMBER($E45),($E45+$F45)*Stock!AW45/100,Stock!AW45))</f>
        <v>0</v>
      </c>
      <c r="BC45" s="9">
        <f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>IF(Stock!C46="",0,IF(ISNUMBER($E46),($E46+$F46)*Stock!C46/100,Stock!C46))</f>
        <v>0</v>
      </c>
      <c r="I46" s="9">
        <f>IF(Stock!D46="",0,IF(ISNUMBER($E46),($E46+$F46)*Stock!D46/100,Stock!D46))</f>
        <v>0</v>
      </c>
      <c r="J46" s="9">
        <f>IF(Stock!E46="",0,IF(ISNUMBER($E46),($E46+$F46)*Stock!E46/100,Stock!E46))</f>
        <v>0</v>
      </c>
      <c r="K46" s="9">
        <f>IF(Stock!F46="",0,IF(ISNUMBER($E46),($E46+$F46)*Stock!F46/100,Stock!F46))</f>
        <v>0</v>
      </c>
      <c r="L46" s="9">
        <f>IF(Stock!G46="",0,IF(ISNUMBER($E46),($E46+$F46)*Stock!G46/100,Stock!G46))</f>
        <v>0</v>
      </c>
      <c r="M46" s="9">
        <f>IF(Stock!H46="",0,IF(ISNUMBER($E46),($E46+$F46)*Stock!H46/100,Stock!H46))</f>
        <v>0</v>
      </c>
      <c r="N46" s="9">
        <f>IF(Stock!I46="",0,IF(ISNUMBER($E46),($E46+$F46)*Stock!I46/100,Stock!I46))</f>
        <v>0</v>
      </c>
      <c r="O46" s="9">
        <f>IF(Stock!J46="",0,IF(ISNUMBER($E46),($E46+$F46)*Stock!J46/100,Stock!J46))</f>
        <v>0</v>
      </c>
      <c r="P46" s="9">
        <f>IF(Stock!K46="",0,IF(ISNUMBER($E46),($E46+$F46)*Stock!K46/100,Stock!K46))</f>
        <v>0</v>
      </c>
      <c r="Q46" s="9">
        <f>IF(Stock!L46="",0,IF(ISNUMBER($E46),($E46+$F46)*Stock!L46/100,Stock!L46))</f>
        <v>0</v>
      </c>
      <c r="R46" s="9">
        <f>IF(Stock!M46="",0,IF(ISNUMBER($E46),($E46+$F46)*Stock!M46/100,Stock!M46))</f>
        <v>0</v>
      </c>
      <c r="S46" s="9">
        <f>IF(Stock!N46="",0,IF(ISNUMBER($E46),($E46+$F46)*Stock!N46/100,Stock!N46))</f>
        <v>0</v>
      </c>
      <c r="T46" s="9">
        <f>IF(Stock!O46="",0,IF(ISNUMBER($E46),($E46+$F46)*Stock!O46/100,Stock!O46))</f>
        <v>0</v>
      </c>
      <c r="U46" s="9">
        <f>IF(Stock!P46="",0,IF(ISNUMBER($E46),($E46+$F46)*Stock!P46/100,Stock!P46))</f>
        <v>0</v>
      </c>
      <c r="V46" s="9">
        <f>IF(Stock!Q46="",0,IF(ISNUMBER($E46),($E46+$F46)*Stock!Q46/100,Stock!Q46))</f>
        <v>0</v>
      </c>
      <c r="W46" s="9">
        <f>IF(Stock!R46="",0,IF(ISNUMBER($E46),($E46+$F46)*Stock!R46/100,Stock!R46))</f>
        <v>0</v>
      </c>
      <c r="X46" s="9">
        <f>IF(Stock!S46="",0,IF(ISNUMBER($E46),($E46+$F46)*Stock!S46/100,Stock!S46))</f>
        <v>0</v>
      </c>
      <c r="Y46" s="9">
        <f>IF(Stock!T46="",0,IF(ISNUMBER($E46),($E46+$F46)*Stock!T46/100,Stock!T46))</f>
        <v>0</v>
      </c>
      <c r="Z46" s="9">
        <f>IF(Stock!U46="",0,IF(ISNUMBER($E46),($E46+$F46)*Stock!U46/100,Stock!U46))</f>
        <v>0</v>
      </c>
      <c r="AA46" s="9">
        <f>IF(Stock!V46="",0,IF(ISNUMBER($E46),($E46+$F46)*Stock!V46/100,Stock!V46))</f>
        <v>0</v>
      </c>
      <c r="AB46" s="9">
        <f>IF(Stock!W46="",0,IF(ISNUMBER($E46),($E46+$F46)*Stock!W46/100,Stock!W46))</f>
        <v>0</v>
      </c>
      <c r="AC46" s="9">
        <f>IF(Stock!X46="",0,IF(ISNUMBER($E46),($E46+$F46)*Stock!X46/100,Stock!X46))</f>
        <v>0</v>
      </c>
      <c r="AD46" s="9">
        <f>IF(Stock!Y46="",0,IF(ISNUMBER($E46),($E46+$F46)*Stock!Y46/100,Stock!Y46))</f>
        <v>0</v>
      </c>
      <c r="AE46" s="9">
        <f>IF(Stock!Z46="",0,IF(ISNUMBER($E46),($E46+$F46)*Stock!Z46/100,Stock!Z46))</f>
        <v>0</v>
      </c>
      <c r="AF46" s="9">
        <f>IF(Stock!AA46="",0,IF(ISNUMBER($E46),($E46+$F46)*Stock!AA46/100,Stock!AA46))</f>
        <v>0</v>
      </c>
      <c r="AG46" s="9">
        <f>IF(Stock!AB46="",0,IF(ISNUMBER($E46),($E46+$F46)*Stock!AB46/100,Stock!AB46))</f>
        <v>0</v>
      </c>
      <c r="AH46" s="9">
        <f>IF(Stock!AC46="",0,IF(ISNUMBER($E46),($E46+$F46)*Stock!AC46/100,Stock!AC46))</f>
        <v>0</v>
      </c>
      <c r="AI46" s="9">
        <f>IF(Stock!AD46="",0,IF(ISNUMBER($E46),($E46+$F46)*Stock!AD46/100,Stock!AD46))</f>
        <v>0</v>
      </c>
      <c r="AJ46" s="9">
        <f>IF(Stock!AE46="",0,IF(ISNUMBER($E46),($E46+$F46)*Stock!AE46/100,Stock!AE46))</f>
        <v>0</v>
      </c>
      <c r="AK46" s="9">
        <f>IF(Stock!AF46="",0,IF(ISNUMBER($E46),($E46+$F46)*Stock!AF46/100,Stock!AF46))</f>
        <v>0</v>
      </c>
      <c r="AL46" s="9">
        <f>IF(Stock!AG46="",0,IF(ISNUMBER($E46),($E46+$F46)*Stock!AG46/100,Stock!AG46))</f>
        <v>0</v>
      </c>
      <c r="AM46" s="9">
        <f>IF(Stock!AH46="",0,IF(ISNUMBER($E46),($E46+$F46)*Stock!AH46/100,Stock!AH46))</f>
        <v>0</v>
      </c>
      <c r="AN46" s="9">
        <f>IF(Stock!AI46="",0,IF(ISNUMBER($E46),($E46+$F46)*Stock!AI46/100,Stock!AI46))</f>
        <v>0</v>
      </c>
      <c r="AO46" s="9">
        <f>IF(Stock!AJ46="",0,IF(ISNUMBER($E46),($E46+$F46)*Stock!AJ46/100,Stock!AJ46))</f>
        <v>0</v>
      </c>
      <c r="AP46" s="9">
        <f>IF(Stock!AK46="",0,IF(ISNUMBER($E46),($E46+$F46)*Stock!AK46/100,Stock!AK46))</f>
        <v>0</v>
      </c>
      <c r="AQ46" s="9">
        <f>IF(Stock!AL46="",0,IF(ISNUMBER($E46),($E46+$F46)*Stock!AL46/100,Stock!AL46))</f>
        <v>0</v>
      </c>
      <c r="AR46" s="9">
        <f>IF(Stock!AM46="",0,IF(ISNUMBER($E46),($E46+$F46)*Stock!AM46/100,Stock!AM46))</f>
        <v>0</v>
      </c>
      <c r="AS46" s="9">
        <f>IF(Stock!AN46="",0,IF(ISNUMBER($E46),($E46+$F46)*Stock!AN46/100,Stock!AN46))</f>
        <v>0</v>
      </c>
      <c r="AT46" s="9">
        <f>IF(Stock!AO46="",0,IF(ISNUMBER($E46),($E46+$F46)*Stock!AO46/100,Stock!AO46))</f>
        <v>0</v>
      </c>
      <c r="AU46" s="9">
        <f>IF(Stock!AP46="",0,IF(ISNUMBER($E46),($E46+$F46)*Stock!AP46/100,Stock!AP46))</f>
        <v>0</v>
      </c>
      <c r="AV46" s="9">
        <f>IF(Stock!AQ46="",0,IF(ISNUMBER($E46),($E46+$F46)*Stock!AQ46/100,Stock!AQ46))</f>
        <v>0</v>
      </c>
      <c r="AW46" s="9">
        <f>IF(Stock!AR46="",0,IF(ISNUMBER($E46),($E46+$F46)*Stock!AR46/100,Stock!AR46))</f>
        <v>0</v>
      </c>
      <c r="AX46" s="9">
        <f>IF(Stock!AS46="",0,IF(ISNUMBER($E46),($E46+$F46)*Stock!AS46/100,Stock!AS46))</f>
        <v>0</v>
      </c>
      <c r="AY46" s="9">
        <f>IF(Stock!AT46="",0,IF(ISNUMBER($E46),($E46+$F46)*Stock!AT46/100,Stock!AT46))</f>
        <v>0</v>
      </c>
      <c r="AZ46" s="9">
        <f>IF(Stock!AU46="",0,IF(ISNUMBER($E46),($E46+$F46)*Stock!AU46/100,Stock!AU46))</f>
        <v>0</v>
      </c>
      <c r="BA46" s="9">
        <f>IF(Stock!AV46="",0,IF(ISNUMBER($E46),($E46+$F46)*Stock!AV46/100,Stock!AV46))</f>
        <v>0</v>
      </c>
      <c r="BB46" s="9">
        <f>IF(Stock!AW46="",0,IF(ISNUMBER($E46),($E46+$F46)*Stock!AW46/100,Stock!AW46))</f>
        <v>0</v>
      </c>
      <c r="BC46" s="9">
        <f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>IF(Stock!C47="",0,IF(ISNUMBER($E47),($E47+$F47)*Stock!C47/100,Stock!C47))</f>
        <v>0</v>
      </c>
      <c r="I47" s="9">
        <f>IF(Stock!D47="",0,IF(ISNUMBER($E47),($E47+$F47)*Stock!D47/100,Stock!D47))</f>
        <v>0</v>
      </c>
      <c r="J47" s="9">
        <f>IF(Stock!E47="",0,IF(ISNUMBER($E47),($E47+$F47)*Stock!E47/100,Stock!E47))</f>
        <v>0</v>
      </c>
      <c r="K47" s="9">
        <f>IF(Stock!F47="",0,IF(ISNUMBER($E47),($E47+$F47)*Stock!F47/100,Stock!F47))</f>
        <v>0</v>
      </c>
      <c r="L47" s="9">
        <f>IF(Stock!G47="",0,IF(ISNUMBER($E47),($E47+$F47)*Stock!G47/100,Stock!G47))</f>
        <v>0</v>
      </c>
      <c r="M47" s="9">
        <f>IF(Stock!H47="",0,IF(ISNUMBER($E47),($E47+$F47)*Stock!H47/100,Stock!H47))</f>
        <v>0</v>
      </c>
      <c r="N47" s="9">
        <f>IF(Stock!I47="",0,IF(ISNUMBER($E47),($E47+$F47)*Stock!I47/100,Stock!I47))</f>
        <v>0</v>
      </c>
      <c r="O47" s="9">
        <f>IF(Stock!J47="",0,IF(ISNUMBER($E47),($E47+$F47)*Stock!J47/100,Stock!J47))</f>
        <v>0</v>
      </c>
      <c r="P47" s="9">
        <f>IF(Stock!K47="",0,IF(ISNUMBER($E47),($E47+$F47)*Stock!K47/100,Stock!K47))</f>
        <v>0</v>
      </c>
      <c r="Q47" s="9">
        <f>IF(Stock!L47="",0,IF(ISNUMBER($E47),($E47+$F47)*Stock!L47/100,Stock!L47))</f>
        <v>0</v>
      </c>
      <c r="R47" s="9">
        <f>IF(Stock!M47="",0,IF(ISNUMBER($E47),($E47+$F47)*Stock!M47/100,Stock!M47))</f>
        <v>0</v>
      </c>
      <c r="S47" s="9">
        <f>IF(Stock!N47="",0,IF(ISNUMBER($E47),($E47+$F47)*Stock!N47/100,Stock!N47))</f>
        <v>0</v>
      </c>
      <c r="T47" s="9">
        <f>IF(Stock!O47="",0,IF(ISNUMBER($E47),($E47+$F47)*Stock!O47/100,Stock!O47))</f>
        <v>0</v>
      </c>
      <c r="U47" s="9">
        <f>IF(Stock!P47="",0,IF(ISNUMBER($E47),($E47+$F47)*Stock!P47/100,Stock!P47))</f>
        <v>0</v>
      </c>
      <c r="V47" s="9">
        <f>IF(Stock!Q47="",0,IF(ISNUMBER($E47),($E47+$F47)*Stock!Q47/100,Stock!Q47))</f>
        <v>0</v>
      </c>
      <c r="W47" s="9">
        <f>IF(Stock!R47="",0,IF(ISNUMBER($E47),($E47+$F47)*Stock!R47/100,Stock!R47))</f>
        <v>0</v>
      </c>
      <c r="X47" s="9">
        <f>IF(Stock!S47="",0,IF(ISNUMBER($E47),($E47+$F47)*Stock!S47/100,Stock!S47))</f>
        <v>0</v>
      </c>
      <c r="Y47" s="9">
        <f>IF(Stock!T47="",0,IF(ISNUMBER($E47),($E47+$F47)*Stock!T47/100,Stock!T47))</f>
        <v>0</v>
      </c>
      <c r="Z47" s="9">
        <f>IF(Stock!U47="",0,IF(ISNUMBER($E47),($E47+$F47)*Stock!U47/100,Stock!U47))</f>
        <v>0</v>
      </c>
      <c r="AA47" s="9">
        <f>IF(Stock!V47="",0,IF(ISNUMBER($E47),($E47+$F47)*Stock!V47/100,Stock!V47))</f>
        <v>0</v>
      </c>
      <c r="AB47" s="9">
        <f>IF(Stock!W47="",0,IF(ISNUMBER($E47),($E47+$F47)*Stock!W47/100,Stock!W47))</f>
        <v>0</v>
      </c>
      <c r="AC47" s="9">
        <f>IF(Stock!X47="",0,IF(ISNUMBER($E47),($E47+$F47)*Stock!X47/100,Stock!X47))</f>
        <v>0</v>
      </c>
      <c r="AD47" s="9">
        <f>IF(Stock!Y47="",0,IF(ISNUMBER($E47),($E47+$F47)*Stock!Y47/100,Stock!Y47))</f>
        <v>0</v>
      </c>
      <c r="AE47" s="9">
        <f>IF(Stock!Z47="",0,IF(ISNUMBER($E47),($E47+$F47)*Stock!Z47/100,Stock!Z47))</f>
        <v>0</v>
      </c>
      <c r="AF47" s="9">
        <f>IF(Stock!AA47="",0,IF(ISNUMBER($E47),($E47+$F47)*Stock!AA47/100,Stock!AA47))</f>
        <v>0</v>
      </c>
      <c r="AG47" s="9">
        <f>IF(Stock!AB47="",0,IF(ISNUMBER($E47),($E47+$F47)*Stock!AB47/100,Stock!AB47))</f>
        <v>0</v>
      </c>
      <c r="AH47" s="9">
        <f>IF(Stock!AC47="",0,IF(ISNUMBER($E47),($E47+$F47)*Stock!AC47/100,Stock!AC47))</f>
        <v>0</v>
      </c>
      <c r="AI47" s="9">
        <f>IF(Stock!AD47="",0,IF(ISNUMBER($E47),($E47+$F47)*Stock!AD47/100,Stock!AD47))</f>
        <v>0</v>
      </c>
      <c r="AJ47" s="9">
        <f>IF(Stock!AE47="",0,IF(ISNUMBER($E47),($E47+$F47)*Stock!AE47/100,Stock!AE47))</f>
        <v>0</v>
      </c>
      <c r="AK47" s="9">
        <f>IF(Stock!AF47="",0,IF(ISNUMBER($E47),($E47+$F47)*Stock!AF47/100,Stock!AF47))</f>
        <v>0</v>
      </c>
      <c r="AL47" s="9">
        <f>IF(Stock!AG47="",0,IF(ISNUMBER($E47),($E47+$F47)*Stock!AG47/100,Stock!AG47))</f>
        <v>0</v>
      </c>
      <c r="AM47" s="9">
        <f>IF(Stock!AH47="",0,IF(ISNUMBER($E47),($E47+$F47)*Stock!AH47/100,Stock!AH47))</f>
        <v>0</v>
      </c>
      <c r="AN47" s="9">
        <f>IF(Stock!AI47="",0,IF(ISNUMBER($E47),($E47+$F47)*Stock!AI47/100,Stock!AI47))</f>
        <v>0</v>
      </c>
      <c r="AO47" s="9">
        <f>IF(Stock!AJ47="",0,IF(ISNUMBER($E47),($E47+$F47)*Stock!AJ47/100,Stock!AJ47))</f>
        <v>0</v>
      </c>
      <c r="AP47" s="9">
        <f>IF(Stock!AK47="",0,IF(ISNUMBER($E47),($E47+$F47)*Stock!AK47/100,Stock!AK47))</f>
        <v>0</v>
      </c>
      <c r="AQ47" s="9">
        <f>IF(Stock!AL47="",0,IF(ISNUMBER($E47),($E47+$F47)*Stock!AL47/100,Stock!AL47))</f>
        <v>0</v>
      </c>
      <c r="AR47" s="9">
        <f>IF(Stock!AM47="",0,IF(ISNUMBER($E47),($E47+$F47)*Stock!AM47/100,Stock!AM47))</f>
        <v>0</v>
      </c>
      <c r="AS47" s="9">
        <f>IF(Stock!AN47="",0,IF(ISNUMBER($E47),($E47+$F47)*Stock!AN47/100,Stock!AN47))</f>
        <v>0</v>
      </c>
      <c r="AT47" s="9">
        <f>IF(Stock!AO47="",0,IF(ISNUMBER($E47),($E47+$F47)*Stock!AO47/100,Stock!AO47))</f>
        <v>0</v>
      </c>
      <c r="AU47" s="9">
        <f>IF(Stock!AP47="",0,IF(ISNUMBER($E47),($E47+$F47)*Stock!AP47/100,Stock!AP47))</f>
        <v>0</v>
      </c>
      <c r="AV47" s="9">
        <f>IF(Stock!AQ47="",0,IF(ISNUMBER($E47),($E47+$F47)*Stock!AQ47/100,Stock!AQ47))</f>
        <v>0</v>
      </c>
      <c r="AW47" s="9">
        <f>IF(Stock!AR47="",0,IF(ISNUMBER($E47),($E47+$F47)*Stock!AR47/100,Stock!AR47))</f>
        <v>0</v>
      </c>
      <c r="AX47" s="9">
        <f>IF(Stock!AS47="",0,IF(ISNUMBER($E47),($E47+$F47)*Stock!AS47/100,Stock!AS47))</f>
        <v>0</v>
      </c>
      <c r="AY47" s="9">
        <f>IF(Stock!AT47="",0,IF(ISNUMBER($E47),($E47+$F47)*Stock!AT47/100,Stock!AT47))</f>
        <v>0</v>
      </c>
      <c r="AZ47" s="9">
        <f>IF(Stock!AU47="",0,IF(ISNUMBER($E47),($E47+$F47)*Stock!AU47/100,Stock!AU47))</f>
        <v>0</v>
      </c>
      <c r="BA47" s="9">
        <f>IF(Stock!AV47="",0,IF(ISNUMBER($E47),($E47+$F47)*Stock!AV47/100,Stock!AV47))</f>
        <v>0</v>
      </c>
      <c r="BB47" s="9">
        <f>IF(Stock!AW47="",0,IF(ISNUMBER($E47),($E47+$F47)*Stock!AW47/100,Stock!AW47))</f>
        <v>0</v>
      </c>
      <c r="BC47" s="9">
        <f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>IF(Stock!C48="",0,IF(ISNUMBER($E48),($E48+$F48)*Stock!C48/100,Stock!C48))</f>
        <v>0</v>
      </c>
      <c r="I48" s="9">
        <f>IF(Stock!D48="",0,IF(ISNUMBER($E48),($E48+$F48)*Stock!D48/100,Stock!D48))</f>
        <v>0</v>
      </c>
      <c r="J48" s="9">
        <f>IF(Stock!E48="",0,IF(ISNUMBER($E48),($E48+$F48)*Stock!E48/100,Stock!E48))</f>
        <v>0</v>
      </c>
      <c r="K48" s="9">
        <f>IF(Stock!F48="",0,IF(ISNUMBER($E48),($E48+$F48)*Stock!F48/100,Stock!F48))</f>
        <v>0</v>
      </c>
      <c r="L48" s="9">
        <f>IF(Stock!G48="",0,IF(ISNUMBER($E48),($E48+$F48)*Stock!G48/100,Stock!G48))</f>
        <v>0</v>
      </c>
      <c r="M48" s="9">
        <f>IF(Stock!H48="",0,IF(ISNUMBER($E48),($E48+$F48)*Stock!H48/100,Stock!H48))</f>
        <v>0</v>
      </c>
      <c r="N48" s="9">
        <f>IF(Stock!I48="",0,IF(ISNUMBER($E48),($E48+$F48)*Stock!I48/100,Stock!I48))</f>
        <v>0</v>
      </c>
      <c r="O48" s="9">
        <f>IF(Stock!J48="",0,IF(ISNUMBER($E48),($E48+$F48)*Stock!J48/100,Stock!J48))</f>
        <v>0</v>
      </c>
      <c r="P48" s="9">
        <f>IF(Stock!K48="",0,IF(ISNUMBER($E48),($E48+$F48)*Stock!K48/100,Stock!K48))</f>
        <v>0</v>
      </c>
      <c r="Q48" s="9">
        <f>IF(Stock!L48="",0,IF(ISNUMBER($E48),($E48+$F48)*Stock!L48/100,Stock!L48))</f>
        <v>0</v>
      </c>
      <c r="R48" s="9">
        <f>IF(Stock!M48="",0,IF(ISNUMBER($E48),($E48+$F48)*Stock!M48/100,Stock!M48))</f>
        <v>0</v>
      </c>
      <c r="S48" s="9">
        <f>IF(Stock!N48="",0,IF(ISNUMBER($E48),($E48+$F48)*Stock!N48/100,Stock!N48))</f>
        <v>0</v>
      </c>
      <c r="T48" s="9">
        <f>IF(Stock!O48="",0,IF(ISNUMBER($E48),($E48+$F48)*Stock!O48/100,Stock!O48))</f>
        <v>0</v>
      </c>
      <c r="U48" s="9">
        <f>IF(Stock!P48="",0,IF(ISNUMBER($E48),($E48+$F48)*Stock!P48/100,Stock!P48))</f>
        <v>0</v>
      </c>
      <c r="V48" s="9">
        <f>IF(Stock!Q48="",0,IF(ISNUMBER($E48),($E48+$F48)*Stock!Q48/100,Stock!Q48))</f>
        <v>0</v>
      </c>
      <c r="W48" s="9">
        <f>IF(Stock!R48="",0,IF(ISNUMBER($E48),($E48+$F48)*Stock!R48/100,Stock!R48))</f>
        <v>0</v>
      </c>
      <c r="X48" s="9">
        <f>IF(Stock!S48="",0,IF(ISNUMBER($E48),($E48+$F48)*Stock!S48/100,Stock!S48))</f>
        <v>0</v>
      </c>
      <c r="Y48" s="9">
        <f>IF(Stock!T48="",0,IF(ISNUMBER($E48),($E48+$F48)*Stock!T48/100,Stock!T48))</f>
        <v>0</v>
      </c>
      <c r="Z48" s="9">
        <f>IF(Stock!U48="",0,IF(ISNUMBER($E48),($E48+$F48)*Stock!U48/100,Stock!U48))</f>
        <v>0</v>
      </c>
      <c r="AA48" s="9">
        <f>IF(Stock!V48="",0,IF(ISNUMBER($E48),($E48+$F48)*Stock!V48/100,Stock!V48))</f>
        <v>0</v>
      </c>
      <c r="AB48" s="9">
        <f>IF(Stock!W48="",0,IF(ISNUMBER($E48),($E48+$F48)*Stock!W48/100,Stock!W48))</f>
        <v>0</v>
      </c>
      <c r="AC48" s="9">
        <f>IF(Stock!X48="",0,IF(ISNUMBER($E48),($E48+$F48)*Stock!X48/100,Stock!X48))</f>
        <v>0</v>
      </c>
      <c r="AD48" s="9">
        <f>IF(Stock!Y48="",0,IF(ISNUMBER($E48),($E48+$F48)*Stock!Y48/100,Stock!Y48))</f>
        <v>0</v>
      </c>
      <c r="AE48" s="9">
        <f>IF(Stock!Z48="",0,IF(ISNUMBER($E48),($E48+$F48)*Stock!Z48/100,Stock!Z48))</f>
        <v>0</v>
      </c>
      <c r="AF48" s="9">
        <f>IF(Stock!AA48="",0,IF(ISNUMBER($E48),($E48+$F48)*Stock!AA48/100,Stock!AA48))</f>
        <v>0</v>
      </c>
      <c r="AG48" s="9">
        <f>IF(Stock!AB48="",0,IF(ISNUMBER($E48),($E48+$F48)*Stock!AB48/100,Stock!AB48))</f>
        <v>0</v>
      </c>
      <c r="AH48" s="9">
        <f>IF(Stock!AC48="",0,IF(ISNUMBER($E48),($E48+$F48)*Stock!AC48/100,Stock!AC48))</f>
        <v>0</v>
      </c>
      <c r="AI48" s="9">
        <f>IF(Stock!AD48="",0,IF(ISNUMBER($E48),($E48+$F48)*Stock!AD48/100,Stock!AD48))</f>
        <v>0</v>
      </c>
      <c r="AJ48" s="9">
        <f>IF(Stock!AE48="",0,IF(ISNUMBER($E48),($E48+$F48)*Stock!AE48/100,Stock!AE48))</f>
        <v>0</v>
      </c>
      <c r="AK48" s="9">
        <f>IF(Stock!AF48="",0,IF(ISNUMBER($E48),($E48+$F48)*Stock!AF48/100,Stock!AF48))</f>
        <v>0</v>
      </c>
      <c r="AL48" s="9">
        <f>IF(Stock!AG48="",0,IF(ISNUMBER($E48),($E48+$F48)*Stock!AG48/100,Stock!AG48))</f>
        <v>0</v>
      </c>
      <c r="AM48" s="9">
        <f>IF(Stock!AH48="",0,IF(ISNUMBER($E48),($E48+$F48)*Stock!AH48/100,Stock!AH48))</f>
        <v>0</v>
      </c>
      <c r="AN48" s="9">
        <f>IF(Stock!AI48="",0,IF(ISNUMBER($E48),($E48+$F48)*Stock!AI48/100,Stock!AI48))</f>
        <v>0</v>
      </c>
      <c r="AO48" s="9">
        <f>IF(Stock!AJ48="",0,IF(ISNUMBER($E48),($E48+$F48)*Stock!AJ48/100,Stock!AJ48))</f>
        <v>0</v>
      </c>
      <c r="AP48" s="9">
        <f>IF(Stock!AK48="",0,IF(ISNUMBER($E48),($E48+$F48)*Stock!AK48/100,Stock!AK48))</f>
        <v>0</v>
      </c>
      <c r="AQ48" s="9">
        <f>IF(Stock!AL48="",0,IF(ISNUMBER($E48),($E48+$F48)*Stock!AL48/100,Stock!AL48))</f>
        <v>0</v>
      </c>
      <c r="AR48" s="9">
        <f>IF(Stock!AM48="",0,IF(ISNUMBER($E48),($E48+$F48)*Stock!AM48/100,Stock!AM48))</f>
        <v>0</v>
      </c>
      <c r="AS48" s="9">
        <f>IF(Stock!AN48="",0,IF(ISNUMBER($E48),($E48+$F48)*Stock!AN48/100,Stock!AN48))</f>
        <v>0</v>
      </c>
      <c r="AT48" s="9">
        <f>IF(Stock!AO48="",0,IF(ISNUMBER($E48),($E48+$F48)*Stock!AO48/100,Stock!AO48))</f>
        <v>0</v>
      </c>
      <c r="AU48" s="9">
        <f>IF(Stock!AP48="",0,IF(ISNUMBER($E48),($E48+$F48)*Stock!AP48/100,Stock!AP48))</f>
        <v>0</v>
      </c>
      <c r="AV48" s="9">
        <f>IF(Stock!AQ48="",0,IF(ISNUMBER($E48),($E48+$F48)*Stock!AQ48/100,Stock!AQ48))</f>
        <v>0</v>
      </c>
      <c r="AW48" s="9">
        <f>IF(Stock!AR48="",0,IF(ISNUMBER($E48),($E48+$F48)*Stock!AR48/100,Stock!AR48))</f>
        <v>0</v>
      </c>
      <c r="AX48" s="9">
        <f>IF(Stock!AS48="",0,IF(ISNUMBER($E48),($E48+$F48)*Stock!AS48/100,Stock!AS48))</f>
        <v>0</v>
      </c>
      <c r="AY48" s="9">
        <f>IF(Stock!AT48="",0,IF(ISNUMBER($E48),($E48+$F48)*Stock!AT48/100,Stock!AT48))</f>
        <v>0</v>
      </c>
      <c r="AZ48" s="9">
        <f>IF(Stock!AU48="",0,IF(ISNUMBER($E48),($E48+$F48)*Stock!AU48/100,Stock!AU48))</f>
        <v>0</v>
      </c>
      <c r="BA48" s="9">
        <f>IF(Stock!AV48="",0,IF(ISNUMBER($E48),($E48+$F48)*Stock!AV48/100,Stock!AV48))</f>
        <v>0</v>
      </c>
      <c r="BB48" s="9">
        <f>IF(Stock!AW48="",0,IF(ISNUMBER($E48),($E48+$F48)*Stock!AW48/100,Stock!AW48))</f>
        <v>0</v>
      </c>
      <c r="BC48" s="9">
        <f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>IF(Stock!C49="",0,IF(ISNUMBER($E49),($E49+$F49)*Stock!C49/100,Stock!C49))</f>
        <v>0</v>
      </c>
      <c r="I49" s="9">
        <f>IF(Stock!D49="",0,IF(ISNUMBER($E49),($E49+$F49)*Stock!D49/100,Stock!D49))</f>
        <v>0</v>
      </c>
      <c r="J49" s="9">
        <f>IF(Stock!E49="",0,IF(ISNUMBER($E49),($E49+$F49)*Stock!E49/100,Stock!E49))</f>
        <v>0</v>
      </c>
      <c r="K49" s="9">
        <f>IF(Stock!F49="",0,IF(ISNUMBER($E49),($E49+$F49)*Stock!F49/100,Stock!F49))</f>
        <v>0</v>
      </c>
      <c r="L49" s="9">
        <f>IF(Stock!G49="",0,IF(ISNUMBER($E49),($E49+$F49)*Stock!G49/100,Stock!G49))</f>
        <v>0</v>
      </c>
      <c r="M49" s="9">
        <f>IF(Stock!H49="",0,IF(ISNUMBER($E49),($E49+$F49)*Stock!H49/100,Stock!H49))</f>
        <v>0</v>
      </c>
      <c r="N49" s="9">
        <f>IF(Stock!I49="",0,IF(ISNUMBER($E49),($E49+$F49)*Stock!I49/100,Stock!I49))</f>
        <v>0</v>
      </c>
      <c r="O49" s="9">
        <f>IF(Stock!J49="",0,IF(ISNUMBER($E49),($E49+$F49)*Stock!J49/100,Stock!J49))</f>
        <v>0</v>
      </c>
      <c r="P49" s="9">
        <f>IF(Stock!K49="",0,IF(ISNUMBER($E49),($E49+$F49)*Stock!K49/100,Stock!K49))</f>
        <v>0</v>
      </c>
      <c r="Q49" s="9">
        <f>IF(Stock!L49="",0,IF(ISNUMBER($E49),($E49+$F49)*Stock!L49/100,Stock!L49))</f>
        <v>0</v>
      </c>
      <c r="R49" s="9">
        <f>IF(Stock!M49="",0,IF(ISNUMBER($E49),($E49+$F49)*Stock!M49/100,Stock!M49))</f>
        <v>0</v>
      </c>
      <c r="S49" s="9">
        <f>IF(Stock!N49="",0,IF(ISNUMBER($E49),($E49+$F49)*Stock!N49/100,Stock!N49))</f>
        <v>0</v>
      </c>
      <c r="T49" s="9">
        <f>IF(Stock!O49="",0,IF(ISNUMBER($E49),($E49+$F49)*Stock!O49/100,Stock!O49))</f>
        <v>0</v>
      </c>
      <c r="U49" s="9">
        <f>IF(Stock!P49="",0,IF(ISNUMBER($E49),($E49+$F49)*Stock!P49/100,Stock!P49))</f>
        <v>0</v>
      </c>
      <c r="V49" s="9">
        <f>IF(Stock!Q49="",0,IF(ISNUMBER($E49),($E49+$F49)*Stock!Q49/100,Stock!Q49))</f>
        <v>0</v>
      </c>
      <c r="W49" s="9">
        <f>IF(Stock!R49="",0,IF(ISNUMBER($E49),($E49+$F49)*Stock!R49/100,Stock!R49))</f>
        <v>0</v>
      </c>
      <c r="X49" s="9">
        <f>IF(Stock!S49="",0,IF(ISNUMBER($E49),($E49+$F49)*Stock!S49/100,Stock!S49))</f>
        <v>0</v>
      </c>
      <c r="Y49" s="9">
        <f>IF(Stock!T49="",0,IF(ISNUMBER($E49),($E49+$F49)*Stock!T49/100,Stock!T49))</f>
        <v>0</v>
      </c>
      <c r="Z49" s="9">
        <f>IF(Stock!U49="",0,IF(ISNUMBER($E49),($E49+$F49)*Stock!U49/100,Stock!U49))</f>
        <v>0</v>
      </c>
      <c r="AA49" s="9">
        <f>IF(Stock!V49="",0,IF(ISNUMBER($E49),($E49+$F49)*Stock!V49/100,Stock!V49))</f>
        <v>0</v>
      </c>
      <c r="AB49" s="9">
        <f>IF(Stock!W49="",0,IF(ISNUMBER($E49),($E49+$F49)*Stock!W49/100,Stock!W49))</f>
        <v>0</v>
      </c>
      <c r="AC49" s="9">
        <f>IF(Stock!X49="",0,IF(ISNUMBER($E49),($E49+$F49)*Stock!X49/100,Stock!X49))</f>
        <v>0</v>
      </c>
      <c r="AD49" s="9">
        <f>IF(Stock!Y49="",0,IF(ISNUMBER($E49),($E49+$F49)*Stock!Y49/100,Stock!Y49))</f>
        <v>0</v>
      </c>
      <c r="AE49" s="9">
        <f>IF(Stock!Z49="",0,IF(ISNUMBER($E49),($E49+$F49)*Stock!Z49/100,Stock!Z49))</f>
        <v>0</v>
      </c>
      <c r="AF49" s="9">
        <f>IF(Stock!AA49="",0,IF(ISNUMBER($E49),($E49+$F49)*Stock!AA49/100,Stock!AA49))</f>
        <v>0</v>
      </c>
      <c r="AG49" s="9">
        <f>IF(Stock!AB49="",0,IF(ISNUMBER($E49),($E49+$F49)*Stock!AB49/100,Stock!AB49))</f>
        <v>0</v>
      </c>
      <c r="AH49" s="9">
        <f>IF(Stock!AC49="",0,IF(ISNUMBER($E49),($E49+$F49)*Stock!AC49/100,Stock!AC49))</f>
        <v>0</v>
      </c>
      <c r="AI49" s="9">
        <f>IF(Stock!AD49="",0,IF(ISNUMBER($E49),($E49+$F49)*Stock!AD49/100,Stock!AD49))</f>
        <v>0</v>
      </c>
      <c r="AJ49" s="9">
        <f>IF(Stock!AE49="",0,IF(ISNUMBER($E49),($E49+$F49)*Stock!AE49/100,Stock!AE49))</f>
        <v>0</v>
      </c>
      <c r="AK49" s="9">
        <f>IF(Stock!AF49="",0,IF(ISNUMBER($E49),($E49+$F49)*Stock!AF49/100,Stock!AF49))</f>
        <v>0</v>
      </c>
      <c r="AL49" s="9">
        <f>IF(Stock!AG49="",0,IF(ISNUMBER($E49),($E49+$F49)*Stock!AG49/100,Stock!AG49))</f>
        <v>0</v>
      </c>
      <c r="AM49" s="9">
        <f>IF(Stock!AH49="",0,IF(ISNUMBER($E49),($E49+$F49)*Stock!AH49/100,Stock!AH49))</f>
        <v>0</v>
      </c>
      <c r="AN49" s="9">
        <f>IF(Stock!AI49="",0,IF(ISNUMBER($E49),($E49+$F49)*Stock!AI49/100,Stock!AI49))</f>
        <v>0</v>
      </c>
      <c r="AO49" s="9">
        <f>IF(Stock!AJ49="",0,IF(ISNUMBER($E49),($E49+$F49)*Stock!AJ49/100,Stock!AJ49))</f>
        <v>0</v>
      </c>
      <c r="AP49" s="9">
        <f>IF(Stock!AK49="",0,IF(ISNUMBER($E49),($E49+$F49)*Stock!AK49/100,Stock!AK49))</f>
        <v>0</v>
      </c>
      <c r="AQ49" s="9">
        <f>IF(Stock!AL49="",0,IF(ISNUMBER($E49),($E49+$F49)*Stock!AL49/100,Stock!AL49))</f>
        <v>0</v>
      </c>
      <c r="AR49" s="9">
        <f>IF(Stock!AM49="",0,IF(ISNUMBER($E49),($E49+$F49)*Stock!AM49/100,Stock!AM49))</f>
        <v>0</v>
      </c>
      <c r="AS49" s="9">
        <f>IF(Stock!AN49="",0,IF(ISNUMBER($E49),($E49+$F49)*Stock!AN49/100,Stock!AN49))</f>
        <v>0</v>
      </c>
      <c r="AT49" s="9">
        <f>IF(Stock!AO49="",0,IF(ISNUMBER($E49),($E49+$F49)*Stock!AO49/100,Stock!AO49))</f>
        <v>0</v>
      </c>
      <c r="AU49" s="9">
        <f>IF(Stock!AP49="",0,IF(ISNUMBER($E49),($E49+$F49)*Stock!AP49/100,Stock!AP49))</f>
        <v>0</v>
      </c>
      <c r="AV49" s="9">
        <f>IF(Stock!AQ49="",0,IF(ISNUMBER($E49),($E49+$F49)*Stock!AQ49/100,Stock!AQ49))</f>
        <v>0</v>
      </c>
      <c r="AW49" s="9">
        <f>IF(Stock!AR49="",0,IF(ISNUMBER($E49),($E49+$F49)*Stock!AR49/100,Stock!AR49))</f>
        <v>0</v>
      </c>
      <c r="AX49" s="9">
        <f>IF(Stock!AS49="",0,IF(ISNUMBER($E49),($E49+$F49)*Stock!AS49/100,Stock!AS49))</f>
        <v>0</v>
      </c>
      <c r="AY49" s="9">
        <f>IF(Stock!AT49="",0,IF(ISNUMBER($E49),($E49+$F49)*Stock!AT49/100,Stock!AT49))</f>
        <v>0</v>
      </c>
      <c r="AZ49" s="9">
        <f>IF(Stock!AU49="",0,IF(ISNUMBER($E49),($E49+$F49)*Stock!AU49/100,Stock!AU49))</f>
        <v>0</v>
      </c>
      <c r="BA49" s="9">
        <f>IF(Stock!AV49="",0,IF(ISNUMBER($E49),($E49+$F49)*Stock!AV49/100,Stock!AV49))</f>
        <v>0</v>
      </c>
      <c r="BB49" s="9">
        <f>IF(Stock!AW49="",0,IF(ISNUMBER($E49),($E49+$F49)*Stock!AW49/100,Stock!AW49))</f>
        <v>0</v>
      </c>
      <c r="BC49" s="9">
        <f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>IF(Stock!C50="",0,IF(ISNUMBER($E50),($E50+$F50)*Stock!C50/100,Stock!C50))</f>
        <v>0</v>
      </c>
      <c r="I50" s="9">
        <f>IF(Stock!D50="",0,IF(ISNUMBER($E50),($E50+$F50)*Stock!D50/100,Stock!D50))</f>
        <v>0</v>
      </c>
      <c r="J50" s="9">
        <f>IF(Stock!E50="",0,IF(ISNUMBER($E50),($E50+$F50)*Stock!E50/100,Stock!E50))</f>
        <v>0</v>
      </c>
      <c r="K50" s="9">
        <f>IF(Stock!F50="",0,IF(ISNUMBER($E50),($E50+$F50)*Stock!F50/100,Stock!F50))</f>
        <v>0</v>
      </c>
      <c r="L50" s="9">
        <f>IF(Stock!G50="",0,IF(ISNUMBER($E50),($E50+$F50)*Stock!G50/100,Stock!G50))</f>
        <v>0</v>
      </c>
      <c r="M50" s="9">
        <f>IF(Stock!H50="",0,IF(ISNUMBER($E50),($E50+$F50)*Stock!H50/100,Stock!H50))</f>
        <v>0</v>
      </c>
      <c r="N50" s="9">
        <f>IF(Stock!I50="",0,IF(ISNUMBER($E50),($E50+$F50)*Stock!I50/100,Stock!I50))</f>
        <v>0</v>
      </c>
      <c r="O50" s="9">
        <f>IF(Stock!J50="",0,IF(ISNUMBER($E50),($E50+$F50)*Stock!J50/100,Stock!J50))</f>
        <v>0</v>
      </c>
      <c r="P50" s="9">
        <f>IF(Stock!K50="",0,IF(ISNUMBER($E50),($E50+$F50)*Stock!K50/100,Stock!K50))</f>
        <v>0</v>
      </c>
      <c r="Q50" s="9">
        <f>IF(Stock!L50="",0,IF(ISNUMBER($E50),($E50+$F50)*Stock!L50/100,Stock!L50))</f>
        <v>0</v>
      </c>
      <c r="R50" s="9">
        <f>IF(Stock!M50="",0,IF(ISNUMBER($E50),($E50+$F50)*Stock!M50/100,Stock!M50))</f>
        <v>0</v>
      </c>
      <c r="S50" s="9">
        <f>IF(Stock!N50="",0,IF(ISNUMBER($E50),($E50+$F50)*Stock!N50/100,Stock!N50))</f>
        <v>0</v>
      </c>
      <c r="T50" s="9">
        <f>IF(Stock!O50="",0,IF(ISNUMBER($E50),($E50+$F50)*Stock!O50/100,Stock!O50))</f>
        <v>0</v>
      </c>
      <c r="U50" s="9">
        <f>IF(Stock!P50="",0,IF(ISNUMBER($E50),($E50+$F50)*Stock!P50/100,Stock!P50))</f>
        <v>0</v>
      </c>
      <c r="V50" s="9">
        <f>IF(Stock!Q50="",0,IF(ISNUMBER($E50),($E50+$F50)*Stock!Q50/100,Stock!Q50))</f>
        <v>0</v>
      </c>
      <c r="W50" s="9">
        <f>IF(Stock!R50="",0,IF(ISNUMBER($E50),($E50+$F50)*Stock!R50/100,Stock!R50))</f>
        <v>0</v>
      </c>
      <c r="X50" s="9">
        <f>IF(Stock!S50="",0,IF(ISNUMBER($E50),($E50+$F50)*Stock!S50/100,Stock!S50))</f>
        <v>0</v>
      </c>
      <c r="Y50" s="9">
        <f>IF(Stock!T50="",0,IF(ISNUMBER($E50),($E50+$F50)*Stock!T50/100,Stock!T50))</f>
        <v>0</v>
      </c>
      <c r="Z50" s="9">
        <f>IF(Stock!U50="",0,IF(ISNUMBER($E50),($E50+$F50)*Stock!U50/100,Stock!U50))</f>
        <v>0</v>
      </c>
      <c r="AA50" s="9">
        <f>IF(Stock!V50="",0,IF(ISNUMBER($E50),($E50+$F50)*Stock!V50/100,Stock!V50))</f>
        <v>0</v>
      </c>
      <c r="AB50" s="9">
        <f>IF(Stock!W50="",0,IF(ISNUMBER($E50),($E50+$F50)*Stock!W50/100,Stock!W50))</f>
        <v>0</v>
      </c>
      <c r="AC50" s="9">
        <f>IF(Stock!X50="",0,IF(ISNUMBER($E50),($E50+$F50)*Stock!X50/100,Stock!X50))</f>
        <v>0</v>
      </c>
      <c r="AD50" s="9">
        <f>IF(Stock!Y50="",0,IF(ISNUMBER($E50),($E50+$F50)*Stock!Y50/100,Stock!Y50))</f>
        <v>0</v>
      </c>
      <c r="AE50" s="9">
        <f>IF(Stock!Z50="",0,IF(ISNUMBER($E50),($E50+$F50)*Stock!Z50/100,Stock!Z50))</f>
        <v>0</v>
      </c>
      <c r="AF50" s="9">
        <f>IF(Stock!AA50="",0,IF(ISNUMBER($E50),($E50+$F50)*Stock!AA50/100,Stock!AA50))</f>
        <v>0</v>
      </c>
      <c r="AG50" s="9">
        <f>IF(Stock!AB50="",0,IF(ISNUMBER($E50),($E50+$F50)*Stock!AB50/100,Stock!AB50))</f>
        <v>0</v>
      </c>
      <c r="AH50" s="9">
        <f>IF(Stock!AC50="",0,IF(ISNUMBER($E50),($E50+$F50)*Stock!AC50/100,Stock!AC50))</f>
        <v>0</v>
      </c>
      <c r="AI50" s="9">
        <f>IF(Stock!AD50="",0,IF(ISNUMBER($E50),($E50+$F50)*Stock!AD50/100,Stock!AD50))</f>
        <v>0</v>
      </c>
      <c r="AJ50" s="9">
        <f>IF(Stock!AE50="",0,IF(ISNUMBER($E50),($E50+$F50)*Stock!AE50/100,Stock!AE50))</f>
        <v>0</v>
      </c>
      <c r="AK50" s="9">
        <f>IF(Stock!AF50="",0,IF(ISNUMBER($E50),($E50+$F50)*Stock!AF50/100,Stock!AF50))</f>
        <v>0</v>
      </c>
      <c r="AL50" s="9">
        <f>IF(Stock!AG50="",0,IF(ISNUMBER($E50),($E50+$F50)*Stock!AG50/100,Stock!AG50))</f>
        <v>0</v>
      </c>
      <c r="AM50" s="9">
        <f>IF(Stock!AH50="",0,IF(ISNUMBER($E50),($E50+$F50)*Stock!AH50/100,Stock!AH50))</f>
        <v>0</v>
      </c>
      <c r="AN50" s="9">
        <f>IF(Stock!AI50="",0,IF(ISNUMBER($E50),($E50+$F50)*Stock!AI50/100,Stock!AI50))</f>
        <v>0</v>
      </c>
      <c r="AO50" s="9">
        <f>IF(Stock!AJ50="",0,IF(ISNUMBER($E50),($E50+$F50)*Stock!AJ50/100,Stock!AJ50))</f>
        <v>0</v>
      </c>
      <c r="AP50" s="9">
        <f>IF(Stock!AK50="",0,IF(ISNUMBER($E50),($E50+$F50)*Stock!AK50/100,Stock!AK50))</f>
        <v>0</v>
      </c>
      <c r="AQ50" s="9">
        <f>IF(Stock!AL50="",0,IF(ISNUMBER($E50),($E50+$F50)*Stock!AL50/100,Stock!AL50))</f>
        <v>0</v>
      </c>
      <c r="AR50" s="9">
        <f>IF(Stock!AM50="",0,IF(ISNUMBER($E50),($E50+$F50)*Stock!AM50/100,Stock!AM50))</f>
        <v>0</v>
      </c>
      <c r="AS50" s="9">
        <f>IF(Stock!AN50="",0,IF(ISNUMBER($E50),($E50+$F50)*Stock!AN50/100,Stock!AN50))</f>
        <v>0</v>
      </c>
      <c r="AT50" s="9">
        <f>IF(Stock!AO50="",0,IF(ISNUMBER($E50),($E50+$F50)*Stock!AO50/100,Stock!AO50))</f>
        <v>0</v>
      </c>
      <c r="AU50" s="9">
        <f>IF(Stock!AP50="",0,IF(ISNUMBER($E50),($E50+$F50)*Stock!AP50/100,Stock!AP50))</f>
        <v>0</v>
      </c>
      <c r="AV50" s="9">
        <f>IF(Stock!AQ50="",0,IF(ISNUMBER($E50),($E50+$F50)*Stock!AQ50/100,Stock!AQ50))</f>
        <v>0</v>
      </c>
      <c r="AW50" s="9">
        <f>IF(Stock!AR50="",0,IF(ISNUMBER($E50),($E50+$F50)*Stock!AR50/100,Stock!AR50))</f>
        <v>0</v>
      </c>
      <c r="AX50" s="9">
        <f>IF(Stock!AS50="",0,IF(ISNUMBER($E50),($E50+$F50)*Stock!AS50/100,Stock!AS50))</f>
        <v>0</v>
      </c>
      <c r="AY50" s="9">
        <f>IF(Stock!AT50="",0,IF(ISNUMBER($E50),($E50+$F50)*Stock!AT50/100,Stock!AT50))</f>
        <v>0</v>
      </c>
      <c r="AZ50" s="9">
        <f>IF(Stock!AU50="",0,IF(ISNUMBER($E50),($E50+$F50)*Stock!AU50/100,Stock!AU50))</f>
        <v>0</v>
      </c>
      <c r="BA50" s="9">
        <f>IF(Stock!AV50="",0,IF(ISNUMBER($E50),($E50+$F50)*Stock!AV50/100,Stock!AV50))</f>
        <v>0</v>
      </c>
      <c r="BB50" s="9">
        <f>IF(Stock!AW50="",0,IF(ISNUMBER($E50),($E50+$F50)*Stock!AW50/100,Stock!AW50))</f>
        <v>0</v>
      </c>
      <c r="BC50" s="9">
        <f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>IF(Stock!C51="",0,IF(ISNUMBER($E51),($E51+$F51)*Stock!C51/100,Stock!C51))</f>
        <v>0</v>
      </c>
      <c r="I51" s="9">
        <f>IF(Stock!D51="",0,IF(ISNUMBER($E51),($E51+$F51)*Stock!D51/100,Stock!D51))</f>
        <v>0</v>
      </c>
      <c r="J51" s="9">
        <f>IF(Stock!E51="",0,IF(ISNUMBER($E51),($E51+$F51)*Stock!E51/100,Stock!E51))</f>
        <v>0</v>
      </c>
      <c r="K51" s="9">
        <f>IF(Stock!F51="",0,IF(ISNUMBER($E51),($E51+$F51)*Stock!F51/100,Stock!F51))</f>
        <v>0</v>
      </c>
      <c r="L51" s="9">
        <f>IF(Stock!G51="",0,IF(ISNUMBER($E51),($E51+$F51)*Stock!G51/100,Stock!G51))</f>
        <v>0</v>
      </c>
      <c r="M51" s="9">
        <f>IF(Stock!H51="",0,IF(ISNUMBER($E51),($E51+$F51)*Stock!H51/100,Stock!H51))</f>
        <v>0</v>
      </c>
      <c r="N51" s="9">
        <f>IF(Stock!I51="",0,IF(ISNUMBER($E51),($E51+$F51)*Stock!I51/100,Stock!I51))</f>
        <v>0</v>
      </c>
      <c r="O51" s="9">
        <f>IF(Stock!J51="",0,IF(ISNUMBER($E51),($E51+$F51)*Stock!J51/100,Stock!J51))</f>
        <v>0</v>
      </c>
      <c r="P51" s="9">
        <f>IF(Stock!K51="",0,IF(ISNUMBER($E51),($E51+$F51)*Stock!K51/100,Stock!K51))</f>
        <v>0</v>
      </c>
      <c r="Q51" s="9">
        <f>IF(Stock!L51="",0,IF(ISNUMBER($E51),($E51+$F51)*Stock!L51/100,Stock!L51))</f>
        <v>0</v>
      </c>
      <c r="R51" s="9">
        <f>IF(Stock!M51="",0,IF(ISNUMBER($E51),($E51+$F51)*Stock!M51/100,Stock!M51))</f>
        <v>0</v>
      </c>
      <c r="S51" s="9">
        <f>IF(Stock!N51="",0,IF(ISNUMBER($E51),($E51+$F51)*Stock!N51/100,Stock!N51))</f>
        <v>0</v>
      </c>
      <c r="T51" s="9">
        <f>IF(Stock!O51="",0,IF(ISNUMBER($E51),($E51+$F51)*Stock!O51/100,Stock!O51))</f>
        <v>0</v>
      </c>
      <c r="U51" s="9">
        <f>IF(Stock!P51="",0,IF(ISNUMBER($E51),($E51+$F51)*Stock!P51/100,Stock!P51))</f>
        <v>0</v>
      </c>
      <c r="V51" s="9">
        <f>IF(Stock!Q51="",0,IF(ISNUMBER($E51),($E51+$F51)*Stock!Q51/100,Stock!Q51))</f>
        <v>0</v>
      </c>
      <c r="W51" s="9">
        <f>IF(Stock!R51="",0,IF(ISNUMBER($E51),($E51+$F51)*Stock!R51/100,Stock!R51))</f>
        <v>0</v>
      </c>
      <c r="X51" s="9">
        <f>IF(Stock!S51="",0,IF(ISNUMBER($E51),($E51+$F51)*Stock!S51/100,Stock!S51))</f>
        <v>0</v>
      </c>
      <c r="Y51" s="9">
        <f>IF(Stock!T51="",0,IF(ISNUMBER($E51),($E51+$F51)*Stock!T51/100,Stock!T51))</f>
        <v>0</v>
      </c>
      <c r="Z51" s="9">
        <f>IF(Stock!U51="",0,IF(ISNUMBER($E51),($E51+$F51)*Stock!U51/100,Stock!U51))</f>
        <v>0</v>
      </c>
      <c r="AA51" s="9">
        <f>IF(Stock!V51="",0,IF(ISNUMBER($E51),($E51+$F51)*Stock!V51/100,Stock!V51))</f>
        <v>0</v>
      </c>
      <c r="AB51" s="9">
        <f>IF(Stock!W51="",0,IF(ISNUMBER($E51),($E51+$F51)*Stock!W51/100,Stock!W51))</f>
        <v>0</v>
      </c>
      <c r="AC51" s="9">
        <f>IF(Stock!X51="",0,IF(ISNUMBER($E51),($E51+$F51)*Stock!X51/100,Stock!X51))</f>
        <v>0</v>
      </c>
      <c r="AD51" s="9">
        <f>IF(Stock!Y51="",0,IF(ISNUMBER($E51),($E51+$F51)*Stock!Y51/100,Stock!Y51))</f>
        <v>0</v>
      </c>
      <c r="AE51" s="9">
        <f>IF(Stock!Z51="",0,IF(ISNUMBER($E51),($E51+$F51)*Stock!Z51/100,Stock!Z51))</f>
        <v>0</v>
      </c>
      <c r="AF51" s="9">
        <f>IF(Stock!AA51="",0,IF(ISNUMBER($E51),($E51+$F51)*Stock!AA51/100,Stock!AA51))</f>
        <v>0</v>
      </c>
      <c r="AG51" s="9">
        <f>IF(Stock!AB51="",0,IF(ISNUMBER($E51),($E51+$F51)*Stock!AB51/100,Stock!AB51))</f>
        <v>0</v>
      </c>
      <c r="AH51" s="9">
        <f>IF(Stock!AC51="",0,IF(ISNUMBER($E51),($E51+$F51)*Stock!AC51/100,Stock!AC51))</f>
        <v>0</v>
      </c>
      <c r="AI51" s="9">
        <f>IF(Stock!AD51="",0,IF(ISNUMBER($E51),($E51+$F51)*Stock!AD51/100,Stock!AD51))</f>
        <v>0</v>
      </c>
      <c r="AJ51" s="9">
        <f>IF(Stock!AE51="",0,IF(ISNUMBER($E51),($E51+$F51)*Stock!AE51/100,Stock!AE51))</f>
        <v>0</v>
      </c>
      <c r="AK51" s="9">
        <f>IF(Stock!AF51="",0,IF(ISNUMBER($E51),($E51+$F51)*Stock!AF51/100,Stock!AF51))</f>
        <v>0</v>
      </c>
      <c r="AL51" s="9">
        <f>IF(Stock!AG51="",0,IF(ISNUMBER($E51),($E51+$F51)*Stock!AG51/100,Stock!AG51))</f>
        <v>0</v>
      </c>
      <c r="AM51" s="9">
        <f>IF(Stock!AH51="",0,IF(ISNUMBER($E51),($E51+$F51)*Stock!AH51/100,Stock!AH51))</f>
        <v>0</v>
      </c>
      <c r="AN51" s="9">
        <f>IF(Stock!AI51="",0,IF(ISNUMBER($E51),($E51+$F51)*Stock!AI51/100,Stock!AI51))</f>
        <v>0</v>
      </c>
      <c r="AO51" s="9">
        <f>IF(Stock!AJ51="",0,IF(ISNUMBER($E51),($E51+$F51)*Stock!AJ51/100,Stock!AJ51))</f>
        <v>0</v>
      </c>
      <c r="AP51" s="9">
        <f>IF(Stock!AK51="",0,IF(ISNUMBER($E51),($E51+$F51)*Stock!AK51/100,Stock!AK51))</f>
        <v>0</v>
      </c>
      <c r="AQ51" s="9">
        <f>IF(Stock!AL51="",0,IF(ISNUMBER($E51),($E51+$F51)*Stock!AL51/100,Stock!AL51))</f>
        <v>0</v>
      </c>
      <c r="AR51" s="9">
        <f>IF(Stock!AM51="",0,IF(ISNUMBER($E51),($E51+$F51)*Stock!AM51/100,Stock!AM51))</f>
        <v>0</v>
      </c>
      <c r="AS51" s="9">
        <f>IF(Stock!AN51="",0,IF(ISNUMBER($E51),($E51+$F51)*Stock!AN51/100,Stock!AN51))</f>
        <v>0</v>
      </c>
      <c r="AT51" s="9">
        <f>IF(Stock!AO51="",0,IF(ISNUMBER($E51),($E51+$F51)*Stock!AO51/100,Stock!AO51))</f>
        <v>0</v>
      </c>
      <c r="AU51" s="9">
        <f>IF(Stock!AP51="",0,IF(ISNUMBER($E51),($E51+$F51)*Stock!AP51/100,Stock!AP51))</f>
        <v>0</v>
      </c>
      <c r="AV51" s="9">
        <f>IF(Stock!AQ51="",0,IF(ISNUMBER($E51),($E51+$F51)*Stock!AQ51/100,Stock!AQ51))</f>
        <v>0</v>
      </c>
      <c r="AW51" s="9">
        <f>IF(Stock!AR51="",0,IF(ISNUMBER($E51),($E51+$F51)*Stock!AR51/100,Stock!AR51))</f>
        <v>0</v>
      </c>
      <c r="AX51" s="9">
        <f>IF(Stock!AS51="",0,IF(ISNUMBER($E51),($E51+$F51)*Stock!AS51/100,Stock!AS51))</f>
        <v>0</v>
      </c>
      <c r="AY51" s="9">
        <f>IF(Stock!AT51="",0,IF(ISNUMBER($E51),($E51+$F51)*Stock!AT51/100,Stock!AT51))</f>
        <v>0</v>
      </c>
      <c r="AZ51" s="9">
        <f>IF(Stock!AU51="",0,IF(ISNUMBER($E51),($E51+$F51)*Stock!AU51/100,Stock!AU51))</f>
        <v>0</v>
      </c>
      <c r="BA51" s="9">
        <f>IF(Stock!AV51="",0,IF(ISNUMBER($E51),($E51+$F51)*Stock!AV51/100,Stock!AV51))</f>
        <v>0</v>
      </c>
      <c r="BB51" s="9">
        <f>IF(Stock!AW51="",0,IF(ISNUMBER($E51),($E51+$F51)*Stock!AW51/100,Stock!AW51))</f>
        <v>0</v>
      </c>
      <c r="BC51" s="9">
        <f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>IF(Stock!C52="",0,IF(ISNUMBER($E52),($E52+$F52)*Stock!C52/100,Stock!C52))</f>
        <v>0</v>
      </c>
      <c r="I52" s="9">
        <f>IF(Stock!D52="",0,IF(ISNUMBER($E52),($E52+$F52)*Stock!D52/100,Stock!D52))</f>
        <v>0</v>
      </c>
      <c r="J52" s="9">
        <f>IF(Stock!E52="",0,IF(ISNUMBER($E52),($E52+$F52)*Stock!E52/100,Stock!E52))</f>
        <v>0</v>
      </c>
      <c r="K52" s="9">
        <f>IF(Stock!F52="",0,IF(ISNUMBER($E52),($E52+$F52)*Stock!F52/100,Stock!F52))</f>
        <v>0</v>
      </c>
      <c r="L52" s="9">
        <f>IF(Stock!G52="",0,IF(ISNUMBER($E52),($E52+$F52)*Stock!G52/100,Stock!G52))</f>
        <v>0</v>
      </c>
      <c r="M52" s="9">
        <f>IF(Stock!H52="",0,IF(ISNUMBER($E52),($E52+$F52)*Stock!H52/100,Stock!H52))</f>
        <v>0</v>
      </c>
      <c r="N52" s="9">
        <f>IF(Stock!I52="",0,IF(ISNUMBER($E52),($E52+$F52)*Stock!I52/100,Stock!I52))</f>
        <v>0</v>
      </c>
      <c r="O52" s="9">
        <f>IF(Stock!J52="",0,IF(ISNUMBER($E52),($E52+$F52)*Stock!J52/100,Stock!J52))</f>
        <v>0</v>
      </c>
      <c r="P52" s="9">
        <f>IF(Stock!K52="",0,IF(ISNUMBER($E52),($E52+$F52)*Stock!K52/100,Stock!K52))</f>
        <v>0</v>
      </c>
      <c r="Q52" s="9">
        <f>IF(Stock!L52="",0,IF(ISNUMBER($E52),($E52+$F52)*Stock!L52/100,Stock!L52))</f>
        <v>0</v>
      </c>
      <c r="R52" s="9">
        <f>IF(Stock!M52="",0,IF(ISNUMBER($E52),($E52+$F52)*Stock!M52/100,Stock!M52))</f>
        <v>0</v>
      </c>
      <c r="S52" s="9">
        <f>IF(Stock!N52="",0,IF(ISNUMBER($E52),($E52+$F52)*Stock!N52/100,Stock!N52))</f>
        <v>0</v>
      </c>
      <c r="T52" s="9">
        <f>IF(Stock!O52="",0,IF(ISNUMBER($E52),($E52+$F52)*Stock!O52/100,Stock!O52))</f>
        <v>0</v>
      </c>
      <c r="U52" s="9">
        <f>IF(Stock!P52="",0,IF(ISNUMBER($E52),($E52+$F52)*Stock!P52/100,Stock!P52))</f>
        <v>0</v>
      </c>
      <c r="V52" s="9">
        <f>IF(Stock!Q52="",0,IF(ISNUMBER($E52),($E52+$F52)*Stock!Q52/100,Stock!Q52))</f>
        <v>0</v>
      </c>
      <c r="W52" s="9">
        <f>IF(Stock!R52="",0,IF(ISNUMBER($E52),($E52+$F52)*Stock!R52/100,Stock!R52))</f>
        <v>0</v>
      </c>
      <c r="X52" s="9">
        <f>IF(Stock!S52="",0,IF(ISNUMBER($E52),($E52+$F52)*Stock!S52/100,Stock!S52))</f>
        <v>0</v>
      </c>
      <c r="Y52" s="9">
        <f>IF(Stock!T52="",0,IF(ISNUMBER($E52),($E52+$F52)*Stock!T52/100,Stock!T52))</f>
        <v>0</v>
      </c>
      <c r="Z52" s="9">
        <f>IF(Stock!U52="",0,IF(ISNUMBER($E52),($E52+$F52)*Stock!U52/100,Stock!U52))</f>
        <v>0</v>
      </c>
      <c r="AA52" s="9">
        <f>IF(Stock!V52="",0,IF(ISNUMBER($E52),($E52+$F52)*Stock!V52/100,Stock!V52))</f>
        <v>0</v>
      </c>
      <c r="AB52" s="9">
        <f>IF(Stock!W52="",0,IF(ISNUMBER($E52),($E52+$F52)*Stock!W52/100,Stock!W52))</f>
        <v>0</v>
      </c>
      <c r="AC52" s="9">
        <f>IF(Stock!X52="",0,IF(ISNUMBER($E52),($E52+$F52)*Stock!X52/100,Stock!X52))</f>
        <v>0</v>
      </c>
      <c r="AD52" s="9">
        <f>IF(Stock!Y52="",0,IF(ISNUMBER($E52),($E52+$F52)*Stock!Y52/100,Stock!Y52))</f>
        <v>0</v>
      </c>
      <c r="AE52" s="9">
        <f>IF(Stock!Z52="",0,IF(ISNUMBER($E52),($E52+$F52)*Stock!Z52/100,Stock!Z52))</f>
        <v>0</v>
      </c>
      <c r="AF52" s="9">
        <f>IF(Stock!AA52="",0,IF(ISNUMBER($E52),($E52+$F52)*Stock!AA52/100,Stock!AA52))</f>
        <v>0</v>
      </c>
      <c r="AG52" s="9">
        <f>IF(Stock!AB52="",0,IF(ISNUMBER($E52),($E52+$F52)*Stock!AB52/100,Stock!AB52))</f>
        <v>0</v>
      </c>
      <c r="AH52" s="9">
        <f>IF(Stock!AC52="",0,IF(ISNUMBER($E52),($E52+$F52)*Stock!AC52/100,Stock!AC52))</f>
        <v>0</v>
      </c>
      <c r="AI52" s="9">
        <f>IF(Stock!AD52="",0,IF(ISNUMBER($E52),($E52+$F52)*Stock!AD52/100,Stock!AD52))</f>
        <v>0</v>
      </c>
      <c r="AJ52" s="9">
        <f>IF(Stock!AE52="",0,IF(ISNUMBER($E52),($E52+$F52)*Stock!AE52/100,Stock!AE52))</f>
        <v>0</v>
      </c>
      <c r="AK52" s="9">
        <f>IF(Stock!AF52="",0,IF(ISNUMBER($E52),($E52+$F52)*Stock!AF52/100,Stock!AF52))</f>
        <v>0</v>
      </c>
      <c r="AL52" s="9">
        <f>IF(Stock!AG52="",0,IF(ISNUMBER($E52),($E52+$F52)*Stock!AG52/100,Stock!AG52))</f>
        <v>0</v>
      </c>
      <c r="AM52" s="9">
        <f>IF(Stock!AH52="",0,IF(ISNUMBER($E52),($E52+$F52)*Stock!AH52/100,Stock!AH52))</f>
        <v>0</v>
      </c>
      <c r="AN52" s="9">
        <f>IF(Stock!AI52="",0,IF(ISNUMBER($E52),($E52+$F52)*Stock!AI52/100,Stock!AI52))</f>
        <v>0</v>
      </c>
      <c r="AO52" s="9">
        <f>IF(Stock!AJ52="",0,IF(ISNUMBER($E52),($E52+$F52)*Stock!AJ52/100,Stock!AJ52))</f>
        <v>0</v>
      </c>
      <c r="AP52" s="9">
        <f>IF(Stock!AK52="",0,IF(ISNUMBER($E52),($E52+$F52)*Stock!AK52/100,Stock!AK52))</f>
        <v>0</v>
      </c>
      <c r="AQ52" s="9">
        <f>IF(Stock!AL52="",0,IF(ISNUMBER($E52),($E52+$F52)*Stock!AL52/100,Stock!AL52))</f>
        <v>0</v>
      </c>
      <c r="AR52" s="9">
        <f>IF(Stock!AM52="",0,IF(ISNUMBER($E52),($E52+$F52)*Stock!AM52/100,Stock!AM52))</f>
        <v>0</v>
      </c>
      <c r="AS52" s="9">
        <f>IF(Stock!AN52="",0,IF(ISNUMBER($E52),($E52+$F52)*Stock!AN52/100,Stock!AN52))</f>
        <v>0</v>
      </c>
      <c r="AT52" s="9">
        <f>IF(Stock!AO52="",0,IF(ISNUMBER($E52),($E52+$F52)*Stock!AO52/100,Stock!AO52))</f>
        <v>0</v>
      </c>
      <c r="AU52" s="9">
        <f>IF(Stock!AP52="",0,IF(ISNUMBER($E52),($E52+$F52)*Stock!AP52/100,Stock!AP52))</f>
        <v>0</v>
      </c>
      <c r="AV52" s="9">
        <f>IF(Stock!AQ52="",0,IF(ISNUMBER($E52),($E52+$F52)*Stock!AQ52/100,Stock!AQ52))</f>
        <v>0</v>
      </c>
      <c r="AW52" s="9">
        <f>IF(Stock!AR52="",0,IF(ISNUMBER($E52),($E52+$F52)*Stock!AR52/100,Stock!AR52))</f>
        <v>0</v>
      </c>
      <c r="AX52" s="9">
        <f>IF(Stock!AS52="",0,IF(ISNUMBER($E52),($E52+$F52)*Stock!AS52/100,Stock!AS52))</f>
        <v>0</v>
      </c>
      <c r="AY52" s="9">
        <f>IF(Stock!AT52="",0,IF(ISNUMBER($E52),($E52+$F52)*Stock!AT52/100,Stock!AT52))</f>
        <v>0</v>
      </c>
      <c r="AZ52" s="9">
        <f>IF(Stock!AU52="",0,IF(ISNUMBER($E52),($E52+$F52)*Stock!AU52/100,Stock!AU52))</f>
        <v>0</v>
      </c>
      <c r="BA52" s="9">
        <f>IF(Stock!AV52="",0,IF(ISNUMBER($E52),($E52+$F52)*Stock!AV52/100,Stock!AV52))</f>
        <v>0</v>
      </c>
      <c r="BB52" s="9">
        <f>IF(Stock!AW52="",0,IF(ISNUMBER($E52),($E52+$F52)*Stock!AW52/100,Stock!AW52))</f>
        <v>0</v>
      </c>
      <c r="BC52" s="9">
        <f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>IF(Stock!C53="",0,IF(ISNUMBER($E53),($E53+$F53)*Stock!C53/100,Stock!C53))</f>
        <v>0</v>
      </c>
      <c r="I53" s="9">
        <f>IF(Stock!D53="",0,IF(ISNUMBER($E53),($E53+$F53)*Stock!D53/100,Stock!D53))</f>
        <v>0</v>
      </c>
      <c r="J53" s="9">
        <f>IF(Stock!E53="",0,IF(ISNUMBER($E53),($E53+$F53)*Stock!E53/100,Stock!E53))</f>
        <v>0</v>
      </c>
      <c r="K53" s="9">
        <f>IF(Stock!F53="",0,IF(ISNUMBER($E53),($E53+$F53)*Stock!F53/100,Stock!F53))</f>
        <v>0</v>
      </c>
      <c r="L53" s="9">
        <f>IF(Stock!G53="",0,IF(ISNUMBER($E53),($E53+$F53)*Stock!G53/100,Stock!G53))</f>
        <v>0</v>
      </c>
      <c r="M53" s="9">
        <f>IF(Stock!H53="",0,IF(ISNUMBER($E53),($E53+$F53)*Stock!H53/100,Stock!H53))</f>
        <v>0</v>
      </c>
      <c r="N53" s="9">
        <f>IF(Stock!I53="",0,IF(ISNUMBER($E53),($E53+$F53)*Stock!I53/100,Stock!I53))</f>
        <v>0</v>
      </c>
      <c r="O53" s="9">
        <f>IF(Stock!J53="",0,IF(ISNUMBER($E53),($E53+$F53)*Stock!J53/100,Stock!J53))</f>
        <v>0</v>
      </c>
      <c r="P53" s="9">
        <f>IF(Stock!K53="",0,IF(ISNUMBER($E53),($E53+$F53)*Stock!K53/100,Stock!K53))</f>
        <v>0</v>
      </c>
      <c r="Q53" s="9">
        <f>IF(Stock!L53="",0,IF(ISNUMBER($E53),($E53+$F53)*Stock!L53/100,Stock!L53))</f>
        <v>0</v>
      </c>
      <c r="R53" s="9">
        <f>IF(Stock!M53="",0,IF(ISNUMBER($E53),($E53+$F53)*Stock!M53/100,Stock!M53))</f>
        <v>0</v>
      </c>
      <c r="S53" s="9">
        <f>IF(Stock!N53="",0,IF(ISNUMBER($E53),($E53+$F53)*Stock!N53/100,Stock!N53))</f>
        <v>0</v>
      </c>
      <c r="T53" s="9">
        <f>IF(Stock!O53="",0,IF(ISNUMBER($E53),($E53+$F53)*Stock!O53/100,Stock!O53))</f>
        <v>0</v>
      </c>
      <c r="U53" s="9">
        <f>IF(Stock!P53="",0,IF(ISNUMBER($E53),($E53+$F53)*Stock!P53/100,Stock!P53))</f>
        <v>0</v>
      </c>
      <c r="V53" s="9">
        <f>IF(Stock!Q53="",0,IF(ISNUMBER($E53),($E53+$F53)*Stock!Q53/100,Stock!Q53))</f>
        <v>0</v>
      </c>
      <c r="W53" s="9">
        <f>IF(Stock!R53="",0,IF(ISNUMBER($E53),($E53+$F53)*Stock!R53/100,Stock!R53))</f>
        <v>0</v>
      </c>
      <c r="X53" s="9">
        <f>IF(Stock!S53="",0,IF(ISNUMBER($E53),($E53+$F53)*Stock!S53/100,Stock!S53))</f>
        <v>0</v>
      </c>
      <c r="Y53" s="9">
        <f>IF(Stock!T53="",0,IF(ISNUMBER($E53),($E53+$F53)*Stock!T53/100,Stock!T53))</f>
        <v>0</v>
      </c>
      <c r="Z53" s="9">
        <f>IF(Stock!U53="",0,IF(ISNUMBER($E53),($E53+$F53)*Stock!U53/100,Stock!U53))</f>
        <v>0</v>
      </c>
      <c r="AA53" s="9">
        <f>IF(Stock!V53="",0,IF(ISNUMBER($E53),($E53+$F53)*Stock!V53/100,Stock!V53))</f>
        <v>0</v>
      </c>
      <c r="AB53" s="9">
        <f>IF(Stock!W53="",0,IF(ISNUMBER($E53),($E53+$F53)*Stock!W53/100,Stock!W53))</f>
        <v>0</v>
      </c>
      <c r="AC53" s="9">
        <f>IF(Stock!X53="",0,IF(ISNUMBER($E53),($E53+$F53)*Stock!X53/100,Stock!X53))</f>
        <v>0</v>
      </c>
      <c r="AD53" s="9">
        <f>IF(Stock!Y53="",0,IF(ISNUMBER($E53),($E53+$F53)*Stock!Y53/100,Stock!Y53))</f>
        <v>0</v>
      </c>
      <c r="AE53" s="9">
        <f>IF(Stock!Z53="",0,IF(ISNUMBER($E53),($E53+$F53)*Stock!Z53/100,Stock!Z53))</f>
        <v>0</v>
      </c>
      <c r="AF53" s="9">
        <f>IF(Stock!AA53="",0,IF(ISNUMBER($E53),($E53+$F53)*Stock!AA53/100,Stock!AA53))</f>
        <v>0</v>
      </c>
      <c r="AG53" s="9">
        <f>IF(Stock!AB53="",0,IF(ISNUMBER($E53),($E53+$F53)*Stock!AB53/100,Stock!AB53))</f>
        <v>0</v>
      </c>
      <c r="AH53" s="9">
        <f>IF(Stock!AC53="",0,IF(ISNUMBER($E53),($E53+$F53)*Stock!AC53/100,Stock!AC53))</f>
        <v>0</v>
      </c>
      <c r="AI53" s="9">
        <f>IF(Stock!AD53="",0,IF(ISNUMBER($E53),($E53+$F53)*Stock!AD53/100,Stock!AD53))</f>
        <v>0</v>
      </c>
      <c r="AJ53" s="9">
        <f>IF(Stock!AE53="",0,IF(ISNUMBER($E53),($E53+$F53)*Stock!AE53/100,Stock!AE53))</f>
        <v>0</v>
      </c>
      <c r="AK53" s="9">
        <f>IF(Stock!AF53="",0,IF(ISNUMBER($E53),($E53+$F53)*Stock!AF53/100,Stock!AF53))</f>
        <v>0</v>
      </c>
      <c r="AL53" s="9">
        <f>IF(Stock!AG53="",0,IF(ISNUMBER($E53),($E53+$F53)*Stock!AG53/100,Stock!AG53))</f>
        <v>0</v>
      </c>
      <c r="AM53" s="9">
        <f>IF(Stock!AH53="",0,IF(ISNUMBER($E53),($E53+$F53)*Stock!AH53/100,Stock!AH53))</f>
        <v>0</v>
      </c>
      <c r="AN53" s="9">
        <f>IF(Stock!AI53="",0,IF(ISNUMBER($E53),($E53+$F53)*Stock!AI53/100,Stock!AI53))</f>
        <v>0</v>
      </c>
      <c r="AO53" s="9">
        <f>IF(Stock!AJ53="",0,IF(ISNUMBER($E53),($E53+$F53)*Stock!AJ53/100,Stock!AJ53))</f>
        <v>0</v>
      </c>
      <c r="AP53" s="9">
        <f>IF(Stock!AK53="",0,IF(ISNUMBER($E53),($E53+$F53)*Stock!AK53/100,Stock!AK53))</f>
        <v>0</v>
      </c>
      <c r="AQ53" s="9">
        <f>IF(Stock!AL53="",0,IF(ISNUMBER($E53),($E53+$F53)*Stock!AL53/100,Stock!AL53))</f>
        <v>0</v>
      </c>
      <c r="AR53" s="9">
        <f>IF(Stock!AM53="",0,IF(ISNUMBER($E53),($E53+$F53)*Stock!AM53/100,Stock!AM53))</f>
        <v>0</v>
      </c>
      <c r="AS53" s="9">
        <f>IF(Stock!AN53="",0,IF(ISNUMBER($E53),($E53+$F53)*Stock!AN53/100,Stock!AN53))</f>
        <v>0</v>
      </c>
      <c r="AT53" s="9">
        <f>IF(Stock!AO53="",0,IF(ISNUMBER($E53),($E53+$F53)*Stock!AO53/100,Stock!AO53))</f>
        <v>0</v>
      </c>
      <c r="AU53" s="9">
        <f>IF(Stock!AP53="",0,IF(ISNUMBER($E53),($E53+$F53)*Stock!AP53/100,Stock!AP53))</f>
        <v>0</v>
      </c>
      <c r="AV53" s="9">
        <f>IF(Stock!AQ53="",0,IF(ISNUMBER($E53),($E53+$F53)*Stock!AQ53/100,Stock!AQ53))</f>
        <v>0</v>
      </c>
      <c r="AW53" s="9">
        <f>IF(Stock!AR53="",0,IF(ISNUMBER($E53),($E53+$F53)*Stock!AR53/100,Stock!AR53))</f>
        <v>0</v>
      </c>
      <c r="AX53" s="9">
        <f>IF(Stock!AS53="",0,IF(ISNUMBER($E53),($E53+$F53)*Stock!AS53/100,Stock!AS53))</f>
        <v>0</v>
      </c>
      <c r="AY53" s="9">
        <f>IF(Stock!AT53="",0,IF(ISNUMBER($E53),($E53+$F53)*Stock!AT53/100,Stock!AT53))</f>
        <v>0</v>
      </c>
      <c r="AZ53" s="9">
        <f>IF(Stock!AU53="",0,IF(ISNUMBER($E53),($E53+$F53)*Stock!AU53/100,Stock!AU53))</f>
        <v>0</v>
      </c>
      <c r="BA53" s="9">
        <f>IF(Stock!AV53="",0,IF(ISNUMBER($E53),($E53+$F53)*Stock!AV53/100,Stock!AV53))</f>
        <v>0</v>
      </c>
      <c r="BB53" s="9">
        <f>IF(Stock!AW53="",0,IF(ISNUMBER($E53),($E53+$F53)*Stock!AW53/100,Stock!AW53))</f>
        <v>0</v>
      </c>
      <c r="BC53" s="9">
        <f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>IF(Stock!C54="",0,IF(ISNUMBER($E54),($E54+$F54)*Stock!C54/100,Stock!C54))</f>
        <v>0</v>
      </c>
      <c r="I54" s="9">
        <f>IF(Stock!D54="",0,IF(ISNUMBER($E54),($E54+$F54)*Stock!D54/100,Stock!D54))</f>
        <v>0</v>
      </c>
      <c r="J54" s="9">
        <f>IF(Stock!E54="",0,IF(ISNUMBER($E54),($E54+$F54)*Stock!E54/100,Stock!E54))</f>
        <v>0</v>
      </c>
      <c r="K54" s="9">
        <f>IF(Stock!F54="",0,IF(ISNUMBER($E54),($E54+$F54)*Stock!F54/100,Stock!F54))</f>
        <v>0</v>
      </c>
      <c r="L54" s="9">
        <f>IF(Stock!G54="",0,IF(ISNUMBER($E54),($E54+$F54)*Stock!G54/100,Stock!G54))</f>
        <v>0</v>
      </c>
      <c r="M54" s="9">
        <f>IF(Stock!H54="",0,IF(ISNUMBER($E54),($E54+$F54)*Stock!H54/100,Stock!H54))</f>
        <v>0</v>
      </c>
      <c r="N54" s="9">
        <f>IF(Stock!I54="",0,IF(ISNUMBER($E54),($E54+$F54)*Stock!I54/100,Stock!I54))</f>
        <v>0</v>
      </c>
      <c r="O54" s="9">
        <f>IF(Stock!J54="",0,IF(ISNUMBER($E54),($E54+$F54)*Stock!J54/100,Stock!J54))</f>
        <v>0</v>
      </c>
      <c r="P54" s="9">
        <f>IF(Stock!K54="",0,IF(ISNUMBER($E54),($E54+$F54)*Stock!K54/100,Stock!K54))</f>
        <v>0</v>
      </c>
      <c r="Q54" s="9">
        <f>IF(Stock!L54="",0,IF(ISNUMBER($E54),($E54+$F54)*Stock!L54/100,Stock!L54))</f>
        <v>0</v>
      </c>
      <c r="R54" s="9">
        <f>IF(Stock!M54="",0,IF(ISNUMBER($E54),($E54+$F54)*Stock!M54/100,Stock!M54))</f>
        <v>0</v>
      </c>
      <c r="S54" s="9">
        <f>IF(Stock!N54="",0,IF(ISNUMBER($E54),($E54+$F54)*Stock!N54/100,Stock!N54))</f>
        <v>0</v>
      </c>
      <c r="T54" s="9">
        <f>IF(Stock!O54="",0,IF(ISNUMBER($E54),($E54+$F54)*Stock!O54/100,Stock!O54))</f>
        <v>0</v>
      </c>
      <c r="U54" s="9">
        <f>IF(Stock!P54="",0,IF(ISNUMBER($E54),($E54+$F54)*Stock!P54/100,Stock!P54))</f>
        <v>0</v>
      </c>
      <c r="V54" s="9">
        <f>IF(Stock!Q54="",0,IF(ISNUMBER($E54),($E54+$F54)*Stock!Q54/100,Stock!Q54))</f>
        <v>0</v>
      </c>
      <c r="W54" s="9">
        <f>IF(Stock!R54="",0,IF(ISNUMBER($E54),($E54+$F54)*Stock!R54/100,Stock!R54))</f>
        <v>0</v>
      </c>
      <c r="X54" s="9">
        <f>IF(Stock!S54="",0,IF(ISNUMBER($E54),($E54+$F54)*Stock!S54/100,Stock!S54))</f>
        <v>0</v>
      </c>
      <c r="Y54" s="9">
        <f>IF(Stock!T54="",0,IF(ISNUMBER($E54),($E54+$F54)*Stock!T54/100,Stock!T54))</f>
        <v>0</v>
      </c>
      <c r="Z54" s="9">
        <f>IF(Stock!U54="",0,IF(ISNUMBER($E54),($E54+$F54)*Stock!U54/100,Stock!U54))</f>
        <v>0</v>
      </c>
      <c r="AA54" s="9">
        <f>IF(Stock!V54="",0,IF(ISNUMBER($E54),($E54+$F54)*Stock!V54/100,Stock!V54))</f>
        <v>0</v>
      </c>
      <c r="AB54" s="9">
        <f>IF(Stock!W54="",0,IF(ISNUMBER($E54),($E54+$F54)*Stock!W54/100,Stock!W54))</f>
        <v>0</v>
      </c>
      <c r="AC54" s="9">
        <f>IF(Stock!X54="",0,IF(ISNUMBER($E54),($E54+$F54)*Stock!X54/100,Stock!X54))</f>
        <v>0</v>
      </c>
      <c r="AD54" s="9">
        <f>IF(Stock!Y54="",0,IF(ISNUMBER($E54),($E54+$F54)*Stock!Y54/100,Stock!Y54))</f>
        <v>0</v>
      </c>
      <c r="AE54" s="9">
        <f>IF(Stock!Z54="",0,IF(ISNUMBER($E54),($E54+$F54)*Stock!Z54/100,Stock!Z54))</f>
        <v>0</v>
      </c>
      <c r="AF54" s="9">
        <f>IF(Stock!AA54="",0,IF(ISNUMBER($E54),($E54+$F54)*Stock!AA54/100,Stock!AA54))</f>
        <v>0</v>
      </c>
      <c r="AG54" s="9">
        <f>IF(Stock!AB54="",0,IF(ISNUMBER($E54),($E54+$F54)*Stock!AB54/100,Stock!AB54))</f>
        <v>0</v>
      </c>
      <c r="AH54" s="9">
        <f>IF(Stock!AC54="",0,IF(ISNUMBER($E54),($E54+$F54)*Stock!AC54/100,Stock!AC54))</f>
        <v>0</v>
      </c>
      <c r="AI54" s="9">
        <f>IF(Stock!AD54="",0,IF(ISNUMBER($E54),($E54+$F54)*Stock!AD54/100,Stock!AD54))</f>
        <v>0</v>
      </c>
      <c r="AJ54" s="9">
        <f>IF(Stock!AE54="",0,IF(ISNUMBER($E54),($E54+$F54)*Stock!AE54/100,Stock!AE54))</f>
        <v>0</v>
      </c>
      <c r="AK54" s="9">
        <f>IF(Stock!AF54="",0,IF(ISNUMBER($E54),($E54+$F54)*Stock!AF54/100,Stock!AF54))</f>
        <v>0</v>
      </c>
      <c r="AL54" s="9">
        <f>IF(Stock!AG54="",0,IF(ISNUMBER($E54),($E54+$F54)*Stock!AG54/100,Stock!AG54))</f>
        <v>0</v>
      </c>
      <c r="AM54" s="9">
        <f>IF(Stock!AH54="",0,IF(ISNUMBER($E54),($E54+$F54)*Stock!AH54/100,Stock!AH54))</f>
        <v>0</v>
      </c>
      <c r="AN54" s="9">
        <f>IF(Stock!AI54="",0,IF(ISNUMBER($E54),($E54+$F54)*Stock!AI54/100,Stock!AI54))</f>
        <v>0</v>
      </c>
      <c r="AO54" s="9">
        <f>IF(Stock!AJ54="",0,IF(ISNUMBER($E54),($E54+$F54)*Stock!AJ54/100,Stock!AJ54))</f>
        <v>0</v>
      </c>
      <c r="AP54" s="9">
        <f>IF(Stock!AK54="",0,IF(ISNUMBER($E54),($E54+$F54)*Stock!AK54/100,Stock!AK54))</f>
        <v>0</v>
      </c>
      <c r="AQ54" s="9">
        <f>IF(Stock!AL54="",0,IF(ISNUMBER($E54),($E54+$F54)*Stock!AL54/100,Stock!AL54))</f>
        <v>0</v>
      </c>
      <c r="AR54" s="9">
        <f>IF(Stock!AM54="",0,IF(ISNUMBER($E54),($E54+$F54)*Stock!AM54/100,Stock!AM54))</f>
        <v>0</v>
      </c>
      <c r="AS54" s="9">
        <f>IF(Stock!AN54="",0,IF(ISNUMBER($E54),($E54+$F54)*Stock!AN54/100,Stock!AN54))</f>
        <v>0</v>
      </c>
      <c r="AT54" s="9">
        <f>IF(Stock!AO54="",0,IF(ISNUMBER($E54),($E54+$F54)*Stock!AO54/100,Stock!AO54))</f>
        <v>0</v>
      </c>
      <c r="AU54" s="9">
        <f>IF(Stock!AP54="",0,IF(ISNUMBER($E54),($E54+$F54)*Stock!AP54/100,Stock!AP54))</f>
        <v>0</v>
      </c>
      <c r="AV54" s="9">
        <f>IF(Stock!AQ54="",0,IF(ISNUMBER($E54),($E54+$F54)*Stock!AQ54/100,Stock!AQ54))</f>
        <v>0</v>
      </c>
      <c r="AW54" s="9">
        <f>IF(Stock!AR54="",0,IF(ISNUMBER($E54),($E54+$F54)*Stock!AR54/100,Stock!AR54))</f>
        <v>0</v>
      </c>
      <c r="AX54" s="9">
        <f>IF(Stock!AS54="",0,IF(ISNUMBER($E54),($E54+$F54)*Stock!AS54/100,Stock!AS54))</f>
        <v>0</v>
      </c>
      <c r="AY54" s="9">
        <f>IF(Stock!AT54="",0,IF(ISNUMBER($E54),($E54+$F54)*Stock!AT54/100,Stock!AT54))</f>
        <v>0</v>
      </c>
      <c r="AZ54" s="9">
        <f>IF(Stock!AU54="",0,IF(ISNUMBER($E54),($E54+$F54)*Stock!AU54/100,Stock!AU54))</f>
        <v>0</v>
      </c>
      <c r="BA54" s="9">
        <f>IF(Stock!AV54="",0,IF(ISNUMBER($E54),($E54+$F54)*Stock!AV54/100,Stock!AV54))</f>
        <v>0</v>
      </c>
      <c r="BB54" s="9">
        <f>IF(Stock!AW54="",0,IF(ISNUMBER($E54),($E54+$F54)*Stock!AW54/100,Stock!AW54))</f>
        <v>0</v>
      </c>
      <c r="BC54" s="9">
        <f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>IF(Stock!C55="",0,IF(ISNUMBER($E55),($E55+$F55)*Stock!C55/100,Stock!C55))</f>
        <v>0</v>
      </c>
      <c r="I55" s="9">
        <f>IF(Stock!D55="",0,IF(ISNUMBER($E55),($E55+$F55)*Stock!D55/100,Stock!D55))</f>
        <v>0</v>
      </c>
      <c r="J55" s="9">
        <f>IF(Stock!E55="",0,IF(ISNUMBER($E55),($E55+$F55)*Stock!E55/100,Stock!E55))</f>
        <v>0</v>
      </c>
      <c r="K55" s="9">
        <f>IF(Stock!F55="",0,IF(ISNUMBER($E55),($E55+$F55)*Stock!F55/100,Stock!F55))</f>
        <v>0</v>
      </c>
      <c r="L55" s="9">
        <f>IF(Stock!G55="",0,IF(ISNUMBER($E55),($E55+$F55)*Stock!G55/100,Stock!G55))</f>
        <v>0</v>
      </c>
      <c r="M55" s="9">
        <f>IF(Stock!H55="",0,IF(ISNUMBER($E55),($E55+$F55)*Stock!H55/100,Stock!H55))</f>
        <v>0</v>
      </c>
      <c r="N55" s="9">
        <f>IF(Stock!I55="",0,IF(ISNUMBER($E55),($E55+$F55)*Stock!I55/100,Stock!I55))</f>
        <v>0</v>
      </c>
      <c r="O55" s="9">
        <f>IF(Stock!J55="",0,IF(ISNUMBER($E55),($E55+$F55)*Stock!J55/100,Stock!J55))</f>
        <v>0</v>
      </c>
      <c r="P55" s="9">
        <f>IF(Stock!K55="",0,IF(ISNUMBER($E55),($E55+$F55)*Stock!K55/100,Stock!K55))</f>
        <v>0</v>
      </c>
      <c r="Q55" s="9">
        <f>IF(Stock!L55="",0,IF(ISNUMBER($E55),($E55+$F55)*Stock!L55/100,Stock!L55))</f>
        <v>0</v>
      </c>
      <c r="R55" s="9">
        <f>IF(Stock!M55="",0,IF(ISNUMBER($E55),($E55+$F55)*Stock!M55/100,Stock!M55))</f>
        <v>0</v>
      </c>
      <c r="S55" s="9">
        <f>IF(Stock!N55="",0,IF(ISNUMBER($E55),($E55+$F55)*Stock!N55/100,Stock!N55))</f>
        <v>0</v>
      </c>
      <c r="T55" s="9">
        <f>IF(Stock!O55="",0,IF(ISNUMBER($E55),($E55+$F55)*Stock!O55/100,Stock!O55))</f>
        <v>0</v>
      </c>
      <c r="U55" s="9">
        <f>IF(Stock!P55="",0,IF(ISNUMBER($E55),($E55+$F55)*Stock!P55/100,Stock!P55))</f>
        <v>0</v>
      </c>
      <c r="V55" s="9">
        <f>IF(Stock!Q55="",0,IF(ISNUMBER($E55),($E55+$F55)*Stock!Q55/100,Stock!Q55))</f>
        <v>0</v>
      </c>
      <c r="W55" s="9">
        <f>IF(Stock!R55="",0,IF(ISNUMBER($E55),($E55+$F55)*Stock!R55/100,Stock!R55))</f>
        <v>0</v>
      </c>
      <c r="X55" s="9">
        <f>IF(Stock!S55="",0,IF(ISNUMBER($E55),($E55+$F55)*Stock!S55/100,Stock!S55))</f>
        <v>0</v>
      </c>
      <c r="Y55" s="9">
        <f>IF(Stock!T55="",0,IF(ISNUMBER($E55),($E55+$F55)*Stock!T55/100,Stock!T55))</f>
        <v>0</v>
      </c>
      <c r="Z55" s="9">
        <f>IF(Stock!U55="",0,IF(ISNUMBER($E55),($E55+$F55)*Stock!U55/100,Stock!U55))</f>
        <v>0</v>
      </c>
      <c r="AA55" s="9">
        <f>IF(Stock!V55="",0,IF(ISNUMBER($E55),($E55+$F55)*Stock!V55/100,Stock!V55))</f>
        <v>0</v>
      </c>
      <c r="AB55" s="9">
        <f>IF(Stock!W55="",0,IF(ISNUMBER($E55),($E55+$F55)*Stock!W55/100,Stock!W55))</f>
        <v>0</v>
      </c>
      <c r="AC55" s="9">
        <f>IF(Stock!X55="",0,IF(ISNUMBER($E55),($E55+$F55)*Stock!X55/100,Stock!X55))</f>
        <v>0</v>
      </c>
      <c r="AD55" s="9">
        <f>IF(Stock!Y55="",0,IF(ISNUMBER($E55),($E55+$F55)*Stock!Y55/100,Stock!Y55))</f>
        <v>0</v>
      </c>
      <c r="AE55" s="9">
        <f>IF(Stock!Z55="",0,IF(ISNUMBER($E55),($E55+$F55)*Stock!Z55/100,Stock!Z55))</f>
        <v>0</v>
      </c>
      <c r="AF55" s="9">
        <f>IF(Stock!AA55="",0,IF(ISNUMBER($E55),($E55+$F55)*Stock!AA55/100,Stock!AA55))</f>
        <v>0</v>
      </c>
      <c r="AG55" s="9">
        <f>IF(Stock!AB55="",0,IF(ISNUMBER($E55),($E55+$F55)*Stock!AB55/100,Stock!AB55))</f>
        <v>0</v>
      </c>
      <c r="AH55" s="9">
        <f>IF(Stock!AC55="",0,IF(ISNUMBER($E55),($E55+$F55)*Stock!AC55/100,Stock!AC55))</f>
        <v>0</v>
      </c>
      <c r="AI55" s="9">
        <f>IF(Stock!AD55="",0,IF(ISNUMBER($E55),($E55+$F55)*Stock!AD55/100,Stock!AD55))</f>
        <v>0</v>
      </c>
      <c r="AJ55" s="9">
        <f>IF(Stock!AE55="",0,IF(ISNUMBER($E55),($E55+$F55)*Stock!AE55/100,Stock!AE55))</f>
        <v>0</v>
      </c>
      <c r="AK55" s="9">
        <f>IF(Stock!AF55="",0,IF(ISNUMBER($E55),($E55+$F55)*Stock!AF55/100,Stock!AF55))</f>
        <v>0</v>
      </c>
      <c r="AL55" s="9">
        <f>IF(Stock!AG55="",0,IF(ISNUMBER($E55),($E55+$F55)*Stock!AG55/100,Stock!AG55))</f>
        <v>0</v>
      </c>
      <c r="AM55" s="9">
        <f>IF(Stock!AH55="",0,IF(ISNUMBER($E55),($E55+$F55)*Stock!AH55/100,Stock!AH55))</f>
        <v>0</v>
      </c>
      <c r="AN55" s="9">
        <f>IF(Stock!AI55="",0,IF(ISNUMBER($E55),($E55+$F55)*Stock!AI55/100,Stock!AI55))</f>
        <v>0</v>
      </c>
      <c r="AO55" s="9">
        <f>IF(Stock!AJ55="",0,IF(ISNUMBER($E55),($E55+$F55)*Stock!AJ55/100,Stock!AJ55))</f>
        <v>0</v>
      </c>
      <c r="AP55" s="9">
        <f>IF(Stock!AK55="",0,IF(ISNUMBER($E55),($E55+$F55)*Stock!AK55/100,Stock!AK55))</f>
        <v>0</v>
      </c>
      <c r="AQ55" s="9">
        <f>IF(Stock!AL55="",0,IF(ISNUMBER($E55),($E55+$F55)*Stock!AL55/100,Stock!AL55))</f>
        <v>0</v>
      </c>
      <c r="AR55" s="9">
        <f>IF(Stock!AM55="",0,IF(ISNUMBER($E55),($E55+$F55)*Stock!AM55/100,Stock!AM55))</f>
        <v>0</v>
      </c>
      <c r="AS55" s="9">
        <f>IF(Stock!AN55="",0,IF(ISNUMBER($E55),($E55+$F55)*Stock!AN55/100,Stock!AN55))</f>
        <v>0</v>
      </c>
      <c r="AT55" s="9">
        <f>IF(Stock!AO55="",0,IF(ISNUMBER($E55),($E55+$F55)*Stock!AO55/100,Stock!AO55))</f>
        <v>0</v>
      </c>
      <c r="AU55" s="9">
        <f>IF(Stock!AP55="",0,IF(ISNUMBER($E55),($E55+$F55)*Stock!AP55/100,Stock!AP55))</f>
        <v>0</v>
      </c>
      <c r="AV55" s="9">
        <f>IF(Stock!AQ55="",0,IF(ISNUMBER($E55),($E55+$F55)*Stock!AQ55/100,Stock!AQ55))</f>
        <v>0</v>
      </c>
      <c r="AW55" s="9">
        <f>IF(Stock!AR55="",0,IF(ISNUMBER($E55),($E55+$F55)*Stock!AR55/100,Stock!AR55))</f>
        <v>0</v>
      </c>
      <c r="AX55" s="9">
        <f>IF(Stock!AS55="",0,IF(ISNUMBER($E55),($E55+$F55)*Stock!AS55/100,Stock!AS55))</f>
        <v>0</v>
      </c>
      <c r="AY55" s="9">
        <f>IF(Stock!AT55="",0,IF(ISNUMBER($E55),($E55+$F55)*Stock!AT55/100,Stock!AT55))</f>
        <v>0</v>
      </c>
      <c r="AZ55" s="9">
        <f>IF(Stock!AU55="",0,IF(ISNUMBER($E55),($E55+$F55)*Stock!AU55/100,Stock!AU55))</f>
        <v>0</v>
      </c>
      <c r="BA55" s="9">
        <f>IF(Stock!AV55="",0,IF(ISNUMBER($E55),($E55+$F55)*Stock!AV55/100,Stock!AV55))</f>
        <v>0</v>
      </c>
      <c r="BB55" s="9">
        <f>IF(Stock!AW55="",0,IF(ISNUMBER($E55),($E55+$F55)*Stock!AW55/100,Stock!AW55))</f>
        <v>0</v>
      </c>
      <c r="BC55" s="9">
        <f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>IF(Stock!C56="",0,IF(ISNUMBER($E56),($E56+$F56)*Stock!C56/100,Stock!C56))</f>
        <v>0</v>
      </c>
      <c r="I56" s="9">
        <f>IF(Stock!D56="",0,IF(ISNUMBER($E56),($E56+$F56)*Stock!D56/100,Stock!D56))</f>
        <v>0</v>
      </c>
      <c r="J56" s="9">
        <f>IF(Stock!E56="",0,IF(ISNUMBER($E56),($E56+$F56)*Stock!E56/100,Stock!E56))</f>
        <v>0</v>
      </c>
      <c r="K56" s="9">
        <f>IF(Stock!F56="",0,IF(ISNUMBER($E56),($E56+$F56)*Stock!F56/100,Stock!F56))</f>
        <v>0</v>
      </c>
      <c r="L56" s="9">
        <f>IF(Stock!G56="",0,IF(ISNUMBER($E56),($E56+$F56)*Stock!G56/100,Stock!G56))</f>
        <v>0</v>
      </c>
      <c r="M56" s="9">
        <f>IF(Stock!H56="",0,IF(ISNUMBER($E56),($E56+$F56)*Stock!H56/100,Stock!H56))</f>
        <v>0</v>
      </c>
      <c r="N56" s="9">
        <f>IF(Stock!I56="",0,IF(ISNUMBER($E56),($E56+$F56)*Stock!I56/100,Stock!I56))</f>
        <v>0</v>
      </c>
      <c r="O56" s="9">
        <f>IF(Stock!J56="",0,IF(ISNUMBER($E56),($E56+$F56)*Stock!J56/100,Stock!J56))</f>
        <v>0</v>
      </c>
      <c r="P56" s="9">
        <f>IF(Stock!K56="",0,IF(ISNUMBER($E56),($E56+$F56)*Stock!K56/100,Stock!K56))</f>
        <v>0</v>
      </c>
      <c r="Q56" s="9">
        <f>IF(Stock!L56="",0,IF(ISNUMBER($E56),($E56+$F56)*Stock!L56/100,Stock!L56))</f>
        <v>0</v>
      </c>
      <c r="R56" s="9">
        <f>IF(Stock!M56="",0,IF(ISNUMBER($E56),($E56+$F56)*Stock!M56/100,Stock!M56))</f>
        <v>0</v>
      </c>
      <c r="S56" s="9">
        <f>IF(Stock!N56="",0,IF(ISNUMBER($E56),($E56+$F56)*Stock!N56/100,Stock!N56))</f>
        <v>0</v>
      </c>
      <c r="T56" s="9">
        <f>IF(Stock!O56="",0,IF(ISNUMBER($E56),($E56+$F56)*Stock!O56/100,Stock!O56))</f>
        <v>0</v>
      </c>
      <c r="U56" s="9">
        <f>IF(Stock!P56="",0,IF(ISNUMBER($E56),($E56+$F56)*Stock!P56/100,Stock!P56))</f>
        <v>0</v>
      </c>
      <c r="V56" s="9">
        <f>IF(Stock!Q56="",0,IF(ISNUMBER($E56),($E56+$F56)*Stock!Q56/100,Stock!Q56))</f>
        <v>0</v>
      </c>
      <c r="W56" s="9">
        <f>IF(Stock!R56="",0,IF(ISNUMBER($E56),($E56+$F56)*Stock!R56/100,Stock!R56))</f>
        <v>0</v>
      </c>
      <c r="X56" s="9">
        <f>IF(Stock!S56="",0,IF(ISNUMBER($E56),($E56+$F56)*Stock!S56/100,Stock!S56))</f>
        <v>0</v>
      </c>
      <c r="Y56" s="9">
        <f>IF(Stock!T56="",0,IF(ISNUMBER($E56),($E56+$F56)*Stock!T56/100,Stock!T56))</f>
        <v>0</v>
      </c>
      <c r="Z56" s="9">
        <f>IF(Stock!U56="",0,IF(ISNUMBER($E56),($E56+$F56)*Stock!U56/100,Stock!U56))</f>
        <v>0</v>
      </c>
      <c r="AA56" s="9">
        <f>IF(Stock!V56="",0,IF(ISNUMBER($E56),($E56+$F56)*Stock!V56/100,Stock!V56))</f>
        <v>0</v>
      </c>
      <c r="AB56" s="9">
        <f>IF(Stock!W56="",0,IF(ISNUMBER($E56),($E56+$F56)*Stock!W56/100,Stock!W56))</f>
        <v>0</v>
      </c>
      <c r="AC56" s="9">
        <f>IF(Stock!X56="",0,IF(ISNUMBER($E56),($E56+$F56)*Stock!X56/100,Stock!X56))</f>
        <v>0</v>
      </c>
      <c r="AD56" s="9">
        <f>IF(Stock!Y56="",0,IF(ISNUMBER($E56),($E56+$F56)*Stock!Y56/100,Stock!Y56))</f>
        <v>0</v>
      </c>
      <c r="AE56" s="9">
        <f>IF(Stock!Z56="",0,IF(ISNUMBER($E56),($E56+$F56)*Stock!Z56/100,Stock!Z56))</f>
        <v>0</v>
      </c>
      <c r="AF56" s="9">
        <f>IF(Stock!AA56="",0,IF(ISNUMBER($E56),($E56+$F56)*Stock!AA56/100,Stock!AA56))</f>
        <v>0</v>
      </c>
      <c r="AG56" s="9">
        <f>IF(Stock!AB56="",0,IF(ISNUMBER($E56),($E56+$F56)*Stock!AB56/100,Stock!AB56))</f>
        <v>0</v>
      </c>
      <c r="AH56" s="9">
        <f>IF(Stock!AC56="",0,IF(ISNUMBER($E56),($E56+$F56)*Stock!AC56/100,Stock!AC56))</f>
        <v>0</v>
      </c>
      <c r="AI56" s="9">
        <f>IF(Stock!AD56="",0,IF(ISNUMBER($E56),($E56+$F56)*Stock!AD56/100,Stock!AD56))</f>
        <v>0</v>
      </c>
      <c r="AJ56" s="9">
        <f>IF(Stock!AE56="",0,IF(ISNUMBER($E56),($E56+$F56)*Stock!AE56/100,Stock!AE56))</f>
        <v>0</v>
      </c>
      <c r="AK56" s="9">
        <f>IF(Stock!AF56="",0,IF(ISNUMBER($E56),($E56+$F56)*Stock!AF56/100,Stock!AF56))</f>
        <v>0</v>
      </c>
      <c r="AL56" s="9">
        <f>IF(Stock!AG56="",0,IF(ISNUMBER($E56),($E56+$F56)*Stock!AG56/100,Stock!AG56))</f>
        <v>0</v>
      </c>
      <c r="AM56" s="9">
        <f>IF(Stock!AH56="",0,IF(ISNUMBER($E56),($E56+$F56)*Stock!AH56/100,Stock!AH56))</f>
        <v>0</v>
      </c>
      <c r="AN56" s="9">
        <f>IF(Stock!AI56="",0,IF(ISNUMBER($E56),($E56+$F56)*Stock!AI56/100,Stock!AI56))</f>
        <v>0</v>
      </c>
      <c r="AO56" s="9">
        <f>IF(Stock!AJ56="",0,IF(ISNUMBER($E56),($E56+$F56)*Stock!AJ56/100,Stock!AJ56))</f>
        <v>0</v>
      </c>
      <c r="AP56" s="9">
        <f>IF(Stock!AK56="",0,IF(ISNUMBER($E56),($E56+$F56)*Stock!AK56/100,Stock!AK56))</f>
        <v>0</v>
      </c>
      <c r="AQ56" s="9">
        <f>IF(Stock!AL56="",0,IF(ISNUMBER($E56),($E56+$F56)*Stock!AL56/100,Stock!AL56))</f>
        <v>0</v>
      </c>
      <c r="AR56" s="9">
        <f>IF(Stock!AM56="",0,IF(ISNUMBER($E56),($E56+$F56)*Stock!AM56/100,Stock!AM56))</f>
        <v>0</v>
      </c>
      <c r="AS56" s="9">
        <f>IF(Stock!AN56="",0,IF(ISNUMBER($E56),($E56+$F56)*Stock!AN56/100,Stock!AN56))</f>
        <v>0</v>
      </c>
      <c r="AT56" s="9">
        <f>IF(Stock!AO56="",0,IF(ISNUMBER($E56),($E56+$F56)*Stock!AO56/100,Stock!AO56))</f>
        <v>0</v>
      </c>
      <c r="AU56" s="9">
        <f>IF(Stock!AP56="",0,IF(ISNUMBER($E56),($E56+$F56)*Stock!AP56/100,Stock!AP56))</f>
        <v>0</v>
      </c>
      <c r="AV56" s="9">
        <f>IF(Stock!AQ56="",0,IF(ISNUMBER($E56),($E56+$F56)*Stock!AQ56/100,Stock!AQ56))</f>
        <v>0</v>
      </c>
      <c r="AW56" s="9">
        <f>IF(Stock!AR56="",0,IF(ISNUMBER($E56),($E56+$F56)*Stock!AR56/100,Stock!AR56))</f>
        <v>0</v>
      </c>
      <c r="AX56" s="9">
        <f>IF(Stock!AS56="",0,IF(ISNUMBER($E56),($E56+$F56)*Stock!AS56/100,Stock!AS56))</f>
        <v>0</v>
      </c>
      <c r="AY56" s="9">
        <f>IF(Stock!AT56="",0,IF(ISNUMBER($E56),($E56+$F56)*Stock!AT56/100,Stock!AT56))</f>
        <v>0</v>
      </c>
      <c r="AZ56" s="9">
        <f>IF(Stock!AU56="",0,IF(ISNUMBER($E56),($E56+$F56)*Stock!AU56/100,Stock!AU56))</f>
        <v>0</v>
      </c>
      <c r="BA56" s="9">
        <f>IF(Stock!AV56="",0,IF(ISNUMBER($E56),($E56+$F56)*Stock!AV56/100,Stock!AV56))</f>
        <v>0</v>
      </c>
      <c r="BB56" s="9">
        <f>IF(Stock!AW56="",0,IF(ISNUMBER($E56),($E56+$F56)*Stock!AW56/100,Stock!AW56))</f>
        <v>0</v>
      </c>
      <c r="BC56" s="9">
        <f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>IF(Stock!C57="",0,IF(ISNUMBER($E57),($E57+$F57)*Stock!C57/100,Stock!C57))</f>
        <v>0</v>
      </c>
      <c r="I57" s="9">
        <f>IF(Stock!D57="",0,IF(ISNUMBER($E57),($E57+$F57)*Stock!D57/100,Stock!D57))</f>
        <v>0</v>
      </c>
      <c r="J57" s="9">
        <f>IF(Stock!E57="",0,IF(ISNUMBER($E57),($E57+$F57)*Stock!E57/100,Stock!E57))</f>
        <v>0</v>
      </c>
      <c r="K57" s="9">
        <f>IF(Stock!F57="",0,IF(ISNUMBER($E57),($E57+$F57)*Stock!F57/100,Stock!F57))</f>
        <v>0</v>
      </c>
      <c r="L57" s="9">
        <f>IF(Stock!G57="",0,IF(ISNUMBER($E57),($E57+$F57)*Stock!G57/100,Stock!G57))</f>
        <v>0</v>
      </c>
      <c r="M57" s="9">
        <f>IF(Stock!H57="",0,IF(ISNUMBER($E57),($E57+$F57)*Stock!H57/100,Stock!H57))</f>
        <v>0</v>
      </c>
      <c r="N57" s="9">
        <f>IF(Stock!I57="",0,IF(ISNUMBER($E57),($E57+$F57)*Stock!I57/100,Stock!I57))</f>
        <v>0</v>
      </c>
      <c r="O57" s="9">
        <f>IF(Stock!J57="",0,IF(ISNUMBER($E57),($E57+$F57)*Stock!J57/100,Stock!J57))</f>
        <v>0</v>
      </c>
      <c r="P57" s="9">
        <f>IF(Stock!K57="",0,IF(ISNUMBER($E57),($E57+$F57)*Stock!K57/100,Stock!K57))</f>
        <v>0</v>
      </c>
      <c r="Q57" s="9">
        <f>IF(Stock!L57="",0,IF(ISNUMBER($E57),($E57+$F57)*Stock!L57/100,Stock!L57))</f>
        <v>0</v>
      </c>
      <c r="R57" s="9">
        <f>IF(Stock!M57="",0,IF(ISNUMBER($E57),($E57+$F57)*Stock!M57/100,Stock!M57))</f>
        <v>0</v>
      </c>
      <c r="S57" s="9">
        <f>IF(Stock!N57="",0,IF(ISNUMBER($E57),($E57+$F57)*Stock!N57/100,Stock!N57))</f>
        <v>0</v>
      </c>
      <c r="T57" s="9">
        <f>IF(Stock!O57="",0,IF(ISNUMBER($E57),($E57+$F57)*Stock!O57/100,Stock!O57))</f>
        <v>0</v>
      </c>
      <c r="U57" s="9">
        <f>IF(Stock!P57="",0,IF(ISNUMBER($E57),($E57+$F57)*Stock!P57/100,Stock!P57))</f>
        <v>0</v>
      </c>
      <c r="V57" s="9">
        <f>IF(Stock!Q57="",0,IF(ISNUMBER($E57),($E57+$F57)*Stock!Q57/100,Stock!Q57))</f>
        <v>0</v>
      </c>
      <c r="W57" s="9">
        <f>IF(Stock!R57="",0,IF(ISNUMBER($E57),($E57+$F57)*Stock!R57/100,Stock!R57))</f>
        <v>0</v>
      </c>
      <c r="X57" s="9">
        <f>IF(Stock!S57="",0,IF(ISNUMBER($E57),($E57+$F57)*Stock!S57/100,Stock!S57))</f>
        <v>0</v>
      </c>
      <c r="Y57" s="9">
        <f>IF(Stock!T57="",0,IF(ISNUMBER($E57),($E57+$F57)*Stock!T57/100,Stock!T57))</f>
        <v>0</v>
      </c>
      <c r="Z57" s="9">
        <f>IF(Stock!U57="",0,IF(ISNUMBER($E57),($E57+$F57)*Stock!U57/100,Stock!U57))</f>
        <v>0</v>
      </c>
      <c r="AA57" s="9">
        <f>IF(Stock!V57="",0,IF(ISNUMBER($E57),($E57+$F57)*Stock!V57/100,Stock!V57))</f>
        <v>0</v>
      </c>
      <c r="AB57" s="9">
        <f>IF(Stock!W57="",0,IF(ISNUMBER($E57),($E57+$F57)*Stock!W57/100,Stock!W57))</f>
        <v>0</v>
      </c>
      <c r="AC57" s="9">
        <f>IF(Stock!X57="",0,IF(ISNUMBER($E57),($E57+$F57)*Stock!X57/100,Stock!X57))</f>
        <v>0</v>
      </c>
      <c r="AD57" s="9">
        <f>IF(Stock!Y57="",0,IF(ISNUMBER($E57),($E57+$F57)*Stock!Y57/100,Stock!Y57))</f>
        <v>0</v>
      </c>
      <c r="AE57" s="9">
        <f>IF(Stock!Z57="",0,IF(ISNUMBER($E57),($E57+$F57)*Stock!Z57/100,Stock!Z57))</f>
        <v>0</v>
      </c>
      <c r="AF57" s="9">
        <f>IF(Stock!AA57="",0,IF(ISNUMBER($E57),($E57+$F57)*Stock!AA57/100,Stock!AA57))</f>
        <v>0</v>
      </c>
      <c r="AG57" s="9">
        <f>IF(Stock!AB57="",0,IF(ISNUMBER($E57),($E57+$F57)*Stock!AB57/100,Stock!AB57))</f>
        <v>0</v>
      </c>
      <c r="AH57" s="9">
        <f>IF(Stock!AC57="",0,IF(ISNUMBER($E57),($E57+$F57)*Stock!AC57/100,Stock!AC57))</f>
        <v>0</v>
      </c>
      <c r="AI57" s="9">
        <f>IF(Stock!AD57="",0,IF(ISNUMBER($E57),($E57+$F57)*Stock!AD57/100,Stock!AD57))</f>
        <v>0</v>
      </c>
      <c r="AJ57" s="9">
        <f>IF(Stock!AE57="",0,IF(ISNUMBER($E57),($E57+$F57)*Stock!AE57/100,Stock!AE57))</f>
        <v>0</v>
      </c>
      <c r="AK57" s="9">
        <f>IF(Stock!AF57="",0,IF(ISNUMBER($E57),($E57+$F57)*Stock!AF57/100,Stock!AF57))</f>
        <v>0</v>
      </c>
      <c r="AL57" s="9">
        <f>IF(Stock!AG57="",0,IF(ISNUMBER($E57),($E57+$F57)*Stock!AG57/100,Stock!AG57))</f>
        <v>0</v>
      </c>
      <c r="AM57" s="9">
        <f>IF(Stock!AH57="",0,IF(ISNUMBER($E57),($E57+$F57)*Stock!AH57/100,Stock!AH57))</f>
        <v>0</v>
      </c>
      <c r="AN57" s="9">
        <f>IF(Stock!AI57="",0,IF(ISNUMBER($E57),($E57+$F57)*Stock!AI57/100,Stock!AI57))</f>
        <v>0</v>
      </c>
      <c r="AO57" s="9">
        <f>IF(Stock!AJ57="",0,IF(ISNUMBER($E57),($E57+$F57)*Stock!AJ57/100,Stock!AJ57))</f>
        <v>0</v>
      </c>
      <c r="AP57" s="9">
        <f>IF(Stock!AK57="",0,IF(ISNUMBER($E57),($E57+$F57)*Stock!AK57/100,Stock!AK57))</f>
        <v>0</v>
      </c>
      <c r="AQ57" s="9">
        <f>IF(Stock!AL57="",0,IF(ISNUMBER($E57),($E57+$F57)*Stock!AL57/100,Stock!AL57))</f>
        <v>0</v>
      </c>
      <c r="AR57" s="9">
        <f>IF(Stock!AM57="",0,IF(ISNUMBER($E57),($E57+$F57)*Stock!AM57/100,Stock!AM57))</f>
        <v>0</v>
      </c>
      <c r="AS57" s="9">
        <f>IF(Stock!AN57="",0,IF(ISNUMBER($E57),($E57+$F57)*Stock!AN57/100,Stock!AN57))</f>
        <v>0</v>
      </c>
      <c r="AT57" s="9">
        <f>IF(Stock!AO57="",0,IF(ISNUMBER($E57),($E57+$F57)*Stock!AO57/100,Stock!AO57))</f>
        <v>0</v>
      </c>
      <c r="AU57" s="9">
        <f>IF(Stock!AP57="",0,IF(ISNUMBER($E57),($E57+$F57)*Stock!AP57/100,Stock!AP57))</f>
        <v>0</v>
      </c>
      <c r="AV57" s="9">
        <f>IF(Stock!AQ57="",0,IF(ISNUMBER($E57),($E57+$F57)*Stock!AQ57/100,Stock!AQ57))</f>
        <v>0</v>
      </c>
      <c r="AW57" s="9">
        <f>IF(Stock!AR57="",0,IF(ISNUMBER($E57),($E57+$F57)*Stock!AR57/100,Stock!AR57))</f>
        <v>0</v>
      </c>
      <c r="AX57" s="9">
        <f>IF(Stock!AS57="",0,IF(ISNUMBER($E57),($E57+$F57)*Stock!AS57/100,Stock!AS57))</f>
        <v>0</v>
      </c>
      <c r="AY57" s="9">
        <f>IF(Stock!AT57="",0,IF(ISNUMBER($E57),($E57+$F57)*Stock!AT57/100,Stock!AT57))</f>
        <v>0</v>
      </c>
      <c r="AZ57" s="9">
        <f>IF(Stock!AU57="",0,IF(ISNUMBER($E57),($E57+$F57)*Stock!AU57/100,Stock!AU57))</f>
        <v>0</v>
      </c>
      <c r="BA57" s="9">
        <f>IF(Stock!AV57="",0,IF(ISNUMBER($E57),($E57+$F57)*Stock!AV57/100,Stock!AV57))</f>
        <v>0</v>
      </c>
      <c r="BB57" s="9">
        <f>IF(Stock!AW57="",0,IF(ISNUMBER($E57),($E57+$F57)*Stock!AW57/100,Stock!AW57))</f>
        <v>0</v>
      </c>
      <c r="BC57" s="9">
        <f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>IF(Stock!C58="",0,IF(ISNUMBER($E58),($E58+$F58)*Stock!C58/100,Stock!C58))</f>
        <v>0</v>
      </c>
      <c r="I58" s="9">
        <f>IF(Stock!D58="",0,IF(ISNUMBER($E58),($E58+$F58)*Stock!D58/100,Stock!D58))</f>
        <v>0</v>
      </c>
      <c r="J58" s="9">
        <f>IF(Stock!E58="",0,IF(ISNUMBER($E58),($E58+$F58)*Stock!E58/100,Stock!E58))</f>
        <v>0</v>
      </c>
      <c r="K58" s="9">
        <f>IF(Stock!F58="",0,IF(ISNUMBER($E58),($E58+$F58)*Stock!F58/100,Stock!F58))</f>
        <v>0</v>
      </c>
      <c r="L58" s="9">
        <f>IF(Stock!G58="",0,IF(ISNUMBER($E58),($E58+$F58)*Stock!G58/100,Stock!G58))</f>
        <v>0</v>
      </c>
      <c r="M58" s="9">
        <f>IF(Stock!H58="",0,IF(ISNUMBER($E58),($E58+$F58)*Stock!H58/100,Stock!H58))</f>
        <v>0</v>
      </c>
      <c r="N58" s="9">
        <f>IF(Stock!I58="",0,IF(ISNUMBER($E58),($E58+$F58)*Stock!I58/100,Stock!I58))</f>
        <v>0</v>
      </c>
      <c r="O58" s="9">
        <f>IF(Stock!J58="",0,IF(ISNUMBER($E58),($E58+$F58)*Stock!J58/100,Stock!J58))</f>
        <v>0</v>
      </c>
      <c r="P58" s="9">
        <f>IF(Stock!K58="",0,IF(ISNUMBER($E58),($E58+$F58)*Stock!K58/100,Stock!K58))</f>
        <v>0</v>
      </c>
      <c r="Q58" s="9">
        <f>IF(Stock!L58="",0,IF(ISNUMBER($E58),($E58+$F58)*Stock!L58/100,Stock!L58))</f>
        <v>0</v>
      </c>
      <c r="R58" s="9">
        <f>IF(Stock!M58="",0,IF(ISNUMBER($E58),($E58+$F58)*Stock!M58/100,Stock!M58))</f>
        <v>0</v>
      </c>
      <c r="S58" s="9">
        <f>IF(Stock!N58="",0,IF(ISNUMBER($E58),($E58+$F58)*Stock!N58/100,Stock!N58))</f>
        <v>0</v>
      </c>
      <c r="T58" s="9">
        <f>IF(Stock!O58="",0,IF(ISNUMBER($E58),($E58+$F58)*Stock!O58/100,Stock!O58))</f>
        <v>0</v>
      </c>
      <c r="U58" s="9">
        <f>IF(Stock!P58="",0,IF(ISNUMBER($E58),($E58+$F58)*Stock!P58/100,Stock!P58))</f>
        <v>0</v>
      </c>
      <c r="V58" s="9">
        <f>IF(Stock!Q58="",0,IF(ISNUMBER($E58),($E58+$F58)*Stock!Q58/100,Stock!Q58))</f>
        <v>0</v>
      </c>
      <c r="W58" s="9">
        <f>IF(Stock!R58="",0,IF(ISNUMBER($E58),($E58+$F58)*Stock!R58/100,Stock!R58))</f>
        <v>0</v>
      </c>
      <c r="X58" s="9">
        <f>IF(Stock!S58="",0,IF(ISNUMBER($E58),($E58+$F58)*Stock!S58/100,Stock!S58))</f>
        <v>0</v>
      </c>
      <c r="Y58" s="9">
        <f>IF(Stock!T58="",0,IF(ISNUMBER($E58),($E58+$F58)*Stock!T58/100,Stock!T58))</f>
        <v>0</v>
      </c>
      <c r="Z58" s="9">
        <f>IF(Stock!U58="",0,IF(ISNUMBER($E58),($E58+$F58)*Stock!U58/100,Stock!U58))</f>
        <v>0</v>
      </c>
      <c r="AA58" s="9">
        <f>IF(Stock!V58="",0,IF(ISNUMBER($E58),($E58+$F58)*Stock!V58/100,Stock!V58))</f>
        <v>0</v>
      </c>
      <c r="AB58" s="9">
        <f>IF(Stock!W58="",0,IF(ISNUMBER($E58),($E58+$F58)*Stock!W58/100,Stock!W58))</f>
        <v>0</v>
      </c>
      <c r="AC58" s="9">
        <f>IF(Stock!X58="",0,IF(ISNUMBER($E58),($E58+$F58)*Stock!X58/100,Stock!X58))</f>
        <v>0</v>
      </c>
      <c r="AD58" s="9">
        <f>IF(Stock!Y58="",0,IF(ISNUMBER($E58),($E58+$F58)*Stock!Y58/100,Stock!Y58))</f>
        <v>0</v>
      </c>
      <c r="AE58" s="9">
        <f>IF(Stock!Z58="",0,IF(ISNUMBER($E58),($E58+$F58)*Stock!Z58/100,Stock!Z58))</f>
        <v>0</v>
      </c>
      <c r="AF58" s="9">
        <f>IF(Stock!AA58="",0,IF(ISNUMBER($E58),($E58+$F58)*Stock!AA58/100,Stock!AA58))</f>
        <v>0</v>
      </c>
      <c r="AG58" s="9">
        <f>IF(Stock!AB58="",0,IF(ISNUMBER($E58),($E58+$F58)*Stock!AB58/100,Stock!AB58))</f>
        <v>0</v>
      </c>
      <c r="AH58" s="9">
        <f>IF(Stock!AC58="",0,IF(ISNUMBER($E58),($E58+$F58)*Stock!AC58/100,Stock!AC58))</f>
        <v>0</v>
      </c>
      <c r="AI58" s="9">
        <f>IF(Stock!AD58="",0,IF(ISNUMBER($E58),($E58+$F58)*Stock!AD58/100,Stock!AD58))</f>
        <v>0</v>
      </c>
      <c r="AJ58" s="9">
        <f>IF(Stock!AE58="",0,IF(ISNUMBER($E58),($E58+$F58)*Stock!AE58/100,Stock!AE58))</f>
        <v>0</v>
      </c>
      <c r="AK58" s="9">
        <f>IF(Stock!AF58="",0,IF(ISNUMBER($E58),($E58+$F58)*Stock!AF58/100,Stock!AF58))</f>
        <v>0</v>
      </c>
      <c r="AL58" s="9">
        <f>IF(Stock!AG58="",0,IF(ISNUMBER($E58),($E58+$F58)*Stock!AG58/100,Stock!AG58))</f>
        <v>0</v>
      </c>
      <c r="AM58" s="9">
        <f>IF(Stock!AH58="",0,IF(ISNUMBER($E58),($E58+$F58)*Stock!AH58/100,Stock!AH58))</f>
        <v>0</v>
      </c>
      <c r="AN58" s="9">
        <f>IF(Stock!AI58="",0,IF(ISNUMBER($E58),($E58+$F58)*Stock!AI58/100,Stock!AI58))</f>
        <v>0</v>
      </c>
      <c r="AO58" s="9">
        <f>IF(Stock!AJ58="",0,IF(ISNUMBER($E58),($E58+$F58)*Stock!AJ58/100,Stock!AJ58))</f>
        <v>0</v>
      </c>
      <c r="AP58" s="9">
        <f>IF(Stock!AK58="",0,IF(ISNUMBER($E58),($E58+$F58)*Stock!AK58/100,Stock!AK58))</f>
        <v>0</v>
      </c>
      <c r="AQ58" s="9">
        <f>IF(Stock!AL58="",0,IF(ISNUMBER($E58),($E58+$F58)*Stock!AL58/100,Stock!AL58))</f>
        <v>0</v>
      </c>
      <c r="AR58" s="9">
        <f>IF(Stock!AM58="",0,IF(ISNUMBER($E58),($E58+$F58)*Stock!AM58/100,Stock!AM58))</f>
        <v>0</v>
      </c>
      <c r="AS58" s="9">
        <f>IF(Stock!AN58="",0,IF(ISNUMBER($E58),($E58+$F58)*Stock!AN58/100,Stock!AN58))</f>
        <v>0</v>
      </c>
      <c r="AT58" s="9">
        <f>IF(Stock!AO58="",0,IF(ISNUMBER($E58),($E58+$F58)*Stock!AO58/100,Stock!AO58))</f>
        <v>0</v>
      </c>
      <c r="AU58" s="9">
        <f>IF(Stock!AP58="",0,IF(ISNUMBER($E58),($E58+$F58)*Stock!AP58/100,Stock!AP58))</f>
        <v>0</v>
      </c>
      <c r="AV58" s="9">
        <f>IF(Stock!AQ58="",0,IF(ISNUMBER($E58),($E58+$F58)*Stock!AQ58/100,Stock!AQ58))</f>
        <v>0</v>
      </c>
      <c r="AW58" s="9">
        <f>IF(Stock!AR58="",0,IF(ISNUMBER($E58),($E58+$F58)*Stock!AR58/100,Stock!AR58))</f>
        <v>0</v>
      </c>
      <c r="AX58" s="9">
        <f>IF(Stock!AS58="",0,IF(ISNUMBER($E58),($E58+$F58)*Stock!AS58/100,Stock!AS58))</f>
        <v>0</v>
      </c>
      <c r="AY58" s="9">
        <f>IF(Stock!AT58="",0,IF(ISNUMBER($E58),($E58+$F58)*Stock!AT58/100,Stock!AT58))</f>
        <v>0</v>
      </c>
      <c r="AZ58" s="9">
        <f>IF(Stock!AU58="",0,IF(ISNUMBER($E58),($E58+$F58)*Stock!AU58/100,Stock!AU58))</f>
        <v>0</v>
      </c>
      <c r="BA58" s="9">
        <f>IF(Stock!AV58="",0,IF(ISNUMBER($E58),($E58+$F58)*Stock!AV58/100,Stock!AV58))</f>
        <v>0</v>
      </c>
      <c r="BB58" s="9">
        <f>IF(Stock!AW58="",0,IF(ISNUMBER($E58),($E58+$F58)*Stock!AW58/100,Stock!AW58))</f>
        <v>0</v>
      </c>
      <c r="BC58" s="9">
        <f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>IF(Stock!C59="",0,IF(ISNUMBER($E59),($E59+$F59)*Stock!C59/100,Stock!C59))</f>
        <v>0</v>
      </c>
      <c r="I59" s="9">
        <f>IF(Stock!D59="",0,IF(ISNUMBER($E59),($E59+$F59)*Stock!D59/100,Stock!D59))</f>
        <v>0</v>
      </c>
      <c r="J59" s="9">
        <f>IF(Stock!E59="",0,IF(ISNUMBER($E59),($E59+$F59)*Stock!E59/100,Stock!E59))</f>
        <v>0</v>
      </c>
      <c r="K59" s="9">
        <f>IF(Stock!F59="",0,IF(ISNUMBER($E59),($E59+$F59)*Stock!F59/100,Stock!F59))</f>
        <v>0</v>
      </c>
      <c r="L59" s="9">
        <f>IF(Stock!G59="",0,IF(ISNUMBER($E59),($E59+$F59)*Stock!G59/100,Stock!G59))</f>
        <v>0</v>
      </c>
      <c r="M59" s="9">
        <f>IF(Stock!H59="",0,IF(ISNUMBER($E59),($E59+$F59)*Stock!H59/100,Stock!H59))</f>
        <v>0</v>
      </c>
      <c r="N59" s="9">
        <f>IF(Stock!I59="",0,IF(ISNUMBER($E59),($E59+$F59)*Stock!I59/100,Stock!I59))</f>
        <v>0</v>
      </c>
      <c r="O59" s="9">
        <f>IF(Stock!J59="",0,IF(ISNUMBER($E59),($E59+$F59)*Stock!J59/100,Stock!J59))</f>
        <v>0</v>
      </c>
      <c r="P59" s="9">
        <f>IF(Stock!K59="",0,IF(ISNUMBER($E59),($E59+$F59)*Stock!K59/100,Stock!K59))</f>
        <v>0</v>
      </c>
      <c r="Q59" s="9">
        <f>IF(Stock!L59="",0,IF(ISNUMBER($E59),($E59+$F59)*Stock!L59/100,Stock!L59))</f>
        <v>0</v>
      </c>
      <c r="R59" s="9">
        <f>IF(Stock!M59="",0,IF(ISNUMBER($E59),($E59+$F59)*Stock!M59/100,Stock!M59))</f>
        <v>0</v>
      </c>
      <c r="S59" s="9">
        <f>IF(Stock!N59="",0,IF(ISNUMBER($E59),($E59+$F59)*Stock!N59/100,Stock!N59))</f>
        <v>0</v>
      </c>
      <c r="T59" s="9">
        <f>IF(Stock!O59="",0,IF(ISNUMBER($E59),($E59+$F59)*Stock!O59/100,Stock!O59))</f>
        <v>0</v>
      </c>
      <c r="U59" s="9">
        <f>IF(Stock!P59="",0,IF(ISNUMBER($E59),($E59+$F59)*Stock!P59/100,Stock!P59))</f>
        <v>0</v>
      </c>
      <c r="V59" s="9">
        <f>IF(Stock!Q59="",0,IF(ISNUMBER($E59),($E59+$F59)*Stock!Q59/100,Stock!Q59))</f>
        <v>0</v>
      </c>
      <c r="W59" s="9">
        <f>IF(Stock!R59="",0,IF(ISNUMBER($E59),($E59+$F59)*Stock!R59/100,Stock!R59))</f>
        <v>0</v>
      </c>
      <c r="X59" s="9">
        <f>IF(Stock!S59="",0,IF(ISNUMBER($E59),($E59+$F59)*Stock!S59/100,Stock!S59))</f>
        <v>0</v>
      </c>
      <c r="Y59" s="9">
        <f>IF(Stock!T59="",0,IF(ISNUMBER($E59),($E59+$F59)*Stock!T59/100,Stock!T59))</f>
        <v>0</v>
      </c>
      <c r="Z59" s="9">
        <f>IF(Stock!U59="",0,IF(ISNUMBER($E59),($E59+$F59)*Stock!U59/100,Stock!U59))</f>
        <v>0</v>
      </c>
      <c r="AA59" s="9">
        <f>IF(Stock!V59="",0,IF(ISNUMBER($E59),($E59+$F59)*Stock!V59/100,Stock!V59))</f>
        <v>0</v>
      </c>
      <c r="AB59" s="9">
        <f>IF(Stock!W59="",0,IF(ISNUMBER($E59),($E59+$F59)*Stock!W59/100,Stock!W59))</f>
        <v>0</v>
      </c>
      <c r="AC59" s="9">
        <f>IF(Stock!X59="",0,IF(ISNUMBER($E59),($E59+$F59)*Stock!X59/100,Stock!X59))</f>
        <v>0</v>
      </c>
      <c r="AD59" s="9">
        <f>IF(Stock!Y59="",0,IF(ISNUMBER($E59),($E59+$F59)*Stock!Y59/100,Stock!Y59))</f>
        <v>0</v>
      </c>
      <c r="AE59" s="9">
        <f>IF(Stock!Z59="",0,IF(ISNUMBER($E59),($E59+$F59)*Stock!Z59/100,Stock!Z59))</f>
        <v>0</v>
      </c>
      <c r="AF59" s="9">
        <f>IF(Stock!AA59="",0,IF(ISNUMBER($E59),($E59+$F59)*Stock!AA59/100,Stock!AA59))</f>
        <v>0</v>
      </c>
      <c r="AG59" s="9">
        <f>IF(Stock!AB59="",0,IF(ISNUMBER($E59),($E59+$F59)*Stock!AB59/100,Stock!AB59))</f>
        <v>0</v>
      </c>
      <c r="AH59" s="9">
        <f>IF(Stock!AC59="",0,IF(ISNUMBER($E59),($E59+$F59)*Stock!AC59/100,Stock!AC59))</f>
        <v>0</v>
      </c>
      <c r="AI59" s="9">
        <f>IF(Stock!AD59="",0,IF(ISNUMBER($E59),($E59+$F59)*Stock!AD59/100,Stock!AD59))</f>
        <v>0</v>
      </c>
      <c r="AJ59" s="9">
        <f>IF(Stock!AE59="",0,IF(ISNUMBER($E59),($E59+$F59)*Stock!AE59/100,Stock!AE59))</f>
        <v>0</v>
      </c>
      <c r="AK59" s="9">
        <f>IF(Stock!AF59="",0,IF(ISNUMBER($E59),($E59+$F59)*Stock!AF59/100,Stock!AF59))</f>
        <v>0</v>
      </c>
      <c r="AL59" s="9">
        <f>IF(Stock!AG59="",0,IF(ISNUMBER($E59),($E59+$F59)*Stock!AG59/100,Stock!AG59))</f>
        <v>0</v>
      </c>
      <c r="AM59" s="9">
        <f>IF(Stock!AH59="",0,IF(ISNUMBER($E59),($E59+$F59)*Stock!AH59/100,Stock!AH59))</f>
        <v>0</v>
      </c>
      <c r="AN59" s="9">
        <f>IF(Stock!AI59="",0,IF(ISNUMBER($E59),($E59+$F59)*Stock!AI59/100,Stock!AI59))</f>
        <v>0</v>
      </c>
      <c r="AO59" s="9">
        <f>IF(Stock!AJ59="",0,IF(ISNUMBER($E59),($E59+$F59)*Stock!AJ59/100,Stock!AJ59))</f>
        <v>0</v>
      </c>
      <c r="AP59" s="9">
        <f>IF(Stock!AK59="",0,IF(ISNUMBER($E59),($E59+$F59)*Stock!AK59/100,Stock!AK59))</f>
        <v>0</v>
      </c>
      <c r="AQ59" s="9">
        <f>IF(Stock!AL59="",0,IF(ISNUMBER($E59),($E59+$F59)*Stock!AL59/100,Stock!AL59))</f>
        <v>0</v>
      </c>
      <c r="AR59" s="9">
        <f>IF(Stock!AM59="",0,IF(ISNUMBER($E59),($E59+$F59)*Stock!AM59/100,Stock!AM59))</f>
        <v>0</v>
      </c>
      <c r="AS59" s="9">
        <f>IF(Stock!AN59="",0,IF(ISNUMBER($E59),($E59+$F59)*Stock!AN59/100,Stock!AN59))</f>
        <v>0</v>
      </c>
      <c r="AT59" s="9">
        <f>IF(Stock!AO59="",0,IF(ISNUMBER($E59),($E59+$F59)*Stock!AO59/100,Stock!AO59))</f>
        <v>0</v>
      </c>
      <c r="AU59" s="9">
        <f>IF(Stock!AP59="",0,IF(ISNUMBER($E59),($E59+$F59)*Stock!AP59/100,Stock!AP59))</f>
        <v>0</v>
      </c>
      <c r="AV59" s="9">
        <f>IF(Stock!AQ59="",0,IF(ISNUMBER($E59),($E59+$F59)*Stock!AQ59/100,Stock!AQ59))</f>
        <v>0</v>
      </c>
      <c r="AW59" s="9">
        <f>IF(Stock!AR59="",0,IF(ISNUMBER($E59),($E59+$F59)*Stock!AR59/100,Stock!AR59))</f>
        <v>0</v>
      </c>
      <c r="AX59" s="9">
        <f>IF(Stock!AS59="",0,IF(ISNUMBER($E59),($E59+$F59)*Stock!AS59/100,Stock!AS59))</f>
        <v>0</v>
      </c>
      <c r="AY59" s="9">
        <f>IF(Stock!AT59="",0,IF(ISNUMBER($E59),($E59+$F59)*Stock!AT59/100,Stock!AT59))</f>
        <v>0</v>
      </c>
      <c r="AZ59" s="9">
        <f>IF(Stock!AU59="",0,IF(ISNUMBER($E59),($E59+$F59)*Stock!AU59/100,Stock!AU59))</f>
        <v>0</v>
      </c>
      <c r="BA59" s="9">
        <f>IF(Stock!AV59="",0,IF(ISNUMBER($E59),($E59+$F59)*Stock!AV59/100,Stock!AV59))</f>
        <v>0</v>
      </c>
      <c r="BB59" s="9">
        <f>IF(Stock!AW59="",0,IF(ISNUMBER($E59),($E59+$F59)*Stock!AW59/100,Stock!AW59))</f>
        <v>0</v>
      </c>
      <c r="BC59" s="9">
        <f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>IF(Stock!C60="",0,IF(ISNUMBER($E60),($E60+$F60)*Stock!C60/100,Stock!C60))</f>
        <v>0</v>
      </c>
      <c r="I60" s="9">
        <f>IF(Stock!D60="",0,IF(ISNUMBER($E60),($E60+$F60)*Stock!D60/100,Stock!D60))</f>
        <v>0</v>
      </c>
      <c r="J60" s="9">
        <f>IF(Stock!E60="",0,IF(ISNUMBER($E60),($E60+$F60)*Stock!E60/100,Stock!E60))</f>
        <v>0</v>
      </c>
      <c r="K60" s="9">
        <f>IF(Stock!F60="",0,IF(ISNUMBER($E60),($E60+$F60)*Stock!F60/100,Stock!F60))</f>
        <v>0</v>
      </c>
      <c r="L60" s="9">
        <f>IF(Stock!G60="",0,IF(ISNUMBER($E60),($E60+$F60)*Stock!G60/100,Stock!G60))</f>
        <v>0</v>
      </c>
      <c r="M60" s="9">
        <f>IF(Stock!H60="",0,IF(ISNUMBER($E60),($E60+$F60)*Stock!H60/100,Stock!H60))</f>
        <v>0</v>
      </c>
      <c r="N60" s="9">
        <f>IF(Stock!I60="",0,IF(ISNUMBER($E60),($E60+$F60)*Stock!I60/100,Stock!I60))</f>
        <v>0</v>
      </c>
      <c r="O60" s="9">
        <f>IF(Stock!J60="",0,IF(ISNUMBER($E60),($E60+$F60)*Stock!J60/100,Stock!J60))</f>
        <v>0</v>
      </c>
      <c r="P60" s="9">
        <f>IF(Stock!K60="",0,IF(ISNUMBER($E60),($E60+$F60)*Stock!K60/100,Stock!K60))</f>
        <v>0</v>
      </c>
      <c r="Q60" s="9">
        <f>IF(Stock!L60="",0,IF(ISNUMBER($E60),($E60+$F60)*Stock!L60/100,Stock!L60))</f>
        <v>0</v>
      </c>
      <c r="R60" s="9">
        <f>IF(Stock!M60="",0,IF(ISNUMBER($E60),($E60+$F60)*Stock!M60/100,Stock!M60))</f>
        <v>0</v>
      </c>
      <c r="S60" s="9">
        <f>IF(Stock!N60="",0,IF(ISNUMBER($E60),($E60+$F60)*Stock!N60/100,Stock!N60))</f>
        <v>0</v>
      </c>
      <c r="T60" s="9">
        <f>IF(Stock!O60="",0,IF(ISNUMBER($E60),($E60+$F60)*Stock!O60/100,Stock!O60))</f>
        <v>0</v>
      </c>
      <c r="U60" s="9">
        <f>IF(Stock!P60="",0,IF(ISNUMBER($E60),($E60+$F60)*Stock!P60/100,Stock!P60))</f>
        <v>0</v>
      </c>
      <c r="V60" s="9">
        <f>IF(Stock!Q60="",0,IF(ISNUMBER($E60),($E60+$F60)*Stock!Q60/100,Stock!Q60))</f>
        <v>0</v>
      </c>
      <c r="W60" s="9">
        <f>IF(Stock!R60="",0,IF(ISNUMBER($E60),($E60+$F60)*Stock!R60/100,Stock!R60))</f>
        <v>0</v>
      </c>
      <c r="X60" s="9">
        <f>IF(Stock!S60="",0,IF(ISNUMBER($E60),($E60+$F60)*Stock!S60/100,Stock!S60))</f>
        <v>0</v>
      </c>
      <c r="Y60" s="9">
        <f>IF(Stock!T60="",0,IF(ISNUMBER($E60),($E60+$F60)*Stock!T60/100,Stock!T60))</f>
        <v>0</v>
      </c>
      <c r="Z60" s="9">
        <f>IF(Stock!U60="",0,IF(ISNUMBER($E60),($E60+$F60)*Stock!U60/100,Stock!U60))</f>
        <v>0</v>
      </c>
      <c r="AA60" s="9">
        <f>IF(Stock!V60="",0,IF(ISNUMBER($E60),($E60+$F60)*Stock!V60/100,Stock!V60))</f>
        <v>0</v>
      </c>
      <c r="AB60" s="9">
        <f>IF(Stock!W60="",0,IF(ISNUMBER($E60),($E60+$F60)*Stock!W60/100,Stock!W60))</f>
        <v>0</v>
      </c>
      <c r="AC60" s="9">
        <f>IF(Stock!X60="",0,IF(ISNUMBER($E60),($E60+$F60)*Stock!X60/100,Stock!X60))</f>
        <v>0</v>
      </c>
      <c r="AD60" s="9">
        <f>IF(Stock!Y60="",0,IF(ISNUMBER($E60),($E60+$F60)*Stock!Y60/100,Stock!Y60))</f>
        <v>0</v>
      </c>
      <c r="AE60" s="9">
        <f>IF(Stock!Z60="",0,IF(ISNUMBER($E60),($E60+$F60)*Stock!Z60/100,Stock!Z60))</f>
        <v>0</v>
      </c>
      <c r="AF60" s="9">
        <f>IF(Stock!AA60="",0,IF(ISNUMBER($E60),($E60+$F60)*Stock!AA60/100,Stock!AA60))</f>
        <v>0</v>
      </c>
      <c r="AG60" s="9">
        <f>IF(Stock!AB60="",0,IF(ISNUMBER($E60),($E60+$F60)*Stock!AB60/100,Stock!AB60))</f>
        <v>0</v>
      </c>
      <c r="AH60" s="9">
        <f>IF(Stock!AC60="",0,IF(ISNUMBER($E60),($E60+$F60)*Stock!AC60/100,Stock!AC60))</f>
        <v>0</v>
      </c>
      <c r="AI60" s="9">
        <f>IF(Stock!AD60="",0,IF(ISNUMBER($E60),($E60+$F60)*Stock!AD60/100,Stock!AD60))</f>
        <v>0</v>
      </c>
      <c r="AJ60" s="9">
        <f>IF(Stock!AE60="",0,IF(ISNUMBER($E60),($E60+$F60)*Stock!AE60/100,Stock!AE60))</f>
        <v>0</v>
      </c>
      <c r="AK60" s="9">
        <f>IF(Stock!AF60="",0,IF(ISNUMBER($E60),($E60+$F60)*Stock!AF60/100,Stock!AF60))</f>
        <v>0</v>
      </c>
      <c r="AL60" s="9">
        <f>IF(Stock!AG60="",0,IF(ISNUMBER($E60),($E60+$F60)*Stock!AG60/100,Stock!AG60))</f>
        <v>0</v>
      </c>
      <c r="AM60" s="9">
        <f>IF(Stock!AH60="",0,IF(ISNUMBER($E60),($E60+$F60)*Stock!AH60/100,Stock!AH60))</f>
        <v>0</v>
      </c>
      <c r="AN60" s="9">
        <f>IF(Stock!AI60="",0,IF(ISNUMBER($E60),($E60+$F60)*Stock!AI60/100,Stock!AI60))</f>
        <v>0</v>
      </c>
      <c r="AO60" s="9">
        <f>IF(Stock!AJ60="",0,IF(ISNUMBER($E60),($E60+$F60)*Stock!AJ60/100,Stock!AJ60))</f>
        <v>0</v>
      </c>
      <c r="AP60" s="9">
        <f>IF(Stock!AK60="",0,IF(ISNUMBER($E60),($E60+$F60)*Stock!AK60/100,Stock!AK60))</f>
        <v>0</v>
      </c>
      <c r="AQ60" s="9">
        <f>IF(Stock!AL60="",0,IF(ISNUMBER($E60),($E60+$F60)*Stock!AL60/100,Stock!AL60))</f>
        <v>0</v>
      </c>
      <c r="AR60" s="9">
        <f>IF(Stock!AM60="",0,IF(ISNUMBER($E60),($E60+$F60)*Stock!AM60/100,Stock!AM60))</f>
        <v>0</v>
      </c>
      <c r="AS60" s="9">
        <f>IF(Stock!AN60="",0,IF(ISNUMBER($E60),($E60+$F60)*Stock!AN60/100,Stock!AN60))</f>
        <v>0</v>
      </c>
      <c r="AT60" s="9">
        <f>IF(Stock!AO60="",0,IF(ISNUMBER($E60),($E60+$F60)*Stock!AO60/100,Stock!AO60))</f>
        <v>0</v>
      </c>
      <c r="AU60" s="9">
        <f>IF(Stock!AP60="",0,IF(ISNUMBER($E60),($E60+$F60)*Stock!AP60/100,Stock!AP60))</f>
        <v>0</v>
      </c>
      <c r="AV60" s="9">
        <f>IF(Stock!AQ60="",0,IF(ISNUMBER($E60),($E60+$F60)*Stock!AQ60/100,Stock!AQ60))</f>
        <v>0</v>
      </c>
      <c r="AW60" s="9">
        <f>IF(Stock!AR60="",0,IF(ISNUMBER($E60),($E60+$F60)*Stock!AR60/100,Stock!AR60))</f>
        <v>0</v>
      </c>
      <c r="AX60" s="9">
        <f>IF(Stock!AS60="",0,IF(ISNUMBER($E60),($E60+$F60)*Stock!AS60/100,Stock!AS60))</f>
        <v>0</v>
      </c>
      <c r="AY60" s="9">
        <f>IF(Stock!AT60="",0,IF(ISNUMBER($E60),($E60+$F60)*Stock!AT60/100,Stock!AT60))</f>
        <v>0</v>
      </c>
      <c r="AZ60" s="9">
        <f>IF(Stock!AU60="",0,IF(ISNUMBER($E60),($E60+$F60)*Stock!AU60/100,Stock!AU60))</f>
        <v>0</v>
      </c>
      <c r="BA60" s="9">
        <f>IF(Stock!AV60="",0,IF(ISNUMBER($E60),($E60+$F60)*Stock!AV60/100,Stock!AV60))</f>
        <v>0</v>
      </c>
      <c r="BB60" s="9">
        <f>IF(Stock!AW60="",0,IF(ISNUMBER($E60),($E60+$F60)*Stock!AW60/100,Stock!AW60))</f>
        <v>0</v>
      </c>
      <c r="BC60" s="9">
        <f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>IF(Stock!C61="",0,IF(ISNUMBER($E61),($E61+$F61)*Stock!C61/100,Stock!C61))</f>
        <v>0</v>
      </c>
      <c r="I61" s="9">
        <f>IF(Stock!D61="",0,IF(ISNUMBER($E61),($E61+$F61)*Stock!D61/100,Stock!D61))</f>
        <v>0</v>
      </c>
      <c r="J61" s="9">
        <f>IF(Stock!E61="",0,IF(ISNUMBER($E61),($E61+$F61)*Stock!E61/100,Stock!E61))</f>
        <v>0</v>
      </c>
      <c r="K61" s="9">
        <f>IF(Stock!F61="",0,IF(ISNUMBER($E61),($E61+$F61)*Stock!F61/100,Stock!F61))</f>
        <v>0</v>
      </c>
      <c r="L61" s="9">
        <f>IF(Stock!G61="",0,IF(ISNUMBER($E61),($E61+$F61)*Stock!G61/100,Stock!G61))</f>
        <v>0</v>
      </c>
      <c r="M61" s="9">
        <f>IF(Stock!H61="",0,IF(ISNUMBER($E61),($E61+$F61)*Stock!H61/100,Stock!H61))</f>
        <v>0</v>
      </c>
      <c r="N61" s="9">
        <f>IF(Stock!I61="",0,IF(ISNUMBER($E61),($E61+$F61)*Stock!I61/100,Stock!I61))</f>
        <v>0</v>
      </c>
      <c r="O61" s="9">
        <f>IF(Stock!J61="",0,IF(ISNUMBER($E61),($E61+$F61)*Stock!J61/100,Stock!J61))</f>
        <v>0</v>
      </c>
      <c r="P61" s="9">
        <f>IF(Stock!K61="",0,IF(ISNUMBER($E61),($E61+$F61)*Stock!K61/100,Stock!K61))</f>
        <v>0</v>
      </c>
      <c r="Q61" s="9">
        <f>IF(Stock!L61="",0,IF(ISNUMBER($E61),($E61+$F61)*Stock!L61/100,Stock!L61))</f>
        <v>0</v>
      </c>
      <c r="R61" s="9">
        <f>IF(Stock!M61="",0,IF(ISNUMBER($E61),($E61+$F61)*Stock!M61/100,Stock!M61))</f>
        <v>0</v>
      </c>
      <c r="S61" s="9">
        <f>IF(Stock!N61="",0,IF(ISNUMBER($E61),($E61+$F61)*Stock!N61/100,Stock!N61))</f>
        <v>0</v>
      </c>
      <c r="T61" s="9">
        <f>IF(Stock!O61="",0,IF(ISNUMBER($E61),($E61+$F61)*Stock!O61/100,Stock!O61))</f>
        <v>0</v>
      </c>
      <c r="U61" s="9">
        <f>IF(Stock!P61="",0,IF(ISNUMBER($E61),($E61+$F61)*Stock!P61/100,Stock!P61))</f>
        <v>0</v>
      </c>
      <c r="V61" s="9">
        <f>IF(Stock!Q61="",0,IF(ISNUMBER($E61),($E61+$F61)*Stock!Q61/100,Stock!Q61))</f>
        <v>0</v>
      </c>
      <c r="W61" s="9">
        <f>IF(Stock!R61="",0,IF(ISNUMBER($E61),($E61+$F61)*Stock!R61/100,Stock!R61))</f>
        <v>0</v>
      </c>
      <c r="X61" s="9">
        <f>IF(Stock!S61="",0,IF(ISNUMBER($E61),($E61+$F61)*Stock!S61/100,Stock!S61))</f>
        <v>0</v>
      </c>
      <c r="Y61" s="9">
        <f>IF(Stock!T61="",0,IF(ISNUMBER($E61),($E61+$F61)*Stock!T61/100,Stock!T61))</f>
        <v>0</v>
      </c>
      <c r="Z61" s="9">
        <f>IF(Stock!U61="",0,IF(ISNUMBER($E61),($E61+$F61)*Stock!U61/100,Stock!U61))</f>
        <v>0</v>
      </c>
      <c r="AA61" s="9">
        <f>IF(Stock!V61="",0,IF(ISNUMBER($E61),($E61+$F61)*Stock!V61/100,Stock!V61))</f>
        <v>0</v>
      </c>
      <c r="AB61" s="9">
        <f>IF(Stock!W61="",0,IF(ISNUMBER($E61),($E61+$F61)*Stock!W61/100,Stock!W61))</f>
        <v>0</v>
      </c>
      <c r="AC61" s="9">
        <f>IF(Stock!X61="",0,IF(ISNUMBER($E61),($E61+$F61)*Stock!X61/100,Stock!X61))</f>
        <v>0</v>
      </c>
      <c r="AD61" s="9">
        <f>IF(Stock!Y61="",0,IF(ISNUMBER($E61),($E61+$F61)*Stock!Y61/100,Stock!Y61))</f>
        <v>0</v>
      </c>
      <c r="AE61" s="9">
        <f>IF(Stock!Z61="",0,IF(ISNUMBER($E61),($E61+$F61)*Stock!Z61/100,Stock!Z61))</f>
        <v>0</v>
      </c>
      <c r="AF61" s="9">
        <f>IF(Stock!AA61="",0,IF(ISNUMBER($E61),($E61+$F61)*Stock!AA61/100,Stock!AA61))</f>
        <v>0</v>
      </c>
      <c r="AG61" s="9">
        <f>IF(Stock!AB61="",0,IF(ISNUMBER($E61),($E61+$F61)*Stock!AB61/100,Stock!AB61))</f>
        <v>0</v>
      </c>
      <c r="AH61" s="9">
        <f>IF(Stock!AC61="",0,IF(ISNUMBER($E61),($E61+$F61)*Stock!AC61/100,Stock!AC61))</f>
        <v>0</v>
      </c>
      <c r="AI61" s="9">
        <f>IF(Stock!AD61="",0,IF(ISNUMBER($E61),($E61+$F61)*Stock!AD61/100,Stock!AD61))</f>
        <v>0</v>
      </c>
      <c r="AJ61" s="9">
        <f>IF(Stock!AE61="",0,IF(ISNUMBER($E61),($E61+$F61)*Stock!AE61/100,Stock!AE61))</f>
        <v>0</v>
      </c>
      <c r="AK61" s="9">
        <f>IF(Stock!AF61="",0,IF(ISNUMBER($E61),($E61+$F61)*Stock!AF61/100,Stock!AF61))</f>
        <v>0</v>
      </c>
      <c r="AL61" s="9">
        <f>IF(Stock!AG61="",0,IF(ISNUMBER($E61),($E61+$F61)*Stock!AG61/100,Stock!AG61))</f>
        <v>0</v>
      </c>
      <c r="AM61" s="9">
        <f>IF(Stock!AH61="",0,IF(ISNUMBER($E61),($E61+$F61)*Stock!AH61/100,Stock!AH61))</f>
        <v>0</v>
      </c>
      <c r="AN61" s="9">
        <f>IF(Stock!AI61="",0,IF(ISNUMBER($E61),($E61+$F61)*Stock!AI61/100,Stock!AI61))</f>
        <v>0</v>
      </c>
      <c r="AO61" s="9">
        <f>IF(Stock!AJ61="",0,IF(ISNUMBER($E61),($E61+$F61)*Stock!AJ61/100,Stock!AJ61))</f>
        <v>0</v>
      </c>
      <c r="AP61" s="9">
        <f>IF(Stock!AK61="",0,IF(ISNUMBER($E61),($E61+$F61)*Stock!AK61/100,Stock!AK61))</f>
        <v>0</v>
      </c>
      <c r="AQ61" s="9">
        <f>IF(Stock!AL61="",0,IF(ISNUMBER($E61),($E61+$F61)*Stock!AL61/100,Stock!AL61))</f>
        <v>0</v>
      </c>
      <c r="AR61" s="9">
        <f>IF(Stock!AM61="",0,IF(ISNUMBER($E61),($E61+$F61)*Stock!AM61/100,Stock!AM61))</f>
        <v>0</v>
      </c>
      <c r="AS61" s="9">
        <f>IF(Stock!AN61="",0,IF(ISNUMBER($E61),($E61+$F61)*Stock!AN61/100,Stock!AN61))</f>
        <v>0</v>
      </c>
      <c r="AT61" s="9">
        <f>IF(Stock!AO61="",0,IF(ISNUMBER($E61),($E61+$F61)*Stock!AO61/100,Stock!AO61))</f>
        <v>0</v>
      </c>
      <c r="AU61" s="9">
        <f>IF(Stock!AP61="",0,IF(ISNUMBER($E61),($E61+$F61)*Stock!AP61/100,Stock!AP61))</f>
        <v>0</v>
      </c>
      <c r="AV61" s="9">
        <f>IF(Stock!AQ61="",0,IF(ISNUMBER($E61),($E61+$F61)*Stock!AQ61/100,Stock!AQ61))</f>
        <v>0</v>
      </c>
      <c r="AW61" s="9">
        <f>IF(Stock!AR61="",0,IF(ISNUMBER($E61),($E61+$F61)*Stock!AR61/100,Stock!AR61))</f>
        <v>0</v>
      </c>
      <c r="AX61" s="9">
        <f>IF(Stock!AS61="",0,IF(ISNUMBER($E61),($E61+$F61)*Stock!AS61/100,Stock!AS61))</f>
        <v>0</v>
      </c>
      <c r="AY61" s="9">
        <f>IF(Stock!AT61="",0,IF(ISNUMBER($E61),($E61+$F61)*Stock!AT61/100,Stock!AT61))</f>
        <v>0</v>
      </c>
      <c r="AZ61" s="9">
        <f>IF(Stock!AU61="",0,IF(ISNUMBER($E61),($E61+$F61)*Stock!AU61/100,Stock!AU61))</f>
        <v>0</v>
      </c>
      <c r="BA61" s="9">
        <f>IF(Stock!AV61="",0,IF(ISNUMBER($E61),($E61+$F61)*Stock!AV61/100,Stock!AV61))</f>
        <v>0</v>
      </c>
      <c r="BB61" s="9">
        <f>IF(Stock!AW61="",0,IF(ISNUMBER($E61),($E61+$F61)*Stock!AW61/100,Stock!AW61))</f>
        <v>0</v>
      </c>
      <c r="BC61" s="9">
        <f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>IF(Stock!C62="",0,IF(ISNUMBER($E62),($E62+$F62)*Stock!C62/100,Stock!C62))</f>
        <v>0</v>
      </c>
      <c r="I62" s="9">
        <f>IF(Stock!D62="",0,IF(ISNUMBER($E62),($E62+$F62)*Stock!D62/100,Stock!D62))</f>
        <v>0</v>
      </c>
      <c r="J62" s="9">
        <f>IF(Stock!E62="",0,IF(ISNUMBER($E62),($E62+$F62)*Stock!E62/100,Stock!E62))</f>
        <v>0</v>
      </c>
      <c r="K62" s="9">
        <f>IF(Stock!F62="",0,IF(ISNUMBER($E62),($E62+$F62)*Stock!F62/100,Stock!F62))</f>
        <v>0</v>
      </c>
      <c r="L62" s="9">
        <f>IF(Stock!G62="",0,IF(ISNUMBER($E62),($E62+$F62)*Stock!G62/100,Stock!G62))</f>
        <v>0</v>
      </c>
      <c r="M62" s="9">
        <f>IF(Stock!H62="",0,IF(ISNUMBER($E62),($E62+$F62)*Stock!H62/100,Stock!H62))</f>
        <v>0</v>
      </c>
      <c r="N62" s="9">
        <f>IF(Stock!I62="",0,IF(ISNUMBER($E62),($E62+$F62)*Stock!I62/100,Stock!I62))</f>
        <v>0</v>
      </c>
      <c r="O62" s="9">
        <f>IF(Stock!J62="",0,IF(ISNUMBER($E62),($E62+$F62)*Stock!J62/100,Stock!J62))</f>
        <v>0</v>
      </c>
      <c r="P62" s="9">
        <f>IF(Stock!K62="",0,IF(ISNUMBER($E62),($E62+$F62)*Stock!K62/100,Stock!K62))</f>
        <v>0</v>
      </c>
      <c r="Q62" s="9">
        <f>IF(Stock!L62="",0,IF(ISNUMBER($E62),($E62+$F62)*Stock!L62/100,Stock!L62))</f>
        <v>0</v>
      </c>
      <c r="R62" s="9">
        <f>IF(Stock!M62="",0,IF(ISNUMBER($E62),($E62+$F62)*Stock!M62/100,Stock!M62))</f>
        <v>0</v>
      </c>
      <c r="S62" s="9">
        <f>IF(Stock!N62="",0,IF(ISNUMBER($E62),($E62+$F62)*Stock!N62/100,Stock!N62))</f>
        <v>0</v>
      </c>
      <c r="T62" s="9">
        <f>IF(Stock!O62="",0,IF(ISNUMBER($E62),($E62+$F62)*Stock!O62/100,Stock!O62))</f>
        <v>0</v>
      </c>
      <c r="U62" s="9">
        <f>IF(Stock!P62="",0,IF(ISNUMBER($E62),($E62+$F62)*Stock!P62/100,Stock!P62))</f>
        <v>0</v>
      </c>
      <c r="V62" s="9">
        <f>IF(Stock!Q62="",0,IF(ISNUMBER($E62),($E62+$F62)*Stock!Q62/100,Stock!Q62))</f>
        <v>0</v>
      </c>
      <c r="W62" s="9">
        <f>IF(Stock!R62="",0,IF(ISNUMBER($E62),($E62+$F62)*Stock!R62/100,Stock!R62))</f>
        <v>0</v>
      </c>
      <c r="X62" s="9">
        <f>IF(Stock!S62="",0,IF(ISNUMBER($E62),($E62+$F62)*Stock!S62/100,Stock!S62))</f>
        <v>0</v>
      </c>
      <c r="Y62" s="9">
        <f>IF(Stock!T62="",0,IF(ISNUMBER($E62),($E62+$F62)*Stock!T62/100,Stock!T62))</f>
        <v>0</v>
      </c>
      <c r="Z62" s="9">
        <f>IF(Stock!U62="",0,IF(ISNUMBER($E62),($E62+$F62)*Stock!U62/100,Stock!U62))</f>
        <v>0</v>
      </c>
      <c r="AA62" s="9">
        <f>IF(Stock!V62="",0,IF(ISNUMBER($E62),($E62+$F62)*Stock!V62/100,Stock!V62))</f>
        <v>0</v>
      </c>
      <c r="AB62" s="9">
        <f>IF(Stock!W62="",0,IF(ISNUMBER($E62),($E62+$F62)*Stock!W62/100,Stock!W62))</f>
        <v>0</v>
      </c>
      <c r="AC62" s="9">
        <f>IF(Stock!X62="",0,IF(ISNUMBER($E62),($E62+$F62)*Stock!X62/100,Stock!X62))</f>
        <v>0</v>
      </c>
      <c r="AD62" s="9">
        <f>IF(Stock!Y62="",0,IF(ISNUMBER($E62),($E62+$F62)*Stock!Y62/100,Stock!Y62))</f>
        <v>0</v>
      </c>
      <c r="AE62" s="9">
        <f>IF(Stock!Z62="",0,IF(ISNUMBER($E62),($E62+$F62)*Stock!Z62/100,Stock!Z62))</f>
        <v>0</v>
      </c>
      <c r="AF62" s="9">
        <f>IF(Stock!AA62="",0,IF(ISNUMBER($E62),($E62+$F62)*Stock!AA62/100,Stock!AA62))</f>
        <v>0</v>
      </c>
      <c r="AG62" s="9">
        <f>IF(Stock!AB62="",0,IF(ISNUMBER($E62),($E62+$F62)*Stock!AB62/100,Stock!AB62))</f>
        <v>0</v>
      </c>
      <c r="AH62" s="9">
        <f>IF(Stock!AC62="",0,IF(ISNUMBER($E62),($E62+$F62)*Stock!AC62/100,Stock!AC62))</f>
        <v>0</v>
      </c>
      <c r="AI62" s="9">
        <f>IF(Stock!AD62="",0,IF(ISNUMBER($E62),($E62+$F62)*Stock!AD62/100,Stock!AD62))</f>
        <v>0</v>
      </c>
      <c r="AJ62" s="9">
        <f>IF(Stock!AE62="",0,IF(ISNUMBER($E62),($E62+$F62)*Stock!AE62/100,Stock!AE62))</f>
        <v>0</v>
      </c>
      <c r="AK62" s="9">
        <f>IF(Stock!AF62="",0,IF(ISNUMBER($E62),($E62+$F62)*Stock!AF62/100,Stock!AF62))</f>
        <v>0</v>
      </c>
      <c r="AL62" s="9">
        <f>IF(Stock!AG62="",0,IF(ISNUMBER($E62),($E62+$F62)*Stock!AG62/100,Stock!AG62))</f>
        <v>0</v>
      </c>
      <c r="AM62" s="9">
        <f>IF(Stock!AH62="",0,IF(ISNUMBER($E62),($E62+$F62)*Stock!AH62/100,Stock!AH62))</f>
        <v>0</v>
      </c>
      <c r="AN62" s="9">
        <f>IF(Stock!AI62="",0,IF(ISNUMBER($E62),($E62+$F62)*Stock!AI62/100,Stock!AI62))</f>
        <v>0</v>
      </c>
      <c r="AO62" s="9">
        <f>IF(Stock!AJ62="",0,IF(ISNUMBER($E62),($E62+$F62)*Stock!AJ62/100,Stock!AJ62))</f>
        <v>0</v>
      </c>
      <c r="AP62" s="9">
        <f>IF(Stock!AK62="",0,IF(ISNUMBER($E62),($E62+$F62)*Stock!AK62/100,Stock!AK62))</f>
        <v>0</v>
      </c>
      <c r="AQ62" s="9">
        <f>IF(Stock!AL62="",0,IF(ISNUMBER($E62),($E62+$F62)*Stock!AL62/100,Stock!AL62))</f>
        <v>0</v>
      </c>
      <c r="AR62" s="9">
        <f>IF(Stock!AM62="",0,IF(ISNUMBER($E62),($E62+$F62)*Stock!AM62/100,Stock!AM62))</f>
        <v>0</v>
      </c>
      <c r="AS62" s="9">
        <f>IF(Stock!AN62="",0,IF(ISNUMBER($E62),($E62+$F62)*Stock!AN62/100,Stock!AN62))</f>
        <v>0</v>
      </c>
      <c r="AT62" s="9">
        <f>IF(Stock!AO62="",0,IF(ISNUMBER($E62),($E62+$F62)*Stock!AO62/100,Stock!AO62))</f>
        <v>0</v>
      </c>
      <c r="AU62" s="9">
        <f>IF(Stock!AP62="",0,IF(ISNUMBER($E62),($E62+$F62)*Stock!AP62/100,Stock!AP62))</f>
        <v>0</v>
      </c>
      <c r="AV62" s="9">
        <f>IF(Stock!AQ62="",0,IF(ISNUMBER($E62),($E62+$F62)*Stock!AQ62/100,Stock!AQ62))</f>
        <v>0</v>
      </c>
      <c r="AW62" s="9">
        <f>IF(Stock!AR62="",0,IF(ISNUMBER($E62),($E62+$F62)*Stock!AR62/100,Stock!AR62))</f>
        <v>0</v>
      </c>
      <c r="AX62" s="9">
        <f>IF(Stock!AS62="",0,IF(ISNUMBER($E62),($E62+$F62)*Stock!AS62/100,Stock!AS62))</f>
        <v>0</v>
      </c>
      <c r="AY62" s="9">
        <f>IF(Stock!AT62="",0,IF(ISNUMBER($E62),($E62+$F62)*Stock!AT62/100,Stock!AT62))</f>
        <v>0</v>
      </c>
      <c r="AZ62" s="9">
        <f>IF(Stock!AU62="",0,IF(ISNUMBER($E62),($E62+$F62)*Stock!AU62/100,Stock!AU62))</f>
        <v>0</v>
      </c>
      <c r="BA62" s="9">
        <f>IF(Stock!AV62="",0,IF(ISNUMBER($E62),($E62+$F62)*Stock!AV62/100,Stock!AV62))</f>
        <v>0</v>
      </c>
      <c r="BB62" s="9">
        <f>IF(Stock!AW62="",0,IF(ISNUMBER($E62),($E62+$F62)*Stock!AW62/100,Stock!AW62))</f>
        <v>0</v>
      </c>
      <c r="BC62" s="9">
        <f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>IF(Stock!C63="",0,IF(ISNUMBER($E63),($E63+$F63)*Stock!C63/100,Stock!C63))</f>
        <v>0</v>
      </c>
      <c r="I63" s="9">
        <f>IF(Stock!D63="",0,IF(ISNUMBER($E63),($E63+$F63)*Stock!D63/100,Stock!D63))</f>
        <v>0</v>
      </c>
      <c r="J63" s="9">
        <f>IF(Stock!E63="",0,IF(ISNUMBER($E63),($E63+$F63)*Stock!E63/100,Stock!E63))</f>
        <v>0</v>
      </c>
      <c r="K63" s="9">
        <f>IF(Stock!F63="",0,IF(ISNUMBER($E63),($E63+$F63)*Stock!F63/100,Stock!F63))</f>
        <v>0</v>
      </c>
      <c r="L63" s="9">
        <f>IF(Stock!G63="",0,IF(ISNUMBER($E63),($E63+$F63)*Stock!G63/100,Stock!G63))</f>
        <v>0</v>
      </c>
      <c r="M63" s="9">
        <f>IF(Stock!H63="",0,IF(ISNUMBER($E63),($E63+$F63)*Stock!H63/100,Stock!H63))</f>
        <v>0</v>
      </c>
      <c r="N63" s="9">
        <f>IF(Stock!I63="",0,IF(ISNUMBER($E63),($E63+$F63)*Stock!I63/100,Stock!I63))</f>
        <v>0</v>
      </c>
      <c r="O63" s="9">
        <f>IF(Stock!J63="",0,IF(ISNUMBER($E63),($E63+$F63)*Stock!J63/100,Stock!J63))</f>
        <v>0</v>
      </c>
      <c r="P63" s="9">
        <f>IF(Stock!K63="",0,IF(ISNUMBER($E63),($E63+$F63)*Stock!K63/100,Stock!K63))</f>
        <v>0</v>
      </c>
      <c r="Q63" s="9">
        <f>IF(Stock!L63="",0,IF(ISNUMBER($E63),($E63+$F63)*Stock!L63/100,Stock!L63))</f>
        <v>0</v>
      </c>
      <c r="R63" s="9">
        <f>IF(Stock!M63="",0,IF(ISNUMBER($E63),($E63+$F63)*Stock!M63/100,Stock!M63))</f>
        <v>0</v>
      </c>
      <c r="S63" s="9">
        <f>IF(Stock!N63="",0,IF(ISNUMBER($E63),($E63+$F63)*Stock!N63/100,Stock!N63))</f>
        <v>0</v>
      </c>
      <c r="T63" s="9">
        <f>IF(Stock!O63="",0,IF(ISNUMBER($E63),($E63+$F63)*Stock!O63/100,Stock!O63))</f>
        <v>0</v>
      </c>
      <c r="U63" s="9">
        <f>IF(Stock!P63="",0,IF(ISNUMBER($E63),($E63+$F63)*Stock!P63/100,Stock!P63))</f>
        <v>0</v>
      </c>
      <c r="V63" s="9">
        <f>IF(Stock!Q63="",0,IF(ISNUMBER($E63),($E63+$F63)*Stock!Q63/100,Stock!Q63))</f>
        <v>0</v>
      </c>
      <c r="W63" s="9">
        <f>IF(Stock!R63="",0,IF(ISNUMBER($E63),($E63+$F63)*Stock!R63/100,Stock!R63))</f>
        <v>0</v>
      </c>
      <c r="X63" s="9">
        <f>IF(Stock!S63="",0,IF(ISNUMBER($E63),($E63+$F63)*Stock!S63/100,Stock!S63))</f>
        <v>0</v>
      </c>
      <c r="Y63" s="9">
        <f>IF(Stock!T63="",0,IF(ISNUMBER($E63),($E63+$F63)*Stock!T63/100,Stock!T63))</f>
        <v>0</v>
      </c>
      <c r="Z63" s="9">
        <f>IF(Stock!U63="",0,IF(ISNUMBER($E63),($E63+$F63)*Stock!U63/100,Stock!U63))</f>
        <v>0</v>
      </c>
      <c r="AA63" s="9">
        <f>IF(Stock!V63="",0,IF(ISNUMBER($E63),($E63+$F63)*Stock!V63/100,Stock!V63))</f>
        <v>0</v>
      </c>
      <c r="AB63" s="9">
        <f>IF(Stock!W63="",0,IF(ISNUMBER($E63),($E63+$F63)*Stock!W63/100,Stock!W63))</f>
        <v>0</v>
      </c>
      <c r="AC63" s="9">
        <f>IF(Stock!X63="",0,IF(ISNUMBER($E63),($E63+$F63)*Stock!X63/100,Stock!X63))</f>
        <v>0</v>
      </c>
      <c r="AD63" s="9">
        <f>IF(Stock!Y63="",0,IF(ISNUMBER($E63),($E63+$F63)*Stock!Y63/100,Stock!Y63))</f>
        <v>0</v>
      </c>
      <c r="AE63" s="9">
        <f>IF(Stock!Z63="",0,IF(ISNUMBER($E63),($E63+$F63)*Stock!Z63/100,Stock!Z63))</f>
        <v>0</v>
      </c>
      <c r="AF63" s="9">
        <f>IF(Stock!AA63="",0,IF(ISNUMBER($E63),($E63+$F63)*Stock!AA63/100,Stock!AA63))</f>
        <v>0</v>
      </c>
      <c r="AG63" s="9">
        <f>IF(Stock!AB63="",0,IF(ISNUMBER($E63),($E63+$F63)*Stock!AB63/100,Stock!AB63))</f>
        <v>0</v>
      </c>
      <c r="AH63" s="9">
        <f>IF(Stock!AC63="",0,IF(ISNUMBER($E63),($E63+$F63)*Stock!AC63/100,Stock!AC63))</f>
        <v>0</v>
      </c>
      <c r="AI63" s="9">
        <f>IF(Stock!AD63="",0,IF(ISNUMBER($E63),($E63+$F63)*Stock!AD63/100,Stock!AD63))</f>
        <v>0</v>
      </c>
      <c r="AJ63" s="9">
        <f>IF(Stock!AE63="",0,IF(ISNUMBER($E63),($E63+$F63)*Stock!AE63/100,Stock!AE63))</f>
        <v>0</v>
      </c>
      <c r="AK63" s="9">
        <f>IF(Stock!AF63="",0,IF(ISNUMBER($E63),($E63+$F63)*Stock!AF63/100,Stock!AF63))</f>
        <v>0</v>
      </c>
      <c r="AL63" s="9">
        <f>IF(Stock!AG63="",0,IF(ISNUMBER($E63),($E63+$F63)*Stock!AG63/100,Stock!AG63))</f>
        <v>0</v>
      </c>
      <c r="AM63" s="9">
        <f>IF(Stock!AH63="",0,IF(ISNUMBER($E63),($E63+$F63)*Stock!AH63/100,Stock!AH63))</f>
        <v>0</v>
      </c>
      <c r="AN63" s="9">
        <f>IF(Stock!AI63="",0,IF(ISNUMBER($E63),($E63+$F63)*Stock!AI63/100,Stock!AI63))</f>
        <v>0</v>
      </c>
      <c r="AO63" s="9">
        <f>IF(Stock!AJ63="",0,IF(ISNUMBER($E63),($E63+$F63)*Stock!AJ63/100,Stock!AJ63))</f>
        <v>0</v>
      </c>
      <c r="AP63" s="9">
        <f>IF(Stock!AK63="",0,IF(ISNUMBER($E63),($E63+$F63)*Stock!AK63/100,Stock!AK63))</f>
        <v>0</v>
      </c>
      <c r="AQ63" s="9">
        <f>IF(Stock!AL63="",0,IF(ISNUMBER($E63),($E63+$F63)*Stock!AL63/100,Stock!AL63))</f>
        <v>0</v>
      </c>
      <c r="AR63" s="9">
        <f>IF(Stock!AM63="",0,IF(ISNUMBER($E63),($E63+$F63)*Stock!AM63/100,Stock!AM63))</f>
        <v>0</v>
      </c>
      <c r="AS63" s="9">
        <f>IF(Stock!AN63="",0,IF(ISNUMBER($E63),($E63+$F63)*Stock!AN63/100,Stock!AN63))</f>
        <v>0</v>
      </c>
      <c r="AT63" s="9">
        <f>IF(Stock!AO63="",0,IF(ISNUMBER($E63),($E63+$F63)*Stock!AO63/100,Stock!AO63))</f>
        <v>0</v>
      </c>
      <c r="AU63" s="9">
        <f>IF(Stock!AP63="",0,IF(ISNUMBER($E63),($E63+$F63)*Stock!AP63/100,Stock!AP63))</f>
        <v>0</v>
      </c>
      <c r="AV63" s="9">
        <f>IF(Stock!AQ63="",0,IF(ISNUMBER($E63),($E63+$F63)*Stock!AQ63/100,Stock!AQ63))</f>
        <v>0</v>
      </c>
      <c r="AW63" s="9">
        <f>IF(Stock!AR63="",0,IF(ISNUMBER($E63),($E63+$F63)*Stock!AR63/100,Stock!AR63))</f>
        <v>0</v>
      </c>
      <c r="AX63" s="9">
        <f>IF(Stock!AS63="",0,IF(ISNUMBER($E63),($E63+$F63)*Stock!AS63/100,Stock!AS63))</f>
        <v>0</v>
      </c>
      <c r="AY63" s="9">
        <f>IF(Stock!AT63="",0,IF(ISNUMBER($E63),($E63+$F63)*Stock!AT63/100,Stock!AT63))</f>
        <v>0</v>
      </c>
      <c r="AZ63" s="9">
        <f>IF(Stock!AU63="",0,IF(ISNUMBER($E63),($E63+$F63)*Stock!AU63/100,Stock!AU63))</f>
        <v>0</v>
      </c>
      <c r="BA63" s="9">
        <f>IF(Stock!AV63="",0,IF(ISNUMBER($E63),($E63+$F63)*Stock!AV63/100,Stock!AV63))</f>
        <v>0</v>
      </c>
      <c r="BB63" s="9">
        <f>IF(Stock!AW63="",0,IF(ISNUMBER($E63),($E63+$F63)*Stock!AW63/100,Stock!AW63))</f>
        <v>0</v>
      </c>
      <c r="BC63" s="9">
        <f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>IF(Stock!C64="",0,IF(ISNUMBER($E64),($E64+$F64)*Stock!C64/100,Stock!C64))</f>
        <v>0</v>
      </c>
      <c r="I64" s="9">
        <f>IF(Stock!D64="",0,IF(ISNUMBER($E64),($E64+$F64)*Stock!D64/100,Stock!D64))</f>
        <v>0</v>
      </c>
      <c r="J64" s="9">
        <f>IF(Stock!E64="",0,IF(ISNUMBER($E64),($E64+$F64)*Stock!E64/100,Stock!E64))</f>
        <v>0</v>
      </c>
      <c r="K64" s="9">
        <f>IF(Stock!F64="",0,IF(ISNUMBER($E64),($E64+$F64)*Stock!F64/100,Stock!F64))</f>
        <v>0</v>
      </c>
      <c r="L64" s="9">
        <f>IF(Stock!G64="",0,IF(ISNUMBER($E64),($E64+$F64)*Stock!G64/100,Stock!G64))</f>
        <v>0</v>
      </c>
      <c r="M64" s="9">
        <f>IF(Stock!H64="",0,IF(ISNUMBER($E64),($E64+$F64)*Stock!H64/100,Stock!H64))</f>
        <v>0</v>
      </c>
      <c r="N64" s="9">
        <f>IF(Stock!I64="",0,IF(ISNUMBER($E64),($E64+$F64)*Stock!I64/100,Stock!I64))</f>
        <v>0</v>
      </c>
      <c r="O64" s="9">
        <f>IF(Stock!J64="",0,IF(ISNUMBER($E64),($E64+$F64)*Stock!J64/100,Stock!J64))</f>
        <v>0</v>
      </c>
      <c r="P64" s="9">
        <f>IF(Stock!K64="",0,IF(ISNUMBER($E64),($E64+$F64)*Stock!K64/100,Stock!K64))</f>
        <v>0</v>
      </c>
      <c r="Q64" s="9">
        <f>IF(Stock!L64="",0,IF(ISNUMBER($E64),($E64+$F64)*Stock!L64/100,Stock!L64))</f>
        <v>0</v>
      </c>
      <c r="R64" s="9">
        <f>IF(Stock!M64="",0,IF(ISNUMBER($E64),($E64+$F64)*Stock!M64/100,Stock!M64))</f>
        <v>0</v>
      </c>
      <c r="S64" s="9">
        <f>IF(Stock!N64="",0,IF(ISNUMBER($E64),($E64+$F64)*Stock!N64/100,Stock!N64))</f>
        <v>0</v>
      </c>
      <c r="T64" s="9">
        <f>IF(Stock!O64="",0,IF(ISNUMBER($E64),($E64+$F64)*Stock!O64/100,Stock!O64))</f>
        <v>0</v>
      </c>
      <c r="U64" s="9">
        <f>IF(Stock!P64="",0,IF(ISNUMBER($E64),($E64+$F64)*Stock!P64/100,Stock!P64))</f>
        <v>0</v>
      </c>
      <c r="V64" s="9">
        <f>IF(Stock!Q64="",0,IF(ISNUMBER($E64),($E64+$F64)*Stock!Q64/100,Stock!Q64))</f>
        <v>0</v>
      </c>
      <c r="W64" s="9">
        <f>IF(Stock!R64="",0,IF(ISNUMBER($E64),($E64+$F64)*Stock!R64/100,Stock!R64))</f>
        <v>0</v>
      </c>
      <c r="X64" s="9">
        <f>IF(Stock!S64="",0,IF(ISNUMBER($E64),($E64+$F64)*Stock!S64/100,Stock!S64))</f>
        <v>0</v>
      </c>
      <c r="Y64" s="9">
        <f>IF(Stock!T64="",0,IF(ISNUMBER($E64),($E64+$F64)*Stock!T64/100,Stock!T64))</f>
        <v>0</v>
      </c>
      <c r="Z64" s="9">
        <f>IF(Stock!U64="",0,IF(ISNUMBER($E64),($E64+$F64)*Stock!U64/100,Stock!U64))</f>
        <v>0</v>
      </c>
      <c r="AA64" s="9">
        <f>IF(Stock!V64="",0,IF(ISNUMBER($E64),($E64+$F64)*Stock!V64/100,Stock!V64))</f>
        <v>0</v>
      </c>
      <c r="AB64" s="9">
        <f>IF(Stock!W64="",0,IF(ISNUMBER($E64),($E64+$F64)*Stock!W64/100,Stock!W64))</f>
        <v>0</v>
      </c>
      <c r="AC64" s="9">
        <f>IF(Stock!X64="",0,IF(ISNUMBER($E64),($E64+$F64)*Stock!X64/100,Stock!X64))</f>
        <v>0</v>
      </c>
      <c r="AD64" s="9">
        <f>IF(Stock!Y64="",0,IF(ISNUMBER($E64),($E64+$F64)*Stock!Y64/100,Stock!Y64))</f>
        <v>0</v>
      </c>
      <c r="AE64" s="9">
        <f>IF(Stock!Z64="",0,IF(ISNUMBER($E64),($E64+$F64)*Stock!Z64/100,Stock!Z64))</f>
        <v>0</v>
      </c>
      <c r="AF64" s="9">
        <f>IF(Stock!AA64="",0,IF(ISNUMBER($E64),($E64+$F64)*Stock!AA64/100,Stock!AA64))</f>
        <v>0</v>
      </c>
      <c r="AG64" s="9">
        <f>IF(Stock!AB64="",0,IF(ISNUMBER($E64),($E64+$F64)*Stock!AB64/100,Stock!AB64))</f>
        <v>0</v>
      </c>
      <c r="AH64" s="9">
        <f>IF(Stock!AC64="",0,IF(ISNUMBER($E64),($E64+$F64)*Stock!AC64/100,Stock!AC64))</f>
        <v>0</v>
      </c>
      <c r="AI64" s="9">
        <f>IF(Stock!AD64="",0,IF(ISNUMBER($E64),($E64+$F64)*Stock!AD64/100,Stock!AD64))</f>
        <v>0</v>
      </c>
      <c r="AJ64" s="9">
        <f>IF(Stock!AE64="",0,IF(ISNUMBER($E64),($E64+$F64)*Stock!AE64/100,Stock!AE64))</f>
        <v>0</v>
      </c>
      <c r="AK64" s="9">
        <f>IF(Stock!AF64="",0,IF(ISNUMBER($E64),($E64+$F64)*Stock!AF64/100,Stock!AF64))</f>
        <v>0</v>
      </c>
      <c r="AL64" s="9">
        <f>IF(Stock!AG64="",0,IF(ISNUMBER($E64),($E64+$F64)*Stock!AG64/100,Stock!AG64))</f>
        <v>0</v>
      </c>
      <c r="AM64" s="9">
        <f>IF(Stock!AH64="",0,IF(ISNUMBER($E64),($E64+$F64)*Stock!AH64/100,Stock!AH64))</f>
        <v>0</v>
      </c>
      <c r="AN64" s="9">
        <f>IF(Stock!AI64="",0,IF(ISNUMBER($E64),($E64+$F64)*Stock!AI64/100,Stock!AI64))</f>
        <v>0</v>
      </c>
      <c r="AO64" s="9">
        <f>IF(Stock!AJ64="",0,IF(ISNUMBER($E64),($E64+$F64)*Stock!AJ64/100,Stock!AJ64))</f>
        <v>0</v>
      </c>
      <c r="AP64" s="9">
        <f>IF(Stock!AK64="",0,IF(ISNUMBER($E64),($E64+$F64)*Stock!AK64/100,Stock!AK64))</f>
        <v>0</v>
      </c>
      <c r="AQ64" s="9">
        <f>IF(Stock!AL64="",0,IF(ISNUMBER($E64),($E64+$F64)*Stock!AL64/100,Stock!AL64))</f>
        <v>0</v>
      </c>
      <c r="AR64" s="9">
        <f>IF(Stock!AM64="",0,IF(ISNUMBER($E64),($E64+$F64)*Stock!AM64/100,Stock!AM64))</f>
        <v>0</v>
      </c>
      <c r="AS64" s="9">
        <f>IF(Stock!AN64="",0,IF(ISNUMBER($E64),($E64+$F64)*Stock!AN64/100,Stock!AN64))</f>
        <v>0</v>
      </c>
      <c r="AT64" s="9">
        <f>IF(Stock!AO64="",0,IF(ISNUMBER($E64),($E64+$F64)*Stock!AO64/100,Stock!AO64))</f>
        <v>0</v>
      </c>
      <c r="AU64" s="9">
        <f>IF(Stock!AP64="",0,IF(ISNUMBER($E64),($E64+$F64)*Stock!AP64/100,Stock!AP64))</f>
        <v>0</v>
      </c>
      <c r="AV64" s="9">
        <f>IF(Stock!AQ64="",0,IF(ISNUMBER($E64),($E64+$F64)*Stock!AQ64/100,Stock!AQ64))</f>
        <v>0</v>
      </c>
      <c r="AW64" s="9">
        <f>IF(Stock!AR64="",0,IF(ISNUMBER($E64),($E64+$F64)*Stock!AR64/100,Stock!AR64))</f>
        <v>0</v>
      </c>
      <c r="AX64" s="9">
        <f>IF(Stock!AS64="",0,IF(ISNUMBER($E64),($E64+$F64)*Stock!AS64/100,Stock!AS64))</f>
        <v>0</v>
      </c>
      <c r="AY64" s="9">
        <f>IF(Stock!AT64="",0,IF(ISNUMBER($E64),($E64+$F64)*Stock!AT64/100,Stock!AT64))</f>
        <v>0</v>
      </c>
      <c r="AZ64" s="9">
        <f>IF(Stock!AU64="",0,IF(ISNUMBER($E64),($E64+$F64)*Stock!AU64/100,Stock!AU64))</f>
        <v>0</v>
      </c>
      <c r="BA64" s="9">
        <f>IF(Stock!AV64="",0,IF(ISNUMBER($E64),($E64+$F64)*Stock!AV64/100,Stock!AV64))</f>
        <v>0</v>
      </c>
      <c r="BB64" s="9">
        <f>IF(Stock!AW64="",0,IF(ISNUMBER($E64),($E64+$F64)*Stock!AW64/100,Stock!AW64))</f>
        <v>0</v>
      </c>
      <c r="BC64" s="9">
        <f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>IF(Stock!C65="",0,IF(ISNUMBER($E65),($E65+$F65)*Stock!C65/100,Stock!C65))</f>
        <v>0</v>
      </c>
      <c r="I65" s="9">
        <f>IF(Stock!D65="",0,IF(ISNUMBER($E65),($E65+$F65)*Stock!D65/100,Stock!D65))</f>
        <v>0</v>
      </c>
      <c r="J65" s="9">
        <f>IF(Stock!E65="",0,IF(ISNUMBER($E65),($E65+$F65)*Stock!E65/100,Stock!E65))</f>
        <v>0</v>
      </c>
      <c r="K65" s="9">
        <f>IF(Stock!F65="",0,IF(ISNUMBER($E65),($E65+$F65)*Stock!F65/100,Stock!F65))</f>
        <v>0</v>
      </c>
      <c r="L65" s="9">
        <f>IF(Stock!G65="",0,IF(ISNUMBER($E65),($E65+$F65)*Stock!G65/100,Stock!G65))</f>
        <v>0</v>
      </c>
      <c r="M65" s="9">
        <f>IF(Stock!H65="",0,IF(ISNUMBER($E65),($E65+$F65)*Stock!H65/100,Stock!H65))</f>
        <v>0</v>
      </c>
      <c r="N65" s="9">
        <f>IF(Stock!I65="",0,IF(ISNUMBER($E65),($E65+$F65)*Stock!I65/100,Stock!I65))</f>
        <v>0</v>
      </c>
      <c r="O65" s="9">
        <f>IF(Stock!J65="",0,IF(ISNUMBER($E65),($E65+$F65)*Stock!J65/100,Stock!J65))</f>
        <v>0</v>
      </c>
      <c r="P65" s="9">
        <f>IF(Stock!K65="",0,IF(ISNUMBER($E65),($E65+$F65)*Stock!K65/100,Stock!K65))</f>
        <v>0</v>
      </c>
      <c r="Q65" s="9">
        <f>IF(Stock!L65="",0,IF(ISNUMBER($E65),($E65+$F65)*Stock!L65/100,Stock!L65))</f>
        <v>0</v>
      </c>
      <c r="R65" s="9">
        <f>IF(Stock!M65="",0,IF(ISNUMBER($E65),($E65+$F65)*Stock!M65/100,Stock!M65))</f>
        <v>0</v>
      </c>
      <c r="S65" s="9">
        <f>IF(Stock!N65="",0,IF(ISNUMBER($E65),($E65+$F65)*Stock!N65/100,Stock!N65))</f>
        <v>0</v>
      </c>
      <c r="T65" s="9">
        <f>IF(Stock!O65="",0,IF(ISNUMBER($E65),($E65+$F65)*Stock!O65/100,Stock!O65))</f>
        <v>0</v>
      </c>
      <c r="U65" s="9">
        <f>IF(Stock!P65="",0,IF(ISNUMBER($E65),($E65+$F65)*Stock!P65/100,Stock!P65))</f>
        <v>0</v>
      </c>
      <c r="V65" s="9">
        <f>IF(Stock!Q65="",0,IF(ISNUMBER($E65),($E65+$F65)*Stock!Q65/100,Stock!Q65))</f>
        <v>0</v>
      </c>
      <c r="W65" s="9">
        <f>IF(Stock!R65="",0,IF(ISNUMBER($E65),($E65+$F65)*Stock!R65/100,Stock!R65))</f>
        <v>0</v>
      </c>
      <c r="X65" s="9">
        <f>IF(Stock!S65="",0,IF(ISNUMBER($E65),($E65+$F65)*Stock!S65/100,Stock!S65))</f>
        <v>0</v>
      </c>
      <c r="Y65" s="9">
        <f>IF(Stock!T65="",0,IF(ISNUMBER($E65),($E65+$F65)*Stock!T65/100,Stock!T65))</f>
        <v>0</v>
      </c>
      <c r="Z65" s="9">
        <f>IF(Stock!U65="",0,IF(ISNUMBER($E65),($E65+$F65)*Stock!U65/100,Stock!U65))</f>
        <v>0</v>
      </c>
      <c r="AA65" s="9">
        <f>IF(Stock!V65="",0,IF(ISNUMBER($E65),($E65+$F65)*Stock!V65/100,Stock!V65))</f>
        <v>0</v>
      </c>
      <c r="AB65" s="9">
        <f>IF(Stock!W65="",0,IF(ISNUMBER($E65),($E65+$F65)*Stock!W65/100,Stock!W65))</f>
        <v>0</v>
      </c>
      <c r="AC65" s="9">
        <f>IF(Stock!X65="",0,IF(ISNUMBER($E65),($E65+$F65)*Stock!X65/100,Stock!X65))</f>
        <v>0</v>
      </c>
      <c r="AD65" s="9">
        <f>IF(Stock!Y65="",0,IF(ISNUMBER($E65),($E65+$F65)*Stock!Y65/100,Stock!Y65))</f>
        <v>0</v>
      </c>
      <c r="AE65" s="9">
        <f>IF(Stock!Z65="",0,IF(ISNUMBER($E65),($E65+$F65)*Stock!Z65/100,Stock!Z65))</f>
        <v>0</v>
      </c>
      <c r="AF65" s="9">
        <f>IF(Stock!AA65="",0,IF(ISNUMBER($E65),($E65+$F65)*Stock!AA65/100,Stock!AA65))</f>
        <v>0</v>
      </c>
      <c r="AG65" s="9">
        <f>IF(Stock!AB65="",0,IF(ISNUMBER($E65),($E65+$F65)*Stock!AB65/100,Stock!AB65))</f>
        <v>0</v>
      </c>
      <c r="AH65" s="9">
        <f>IF(Stock!AC65="",0,IF(ISNUMBER($E65),($E65+$F65)*Stock!AC65/100,Stock!AC65))</f>
        <v>0</v>
      </c>
      <c r="AI65" s="9">
        <f>IF(Stock!AD65="",0,IF(ISNUMBER($E65),($E65+$F65)*Stock!AD65/100,Stock!AD65))</f>
        <v>0</v>
      </c>
      <c r="AJ65" s="9">
        <f>IF(Stock!AE65="",0,IF(ISNUMBER($E65),($E65+$F65)*Stock!AE65/100,Stock!AE65))</f>
        <v>0</v>
      </c>
      <c r="AK65" s="9">
        <f>IF(Stock!AF65="",0,IF(ISNUMBER($E65),($E65+$F65)*Stock!AF65/100,Stock!AF65))</f>
        <v>0</v>
      </c>
      <c r="AL65" s="9">
        <f>IF(Stock!AG65="",0,IF(ISNUMBER($E65),($E65+$F65)*Stock!AG65/100,Stock!AG65))</f>
        <v>0</v>
      </c>
      <c r="AM65" s="9">
        <f>IF(Stock!AH65="",0,IF(ISNUMBER($E65),($E65+$F65)*Stock!AH65/100,Stock!AH65))</f>
        <v>0</v>
      </c>
      <c r="AN65" s="9">
        <f>IF(Stock!AI65="",0,IF(ISNUMBER($E65),($E65+$F65)*Stock!AI65/100,Stock!AI65))</f>
        <v>0</v>
      </c>
      <c r="AO65" s="9">
        <f>IF(Stock!AJ65="",0,IF(ISNUMBER($E65),($E65+$F65)*Stock!AJ65/100,Stock!AJ65))</f>
        <v>0</v>
      </c>
      <c r="AP65" s="9">
        <f>IF(Stock!AK65="",0,IF(ISNUMBER($E65),($E65+$F65)*Stock!AK65/100,Stock!AK65))</f>
        <v>0</v>
      </c>
      <c r="AQ65" s="9">
        <f>IF(Stock!AL65="",0,IF(ISNUMBER($E65),($E65+$F65)*Stock!AL65/100,Stock!AL65))</f>
        <v>0</v>
      </c>
      <c r="AR65" s="9">
        <f>IF(Stock!AM65="",0,IF(ISNUMBER($E65),($E65+$F65)*Stock!AM65/100,Stock!AM65))</f>
        <v>0</v>
      </c>
      <c r="AS65" s="9">
        <f>IF(Stock!AN65="",0,IF(ISNUMBER($E65),($E65+$F65)*Stock!AN65/100,Stock!AN65))</f>
        <v>0</v>
      </c>
      <c r="AT65" s="9">
        <f>IF(Stock!AO65="",0,IF(ISNUMBER($E65),($E65+$F65)*Stock!AO65/100,Stock!AO65))</f>
        <v>0</v>
      </c>
      <c r="AU65" s="9">
        <f>IF(Stock!AP65="",0,IF(ISNUMBER($E65),($E65+$F65)*Stock!AP65/100,Stock!AP65))</f>
        <v>0</v>
      </c>
      <c r="AV65" s="9">
        <f>IF(Stock!AQ65="",0,IF(ISNUMBER($E65),($E65+$F65)*Stock!AQ65/100,Stock!AQ65))</f>
        <v>0</v>
      </c>
      <c r="AW65" s="9">
        <f>IF(Stock!AR65="",0,IF(ISNUMBER($E65),($E65+$F65)*Stock!AR65/100,Stock!AR65))</f>
        <v>0</v>
      </c>
      <c r="AX65" s="9">
        <f>IF(Stock!AS65="",0,IF(ISNUMBER($E65),($E65+$F65)*Stock!AS65/100,Stock!AS65))</f>
        <v>0</v>
      </c>
      <c r="AY65" s="9">
        <f>IF(Stock!AT65="",0,IF(ISNUMBER($E65),($E65+$F65)*Stock!AT65/100,Stock!AT65))</f>
        <v>0</v>
      </c>
      <c r="AZ65" s="9">
        <f>IF(Stock!AU65="",0,IF(ISNUMBER($E65),($E65+$F65)*Stock!AU65/100,Stock!AU65))</f>
        <v>0</v>
      </c>
      <c r="BA65" s="9">
        <f>IF(Stock!AV65="",0,IF(ISNUMBER($E65),($E65+$F65)*Stock!AV65/100,Stock!AV65))</f>
        <v>0</v>
      </c>
      <c r="BB65" s="9">
        <f>IF(Stock!AW65="",0,IF(ISNUMBER($E65),($E65+$F65)*Stock!AW65/100,Stock!AW65))</f>
        <v>0</v>
      </c>
      <c r="BC65" s="9">
        <f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>IF(Stock!C66="",0,IF(ISNUMBER($E66),($E66+$F66)*Stock!C66/100,Stock!C66))</f>
        <v>0</v>
      </c>
      <c r="I66" s="9">
        <f>IF(Stock!D66="",0,IF(ISNUMBER($E66),($E66+$F66)*Stock!D66/100,Stock!D66))</f>
        <v>0</v>
      </c>
      <c r="J66" s="9">
        <f>IF(Stock!E66="",0,IF(ISNUMBER($E66),($E66+$F66)*Stock!E66/100,Stock!E66))</f>
        <v>0</v>
      </c>
      <c r="K66" s="9">
        <f>IF(Stock!F66="",0,IF(ISNUMBER($E66),($E66+$F66)*Stock!F66/100,Stock!F66))</f>
        <v>0</v>
      </c>
      <c r="L66" s="9">
        <f>IF(Stock!G66="",0,IF(ISNUMBER($E66),($E66+$F66)*Stock!G66/100,Stock!G66))</f>
        <v>0</v>
      </c>
      <c r="M66" s="9">
        <f>IF(Stock!H66="",0,IF(ISNUMBER($E66),($E66+$F66)*Stock!H66/100,Stock!H66))</f>
        <v>0</v>
      </c>
      <c r="N66" s="9">
        <f>IF(Stock!I66="",0,IF(ISNUMBER($E66),($E66+$F66)*Stock!I66/100,Stock!I66))</f>
        <v>0</v>
      </c>
      <c r="O66" s="9">
        <f>IF(Stock!J66="",0,IF(ISNUMBER($E66),($E66+$F66)*Stock!J66/100,Stock!J66))</f>
        <v>0</v>
      </c>
      <c r="P66" s="9">
        <f>IF(Stock!K66="",0,IF(ISNUMBER($E66),($E66+$F66)*Stock!K66/100,Stock!K66))</f>
        <v>0</v>
      </c>
      <c r="Q66" s="9">
        <f>IF(Stock!L66="",0,IF(ISNUMBER($E66),($E66+$F66)*Stock!L66/100,Stock!L66))</f>
        <v>0</v>
      </c>
      <c r="R66" s="9">
        <f>IF(Stock!M66="",0,IF(ISNUMBER($E66),($E66+$F66)*Stock!M66/100,Stock!M66))</f>
        <v>0</v>
      </c>
      <c r="S66" s="9">
        <f>IF(Stock!N66="",0,IF(ISNUMBER($E66),($E66+$F66)*Stock!N66/100,Stock!N66))</f>
        <v>0</v>
      </c>
      <c r="T66" s="9">
        <f>IF(Stock!O66="",0,IF(ISNUMBER($E66),($E66+$F66)*Stock!O66/100,Stock!O66))</f>
        <v>0</v>
      </c>
      <c r="U66" s="9">
        <f>IF(Stock!P66="",0,IF(ISNUMBER($E66),($E66+$F66)*Stock!P66/100,Stock!P66))</f>
        <v>0</v>
      </c>
      <c r="V66" s="9">
        <f>IF(Stock!Q66="",0,IF(ISNUMBER($E66),($E66+$F66)*Stock!Q66/100,Stock!Q66))</f>
        <v>0</v>
      </c>
      <c r="W66" s="9">
        <f>IF(Stock!R66="",0,IF(ISNUMBER($E66),($E66+$F66)*Stock!R66/100,Stock!R66))</f>
        <v>0</v>
      </c>
      <c r="X66" s="9">
        <f>IF(Stock!S66="",0,IF(ISNUMBER($E66),($E66+$F66)*Stock!S66/100,Stock!S66))</f>
        <v>0</v>
      </c>
      <c r="Y66" s="9">
        <f>IF(Stock!T66="",0,IF(ISNUMBER($E66),($E66+$F66)*Stock!T66/100,Stock!T66))</f>
        <v>0</v>
      </c>
      <c r="Z66" s="9">
        <f>IF(Stock!U66="",0,IF(ISNUMBER($E66),($E66+$F66)*Stock!U66/100,Stock!U66))</f>
        <v>0</v>
      </c>
      <c r="AA66" s="9">
        <f>IF(Stock!V66="",0,IF(ISNUMBER($E66),($E66+$F66)*Stock!V66/100,Stock!V66))</f>
        <v>0</v>
      </c>
      <c r="AB66" s="9">
        <f>IF(Stock!W66="",0,IF(ISNUMBER($E66),($E66+$F66)*Stock!W66/100,Stock!W66))</f>
        <v>0</v>
      </c>
      <c r="AC66" s="9">
        <f>IF(Stock!X66="",0,IF(ISNUMBER($E66),($E66+$F66)*Stock!X66/100,Stock!X66))</f>
        <v>0</v>
      </c>
      <c r="AD66" s="9">
        <f>IF(Stock!Y66="",0,IF(ISNUMBER($E66),($E66+$F66)*Stock!Y66/100,Stock!Y66))</f>
        <v>0</v>
      </c>
      <c r="AE66" s="9">
        <f>IF(Stock!Z66="",0,IF(ISNUMBER($E66),($E66+$F66)*Stock!Z66/100,Stock!Z66))</f>
        <v>0</v>
      </c>
      <c r="AF66" s="9">
        <f>IF(Stock!AA66="",0,IF(ISNUMBER($E66),($E66+$F66)*Stock!AA66/100,Stock!AA66))</f>
        <v>0</v>
      </c>
      <c r="AG66" s="9">
        <f>IF(Stock!AB66="",0,IF(ISNUMBER($E66),($E66+$F66)*Stock!AB66/100,Stock!AB66))</f>
        <v>0</v>
      </c>
      <c r="AH66" s="9">
        <f>IF(Stock!AC66="",0,IF(ISNUMBER($E66),($E66+$F66)*Stock!AC66/100,Stock!AC66))</f>
        <v>0</v>
      </c>
      <c r="AI66" s="9">
        <f>IF(Stock!AD66="",0,IF(ISNUMBER($E66),($E66+$F66)*Stock!AD66/100,Stock!AD66))</f>
        <v>0</v>
      </c>
      <c r="AJ66" s="9">
        <f>IF(Stock!AE66="",0,IF(ISNUMBER($E66),($E66+$F66)*Stock!AE66/100,Stock!AE66))</f>
        <v>0</v>
      </c>
      <c r="AK66" s="9">
        <f>IF(Stock!AF66="",0,IF(ISNUMBER($E66),($E66+$F66)*Stock!AF66/100,Stock!AF66))</f>
        <v>0</v>
      </c>
      <c r="AL66" s="9">
        <f>IF(Stock!AG66="",0,IF(ISNUMBER($E66),($E66+$F66)*Stock!AG66/100,Stock!AG66))</f>
        <v>0</v>
      </c>
      <c r="AM66" s="9">
        <f>IF(Stock!AH66="",0,IF(ISNUMBER($E66),($E66+$F66)*Stock!AH66/100,Stock!AH66))</f>
        <v>0</v>
      </c>
      <c r="AN66" s="9">
        <f>IF(Stock!AI66="",0,IF(ISNUMBER($E66),($E66+$F66)*Stock!AI66/100,Stock!AI66))</f>
        <v>0</v>
      </c>
      <c r="AO66" s="9">
        <f>IF(Stock!AJ66="",0,IF(ISNUMBER($E66),($E66+$F66)*Stock!AJ66/100,Stock!AJ66))</f>
        <v>0</v>
      </c>
      <c r="AP66" s="9">
        <f>IF(Stock!AK66="",0,IF(ISNUMBER($E66),($E66+$F66)*Stock!AK66/100,Stock!AK66))</f>
        <v>0</v>
      </c>
      <c r="AQ66" s="9">
        <f>IF(Stock!AL66="",0,IF(ISNUMBER($E66),($E66+$F66)*Stock!AL66/100,Stock!AL66))</f>
        <v>0</v>
      </c>
      <c r="AR66" s="9">
        <f>IF(Stock!AM66="",0,IF(ISNUMBER($E66),($E66+$F66)*Stock!AM66/100,Stock!AM66))</f>
        <v>0</v>
      </c>
      <c r="AS66" s="9">
        <f>IF(Stock!AN66="",0,IF(ISNUMBER($E66),($E66+$F66)*Stock!AN66/100,Stock!AN66))</f>
        <v>0</v>
      </c>
      <c r="AT66" s="9">
        <f>IF(Stock!AO66="",0,IF(ISNUMBER($E66),($E66+$F66)*Stock!AO66/100,Stock!AO66))</f>
        <v>0</v>
      </c>
      <c r="AU66" s="9">
        <f>IF(Stock!AP66="",0,IF(ISNUMBER($E66),($E66+$F66)*Stock!AP66/100,Stock!AP66))</f>
        <v>0</v>
      </c>
      <c r="AV66" s="9">
        <f>IF(Stock!AQ66="",0,IF(ISNUMBER($E66),($E66+$F66)*Stock!AQ66/100,Stock!AQ66))</f>
        <v>0</v>
      </c>
      <c r="AW66" s="9">
        <f>IF(Stock!AR66="",0,IF(ISNUMBER($E66),($E66+$F66)*Stock!AR66/100,Stock!AR66))</f>
        <v>0</v>
      </c>
      <c r="AX66" s="9">
        <f>IF(Stock!AS66="",0,IF(ISNUMBER($E66),($E66+$F66)*Stock!AS66/100,Stock!AS66))</f>
        <v>0</v>
      </c>
      <c r="AY66" s="9">
        <f>IF(Stock!AT66="",0,IF(ISNUMBER($E66),($E66+$F66)*Stock!AT66/100,Stock!AT66))</f>
        <v>0</v>
      </c>
      <c r="AZ66" s="9">
        <f>IF(Stock!AU66="",0,IF(ISNUMBER($E66),($E66+$F66)*Stock!AU66/100,Stock!AU66))</f>
        <v>0</v>
      </c>
      <c r="BA66" s="9">
        <f>IF(Stock!AV66="",0,IF(ISNUMBER($E66),($E66+$F66)*Stock!AV66/100,Stock!AV66))</f>
        <v>0</v>
      </c>
      <c r="BB66" s="9">
        <f>IF(Stock!AW66="",0,IF(ISNUMBER($E66),($E66+$F66)*Stock!AW66/100,Stock!AW66))</f>
        <v>0</v>
      </c>
      <c r="BC66" s="9">
        <f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>IF(Stock!C67="",0,IF(ISNUMBER($E67),($E67+$F67)*Stock!C67/100,Stock!C67))</f>
        <v>0</v>
      </c>
      <c r="I67" s="9">
        <f>IF(Stock!D67="",0,IF(ISNUMBER($E67),($E67+$F67)*Stock!D67/100,Stock!D67))</f>
        <v>0</v>
      </c>
      <c r="J67" s="9">
        <f>IF(Stock!E67="",0,IF(ISNUMBER($E67),($E67+$F67)*Stock!E67/100,Stock!E67))</f>
        <v>0</v>
      </c>
      <c r="K67" s="9">
        <f>IF(Stock!F67="",0,IF(ISNUMBER($E67),($E67+$F67)*Stock!F67/100,Stock!F67))</f>
        <v>0</v>
      </c>
      <c r="L67" s="9">
        <f>IF(Stock!G67="",0,IF(ISNUMBER($E67),($E67+$F67)*Stock!G67/100,Stock!G67))</f>
        <v>0</v>
      </c>
      <c r="M67" s="9">
        <f>IF(Stock!H67="",0,IF(ISNUMBER($E67),($E67+$F67)*Stock!H67/100,Stock!H67))</f>
        <v>0</v>
      </c>
      <c r="N67" s="9">
        <f>IF(Stock!I67="",0,IF(ISNUMBER($E67),($E67+$F67)*Stock!I67/100,Stock!I67))</f>
        <v>0</v>
      </c>
      <c r="O67" s="9">
        <f>IF(Stock!J67="",0,IF(ISNUMBER($E67),($E67+$F67)*Stock!J67/100,Stock!J67))</f>
        <v>0</v>
      </c>
      <c r="P67" s="9">
        <f>IF(Stock!K67="",0,IF(ISNUMBER($E67),($E67+$F67)*Stock!K67/100,Stock!K67))</f>
        <v>0</v>
      </c>
      <c r="Q67" s="9">
        <f>IF(Stock!L67="",0,IF(ISNUMBER($E67),($E67+$F67)*Stock!L67/100,Stock!L67))</f>
        <v>0</v>
      </c>
      <c r="R67" s="9">
        <f>IF(Stock!M67="",0,IF(ISNUMBER($E67),($E67+$F67)*Stock!M67/100,Stock!M67))</f>
        <v>0</v>
      </c>
      <c r="S67" s="9">
        <f>IF(Stock!N67="",0,IF(ISNUMBER($E67),($E67+$F67)*Stock!N67/100,Stock!N67))</f>
        <v>0</v>
      </c>
      <c r="T67" s="9">
        <f>IF(Stock!O67="",0,IF(ISNUMBER($E67),($E67+$F67)*Stock!O67/100,Stock!O67))</f>
        <v>0</v>
      </c>
      <c r="U67" s="9">
        <f>IF(Stock!P67="",0,IF(ISNUMBER($E67),($E67+$F67)*Stock!P67/100,Stock!P67))</f>
        <v>0</v>
      </c>
      <c r="V67" s="9">
        <f>IF(Stock!Q67="",0,IF(ISNUMBER($E67),($E67+$F67)*Stock!Q67/100,Stock!Q67))</f>
        <v>0</v>
      </c>
      <c r="W67" s="9">
        <f>IF(Stock!R67="",0,IF(ISNUMBER($E67),($E67+$F67)*Stock!R67/100,Stock!R67))</f>
        <v>0</v>
      </c>
      <c r="X67" s="9">
        <f>IF(Stock!S67="",0,IF(ISNUMBER($E67),($E67+$F67)*Stock!S67/100,Stock!S67))</f>
        <v>0</v>
      </c>
      <c r="Y67" s="9">
        <f>IF(Stock!T67="",0,IF(ISNUMBER($E67),($E67+$F67)*Stock!T67/100,Stock!T67))</f>
        <v>0</v>
      </c>
      <c r="Z67" s="9">
        <f>IF(Stock!U67="",0,IF(ISNUMBER($E67),($E67+$F67)*Stock!U67/100,Stock!U67))</f>
        <v>0</v>
      </c>
      <c r="AA67" s="9">
        <f>IF(Stock!V67="",0,IF(ISNUMBER($E67),($E67+$F67)*Stock!V67/100,Stock!V67))</f>
        <v>0</v>
      </c>
      <c r="AB67" s="9">
        <f>IF(Stock!W67="",0,IF(ISNUMBER($E67),($E67+$F67)*Stock!W67/100,Stock!W67))</f>
        <v>0</v>
      </c>
      <c r="AC67" s="9">
        <f>IF(Stock!X67="",0,IF(ISNUMBER($E67),($E67+$F67)*Stock!X67/100,Stock!X67))</f>
        <v>0</v>
      </c>
      <c r="AD67" s="9">
        <f>IF(Stock!Y67="",0,IF(ISNUMBER($E67),($E67+$F67)*Stock!Y67/100,Stock!Y67))</f>
        <v>0</v>
      </c>
      <c r="AE67" s="9">
        <f>IF(Stock!Z67="",0,IF(ISNUMBER($E67),($E67+$F67)*Stock!Z67/100,Stock!Z67))</f>
        <v>0</v>
      </c>
      <c r="AF67" s="9">
        <f>IF(Stock!AA67="",0,IF(ISNUMBER($E67),($E67+$F67)*Stock!AA67/100,Stock!AA67))</f>
        <v>0</v>
      </c>
      <c r="AG67" s="9">
        <f>IF(Stock!AB67="",0,IF(ISNUMBER($E67),($E67+$F67)*Stock!AB67/100,Stock!AB67))</f>
        <v>0</v>
      </c>
      <c r="AH67" s="9">
        <f>IF(Stock!AC67="",0,IF(ISNUMBER($E67),($E67+$F67)*Stock!AC67/100,Stock!AC67))</f>
        <v>0</v>
      </c>
      <c r="AI67" s="9">
        <f>IF(Stock!AD67="",0,IF(ISNUMBER($E67),($E67+$F67)*Stock!AD67/100,Stock!AD67))</f>
        <v>0</v>
      </c>
      <c r="AJ67" s="9">
        <f>IF(Stock!AE67="",0,IF(ISNUMBER($E67),($E67+$F67)*Stock!AE67/100,Stock!AE67))</f>
        <v>0</v>
      </c>
      <c r="AK67" s="9">
        <f>IF(Stock!AF67="",0,IF(ISNUMBER($E67),($E67+$F67)*Stock!AF67/100,Stock!AF67))</f>
        <v>0</v>
      </c>
      <c r="AL67" s="9">
        <f>IF(Stock!AG67="",0,IF(ISNUMBER($E67),($E67+$F67)*Stock!AG67/100,Stock!AG67))</f>
        <v>0</v>
      </c>
      <c r="AM67" s="9">
        <f>IF(Stock!AH67="",0,IF(ISNUMBER($E67),($E67+$F67)*Stock!AH67/100,Stock!AH67))</f>
        <v>0</v>
      </c>
      <c r="AN67" s="9">
        <f>IF(Stock!AI67="",0,IF(ISNUMBER($E67),($E67+$F67)*Stock!AI67/100,Stock!AI67))</f>
        <v>0</v>
      </c>
      <c r="AO67" s="9">
        <f>IF(Stock!AJ67="",0,IF(ISNUMBER($E67),($E67+$F67)*Stock!AJ67/100,Stock!AJ67))</f>
        <v>0</v>
      </c>
      <c r="AP67" s="9">
        <f>IF(Stock!AK67="",0,IF(ISNUMBER($E67),($E67+$F67)*Stock!AK67/100,Stock!AK67))</f>
        <v>0</v>
      </c>
      <c r="AQ67" s="9">
        <f>IF(Stock!AL67="",0,IF(ISNUMBER($E67),($E67+$F67)*Stock!AL67/100,Stock!AL67))</f>
        <v>0</v>
      </c>
      <c r="AR67" s="9">
        <f>IF(Stock!AM67="",0,IF(ISNUMBER($E67),($E67+$F67)*Stock!AM67/100,Stock!AM67))</f>
        <v>0</v>
      </c>
      <c r="AS67" s="9">
        <f>IF(Stock!AN67="",0,IF(ISNUMBER($E67),($E67+$F67)*Stock!AN67/100,Stock!AN67))</f>
        <v>0</v>
      </c>
      <c r="AT67" s="9">
        <f>IF(Stock!AO67="",0,IF(ISNUMBER($E67),($E67+$F67)*Stock!AO67/100,Stock!AO67))</f>
        <v>0</v>
      </c>
      <c r="AU67" s="9">
        <f>IF(Stock!AP67="",0,IF(ISNUMBER($E67),($E67+$F67)*Stock!AP67/100,Stock!AP67))</f>
        <v>0</v>
      </c>
      <c r="AV67" s="9">
        <f>IF(Stock!AQ67="",0,IF(ISNUMBER($E67),($E67+$F67)*Stock!AQ67/100,Stock!AQ67))</f>
        <v>0</v>
      </c>
      <c r="AW67" s="9">
        <f>IF(Stock!AR67="",0,IF(ISNUMBER($E67),($E67+$F67)*Stock!AR67/100,Stock!AR67))</f>
        <v>0</v>
      </c>
      <c r="AX67" s="9">
        <f>IF(Stock!AS67="",0,IF(ISNUMBER($E67),($E67+$F67)*Stock!AS67/100,Stock!AS67))</f>
        <v>0</v>
      </c>
      <c r="AY67" s="9">
        <f>IF(Stock!AT67="",0,IF(ISNUMBER($E67),($E67+$F67)*Stock!AT67/100,Stock!AT67))</f>
        <v>0</v>
      </c>
      <c r="AZ67" s="9">
        <f>IF(Stock!AU67="",0,IF(ISNUMBER($E67),($E67+$F67)*Stock!AU67/100,Stock!AU67))</f>
        <v>0</v>
      </c>
      <c r="BA67" s="9">
        <f>IF(Stock!AV67="",0,IF(ISNUMBER($E67),($E67+$F67)*Stock!AV67/100,Stock!AV67))</f>
        <v>0</v>
      </c>
      <c r="BB67" s="9">
        <f>IF(Stock!AW67="",0,IF(ISNUMBER($E67),($E67+$F67)*Stock!AW67/100,Stock!AW67))</f>
        <v>0</v>
      </c>
      <c r="BC67" s="9">
        <f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>IF(Stock!C68="",0,IF(ISNUMBER($E68),($E68+$F68)*Stock!C68/100,Stock!C68))</f>
        <v>0</v>
      </c>
      <c r="I68" s="9">
        <f>IF(Stock!D68="",0,IF(ISNUMBER($E68),($E68+$F68)*Stock!D68/100,Stock!D68))</f>
        <v>0</v>
      </c>
      <c r="J68" s="9">
        <f>IF(Stock!E68="",0,IF(ISNUMBER($E68),($E68+$F68)*Stock!E68/100,Stock!E68))</f>
        <v>0</v>
      </c>
      <c r="K68" s="9">
        <f>IF(Stock!F68="",0,IF(ISNUMBER($E68),($E68+$F68)*Stock!F68/100,Stock!F68))</f>
        <v>0</v>
      </c>
      <c r="L68" s="9">
        <f>IF(Stock!G68="",0,IF(ISNUMBER($E68),($E68+$F68)*Stock!G68/100,Stock!G68))</f>
        <v>0</v>
      </c>
      <c r="M68" s="9">
        <f>IF(Stock!H68="",0,IF(ISNUMBER($E68),($E68+$F68)*Stock!H68/100,Stock!H68))</f>
        <v>0</v>
      </c>
      <c r="N68" s="9">
        <f>IF(Stock!I68="",0,IF(ISNUMBER($E68),($E68+$F68)*Stock!I68/100,Stock!I68))</f>
        <v>0</v>
      </c>
      <c r="O68" s="9">
        <f>IF(Stock!J68="",0,IF(ISNUMBER($E68),($E68+$F68)*Stock!J68/100,Stock!J68))</f>
        <v>0</v>
      </c>
      <c r="P68" s="9">
        <f>IF(Stock!K68="",0,IF(ISNUMBER($E68),($E68+$F68)*Stock!K68/100,Stock!K68))</f>
        <v>0</v>
      </c>
      <c r="Q68" s="9">
        <f>IF(Stock!L68="",0,IF(ISNUMBER($E68),($E68+$F68)*Stock!L68/100,Stock!L68))</f>
        <v>0</v>
      </c>
      <c r="R68" s="9">
        <f>IF(Stock!M68="",0,IF(ISNUMBER($E68),($E68+$F68)*Stock!M68/100,Stock!M68))</f>
        <v>0</v>
      </c>
      <c r="S68" s="9">
        <f>IF(Stock!N68="",0,IF(ISNUMBER($E68),($E68+$F68)*Stock!N68/100,Stock!N68))</f>
        <v>0</v>
      </c>
      <c r="T68" s="9">
        <f>IF(Stock!O68="",0,IF(ISNUMBER($E68),($E68+$F68)*Stock!O68/100,Stock!O68))</f>
        <v>0</v>
      </c>
      <c r="U68" s="9">
        <f>IF(Stock!P68="",0,IF(ISNUMBER($E68),($E68+$F68)*Stock!P68/100,Stock!P68))</f>
        <v>0</v>
      </c>
      <c r="V68" s="9">
        <f>IF(Stock!Q68="",0,IF(ISNUMBER($E68),($E68+$F68)*Stock!Q68/100,Stock!Q68))</f>
        <v>0</v>
      </c>
      <c r="W68" s="9">
        <f>IF(Stock!R68="",0,IF(ISNUMBER($E68),($E68+$F68)*Stock!R68/100,Stock!R68))</f>
        <v>0</v>
      </c>
      <c r="X68" s="9">
        <f>IF(Stock!S68="",0,IF(ISNUMBER($E68),($E68+$F68)*Stock!S68/100,Stock!S68))</f>
        <v>0</v>
      </c>
      <c r="Y68" s="9">
        <f>IF(Stock!T68="",0,IF(ISNUMBER($E68),($E68+$F68)*Stock!T68/100,Stock!T68))</f>
        <v>0</v>
      </c>
      <c r="Z68" s="9">
        <f>IF(Stock!U68="",0,IF(ISNUMBER($E68),($E68+$F68)*Stock!U68/100,Stock!U68))</f>
        <v>0</v>
      </c>
      <c r="AA68" s="9">
        <f>IF(Stock!V68="",0,IF(ISNUMBER($E68),($E68+$F68)*Stock!V68/100,Stock!V68))</f>
        <v>0</v>
      </c>
      <c r="AB68" s="9">
        <f>IF(Stock!W68="",0,IF(ISNUMBER($E68),($E68+$F68)*Stock!W68/100,Stock!W68))</f>
        <v>0</v>
      </c>
      <c r="AC68" s="9">
        <f>IF(Stock!X68="",0,IF(ISNUMBER($E68),($E68+$F68)*Stock!X68/100,Stock!X68))</f>
        <v>0</v>
      </c>
      <c r="AD68" s="9">
        <f>IF(Stock!Y68="",0,IF(ISNUMBER($E68),($E68+$F68)*Stock!Y68/100,Stock!Y68))</f>
        <v>0</v>
      </c>
      <c r="AE68" s="9">
        <f>IF(Stock!Z68="",0,IF(ISNUMBER($E68),($E68+$F68)*Stock!Z68/100,Stock!Z68))</f>
        <v>0</v>
      </c>
      <c r="AF68" s="9">
        <f>IF(Stock!AA68="",0,IF(ISNUMBER($E68),($E68+$F68)*Stock!AA68/100,Stock!AA68))</f>
        <v>0</v>
      </c>
      <c r="AG68" s="9">
        <f>IF(Stock!AB68="",0,IF(ISNUMBER($E68),($E68+$F68)*Stock!AB68/100,Stock!AB68))</f>
        <v>0</v>
      </c>
      <c r="AH68" s="9">
        <f>IF(Stock!AC68="",0,IF(ISNUMBER($E68),($E68+$F68)*Stock!AC68/100,Stock!AC68))</f>
        <v>0</v>
      </c>
      <c r="AI68" s="9">
        <f>IF(Stock!AD68="",0,IF(ISNUMBER($E68),($E68+$F68)*Stock!AD68/100,Stock!AD68))</f>
        <v>0</v>
      </c>
      <c r="AJ68" s="9">
        <f>IF(Stock!AE68="",0,IF(ISNUMBER($E68),($E68+$F68)*Stock!AE68/100,Stock!AE68))</f>
        <v>0</v>
      </c>
      <c r="AK68" s="9">
        <f>IF(Stock!AF68="",0,IF(ISNUMBER($E68),($E68+$F68)*Stock!AF68/100,Stock!AF68))</f>
        <v>0</v>
      </c>
      <c r="AL68" s="9">
        <f>IF(Stock!AG68="",0,IF(ISNUMBER($E68),($E68+$F68)*Stock!AG68/100,Stock!AG68))</f>
        <v>0</v>
      </c>
      <c r="AM68" s="9">
        <f>IF(Stock!AH68="",0,IF(ISNUMBER($E68),($E68+$F68)*Stock!AH68/100,Stock!AH68))</f>
        <v>0</v>
      </c>
      <c r="AN68" s="9">
        <f>IF(Stock!AI68="",0,IF(ISNUMBER($E68),($E68+$F68)*Stock!AI68/100,Stock!AI68))</f>
        <v>0</v>
      </c>
      <c r="AO68" s="9">
        <f>IF(Stock!AJ68="",0,IF(ISNUMBER($E68),($E68+$F68)*Stock!AJ68/100,Stock!AJ68))</f>
        <v>0</v>
      </c>
      <c r="AP68" s="9">
        <f>IF(Stock!AK68="",0,IF(ISNUMBER($E68),($E68+$F68)*Stock!AK68/100,Stock!AK68))</f>
        <v>0</v>
      </c>
      <c r="AQ68" s="9">
        <f>IF(Stock!AL68="",0,IF(ISNUMBER($E68),($E68+$F68)*Stock!AL68/100,Stock!AL68))</f>
        <v>0</v>
      </c>
      <c r="AR68" s="9">
        <f>IF(Stock!AM68="",0,IF(ISNUMBER($E68),($E68+$F68)*Stock!AM68/100,Stock!AM68))</f>
        <v>0</v>
      </c>
      <c r="AS68" s="9">
        <f>IF(Stock!AN68="",0,IF(ISNUMBER($E68),($E68+$F68)*Stock!AN68/100,Stock!AN68))</f>
        <v>0</v>
      </c>
      <c r="AT68" s="9">
        <f>IF(Stock!AO68="",0,IF(ISNUMBER($E68),($E68+$F68)*Stock!AO68/100,Stock!AO68))</f>
        <v>0</v>
      </c>
      <c r="AU68" s="9">
        <f>IF(Stock!AP68="",0,IF(ISNUMBER($E68),($E68+$F68)*Stock!AP68/100,Stock!AP68))</f>
        <v>0</v>
      </c>
      <c r="AV68" s="9">
        <f>IF(Stock!AQ68="",0,IF(ISNUMBER($E68),($E68+$F68)*Stock!AQ68/100,Stock!AQ68))</f>
        <v>0</v>
      </c>
      <c r="AW68" s="9">
        <f>IF(Stock!AR68="",0,IF(ISNUMBER($E68),($E68+$F68)*Stock!AR68/100,Stock!AR68))</f>
        <v>0</v>
      </c>
      <c r="AX68" s="9">
        <f>IF(Stock!AS68="",0,IF(ISNUMBER($E68),($E68+$F68)*Stock!AS68/100,Stock!AS68))</f>
        <v>0</v>
      </c>
      <c r="AY68" s="9">
        <f>IF(Stock!AT68="",0,IF(ISNUMBER($E68),($E68+$F68)*Stock!AT68/100,Stock!AT68))</f>
        <v>0</v>
      </c>
      <c r="AZ68" s="9">
        <f>IF(Stock!AU68="",0,IF(ISNUMBER($E68),($E68+$F68)*Stock!AU68/100,Stock!AU68))</f>
        <v>0</v>
      </c>
      <c r="BA68" s="9">
        <f>IF(Stock!AV68="",0,IF(ISNUMBER($E68),($E68+$F68)*Stock!AV68/100,Stock!AV68))</f>
        <v>0</v>
      </c>
      <c r="BB68" s="9">
        <f>IF(Stock!AW68="",0,IF(ISNUMBER($E68),($E68+$F68)*Stock!AW68/100,Stock!AW68))</f>
        <v>0</v>
      </c>
      <c r="BC68" s="9">
        <f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>IF(Stock!C69="",0,IF(ISNUMBER($E69),($E69+$F69)*Stock!C69/100,Stock!C69))</f>
        <v>0</v>
      </c>
      <c r="I69" s="9">
        <f>IF(Stock!D69="",0,IF(ISNUMBER($E69),($E69+$F69)*Stock!D69/100,Stock!D69))</f>
        <v>0</v>
      </c>
      <c r="J69" s="9">
        <f>IF(Stock!E69="",0,IF(ISNUMBER($E69),($E69+$F69)*Stock!E69/100,Stock!E69))</f>
        <v>0</v>
      </c>
      <c r="K69" s="9">
        <f>IF(Stock!F69="",0,IF(ISNUMBER($E69),($E69+$F69)*Stock!F69/100,Stock!F69))</f>
        <v>0</v>
      </c>
      <c r="L69" s="9">
        <f>IF(Stock!G69="",0,IF(ISNUMBER($E69),($E69+$F69)*Stock!G69/100,Stock!G69))</f>
        <v>0</v>
      </c>
      <c r="M69" s="9">
        <f>IF(Stock!H69="",0,IF(ISNUMBER($E69),($E69+$F69)*Stock!H69/100,Stock!H69))</f>
        <v>0</v>
      </c>
      <c r="N69" s="9">
        <f>IF(Stock!I69="",0,IF(ISNUMBER($E69),($E69+$F69)*Stock!I69/100,Stock!I69))</f>
        <v>0</v>
      </c>
      <c r="O69" s="9">
        <f>IF(Stock!J69="",0,IF(ISNUMBER($E69),($E69+$F69)*Stock!J69/100,Stock!J69))</f>
        <v>0</v>
      </c>
      <c r="P69" s="9">
        <f>IF(Stock!K69="",0,IF(ISNUMBER($E69),($E69+$F69)*Stock!K69/100,Stock!K69))</f>
        <v>0</v>
      </c>
      <c r="Q69" s="9">
        <f>IF(Stock!L69="",0,IF(ISNUMBER($E69),($E69+$F69)*Stock!L69/100,Stock!L69))</f>
        <v>0</v>
      </c>
      <c r="R69" s="9">
        <f>IF(Stock!M69="",0,IF(ISNUMBER($E69),($E69+$F69)*Stock!M69/100,Stock!M69))</f>
        <v>0</v>
      </c>
      <c r="S69" s="9">
        <f>IF(Stock!N69="",0,IF(ISNUMBER($E69),($E69+$F69)*Stock!N69/100,Stock!N69))</f>
        <v>0</v>
      </c>
      <c r="T69" s="9">
        <f>IF(Stock!O69="",0,IF(ISNUMBER($E69),($E69+$F69)*Stock!O69/100,Stock!O69))</f>
        <v>0</v>
      </c>
      <c r="U69" s="9">
        <f>IF(Stock!P69="",0,IF(ISNUMBER($E69),($E69+$F69)*Stock!P69/100,Stock!P69))</f>
        <v>0</v>
      </c>
      <c r="V69" s="9">
        <f>IF(Stock!Q69="",0,IF(ISNUMBER($E69),($E69+$F69)*Stock!Q69/100,Stock!Q69))</f>
        <v>0</v>
      </c>
      <c r="W69" s="9">
        <f>IF(Stock!R69="",0,IF(ISNUMBER($E69),($E69+$F69)*Stock!R69/100,Stock!R69))</f>
        <v>0</v>
      </c>
      <c r="X69" s="9">
        <f>IF(Stock!S69="",0,IF(ISNUMBER($E69),($E69+$F69)*Stock!S69/100,Stock!S69))</f>
        <v>0</v>
      </c>
      <c r="Y69" s="9">
        <f>IF(Stock!T69="",0,IF(ISNUMBER($E69),($E69+$F69)*Stock!T69/100,Stock!T69))</f>
        <v>0</v>
      </c>
      <c r="Z69" s="9">
        <f>IF(Stock!U69="",0,IF(ISNUMBER($E69),($E69+$F69)*Stock!U69/100,Stock!U69))</f>
        <v>0</v>
      </c>
      <c r="AA69" s="9">
        <f>IF(Stock!V69="",0,IF(ISNUMBER($E69),($E69+$F69)*Stock!V69/100,Stock!V69))</f>
        <v>0</v>
      </c>
      <c r="AB69" s="9">
        <f>IF(Stock!W69="",0,IF(ISNUMBER($E69),($E69+$F69)*Stock!W69/100,Stock!W69))</f>
        <v>0</v>
      </c>
      <c r="AC69" s="9">
        <f>IF(Stock!X69="",0,IF(ISNUMBER($E69),($E69+$F69)*Stock!X69/100,Stock!X69))</f>
        <v>0</v>
      </c>
      <c r="AD69" s="9">
        <f>IF(Stock!Y69="",0,IF(ISNUMBER($E69),($E69+$F69)*Stock!Y69/100,Stock!Y69))</f>
        <v>0</v>
      </c>
      <c r="AE69" s="9">
        <f>IF(Stock!Z69="",0,IF(ISNUMBER($E69),($E69+$F69)*Stock!Z69/100,Stock!Z69))</f>
        <v>0</v>
      </c>
      <c r="AF69" s="9">
        <f>IF(Stock!AA69="",0,IF(ISNUMBER($E69),($E69+$F69)*Stock!AA69/100,Stock!AA69))</f>
        <v>0</v>
      </c>
      <c r="AG69" s="9">
        <f>IF(Stock!AB69="",0,IF(ISNUMBER($E69),($E69+$F69)*Stock!AB69/100,Stock!AB69))</f>
        <v>0</v>
      </c>
      <c r="AH69" s="9">
        <f>IF(Stock!AC69="",0,IF(ISNUMBER($E69),($E69+$F69)*Stock!AC69/100,Stock!AC69))</f>
        <v>0</v>
      </c>
      <c r="AI69" s="9">
        <f>IF(Stock!AD69="",0,IF(ISNUMBER($E69),($E69+$F69)*Stock!AD69/100,Stock!AD69))</f>
        <v>0</v>
      </c>
      <c r="AJ69" s="9">
        <f>IF(Stock!AE69="",0,IF(ISNUMBER($E69),($E69+$F69)*Stock!AE69/100,Stock!AE69))</f>
        <v>0</v>
      </c>
      <c r="AK69" s="9">
        <f>IF(Stock!AF69="",0,IF(ISNUMBER($E69),($E69+$F69)*Stock!AF69/100,Stock!AF69))</f>
        <v>0</v>
      </c>
      <c r="AL69" s="9">
        <f>IF(Stock!AG69="",0,IF(ISNUMBER($E69),($E69+$F69)*Stock!AG69/100,Stock!AG69))</f>
        <v>0</v>
      </c>
      <c r="AM69" s="9">
        <f>IF(Stock!AH69="",0,IF(ISNUMBER($E69),($E69+$F69)*Stock!AH69/100,Stock!AH69))</f>
        <v>0</v>
      </c>
      <c r="AN69" s="9">
        <f>IF(Stock!AI69="",0,IF(ISNUMBER($E69),($E69+$F69)*Stock!AI69/100,Stock!AI69))</f>
        <v>0</v>
      </c>
      <c r="AO69" s="9">
        <f>IF(Stock!AJ69="",0,IF(ISNUMBER($E69),($E69+$F69)*Stock!AJ69/100,Stock!AJ69))</f>
        <v>0</v>
      </c>
      <c r="AP69" s="9">
        <f>IF(Stock!AK69="",0,IF(ISNUMBER($E69),($E69+$F69)*Stock!AK69/100,Stock!AK69))</f>
        <v>0</v>
      </c>
      <c r="AQ69" s="9">
        <f>IF(Stock!AL69="",0,IF(ISNUMBER($E69),($E69+$F69)*Stock!AL69/100,Stock!AL69))</f>
        <v>0</v>
      </c>
      <c r="AR69" s="9">
        <f>IF(Stock!AM69="",0,IF(ISNUMBER($E69),($E69+$F69)*Stock!AM69/100,Stock!AM69))</f>
        <v>0</v>
      </c>
      <c r="AS69" s="9">
        <f>IF(Stock!AN69="",0,IF(ISNUMBER($E69),($E69+$F69)*Stock!AN69/100,Stock!AN69))</f>
        <v>0</v>
      </c>
      <c r="AT69" s="9">
        <f>IF(Stock!AO69="",0,IF(ISNUMBER($E69),($E69+$F69)*Stock!AO69/100,Stock!AO69))</f>
        <v>0</v>
      </c>
      <c r="AU69" s="9">
        <f>IF(Stock!AP69="",0,IF(ISNUMBER($E69),($E69+$F69)*Stock!AP69/100,Stock!AP69))</f>
        <v>0</v>
      </c>
      <c r="AV69" s="9">
        <f>IF(Stock!AQ69="",0,IF(ISNUMBER($E69),($E69+$F69)*Stock!AQ69/100,Stock!AQ69))</f>
        <v>0</v>
      </c>
      <c r="AW69" s="9">
        <f>IF(Stock!AR69="",0,IF(ISNUMBER($E69),($E69+$F69)*Stock!AR69/100,Stock!AR69))</f>
        <v>0</v>
      </c>
      <c r="AX69" s="9">
        <f>IF(Stock!AS69="",0,IF(ISNUMBER($E69),($E69+$F69)*Stock!AS69/100,Stock!AS69))</f>
        <v>0</v>
      </c>
      <c r="AY69" s="9">
        <f>IF(Stock!AT69="",0,IF(ISNUMBER($E69),($E69+$F69)*Stock!AT69/100,Stock!AT69))</f>
        <v>0</v>
      </c>
      <c r="AZ69" s="9">
        <f>IF(Stock!AU69="",0,IF(ISNUMBER($E69),($E69+$F69)*Stock!AU69/100,Stock!AU69))</f>
        <v>0</v>
      </c>
      <c r="BA69" s="9">
        <f>IF(Stock!AV69="",0,IF(ISNUMBER($E69),($E69+$F69)*Stock!AV69/100,Stock!AV69))</f>
        <v>0</v>
      </c>
      <c r="BB69" s="9">
        <f>IF(Stock!AW69="",0,IF(ISNUMBER($E69),($E69+$F69)*Stock!AW69/100,Stock!AW69))</f>
        <v>0</v>
      </c>
      <c r="BC69" s="9">
        <f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>IF(Stock!C70="",0,IF(ISNUMBER($E70),($E70+$F70)*Stock!C70/100,Stock!C70))</f>
        <v>0</v>
      </c>
      <c r="I70" s="9">
        <f>IF(Stock!D70="",0,IF(ISNUMBER($E70),($E70+$F70)*Stock!D70/100,Stock!D70))</f>
        <v>0</v>
      </c>
      <c r="J70" s="9">
        <f>IF(Stock!E70="",0,IF(ISNUMBER($E70),($E70+$F70)*Stock!E70/100,Stock!E70))</f>
        <v>0</v>
      </c>
      <c r="K70" s="9">
        <f>IF(Stock!F70="",0,IF(ISNUMBER($E70),($E70+$F70)*Stock!F70/100,Stock!F70))</f>
        <v>0</v>
      </c>
      <c r="L70" s="9">
        <f>IF(Stock!G70="",0,IF(ISNUMBER($E70),($E70+$F70)*Stock!G70/100,Stock!G70))</f>
        <v>0</v>
      </c>
      <c r="M70" s="9">
        <f>IF(Stock!H70="",0,IF(ISNUMBER($E70),($E70+$F70)*Stock!H70/100,Stock!H70))</f>
        <v>0</v>
      </c>
      <c r="N70" s="9">
        <f>IF(Stock!I70="",0,IF(ISNUMBER($E70),($E70+$F70)*Stock!I70/100,Stock!I70))</f>
        <v>0</v>
      </c>
      <c r="O70" s="9">
        <f>IF(Stock!J70="",0,IF(ISNUMBER($E70),($E70+$F70)*Stock!J70/100,Stock!J70))</f>
        <v>0</v>
      </c>
      <c r="P70" s="9">
        <f>IF(Stock!K70="",0,IF(ISNUMBER($E70),($E70+$F70)*Stock!K70/100,Stock!K70))</f>
        <v>0</v>
      </c>
      <c r="Q70" s="9">
        <f>IF(Stock!L70="",0,IF(ISNUMBER($E70),($E70+$F70)*Stock!L70/100,Stock!L70))</f>
        <v>0</v>
      </c>
      <c r="R70" s="9">
        <f>IF(Stock!M70="",0,IF(ISNUMBER($E70),($E70+$F70)*Stock!M70/100,Stock!M70))</f>
        <v>0</v>
      </c>
      <c r="S70" s="9">
        <f>IF(Stock!N70="",0,IF(ISNUMBER($E70),($E70+$F70)*Stock!N70/100,Stock!N70))</f>
        <v>0</v>
      </c>
      <c r="T70" s="9">
        <f>IF(Stock!O70="",0,IF(ISNUMBER($E70),($E70+$F70)*Stock!O70/100,Stock!O70))</f>
        <v>0</v>
      </c>
      <c r="U70" s="9">
        <f>IF(Stock!P70="",0,IF(ISNUMBER($E70),($E70+$F70)*Stock!P70/100,Stock!P70))</f>
        <v>0</v>
      </c>
      <c r="V70" s="9">
        <f>IF(Stock!Q70="",0,IF(ISNUMBER($E70),($E70+$F70)*Stock!Q70/100,Stock!Q70))</f>
        <v>0</v>
      </c>
      <c r="W70" s="9">
        <f>IF(Stock!R70="",0,IF(ISNUMBER($E70),($E70+$F70)*Stock!R70/100,Stock!R70))</f>
        <v>0</v>
      </c>
      <c r="X70" s="9">
        <f>IF(Stock!S70="",0,IF(ISNUMBER($E70),($E70+$F70)*Stock!S70/100,Stock!S70))</f>
        <v>0</v>
      </c>
      <c r="Y70" s="9">
        <f>IF(Stock!T70="",0,IF(ISNUMBER($E70),($E70+$F70)*Stock!T70/100,Stock!T70))</f>
        <v>0</v>
      </c>
      <c r="Z70" s="9">
        <f>IF(Stock!U70="",0,IF(ISNUMBER($E70),($E70+$F70)*Stock!U70/100,Stock!U70))</f>
        <v>0</v>
      </c>
      <c r="AA70" s="9">
        <f>IF(Stock!V70="",0,IF(ISNUMBER($E70),($E70+$F70)*Stock!V70/100,Stock!V70))</f>
        <v>0</v>
      </c>
      <c r="AB70" s="9">
        <f>IF(Stock!W70="",0,IF(ISNUMBER($E70),($E70+$F70)*Stock!W70/100,Stock!W70))</f>
        <v>0</v>
      </c>
      <c r="AC70" s="9">
        <f>IF(Stock!X70="",0,IF(ISNUMBER($E70),($E70+$F70)*Stock!X70/100,Stock!X70))</f>
        <v>0</v>
      </c>
      <c r="AD70" s="9">
        <f>IF(Stock!Y70="",0,IF(ISNUMBER($E70),($E70+$F70)*Stock!Y70/100,Stock!Y70))</f>
        <v>0</v>
      </c>
      <c r="AE70" s="9">
        <f>IF(Stock!Z70="",0,IF(ISNUMBER($E70),($E70+$F70)*Stock!Z70/100,Stock!Z70))</f>
        <v>0</v>
      </c>
      <c r="AF70" s="9">
        <f>IF(Stock!AA70="",0,IF(ISNUMBER($E70),($E70+$F70)*Stock!AA70/100,Stock!AA70))</f>
        <v>0</v>
      </c>
      <c r="AG70" s="9">
        <f>IF(Stock!AB70="",0,IF(ISNUMBER($E70),($E70+$F70)*Stock!AB70/100,Stock!AB70))</f>
        <v>0</v>
      </c>
      <c r="AH70" s="9">
        <f>IF(Stock!AC70="",0,IF(ISNUMBER($E70),($E70+$F70)*Stock!AC70/100,Stock!AC70))</f>
        <v>0</v>
      </c>
      <c r="AI70" s="9">
        <f>IF(Stock!AD70="",0,IF(ISNUMBER($E70),($E70+$F70)*Stock!AD70/100,Stock!AD70))</f>
        <v>0</v>
      </c>
      <c r="AJ70" s="9">
        <f>IF(Stock!AE70="",0,IF(ISNUMBER($E70),($E70+$F70)*Stock!AE70/100,Stock!AE70))</f>
        <v>0</v>
      </c>
      <c r="AK70" s="9">
        <f>IF(Stock!AF70="",0,IF(ISNUMBER($E70),($E70+$F70)*Stock!AF70/100,Stock!AF70))</f>
        <v>0</v>
      </c>
      <c r="AL70" s="9">
        <f>IF(Stock!AG70="",0,IF(ISNUMBER($E70),($E70+$F70)*Stock!AG70/100,Stock!AG70))</f>
        <v>0</v>
      </c>
      <c r="AM70" s="9">
        <f>IF(Stock!AH70="",0,IF(ISNUMBER($E70),($E70+$F70)*Stock!AH70/100,Stock!AH70))</f>
        <v>0</v>
      </c>
      <c r="AN70" s="9">
        <f>IF(Stock!AI70="",0,IF(ISNUMBER($E70),($E70+$F70)*Stock!AI70/100,Stock!AI70))</f>
        <v>0</v>
      </c>
      <c r="AO70" s="9">
        <f>IF(Stock!AJ70="",0,IF(ISNUMBER($E70),($E70+$F70)*Stock!AJ70/100,Stock!AJ70))</f>
        <v>0</v>
      </c>
      <c r="AP70" s="9">
        <f>IF(Stock!AK70="",0,IF(ISNUMBER($E70),($E70+$F70)*Stock!AK70/100,Stock!AK70))</f>
        <v>0</v>
      </c>
      <c r="AQ70" s="9">
        <f>IF(Stock!AL70="",0,IF(ISNUMBER($E70),($E70+$F70)*Stock!AL70/100,Stock!AL70))</f>
        <v>0</v>
      </c>
      <c r="AR70" s="9">
        <f>IF(Stock!AM70="",0,IF(ISNUMBER($E70),($E70+$F70)*Stock!AM70/100,Stock!AM70))</f>
        <v>0</v>
      </c>
      <c r="AS70" s="9">
        <f>IF(Stock!AN70="",0,IF(ISNUMBER($E70),($E70+$F70)*Stock!AN70/100,Stock!AN70))</f>
        <v>0</v>
      </c>
      <c r="AT70" s="9">
        <f>IF(Stock!AO70="",0,IF(ISNUMBER($E70),($E70+$F70)*Stock!AO70/100,Stock!AO70))</f>
        <v>0</v>
      </c>
      <c r="AU70" s="9">
        <f>IF(Stock!AP70="",0,IF(ISNUMBER($E70),($E70+$F70)*Stock!AP70/100,Stock!AP70))</f>
        <v>0</v>
      </c>
      <c r="AV70" s="9">
        <f>IF(Stock!AQ70="",0,IF(ISNUMBER($E70),($E70+$F70)*Stock!AQ70/100,Stock!AQ70))</f>
        <v>0</v>
      </c>
      <c r="AW70" s="9">
        <f>IF(Stock!AR70="",0,IF(ISNUMBER($E70),($E70+$F70)*Stock!AR70/100,Stock!AR70))</f>
        <v>0</v>
      </c>
      <c r="AX70" s="9">
        <f>IF(Stock!AS70="",0,IF(ISNUMBER($E70),($E70+$F70)*Stock!AS70/100,Stock!AS70))</f>
        <v>0</v>
      </c>
      <c r="AY70" s="9">
        <f>IF(Stock!AT70="",0,IF(ISNUMBER($E70),($E70+$F70)*Stock!AT70/100,Stock!AT70))</f>
        <v>0</v>
      </c>
      <c r="AZ70" s="9">
        <f>IF(Stock!AU70="",0,IF(ISNUMBER($E70),($E70+$F70)*Stock!AU70/100,Stock!AU70))</f>
        <v>0</v>
      </c>
      <c r="BA70" s="9">
        <f>IF(Stock!AV70="",0,IF(ISNUMBER($E70),($E70+$F70)*Stock!AV70/100,Stock!AV70))</f>
        <v>0</v>
      </c>
      <c r="BB70" s="9">
        <f>IF(Stock!AW70="",0,IF(ISNUMBER($E70),($E70+$F70)*Stock!AW70/100,Stock!AW70))</f>
        <v>0</v>
      </c>
      <c r="BC70" s="9">
        <f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>IF(Stock!C71="",0,IF(ISNUMBER($E71),($E71+$F71)*Stock!C71/100,Stock!C71))</f>
        <v>0</v>
      </c>
      <c r="I71" s="9">
        <f>IF(Stock!D71="",0,IF(ISNUMBER($E71),($E71+$F71)*Stock!D71/100,Stock!D71))</f>
        <v>0</v>
      </c>
      <c r="J71" s="9">
        <f>IF(Stock!E71="",0,IF(ISNUMBER($E71),($E71+$F71)*Stock!E71/100,Stock!E71))</f>
        <v>0</v>
      </c>
      <c r="K71" s="9">
        <f>IF(Stock!F71="",0,IF(ISNUMBER($E71),($E71+$F71)*Stock!F71/100,Stock!F71))</f>
        <v>0</v>
      </c>
      <c r="L71" s="9">
        <f>IF(Stock!G71="",0,IF(ISNUMBER($E71),($E71+$F71)*Stock!G71/100,Stock!G71))</f>
        <v>0</v>
      </c>
      <c r="M71" s="9">
        <f>IF(Stock!H71="",0,IF(ISNUMBER($E71),($E71+$F71)*Stock!H71/100,Stock!H71))</f>
        <v>0</v>
      </c>
      <c r="N71" s="9">
        <f>IF(Stock!I71="",0,IF(ISNUMBER($E71),($E71+$F71)*Stock!I71/100,Stock!I71))</f>
        <v>0</v>
      </c>
      <c r="O71" s="9">
        <f>IF(Stock!J71="",0,IF(ISNUMBER($E71),($E71+$F71)*Stock!J71/100,Stock!J71))</f>
        <v>0</v>
      </c>
      <c r="P71" s="9">
        <f>IF(Stock!K71="",0,IF(ISNUMBER($E71),($E71+$F71)*Stock!K71/100,Stock!K71))</f>
        <v>0</v>
      </c>
      <c r="Q71" s="9">
        <f>IF(Stock!L71="",0,IF(ISNUMBER($E71),($E71+$F71)*Stock!L71/100,Stock!L71))</f>
        <v>0</v>
      </c>
      <c r="R71" s="9">
        <f>IF(Stock!M71="",0,IF(ISNUMBER($E71),($E71+$F71)*Stock!M71/100,Stock!M71))</f>
        <v>0</v>
      </c>
      <c r="S71" s="9">
        <f>IF(Stock!N71="",0,IF(ISNUMBER($E71),($E71+$F71)*Stock!N71/100,Stock!N71))</f>
        <v>0</v>
      </c>
      <c r="T71" s="9">
        <f>IF(Stock!O71="",0,IF(ISNUMBER($E71),($E71+$F71)*Stock!O71/100,Stock!O71))</f>
        <v>0</v>
      </c>
      <c r="U71" s="9">
        <f>IF(Stock!P71="",0,IF(ISNUMBER($E71),($E71+$F71)*Stock!P71/100,Stock!P71))</f>
        <v>0</v>
      </c>
      <c r="V71" s="9">
        <f>IF(Stock!Q71="",0,IF(ISNUMBER($E71),($E71+$F71)*Stock!Q71/100,Stock!Q71))</f>
        <v>0</v>
      </c>
      <c r="W71" s="9">
        <f>IF(Stock!R71="",0,IF(ISNUMBER($E71),($E71+$F71)*Stock!R71/100,Stock!R71))</f>
        <v>0</v>
      </c>
      <c r="X71" s="9">
        <f>IF(Stock!S71="",0,IF(ISNUMBER($E71),($E71+$F71)*Stock!S71/100,Stock!S71))</f>
        <v>0</v>
      </c>
      <c r="Y71" s="9">
        <f>IF(Stock!T71="",0,IF(ISNUMBER($E71),($E71+$F71)*Stock!T71/100,Stock!T71))</f>
        <v>0</v>
      </c>
      <c r="Z71" s="9">
        <f>IF(Stock!U71="",0,IF(ISNUMBER($E71),($E71+$F71)*Stock!U71/100,Stock!U71))</f>
        <v>0</v>
      </c>
      <c r="AA71" s="9">
        <f>IF(Stock!V71="",0,IF(ISNUMBER($E71),($E71+$F71)*Stock!V71/100,Stock!V71))</f>
        <v>0</v>
      </c>
      <c r="AB71" s="9">
        <f>IF(Stock!W71="",0,IF(ISNUMBER($E71),($E71+$F71)*Stock!W71/100,Stock!W71))</f>
        <v>0</v>
      </c>
      <c r="AC71" s="9">
        <f>IF(Stock!X71="",0,IF(ISNUMBER($E71),($E71+$F71)*Stock!X71/100,Stock!X71))</f>
        <v>0</v>
      </c>
      <c r="AD71" s="9">
        <f>IF(Stock!Y71="",0,IF(ISNUMBER($E71),($E71+$F71)*Stock!Y71/100,Stock!Y71))</f>
        <v>0</v>
      </c>
      <c r="AE71" s="9">
        <f>IF(Stock!Z71="",0,IF(ISNUMBER($E71),($E71+$F71)*Stock!Z71/100,Stock!Z71))</f>
        <v>0</v>
      </c>
      <c r="AF71" s="9">
        <f>IF(Stock!AA71="",0,IF(ISNUMBER($E71),($E71+$F71)*Stock!AA71/100,Stock!AA71))</f>
        <v>0</v>
      </c>
      <c r="AG71" s="9">
        <f>IF(Stock!AB71="",0,IF(ISNUMBER($E71),($E71+$F71)*Stock!AB71/100,Stock!AB71))</f>
        <v>0</v>
      </c>
      <c r="AH71" s="9">
        <f>IF(Stock!AC71="",0,IF(ISNUMBER($E71),($E71+$F71)*Stock!AC71/100,Stock!AC71))</f>
        <v>0</v>
      </c>
      <c r="AI71" s="9">
        <f>IF(Stock!AD71="",0,IF(ISNUMBER($E71),($E71+$F71)*Stock!AD71/100,Stock!AD71))</f>
        <v>0</v>
      </c>
      <c r="AJ71" s="9">
        <f>IF(Stock!AE71="",0,IF(ISNUMBER($E71),($E71+$F71)*Stock!AE71/100,Stock!AE71))</f>
        <v>0</v>
      </c>
      <c r="AK71" s="9">
        <f>IF(Stock!AF71="",0,IF(ISNUMBER($E71),($E71+$F71)*Stock!AF71/100,Stock!AF71))</f>
        <v>0</v>
      </c>
      <c r="AL71" s="9">
        <f>IF(Stock!AG71="",0,IF(ISNUMBER($E71),($E71+$F71)*Stock!AG71/100,Stock!AG71))</f>
        <v>0</v>
      </c>
      <c r="AM71" s="9">
        <f>IF(Stock!AH71="",0,IF(ISNUMBER($E71),($E71+$F71)*Stock!AH71/100,Stock!AH71))</f>
        <v>0</v>
      </c>
      <c r="AN71" s="9">
        <f>IF(Stock!AI71="",0,IF(ISNUMBER($E71),($E71+$F71)*Stock!AI71/100,Stock!AI71))</f>
        <v>0</v>
      </c>
      <c r="AO71" s="9">
        <f>IF(Stock!AJ71="",0,IF(ISNUMBER($E71),($E71+$F71)*Stock!AJ71/100,Stock!AJ71))</f>
        <v>0</v>
      </c>
      <c r="AP71" s="9">
        <f>IF(Stock!AK71="",0,IF(ISNUMBER($E71),($E71+$F71)*Stock!AK71/100,Stock!AK71))</f>
        <v>0</v>
      </c>
      <c r="AQ71" s="9">
        <f>IF(Stock!AL71="",0,IF(ISNUMBER($E71),($E71+$F71)*Stock!AL71/100,Stock!AL71))</f>
        <v>0</v>
      </c>
      <c r="AR71" s="9">
        <f>IF(Stock!AM71="",0,IF(ISNUMBER($E71),($E71+$F71)*Stock!AM71/100,Stock!AM71))</f>
        <v>0</v>
      </c>
      <c r="AS71" s="9">
        <f>IF(Stock!AN71="",0,IF(ISNUMBER($E71),($E71+$F71)*Stock!AN71/100,Stock!AN71))</f>
        <v>0</v>
      </c>
      <c r="AT71" s="9">
        <f>IF(Stock!AO71="",0,IF(ISNUMBER($E71),($E71+$F71)*Stock!AO71/100,Stock!AO71))</f>
        <v>0</v>
      </c>
      <c r="AU71" s="9">
        <f>IF(Stock!AP71="",0,IF(ISNUMBER($E71),($E71+$F71)*Stock!AP71/100,Stock!AP71))</f>
        <v>0</v>
      </c>
      <c r="AV71" s="9">
        <f>IF(Stock!AQ71="",0,IF(ISNUMBER($E71),($E71+$F71)*Stock!AQ71/100,Stock!AQ71))</f>
        <v>0</v>
      </c>
      <c r="AW71" s="9">
        <f>IF(Stock!AR71="",0,IF(ISNUMBER($E71),($E71+$F71)*Stock!AR71/100,Stock!AR71))</f>
        <v>0</v>
      </c>
      <c r="AX71" s="9">
        <f>IF(Stock!AS71="",0,IF(ISNUMBER($E71),($E71+$F71)*Stock!AS71/100,Stock!AS71))</f>
        <v>0</v>
      </c>
      <c r="AY71" s="9">
        <f>IF(Stock!AT71="",0,IF(ISNUMBER($E71),($E71+$F71)*Stock!AT71/100,Stock!AT71))</f>
        <v>0</v>
      </c>
      <c r="AZ71" s="9">
        <f>IF(Stock!AU71="",0,IF(ISNUMBER($E71),($E71+$F71)*Stock!AU71/100,Stock!AU71))</f>
        <v>0</v>
      </c>
      <c r="BA71" s="9">
        <f>IF(Stock!AV71="",0,IF(ISNUMBER($E71),($E71+$F71)*Stock!AV71/100,Stock!AV71))</f>
        <v>0</v>
      </c>
      <c r="BB71" s="9">
        <f>IF(Stock!AW71="",0,IF(ISNUMBER($E71),($E71+$F71)*Stock!AW71/100,Stock!AW71))</f>
        <v>0</v>
      </c>
      <c r="BC71" s="9">
        <f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>IF(Stock!C72="",0,IF(ISNUMBER($E72),($E72+$F72)*Stock!C72/100,Stock!C72))</f>
        <v>0</v>
      </c>
      <c r="I72" s="9">
        <f>IF(Stock!D72="",0,IF(ISNUMBER($E72),($E72+$F72)*Stock!D72/100,Stock!D72))</f>
        <v>0</v>
      </c>
      <c r="J72" s="9">
        <f>IF(Stock!E72="",0,IF(ISNUMBER($E72),($E72+$F72)*Stock!E72/100,Stock!E72))</f>
        <v>0</v>
      </c>
      <c r="K72" s="9">
        <f>IF(Stock!F72="",0,IF(ISNUMBER($E72),($E72+$F72)*Stock!F72/100,Stock!F72))</f>
        <v>0</v>
      </c>
      <c r="L72" s="9">
        <f>IF(Stock!G72="",0,IF(ISNUMBER($E72),($E72+$F72)*Stock!G72/100,Stock!G72))</f>
        <v>0</v>
      </c>
      <c r="M72" s="9">
        <f>IF(Stock!H72="",0,IF(ISNUMBER($E72),($E72+$F72)*Stock!H72/100,Stock!H72))</f>
        <v>0</v>
      </c>
      <c r="N72" s="9">
        <f>IF(Stock!I72="",0,IF(ISNUMBER($E72),($E72+$F72)*Stock!I72/100,Stock!I72))</f>
        <v>0</v>
      </c>
      <c r="O72" s="9">
        <f>IF(Stock!J72="",0,IF(ISNUMBER($E72),($E72+$F72)*Stock!J72/100,Stock!J72))</f>
        <v>0</v>
      </c>
      <c r="P72" s="9">
        <f>IF(Stock!K72="",0,IF(ISNUMBER($E72),($E72+$F72)*Stock!K72/100,Stock!K72))</f>
        <v>0</v>
      </c>
      <c r="Q72" s="9">
        <f>IF(Stock!L72="",0,IF(ISNUMBER($E72),($E72+$F72)*Stock!L72/100,Stock!L72))</f>
        <v>0</v>
      </c>
      <c r="R72" s="9">
        <f>IF(Stock!M72="",0,IF(ISNUMBER($E72),($E72+$F72)*Stock!M72/100,Stock!M72))</f>
        <v>0</v>
      </c>
      <c r="S72" s="9">
        <f>IF(Stock!N72="",0,IF(ISNUMBER($E72),($E72+$F72)*Stock!N72/100,Stock!N72))</f>
        <v>0</v>
      </c>
      <c r="T72" s="9">
        <f>IF(Stock!O72="",0,IF(ISNUMBER($E72),($E72+$F72)*Stock!O72/100,Stock!O72))</f>
        <v>0</v>
      </c>
      <c r="U72" s="9">
        <f>IF(Stock!P72="",0,IF(ISNUMBER($E72),($E72+$F72)*Stock!P72/100,Stock!P72))</f>
        <v>0</v>
      </c>
      <c r="V72" s="9">
        <f>IF(Stock!Q72="",0,IF(ISNUMBER($E72),($E72+$F72)*Stock!Q72/100,Stock!Q72))</f>
        <v>0</v>
      </c>
      <c r="W72" s="9">
        <f>IF(Stock!R72="",0,IF(ISNUMBER($E72),($E72+$F72)*Stock!R72/100,Stock!R72))</f>
        <v>0</v>
      </c>
      <c r="X72" s="9">
        <f>IF(Stock!S72="",0,IF(ISNUMBER($E72),($E72+$F72)*Stock!S72/100,Stock!S72))</f>
        <v>0</v>
      </c>
      <c r="Y72" s="9">
        <f>IF(Stock!T72="",0,IF(ISNUMBER($E72),($E72+$F72)*Stock!T72/100,Stock!T72))</f>
        <v>0</v>
      </c>
      <c r="Z72" s="9">
        <f>IF(Stock!U72="",0,IF(ISNUMBER($E72),($E72+$F72)*Stock!U72/100,Stock!U72))</f>
        <v>0</v>
      </c>
      <c r="AA72" s="9">
        <f>IF(Stock!V72="",0,IF(ISNUMBER($E72),($E72+$F72)*Stock!V72/100,Stock!V72))</f>
        <v>0</v>
      </c>
      <c r="AB72" s="9">
        <f>IF(Stock!W72="",0,IF(ISNUMBER($E72),($E72+$F72)*Stock!W72/100,Stock!W72))</f>
        <v>0</v>
      </c>
      <c r="AC72" s="9">
        <f>IF(Stock!X72="",0,IF(ISNUMBER($E72),($E72+$F72)*Stock!X72/100,Stock!X72))</f>
        <v>0</v>
      </c>
      <c r="AD72" s="9">
        <f>IF(Stock!Y72="",0,IF(ISNUMBER($E72),($E72+$F72)*Stock!Y72/100,Stock!Y72))</f>
        <v>0</v>
      </c>
      <c r="AE72" s="9">
        <f>IF(Stock!Z72="",0,IF(ISNUMBER($E72),($E72+$F72)*Stock!Z72/100,Stock!Z72))</f>
        <v>0</v>
      </c>
      <c r="AF72" s="9">
        <f>IF(Stock!AA72="",0,IF(ISNUMBER($E72),($E72+$F72)*Stock!AA72/100,Stock!AA72))</f>
        <v>0</v>
      </c>
      <c r="AG72" s="9">
        <f>IF(Stock!AB72="",0,IF(ISNUMBER($E72),($E72+$F72)*Stock!AB72/100,Stock!AB72))</f>
        <v>0</v>
      </c>
      <c r="AH72" s="9">
        <f>IF(Stock!AC72="",0,IF(ISNUMBER($E72),($E72+$F72)*Stock!AC72/100,Stock!AC72))</f>
        <v>0</v>
      </c>
      <c r="AI72" s="9">
        <f>IF(Stock!AD72="",0,IF(ISNUMBER($E72),($E72+$F72)*Stock!AD72/100,Stock!AD72))</f>
        <v>0</v>
      </c>
      <c r="AJ72" s="9">
        <f>IF(Stock!AE72="",0,IF(ISNUMBER($E72),($E72+$F72)*Stock!AE72/100,Stock!AE72))</f>
        <v>0</v>
      </c>
      <c r="AK72" s="9">
        <f>IF(Stock!AF72="",0,IF(ISNUMBER($E72),($E72+$F72)*Stock!AF72/100,Stock!AF72))</f>
        <v>0</v>
      </c>
      <c r="AL72" s="9">
        <f>IF(Stock!AG72="",0,IF(ISNUMBER($E72),($E72+$F72)*Stock!AG72/100,Stock!AG72))</f>
        <v>0</v>
      </c>
      <c r="AM72" s="9">
        <f>IF(Stock!AH72="",0,IF(ISNUMBER($E72),($E72+$F72)*Stock!AH72/100,Stock!AH72))</f>
        <v>0</v>
      </c>
      <c r="AN72" s="9">
        <f>IF(Stock!AI72="",0,IF(ISNUMBER($E72),($E72+$F72)*Stock!AI72/100,Stock!AI72))</f>
        <v>0</v>
      </c>
      <c r="AO72" s="9">
        <f>IF(Stock!AJ72="",0,IF(ISNUMBER($E72),($E72+$F72)*Stock!AJ72/100,Stock!AJ72))</f>
        <v>0</v>
      </c>
      <c r="AP72" s="9">
        <f>IF(Stock!AK72="",0,IF(ISNUMBER($E72),($E72+$F72)*Stock!AK72/100,Stock!AK72))</f>
        <v>0</v>
      </c>
      <c r="AQ72" s="9">
        <f>IF(Stock!AL72="",0,IF(ISNUMBER($E72),($E72+$F72)*Stock!AL72/100,Stock!AL72))</f>
        <v>0</v>
      </c>
      <c r="AR72" s="9">
        <f>IF(Stock!AM72="",0,IF(ISNUMBER($E72),($E72+$F72)*Stock!AM72/100,Stock!AM72))</f>
        <v>0</v>
      </c>
      <c r="AS72" s="9">
        <f>IF(Stock!AN72="",0,IF(ISNUMBER($E72),($E72+$F72)*Stock!AN72/100,Stock!AN72))</f>
        <v>0</v>
      </c>
      <c r="AT72" s="9">
        <f>IF(Stock!AO72="",0,IF(ISNUMBER($E72),($E72+$F72)*Stock!AO72/100,Stock!AO72))</f>
        <v>0</v>
      </c>
      <c r="AU72" s="9">
        <f>IF(Stock!AP72="",0,IF(ISNUMBER($E72),($E72+$F72)*Stock!AP72/100,Stock!AP72))</f>
        <v>0</v>
      </c>
      <c r="AV72" s="9">
        <f>IF(Stock!AQ72="",0,IF(ISNUMBER($E72),($E72+$F72)*Stock!AQ72/100,Stock!AQ72))</f>
        <v>0</v>
      </c>
      <c r="AW72" s="9">
        <f>IF(Stock!AR72="",0,IF(ISNUMBER($E72),($E72+$F72)*Stock!AR72/100,Stock!AR72))</f>
        <v>0</v>
      </c>
      <c r="AX72" s="9">
        <f>IF(Stock!AS72="",0,IF(ISNUMBER($E72),($E72+$F72)*Stock!AS72/100,Stock!AS72))</f>
        <v>0</v>
      </c>
      <c r="AY72" s="9">
        <f>IF(Stock!AT72="",0,IF(ISNUMBER($E72),($E72+$F72)*Stock!AT72/100,Stock!AT72))</f>
        <v>0</v>
      </c>
      <c r="AZ72" s="9">
        <f>IF(Stock!AU72="",0,IF(ISNUMBER($E72),($E72+$F72)*Stock!AU72/100,Stock!AU72))</f>
        <v>0</v>
      </c>
      <c r="BA72" s="9">
        <f>IF(Stock!AV72="",0,IF(ISNUMBER($E72),($E72+$F72)*Stock!AV72/100,Stock!AV72))</f>
        <v>0</v>
      </c>
      <c r="BB72" s="9">
        <f>IF(Stock!AW72="",0,IF(ISNUMBER($E72),($E72+$F72)*Stock!AW72/100,Stock!AW72))</f>
        <v>0</v>
      </c>
      <c r="BC72" s="9">
        <f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>IF(Stock!C73="",0,IF(ISNUMBER($E73),($E73+$F73)*Stock!C73/100,Stock!C73))</f>
        <v>0</v>
      </c>
      <c r="I73" s="9">
        <f>IF(Stock!D73="",0,IF(ISNUMBER($E73),($E73+$F73)*Stock!D73/100,Stock!D73))</f>
        <v>0</v>
      </c>
      <c r="J73" s="9">
        <f>IF(Stock!E73="",0,IF(ISNUMBER($E73),($E73+$F73)*Stock!E73/100,Stock!E73))</f>
        <v>0</v>
      </c>
      <c r="K73" s="9">
        <f>IF(Stock!F73="",0,IF(ISNUMBER($E73),($E73+$F73)*Stock!F73/100,Stock!F73))</f>
        <v>0</v>
      </c>
      <c r="L73" s="9">
        <f>IF(Stock!G73="",0,IF(ISNUMBER($E73),($E73+$F73)*Stock!G73/100,Stock!G73))</f>
        <v>0</v>
      </c>
      <c r="M73" s="9">
        <f>IF(Stock!H73="",0,IF(ISNUMBER($E73),($E73+$F73)*Stock!H73/100,Stock!H73))</f>
        <v>0</v>
      </c>
      <c r="N73" s="9">
        <f>IF(Stock!I73="",0,IF(ISNUMBER($E73),($E73+$F73)*Stock!I73/100,Stock!I73))</f>
        <v>0</v>
      </c>
      <c r="O73" s="9">
        <f>IF(Stock!J73="",0,IF(ISNUMBER($E73),($E73+$F73)*Stock!J73/100,Stock!J73))</f>
        <v>0</v>
      </c>
      <c r="P73" s="9">
        <f>IF(Stock!K73="",0,IF(ISNUMBER($E73),($E73+$F73)*Stock!K73/100,Stock!K73))</f>
        <v>0</v>
      </c>
      <c r="Q73" s="9">
        <f>IF(Stock!L73="",0,IF(ISNUMBER($E73),($E73+$F73)*Stock!L73/100,Stock!L73))</f>
        <v>0</v>
      </c>
      <c r="R73" s="9">
        <f>IF(Stock!M73="",0,IF(ISNUMBER($E73),($E73+$F73)*Stock!M73/100,Stock!M73))</f>
        <v>0</v>
      </c>
      <c r="S73" s="9">
        <f>IF(Stock!N73="",0,IF(ISNUMBER($E73),($E73+$F73)*Stock!N73/100,Stock!N73))</f>
        <v>0</v>
      </c>
      <c r="T73" s="9">
        <f>IF(Stock!O73="",0,IF(ISNUMBER($E73),($E73+$F73)*Stock!O73/100,Stock!O73))</f>
        <v>0</v>
      </c>
      <c r="U73" s="9">
        <f>IF(Stock!P73="",0,IF(ISNUMBER($E73),($E73+$F73)*Stock!P73/100,Stock!P73))</f>
        <v>0</v>
      </c>
      <c r="V73" s="9">
        <f>IF(Stock!Q73="",0,IF(ISNUMBER($E73),($E73+$F73)*Stock!Q73/100,Stock!Q73))</f>
        <v>0</v>
      </c>
      <c r="W73" s="9">
        <f>IF(Stock!R73="",0,IF(ISNUMBER($E73),($E73+$F73)*Stock!R73/100,Stock!R73))</f>
        <v>0</v>
      </c>
      <c r="X73" s="9">
        <f>IF(Stock!S73="",0,IF(ISNUMBER($E73),($E73+$F73)*Stock!S73/100,Stock!S73))</f>
        <v>0</v>
      </c>
      <c r="Y73" s="9">
        <f>IF(Stock!T73="",0,IF(ISNUMBER($E73),($E73+$F73)*Stock!T73/100,Stock!T73))</f>
        <v>0</v>
      </c>
      <c r="Z73" s="9">
        <f>IF(Stock!U73="",0,IF(ISNUMBER($E73),($E73+$F73)*Stock!U73/100,Stock!U73))</f>
        <v>0</v>
      </c>
      <c r="AA73" s="9">
        <f>IF(Stock!V73="",0,IF(ISNUMBER($E73),($E73+$F73)*Stock!V73/100,Stock!V73))</f>
        <v>0</v>
      </c>
      <c r="AB73" s="9">
        <f>IF(Stock!W73="",0,IF(ISNUMBER($E73),($E73+$F73)*Stock!W73/100,Stock!W73))</f>
        <v>0</v>
      </c>
      <c r="AC73" s="9">
        <f>IF(Stock!X73="",0,IF(ISNUMBER($E73),($E73+$F73)*Stock!X73/100,Stock!X73))</f>
        <v>0</v>
      </c>
      <c r="AD73" s="9">
        <f>IF(Stock!Y73="",0,IF(ISNUMBER($E73),($E73+$F73)*Stock!Y73/100,Stock!Y73))</f>
        <v>0</v>
      </c>
      <c r="AE73" s="9">
        <f>IF(Stock!Z73="",0,IF(ISNUMBER($E73),($E73+$F73)*Stock!Z73/100,Stock!Z73))</f>
        <v>0</v>
      </c>
      <c r="AF73" s="9">
        <f>IF(Stock!AA73="",0,IF(ISNUMBER($E73),($E73+$F73)*Stock!AA73/100,Stock!AA73))</f>
        <v>0</v>
      </c>
      <c r="AG73" s="9">
        <f>IF(Stock!AB73="",0,IF(ISNUMBER($E73),($E73+$F73)*Stock!AB73/100,Stock!AB73))</f>
        <v>0</v>
      </c>
      <c r="AH73" s="9">
        <f>IF(Stock!AC73="",0,IF(ISNUMBER($E73),($E73+$F73)*Stock!AC73/100,Stock!AC73))</f>
        <v>0</v>
      </c>
      <c r="AI73" s="9">
        <f>IF(Stock!AD73="",0,IF(ISNUMBER($E73),($E73+$F73)*Stock!AD73/100,Stock!AD73))</f>
        <v>0</v>
      </c>
      <c r="AJ73" s="9">
        <f>IF(Stock!AE73="",0,IF(ISNUMBER($E73),($E73+$F73)*Stock!AE73/100,Stock!AE73))</f>
        <v>0</v>
      </c>
      <c r="AK73" s="9">
        <f>IF(Stock!AF73="",0,IF(ISNUMBER($E73),($E73+$F73)*Stock!AF73/100,Stock!AF73))</f>
        <v>0</v>
      </c>
      <c r="AL73" s="9">
        <f>IF(Stock!AG73="",0,IF(ISNUMBER($E73),($E73+$F73)*Stock!AG73/100,Stock!AG73))</f>
        <v>0</v>
      </c>
      <c r="AM73" s="9">
        <f>IF(Stock!AH73="",0,IF(ISNUMBER($E73),($E73+$F73)*Stock!AH73/100,Stock!AH73))</f>
        <v>0</v>
      </c>
      <c r="AN73" s="9">
        <f>IF(Stock!AI73="",0,IF(ISNUMBER($E73),($E73+$F73)*Stock!AI73/100,Stock!AI73))</f>
        <v>0</v>
      </c>
      <c r="AO73" s="9">
        <f>IF(Stock!AJ73="",0,IF(ISNUMBER($E73),($E73+$F73)*Stock!AJ73/100,Stock!AJ73))</f>
        <v>0</v>
      </c>
      <c r="AP73" s="9">
        <f>IF(Stock!AK73="",0,IF(ISNUMBER($E73),($E73+$F73)*Stock!AK73/100,Stock!AK73))</f>
        <v>0</v>
      </c>
      <c r="AQ73" s="9">
        <f>IF(Stock!AL73="",0,IF(ISNUMBER($E73),($E73+$F73)*Stock!AL73/100,Stock!AL73))</f>
        <v>0</v>
      </c>
      <c r="AR73" s="9">
        <f>IF(Stock!AM73="",0,IF(ISNUMBER($E73),($E73+$F73)*Stock!AM73/100,Stock!AM73))</f>
        <v>0</v>
      </c>
      <c r="AS73" s="9">
        <f>IF(Stock!AN73="",0,IF(ISNUMBER($E73),($E73+$F73)*Stock!AN73/100,Stock!AN73))</f>
        <v>0</v>
      </c>
      <c r="AT73" s="9">
        <f>IF(Stock!AO73="",0,IF(ISNUMBER($E73),($E73+$F73)*Stock!AO73/100,Stock!AO73))</f>
        <v>0</v>
      </c>
      <c r="AU73" s="9">
        <f>IF(Stock!AP73="",0,IF(ISNUMBER($E73),($E73+$F73)*Stock!AP73/100,Stock!AP73))</f>
        <v>0</v>
      </c>
      <c r="AV73" s="9">
        <f>IF(Stock!AQ73="",0,IF(ISNUMBER($E73),($E73+$F73)*Stock!AQ73/100,Stock!AQ73))</f>
        <v>0</v>
      </c>
      <c r="AW73" s="9">
        <f>IF(Stock!AR73="",0,IF(ISNUMBER($E73),($E73+$F73)*Stock!AR73/100,Stock!AR73))</f>
        <v>0</v>
      </c>
      <c r="AX73" s="9">
        <f>IF(Stock!AS73="",0,IF(ISNUMBER($E73),($E73+$F73)*Stock!AS73/100,Stock!AS73))</f>
        <v>0</v>
      </c>
      <c r="AY73" s="9">
        <f>IF(Stock!AT73="",0,IF(ISNUMBER($E73),($E73+$F73)*Stock!AT73/100,Stock!AT73))</f>
        <v>0</v>
      </c>
      <c r="AZ73" s="9">
        <f>IF(Stock!AU73="",0,IF(ISNUMBER($E73),($E73+$F73)*Stock!AU73/100,Stock!AU73))</f>
        <v>0</v>
      </c>
      <c r="BA73" s="9">
        <f>IF(Stock!AV73="",0,IF(ISNUMBER($E73),($E73+$F73)*Stock!AV73/100,Stock!AV73))</f>
        <v>0</v>
      </c>
      <c r="BB73" s="9">
        <f>IF(Stock!AW73="",0,IF(ISNUMBER($E73),($E73+$F73)*Stock!AW73/100,Stock!AW73))</f>
        <v>0</v>
      </c>
      <c r="BC73" s="9">
        <f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>IF(Stock!C74="",0,IF(ISNUMBER($E74),($E74+$F74)*Stock!C74/100,Stock!C74))</f>
        <v>0</v>
      </c>
      <c r="I74" s="9">
        <f>IF(Stock!D74="",0,IF(ISNUMBER($E74),($E74+$F74)*Stock!D74/100,Stock!D74))</f>
        <v>0</v>
      </c>
      <c r="J74" s="9">
        <f>IF(Stock!E74="",0,IF(ISNUMBER($E74),($E74+$F74)*Stock!E74/100,Stock!E74))</f>
        <v>0</v>
      </c>
      <c r="K74" s="9">
        <f>IF(Stock!F74="",0,IF(ISNUMBER($E74),($E74+$F74)*Stock!F74/100,Stock!F74))</f>
        <v>0</v>
      </c>
      <c r="L74" s="9">
        <f>IF(Stock!G74="",0,IF(ISNUMBER($E74),($E74+$F74)*Stock!G74/100,Stock!G74))</f>
        <v>0</v>
      </c>
      <c r="M74" s="9">
        <f>IF(Stock!H74="",0,IF(ISNUMBER($E74),($E74+$F74)*Stock!H74/100,Stock!H74))</f>
        <v>0</v>
      </c>
      <c r="N74" s="9">
        <f>IF(Stock!I74="",0,IF(ISNUMBER($E74),($E74+$F74)*Stock!I74/100,Stock!I74))</f>
        <v>0</v>
      </c>
      <c r="O74" s="9">
        <f>IF(Stock!J74="",0,IF(ISNUMBER($E74),($E74+$F74)*Stock!J74/100,Stock!J74))</f>
        <v>0</v>
      </c>
      <c r="P74" s="9">
        <f>IF(Stock!K74="",0,IF(ISNUMBER($E74),($E74+$F74)*Stock!K74/100,Stock!K74))</f>
        <v>0</v>
      </c>
      <c r="Q74" s="9">
        <f>IF(Stock!L74="",0,IF(ISNUMBER($E74),($E74+$F74)*Stock!L74/100,Stock!L74))</f>
        <v>0</v>
      </c>
      <c r="R74" s="9">
        <f>IF(Stock!M74="",0,IF(ISNUMBER($E74),($E74+$F74)*Stock!M74/100,Stock!M74))</f>
        <v>0</v>
      </c>
      <c r="S74" s="9">
        <f>IF(Stock!N74="",0,IF(ISNUMBER($E74),($E74+$F74)*Stock!N74/100,Stock!N74))</f>
        <v>0</v>
      </c>
      <c r="T74" s="9">
        <f>IF(Stock!O74="",0,IF(ISNUMBER($E74),($E74+$F74)*Stock!O74/100,Stock!O74))</f>
        <v>0</v>
      </c>
      <c r="U74" s="9">
        <f>IF(Stock!P74="",0,IF(ISNUMBER($E74),($E74+$F74)*Stock!P74/100,Stock!P74))</f>
        <v>0</v>
      </c>
      <c r="V74" s="9">
        <f>IF(Stock!Q74="",0,IF(ISNUMBER($E74),($E74+$F74)*Stock!Q74/100,Stock!Q74))</f>
        <v>0</v>
      </c>
      <c r="W74" s="9">
        <f>IF(Stock!R74="",0,IF(ISNUMBER($E74),($E74+$F74)*Stock!R74/100,Stock!R74))</f>
        <v>0</v>
      </c>
      <c r="X74" s="9">
        <f>IF(Stock!S74="",0,IF(ISNUMBER($E74),($E74+$F74)*Stock!S74/100,Stock!S74))</f>
        <v>0</v>
      </c>
      <c r="Y74" s="9">
        <f>IF(Stock!T74="",0,IF(ISNUMBER($E74),($E74+$F74)*Stock!T74/100,Stock!T74))</f>
        <v>0</v>
      </c>
      <c r="Z74" s="9">
        <f>IF(Stock!U74="",0,IF(ISNUMBER($E74),($E74+$F74)*Stock!U74/100,Stock!U74))</f>
        <v>0</v>
      </c>
      <c r="AA74" s="9">
        <f>IF(Stock!V74="",0,IF(ISNUMBER($E74),($E74+$F74)*Stock!V74/100,Stock!V74))</f>
        <v>0</v>
      </c>
      <c r="AB74" s="9">
        <f>IF(Stock!W74="",0,IF(ISNUMBER($E74),($E74+$F74)*Stock!W74/100,Stock!W74))</f>
        <v>0</v>
      </c>
      <c r="AC74" s="9">
        <f>IF(Stock!X74="",0,IF(ISNUMBER($E74),($E74+$F74)*Stock!X74/100,Stock!X74))</f>
        <v>0</v>
      </c>
      <c r="AD74" s="9">
        <f>IF(Stock!Y74="",0,IF(ISNUMBER($E74),($E74+$F74)*Stock!Y74/100,Stock!Y74))</f>
        <v>0</v>
      </c>
      <c r="AE74" s="9">
        <f>IF(Stock!Z74="",0,IF(ISNUMBER($E74),($E74+$F74)*Stock!Z74/100,Stock!Z74))</f>
        <v>0</v>
      </c>
      <c r="AF74" s="9">
        <f>IF(Stock!AA74="",0,IF(ISNUMBER($E74),($E74+$F74)*Stock!AA74/100,Stock!AA74))</f>
        <v>0</v>
      </c>
      <c r="AG74" s="9">
        <f>IF(Stock!AB74="",0,IF(ISNUMBER($E74),($E74+$F74)*Stock!AB74/100,Stock!AB74))</f>
        <v>0</v>
      </c>
      <c r="AH74" s="9">
        <f>IF(Stock!AC74="",0,IF(ISNUMBER($E74),($E74+$F74)*Stock!AC74/100,Stock!AC74))</f>
        <v>0</v>
      </c>
      <c r="AI74" s="9">
        <f>IF(Stock!AD74="",0,IF(ISNUMBER($E74),($E74+$F74)*Stock!AD74/100,Stock!AD74))</f>
        <v>0</v>
      </c>
      <c r="AJ74" s="9">
        <f>IF(Stock!AE74="",0,IF(ISNUMBER($E74),($E74+$F74)*Stock!AE74/100,Stock!AE74))</f>
        <v>0</v>
      </c>
      <c r="AK74" s="9">
        <f>IF(Stock!AF74="",0,IF(ISNUMBER($E74),($E74+$F74)*Stock!AF74/100,Stock!AF74))</f>
        <v>0</v>
      </c>
      <c r="AL74" s="9">
        <f>IF(Stock!AG74="",0,IF(ISNUMBER($E74),($E74+$F74)*Stock!AG74/100,Stock!AG74))</f>
        <v>0</v>
      </c>
      <c r="AM74" s="9">
        <f>IF(Stock!AH74="",0,IF(ISNUMBER($E74),($E74+$F74)*Stock!AH74/100,Stock!AH74))</f>
        <v>0</v>
      </c>
      <c r="AN74" s="9">
        <f>IF(Stock!AI74="",0,IF(ISNUMBER($E74),($E74+$F74)*Stock!AI74/100,Stock!AI74))</f>
        <v>0</v>
      </c>
      <c r="AO74" s="9">
        <f>IF(Stock!AJ74="",0,IF(ISNUMBER($E74),($E74+$F74)*Stock!AJ74/100,Stock!AJ74))</f>
        <v>0</v>
      </c>
      <c r="AP74" s="9">
        <f>IF(Stock!AK74="",0,IF(ISNUMBER($E74),($E74+$F74)*Stock!AK74/100,Stock!AK74))</f>
        <v>0</v>
      </c>
      <c r="AQ74" s="9">
        <f>IF(Stock!AL74="",0,IF(ISNUMBER($E74),($E74+$F74)*Stock!AL74/100,Stock!AL74))</f>
        <v>0</v>
      </c>
      <c r="AR74" s="9">
        <f>IF(Stock!AM74="",0,IF(ISNUMBER($E74),($E74+$F74)*Stock!AM74/100,Stock!AM74))</f>
        <v>0</v>
      </c>
      <c r="AS74" s="9">
        <f>IF(Stock!AN74="",0,IF(ISNUMBER($E74),($E74+$F74)*Stock!AN74/100,Stock!AN74))</f>
        <v>0</v>
      </c>
      <c r="AT74" s="9">
        <f>IF(Stock!AO74="",0,IF(ISNUMBER($E74),($E74+$F74)*Stock!AO74/100,Stock!AO74))</f>
        <v>0</v>
      </c>
      <c r="AU74" s="9">
        <f>IF(Stock!AP74="",0,IF(ISNUMBER($E74),($E74+$F74)*Stock!AP74/100,Stock!AP74))</f>
        <v>0</v>
      </c>
      <c r="AV74" s="9">
        <f>IF(Stock!AQ74="",0,IF(ISNUMBER($E74),($E74+$F74)*Stock!AQ74/100,Stock!AQ74))</f>
        <v>0</v>
      </c>
      <c r="AW74" s="9">
        <f>IF(Stock!AR74="",0,IF(ISNUMBER($E74),($E74+$F74)*Stock!AR74/100,Stock!AR74))</f>
        <v>0</v>
      </c>
      <c r="AX74" s="9">
        <f>IF(Stock!AS74="",0,IF(ISNUMBER($E74),($E74+$F74)*Stock!AS74/100,Stock!AS74))</f>
        <v>0</v>
      </c>
      <c r="AY74" s="9">
        <f>IF(Stock!AT74="",0,IF(ISNUMBER($E74),($E74+$F74)*Stock!AT74/100,Stock!AT74))</f>
        <v>0</v>
      </c>
      <c r="AZ74" s="9">
        <f>IF(Stock!AU74="",0,IF(ISNUMBER($E74),($E74+$F74)*Stock!AU74/100,Stock!AU74))</f>
        <v>0</v>
      </c>
      <c r="BA74" s="9">
        <f>IF(Stock!AV74="",0,IF(ISNUMBER($E74),($E74+$F74)*Stock!AV74/100,Stock!AV74))</f>
        <v>0</v>
      </c>
      <c r="BB74" s="9">
        <f>IF(Stock!AW74="",0,IF(ISNUMBER($E74),($E74+$F74)*Stock!AW74/100,Stock!AW74))</f>
        <v>0</v>
      </c>
      <c r="BC74" s="9">
        <f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>IF(Stock!C75="",0,IF(ISNUMBER($E75),($E75+$F75)*Stock!C75/100,Stock!C75))</f>
        <v>0</v>
      </c>
      <c r="I75" s="9">
        <f>IF(Stock!D75="",0,IF(ISNUMBER($E75),($E75+$F75)*Stock!D75/100,Stock!D75))</f>
        <v>0</v>
      </c>
      <c r="J75" s="9">
        <f>IF(Stock!E75="",0,IF(ISNUMBER($E75),($E75+$F75)*Stock!E75/100,Stock!E75))</f>
        <v>0</v>
      </c>
      <c r="K75" s="9">
        <f>IF(Stock!F75="",0,IF(ISNUMBER($E75),($E75+$F75)*Stock!F75/100,Stock!F75))</f>
        <v>0</v>
      </c>
      <c r="L75" s="9">
        <f>IF(Stock!G75="",0,IF(ISNUMBER($E75),($E75+$F75)*Stock!G75/100,Stock!G75))</f>
        <v>0</v>
      </c>
      <c r="M75" s="9">
        <f>IF(Stock!H75="",0,IF(ISNUMBER($E75),($E75+$F75)*Stock!H75/100,Stock!H75))</f>
        <v>0</v>
      </c>
      <c r="N75" s="9">
        <f>IF(Stock!I75="",0,IF(ISNUMBER($E75),($E75+$F75)*Stock!I75/100,Stock!I75))</f>
        <v>0</v>
      </c>
      <c r="O75" s="9">
        <f>IF(Stock!J75="",0,IF(ISNUMBER($E75),($E75+$F75)*Stock!J75/100,Stock!J75))</f>
        <v>0</v>
      </c>
      <c r="P75" s="9">
        <f>IF(Stock!K75="",0,IF(ISNUMBER($E75),($E75+$F75)*Stock!K75/100,Stock!K75))</f>
        <v>0</v>
      </c>
      <c r="Q75" s="9">
        <f>IF(Stock!L75="",0,IF(ISNUMBER($E75),($E75+$F75)*Stock!L75/100,Stock!L75))</f>
        <v>0</v>
      </c>
      <c r="R75" s="9">
        <f>IF(Stock!M75="",0,IF(ISNUMBER($E75),($E75+$F75)*Stock!M75/100,Stock!M75))</f>
        <v>0</v>
      </c>
      <c r="S75" s="9">
        <f>IF(Stock!N75="",0,IF(ISNUMBER($E75),($E75+$F75)*Stock!N75/100,Stock!N75))</f>
        <v>0</v>
      </c>
      <c r="T75" s="9">
        <f>IF(Stock!O75="",0,IF(ISNUMBER($E75),($E75+$F75)*Stock!O75/100,Stock!O75))</f>
        <v>0</v>
      </c>
      <c r="U75" s="9">
        <f>IF(Stock!P75="",0,IF(ISNUMBER($E75),($E75+$F75)*Stock!P75/100,Stock!P75))</f>
        <v>0</v>
      </c>
      <c r="V75" s="9">
        <f>IF(Stock!Q75="",0,IF(ISNUMBER($E75),($E75+$F75)*Stock!Q75/100,Stock!Q75))</f>
        <v>0</v>
      </c>
      <c r="W75" s="9">
        <f>IF(Stock!R75="",0,IF(ISNUMBER($E75),($E75+$F75)*Stock!R75/100,Stock!R75))</f>
        <v>0</v>
      </c>
      <c r="X75" s="9">
        <f>IF(Stock!S75="",0,IF(ISNUMBER($E75),($E75+$F75)*Stock!S75/100,Stock!S75))</f>
        <v>0</v>
      </c>
      <c r="Y75" s="9">
        <f>IF(Stock!T75="",0,IF(ISNUMBER($E75),($E75+$F75)*Stock!T75/100,Stock!T75))</f>
        <v>0</v>
      </c>
      <c r="Z75" s="9">
        <f>IF(Stock!U75="",0,IF(ISNUMBER($E75),($E75+$F75)*Stock!U75/100,Stock!U75))</f>
        <v>0</v>
      </c>
      <c r="AA75" s="9">
        <f>IF(Stock!V75="",0,IF(ISNUMBER($E75),($E75+$F75)*Stock!V75/100,Stock!V75))</f>
        <v>0</v>
      </c>
      <c r="AB75" s="9">
        <f>IF(Stock!W75="",0,IF(ISNUMBER($E75),($E75+$F75)*Stock!W75/100,Stock!W75))</f>
        <v>0</v>
      </c>
      <c r="AC75" s="9">
        <f>IF(Stock!X75="",0,IF(ISNUMBER($E75),($E75+$F75)*Stock!X75/100,Stock!X75))</f>
        <v>0</v>
      </c>
      <c r="AD75" s="9">
        <f>IF(Stock!Y75="",0,IF(ISNUMBER($E75),($E75+$F75)*Stock!Y75/100,Stock!Y75))</f>
        <v>0</v>
      </c>
      <c r="AE75" s="9">
        <f>IF(Stock!Z75="",0,IF(ISNUMBER($E75),($E75+$F75)*Stock!Z75/100,Stock!Z75))</f>
        <v>0</v>
      </c>
      <c r="AF75" s="9">
        <f>IF(Stock!AA75="",0,IF(ISNUMBER($E75),($E75+$F75)*Stock!AA75/100,Stock!AA75))</f>
        <v>0</v>
      </c>
      <c r="AG75" s="9">
        <f>IF(Stock!AB75="",0,IF(ISNUMBER($E75),($E75+$F75)*Stock!AB75/100,Stock!AB75))</f>
        <v>0</v>
      </c>
      <c r="AH75" s="9">
        <f>IF(Stock!AC75="",0,IF(ISNUMBER($E75),($E75+$F75)*Stock!AC75/100,Stock!AC75))</f>
        <v>0</v>
      </c>
      <c r="AI75" s="9">
        <f>IF(Stock!AD75="",0,IF(ISNUMBER($E75),($E75+$F75)*Stock!AD75/100,Stock!AD75))</f>
        <v>0</v>
      </c>
      <c r="AJ75" s="9">
        <f>IF(Stock!AE75="",0,IF(ISNUMBER($E75),($E75+$F75)*Stock!AE75/100,Stock!AE75))</f>
        <v>0</v>
      </c>
      <c r="AK75" s="9">
        <f>IF(Stock!AF75="",0,IF(ISNUMBER($E75),($E75+$F75)*Stock!AF75/100,Stock!AF75))</f>
        <v>0</v>
      </c>
      <c r="AL75" s="9">
        <f>IF(Stock!AG75="",0,IF(ISNUMBER($E75),($E75+$F75)*Stock!AG75/100,Stock!AG75))</f>
        <v>0</v>
      </c>
      <c r="AM75" s="9">
        <f>IF(Stock!AH75="",0,IF(ISNUMBER($E75),($E75+$F75)*Stock!AH75/100,Stock!AH75))</f>
        <v>0</v>
      </c>
      <c r="AN75" s="9">
        <f>IF(Stock!AI75="",0,IF(ISNUMBER($E75),($E75+$F75)*Stock!AI75/100,Stock!AI75))</f>
        <v>0</v>
      </c>
      <c r="AO75" s="9">
        <f>IF(Stock!AJ75="",0,IF(ISNUMBER($E75),($E75+$F75)*Stock!AJ75/100,Stock!AJ75))</f>
        <v>0</v>
      </c>
      <c r="AP75" s="9">
        <f>IF(Stock!AK75="",0,IF(ISNUMBER($E75),($E75+$F75)*Stock!AK75/100,Stock!AK75))</f>
        <v>0</v>
      </c>
      <c r="AQ75" s="9">
        <f>IF(Stock!AL75="",0,IF(ISNUMBER($E75),($E75+$F75)*Stock!AL75/100,Stock!AL75))</f>
        <v>0</v>
      </c>
      <c r="AR75" s="9">
        <f>IF(Stock!AM75="",0,IF(ISNUMBER($E75),($E75+$F75)*Stock!AM75/100,Stock!AM75))</f>
        <v>0</v>
      </c>
      <c r="AS75" s="9">
        <f>IF(Stock!AN75="",0,IF(ISNUMBER($E75),($E75+$F75)*Stock!AN75/100,Stock!AN75))</f>
        <v>0</v>
      </c>
      <c r="AT75" s="9">
        <f>IF(Stock!AO75="",0,IF(ISNUMBER($E75),($E75+$F75)*Stock!AO75/100,Stock!AO75))</f>
        <v>0</v>
      </c>
      <c r="AU75" s="9">
        <f>IF(Stock!AP75="",0,IF(ISNUMBER($E75),($E75+$F75)*Stock!AP75/100,Stock!AP75))</f>
        <v>0</v>
      </c>
      <c r="AV75" s="9">
        <f>IF(Stock!AQ75="",0,IF(ISNUMBER($E75),($E75+$F75)*Stock!AQ75/100,Stock!AQ75))</f>
        <v>0</v>
      </c>
      <c r="AW75" s="9">
        <f>IF(Stock!AR75="",0,IF(ISNUMBER($E75),($E75+$F75)*Stock!AR75/100,Stock!AR75))</f>
        <v>0</v>
      </c>
      <c r="AX75" s="9">
        <f>IF(Stock!AS75="",0,IF(ISNUMBER($E75),($E75+$F75)*Stock!AS75/100,Stock!AS75))</f>
        <v>0</v>
      </c>
      <c r="AY75" s="9">
        <f>IF(Stock!AT75="",0,IF(ISNUMBER($E75),($E75+$F75)*Stock!AT75/100,Stock!AT75))</f>
        <v>0</v>
      </c>
      <c r="AZ75" s="9">
        <f>IF(Stock!AU75="",0,IF(ISNUMBER($E75),($E75+$F75)*Stock!AU75/100,Stock!AU75))</f>
        <v>0</v>
      </c>
      <c r="BA75" s="9">
        <f>IF(Stock!AV75="",0,IF(ISNUMBER($E75),($E75+$F75)*Stock!AV75/100,Stock!AV75))</f>
        <v>0</v>
      </c>
      <c r="BB75" s="9">
        <f>IF(Stock!AW75="",0,IF(ISNUMBER($E75),($E75+$F75)*Stock!AW75/100,Stock!AW75))</f>
        <v>0</v>
      </c>
      <c r="BC75" s="9">
        <f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>IF(Stock!C76="",0,IF(ISNUMBER($E76),($E76+$F76)*Stock!C76/100,Stock!C76))</f>
        <v>0</v>
      </c>
      <c r="I76" s="9">
        <f>IF(Stock!D76="",0,IF(ISNUMBER($E76),($E76+$F76)*Stock!D76/100,Stock!D76))</f>
        <v>0</v>
      </c>
      <c r="J76" s="9">
        <f>IF(Stock!E76="",0,IF(ISNUMBER($E76),($E76+$F76)*Stock!E76/100,Stock!E76))</f>
        <v>0</v>
      </c>
      <c r="K76" s="9">
        <f>IF(Stock!F76="",0,IF(ISNUMBER($E76),($E76+$F76)*Stock!F76/100,Stock!F76))</f>
        <v>0</v>
      </c>
      <c r="L76" s="9">
        <f>IF(Stock!G76="",0,IF(ISNUMBER($E76),($E76+$F76)*Stock!G76/100,Stock!G76))</f>
        <v>0</v>
      </c>
      <c r="M76" s="9">
        <f>IF(Stock!H76="",0,IF(ISNUMBER($E76),($E76+$F76)*Stock!H76/100,Stock!H76))</f>
        <v>0</v>
      </c>
      <c r="N76" s="9">
        <f>IF(Stock!I76="",0,IF(ISNUMBER($E76),($E76+$F76)*Stock!I76/100,Stock!I76))</f>
        <v>0</v>
      </c>
      <c r="O76" s="9">
        <f>IF(Stock!J76="",0,IF(ISNUMBER($E76),($E76+$F76)*Stock!J76/100,Stock!J76))</f>
        <v>0</v>
      </c>
      <c r="P76" s="9">
        <f>IF(Stock!K76="",0,IF(ISNUMBER($E76),($E76+$F76)*Stock!K76/100,Stock!K76))</f>
        <v>0</v>
      </c>
      <c r="Q76" s="9">
        <f>IF(Stock!L76="",0,IF(ISNUMBER($E76),($E76+$F76)*Stock!L76/100,Stock!L76))</f>
        <v>0</v>
      </c>
      <c r="R76" s="9">
        <f>IF(Stock!M76="",0,IF(ISNUMBER($E76),($E76+$F76)*Stock!M76/100,Stock!M76))</f>
        <v>0</v>
      </c>
      <c r="S76" s="9">
        <f>IF(Stock!N76="",0,IF(ISNUMBER($E76),($E76+$F76)*Stock!N76/100,Stock!N76))</f>
        <v>0</v>
      </c>
      <c r="T76" s="9">
        <f>IF(Stock!O76="",0,IF(ISNUMBER($E76),($E76+$F76)*Stock!O76/100,Stock!O76))</f>
        <v>0</v>
      </c>
      <c r="U76" s="9">
        <f>IF(Stock!P76="",0,IF(ISNUMBER($E76),($E76+$F76)*Stock!P76/100,Stock!P76))</f>
        <v>0</v>
      </c>
      <c r="V76" s="9">
        <f>IF(Stock!Q76="",0,IF(ISNUMBER($E76),($E76+$F76)*Stock!Q76/100,Stock!Q76))</f>
        <v>0</v>
      </c>
      <c r="W76" s="9">
        <f>IF(Stock!R76="",0,IF(ISNUMBER($E76),($E76+$F76)*Stock!R76/100,Stock!R76))</f>
        <v>0</v>
      </c>
      <c r="X76" s="9">
        <f>IF(Stock!S76="",0,IF(ISNUMBER($E76),($E76+$F76)*Stock!S76/100,Stock!S76))</f>
        <v>0</v>
      </c>
      <c r="Y76" s="9">
        <f>IF(Stock!T76="",0,IF(ISNUMBER($E76),($E76+$F76)*Stock!T76/100,Stock!T76))</f>
        <v>0</v>
      </c>
      <c r="Z76" s="9">
        <f>IF(Stock!U76="",0,IF(ISNUMBER($E76),($E76+$F76)*Stock!U76/100,Stock!U76))</f>
        <v>0</v>
      </c>
      <c r="AA76" s="9">
        <f>IF(Stock!V76="",0,IF(ISNUMBER($E76),($E76+$F76)*Stock!V76/100,Stock!V76))</f>
        <v>0</v>
      </c>
      <c r="AB76" s="9">
        <f>IF(Stock!W76="",0,IF(ISNUMBER($E76),($E76+$F76)*Stock!W76/100,Stock!W76))</f>
        <v>0</v>
      </c>
      <c r="AC76" s="9">
        <f>IF(Stock!X76="",0,IF(ISNUMBER($E76),($E76+$F76)*Stock!X76/100,Stock!X76))</f>
        <v>0</v>
      </c>
      <c r="AD76" s="9">
        <f>IF(Stock!Y76="",0,IF(ISNUMBER($E76),($E76+$F76)*Stock!Y76/100,Stock!Y76))</f>
        <v>0</v>
      </c>
      <c r="AE76" s="9">
        <f>IF(Stock!Z76="",0,IF(ISNUMBER($E76),($E76+$F76)*Stock!Z76/100,Stock!Z76))</f>
        <v>0</v>
      </c>
      <c r="AF76" s="9">
        <f>IF(Stock!AA76="",0,IF(ISNUMBER($E76),($E76+$F76)*Stock!AA76/100,Stock!AA76))</f>
        <v>0</v>
      </c>
      <c r="AG76" s="9">
        <f>IF(Stock!AB76="",0,IF(ISNUMBER($E76),($E76+$F76)*Stock!AB76/100,Stock!AB76))</f>
        <v>0</v>
      </c>
      <c r="AH76" s="9">
        <f>IF(Stock!AC76="",0,IF(ISNUMBER($E76),($E76+$F76)*Stock!AC76/100,Stock!AC76))</f>
        <v>0</v>
      </c>
      <c r="AI76" s="9">
        <f>IF(Stock!AD76="",0,IF(ISNUMBER($E76),($E76+$F76)*Stock!AD76/100,Stock!AD76))</f>
        <v>0</v>
      </c>
      <c r="AJ76" s="9">
        <f>IF(Stock!AE76="",0,IF(ISNUMBER($E76),($E76+$F76)*Stock!AE76/100,Stock!AE76))</f>
        <v>0</v>
      </c>
      <c r="AK76" s="9">
        <f>IF(Stock!AF76="",0,IF(ISNUMBER($E76),($E76+$F76)*Stock!AF76/100,Stock!AF76))</f>
        <v>0</v>
      </c>
      <c r="AL76" s="9">
        <f>IF(Stock!AG76="",0,IF(ISNUMBER($E76),($E76+$F76)*Stock!AG76/100,Stock!AG76))</f>
        <v>0</v>
      </c>
      <c r="AM76" s="9">
        <f>IF(Stock!AH76="",0,IF(ISNUMBER($E76),($E76+$F76)*Stock!AH76/100,Stock!AH76))</f>
        <v>0</v>
      </c>
      <c r="AN76" s="9">
        <f>IF(Stock!AI76="",0,IF(ISNUMBER($E76),($E76+$F76)*Stock!AI76/100,Stock!AI76))</f>
        <v>0</v>
      </c>
      <c r="AO76" s="9">
        <f>IF(Stock!AJ76="",0,IF(ISNUMBER($E76),($E76+$F76)*Stock!AJ76/100,Stock!AJ76))</f>
        <v>0</v>
      </c>
      <c r="AP76" s="9">
        <f>IF(Stock!AK76="",0,IF(ISNUMBER($E76),($E76+$F76)*Stock!AK76/100,Stock!AK76))</f>
        <v>0</v>
      </c>
      <c r="AQ76" s="9">
        <f>IF(Stock!AL76="",0,IF(ISNUMBER($E76),($E76+$F76)*Stock!AL76/100,Stock!AL76))</f>
        <v>0</v>
      </c>
      <c r="AR76" s="9">
        <f>IF(Stock!AM76="",0,IF(ISNUMBER($E76),($E76+$F76)*Stock!AM76/100,Stock!AM76))</f>
        <v>0</v>
      </c>
      <c r="AS76" s="9">
        <f>IF(Stock!AN76="",0,IF(ISNUMBER($E76),($E76+$F76)*Stock!AN76/100,Stock!AN76))</f>
        <v>0</v>
      </c>
      <c r="AT76" s="9">
        <f>IF(Stock!AO76="",0,IF(ISNUMBER($E76),($E76+$F76)*Stock!AO76/100,Stock!AO76))</f>
        <v>0</v>
      </c>
      <c r="AU76" s="9">
        <f>IF(Stock!AP76="",0,IF(ISNUMBER($E76),($E76+$F76)*Stock!AP76/100,Stock!AP76))</f>
        <v>0</v>
      </c>
      <c r="AV76" s="9">
        <f>IF(Stock!AQ76="",0,IF(ISNUMBER($E76),($E76+$F76)*Stock!AQ76/100,Stock!AQ76))</f>
        <v>0</v>
      </c>
      <c r="AW76" s="9">
        <f>IF(Stock!AR76="",0,IF(ISNUMBER($E76),($E76+$F76)*Stock!AR76/100,Stock!AR76))</f>
        <v>0</v>
      </c>
      <c r="AX76" s="9">
        <f>IF(Stock!AS76="",0,IF(ISNUMBER($E76),($E76+$F76)*Stock!AS76/100,Stock!AS76))</f>
        <v>0</v>
      </c>
      <c r="AY76" s="9">
        <f>IF(Stock!AT76="",0,IF(ISNUMBER($E76),($E76+$F76)*Stock!AT76/100,Stock!AT76))</f>
        <v>0</v>
      </c>
      <c r="AZ76" s="9">
        <f>IF(Stock!AU76="",0,IF(ISNUMBER($E76),($E76+$F76)*Stock!AU76/100,Stock!AU76))</f>
        <v>0</v>
      </c>
      <c r="BA76" s="9">
        <f>IF(Stock!AV76="",0,IF(ISNUMBER($E76),($E76+$F76)*Stock!AV76/100,Stock!AV76))</f>
        <v>0</v>
      </c>
      <c r="BB76" s="9">
        <f>IF(Stock!AW76="",0,IF(ISNUMBER($E76),($E76+$F76)*Stock!AW76/100,Stock!AW76))</f>
        <v>0</v>
      </c>
      <c r="BC76" s="9">
        <f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>IF(Stock!C77="",0,IF(ISNUMBER($E77),($E77+$F77)*Stock!C77/100,Stock!C77))</f>
        <v>0</v>
      </c>
      <c r="I77" s="9">
        <f>IF(Stock!D77="",0,IF(ISNUMBER($E77),($E77+$F77)*Stock!D77/100,Stock!D77))</f>
        <v>0</v>
      </c>
      <c r="J77" s="9">
        <f>IF(Stock!E77="",0,IF(ISNUMBER($E77),($E77+$F77)*Stock!E77/100,Stock!E77))</f>
        <v>0</v>
      </c>
      <c r="K77" s="9">
        <f>IF(Stock!F77="",0,IF(ISNUMBER($E77),($E77+$F77)*Stock!F77/100,Stock!F77))</f>
        <v>0</v>
      </c>
      <c r="L77" s="9">
        <f>IF(Stock!G77="",0,IF(ISNUMBER($E77),($E77+$F77)*Stock!G77/100,Stock!G77))</f>
        <v>0</v>
      </c>
      <c r="M77" s="9">
        <f>IF(Stock!H77="",0,IF(ISNUMBER($E77),($E77+$F77)*Stock!H77/100,Stock!H77))</f>
        <v>0</v>
      </c>
      <c r="N77" s="9">
        <f>IF(Stock!I77="",0,IF(ISNUMBER($E77),($E77+$F77)*Stock!I77/100,Stock!I77))</f>
        <v>0</v>
      </c>
      <c r="O77" s="9">
        <f>IF(Stock!J77="",0,IF(ISNUMBER($E77),($E77+$F77)*Stock!J77/100,Stock!J77))</f>
        <v>0</v>
      </c>
      <c r="P77" s="9">
        <f>IF(Stock!K77="",0,IF(ISNUMBER($E77),($E77+$F77)*Stock!K77/100,Stock!K77))</f>
        <v>0</v>
      </c>
      <c r="Q77" s="9">
        <f>IF(Stock!L77="",0,IF(ISNUMBER($E77),($E77+$F77)*Stock!L77/100,Stock!L77))</f>
        <v>0</v>
      </c>
      <c r="R77" s="9">
        <f>IF(Stock!M77="",0,IF(ISNUMBER($E77),($E77+$F77)*Stock!M77/100,Stock!M77))</f>
        <v>0</v>
      </c>
      <c r="S77" s="9">
        <f>IF(Stock!N77="",0,IF(ISNUMBER($E77),($E77+$F77)*Stock!N77/100,Stock!N77))</f>
        <v>0</v>
      </c>
      <c r="T77" s="9">
        <f>IF(Stock!O77="",0,IF(ISNUMBER($E77),($E77+$F77)*Stock!O77/100,Stock!O77))</f>
        <v>0</v>
      </c>
      <c r="U77" s="9">
        <f>IF(Stock!P77="",0,IF(ISNUMBER($E77),($E77+$F77)*Stock!P77/100,Stock!P77))</f>
        <v>0</v>
      </c>
      <c r="V77" s="9">
        <f>IF(Stock!Q77="",0,IF(ISNUMBER($E77),($E77+$F77)*Stock!Q77/100,Stock!Q77))</f>
        <v>0</v>
      </c>
      <c r="W77" s="9">
        <f>IF(Stock!R77="",0,IF(ISNUMBER($E77),($E77+$F77)*Stock!R77/100,Stock!R77))</f>
        <v>0</v>
      </c>
      <c r="X77" s="9">
        <f>IF(Stock!S77="",0,IF(ISNUMBER($E77),($E77+$F77)*Stock!S77/100,Stock!S77))</f>
        <v>0</v>
      </c>
      <c r="Y77" s="9">
        <f>IF(Stock!T77="",0,IF(ISNUMBER($E77),($E77+$F77)*Stock!T77/100,Stock!T77))</f>
        <v>0</v>
      </c>
      <c r="Z77" s="9">
        <f>IF(Stock!U77="",0,IF(ISNUMBER($E77),($E77+$F77)*Stock!U77/100,Stock!U77))</f>
        <v>0</v>
      </c>
      <c r="AA77" s="9">
        <f>IF(Stock!V77="",0,IF(ISNUMBER($E77),($E77+$F77)*Stock!V77/100,Stock!V77))</f>
        <v>0</v>
      </c>
      <c r="AB77" s="9">
        <f>IF(Stock!W77="",0,IF(ISNUMBER($E77),($E77+$F77)*Stock!W77/100,Stock!W77))</f>
        <v>0</v>
      </c>
      <c r="AC77" s="9">
        <f>IF(Stock!X77="",0,IF(ISNUMBER($E77),($E77+$F77)*Stock!X77/100,Stock!X77))</f>
        <v>0</v>
      </c>
      <c r="AD77" s="9">
        <f>IF(Stock!Y77="",0,IF(ISNUMBER($E77),($E77+$F77)*Stock!Y77/100,Stock!Y77))</f>
        <v>0</v>
      </c>
      <c r="AE77" s="9">
        <f>IF(Stock!Z77="",0,IF(ISNUMBER($E77),($E77+$F77)*Stock!Z77/100,Stock!Z77))</f>
        <v>0</v>
      </c>
      <c r="AF77" s="9">
        <f>IF(Stock!AA77="",0,IF(ISNUMBER($E77),($E77+$F77)*Stock!AA77/100,Stock!AA77))</f>
        <v>0</v>
      </c>
      <c r="AG77" s="9">
        <f>IF(Stock!AB77="",0,IF(ISNUMBER($E77),($E77+$F77)*Stock!AB77/100,Stock!AB77))</f>
        <v>0</v>
      </c>
      <c r="AH77" s="9">
        <f>IF(Stock!AC77="",0,IF(ISNUMBER($E77),($E77+$F77)*Stock!AC77/100,Stock!AC77))</f>
        <v>0</v>
      </c>
      <c r="AI77" s="9">
        <f>IF(Stock!AD77="",0,IF(ISNUMBER($E77),($E77+$F77)*Stock!AD77/100,Stock!AD77))</f>
        <v>0</v>
      </c>
      <c r="AJ77" s="9">
        <f>IF(Stock!AE77="",0,IF(ISNUMBER($E77),($E77+$F77)*Stock!AE77/100,Stock!AE77))</f>
        <v>0</v>
      </c>
      <c r="AK77" s="9">
        <f>IF(Stock!AF77="",0,IF(ISNUMBER($E77),($E77+$F77)*Stock!AF77/100,Stock!AF77))</f>
        <v>0</v>
      </c>
      <c r="AL77" s="9">
        <f>IF(Stock!AG77="",0,IF(ISNUMBER($E77),($E77+$F77)*Stock!AG77/100,Stock!AG77))</f>
        <v>0</v>
      </c>
      <c r="AM77" s="9">
        <f>IF(Stock!AH77="",0,IF(ISNUMBER($E77),($E77+$F77)*Stock!AH77/100,Stock!AH77))</f>
        <v>0</v>
      </c>
      <c r="AN77" s="9">
        <f>IF(Stock!AI77="",0,IF(ISNUMBER($E77),($E77+$F77)*Stock!AI77/100,Stock!AI77))</f>
        <v>0</v>
      </c>
      <c r="AO77" s="9">
        <f>IF(Stock!AJ77="",0,IF(ISNUMBER($E77),($E77+$F77)*Stock!AJ77/100,Stock!AJ77))</f>
        <v>0</v>
      </c>
      <c r="AP77" s="9">
        <f>IF(Stock!AK77="",0,IF(ISNUMBER($E77),($E77+$F77)*Stock!AK77/100,Stock!AK77))</f>
        <v>0</v>
      </c>
      <c r="AQ77" s="9">
        <f>IF(Stock!AL77="",0,IF(ISNUMBER($E77),($E77+$F77)*Stock!AL77/100,Stock!AL77))</f>
        <v>0</v>
      </c>
      <c r="AR77" s="9">
        <f>IF(Stock!AM77="",0,IF(ISNUMBER($E77),($E77+$F77)*Stock!AM77/100,Stock!AM77))</f>
        <v>0</v>
      </c>
      <c r="AS77" s="9">
        <f>IF(Stock!AN77="",0,IF(ISNUMBER($E77),($E77+$F77)*Stock!AN77/100,Stock!AN77))</f>
        <v>0</v>
      </c>
      <c r="AT77" s="9">
        <f>IF(Stock!AO77="",0,IF(ISNUMBER($E77),($E77+$F77)*Stock!AO77/100,Stock!AO77))</f>
        <v>0</v>
      </c>
      <c r="AU77" s="9">
        <f>IF(Stock!AP77="",0,IF(ISNUMBER($E77),($E77+$F77)*Stock!AP77/100,Stock!AP77))</f>
        <v>0</v>
      </c>
      <c r="AV77" s="9">
        <f>IF(Stock!AQ77="",0,IF(ISNUMBER($E77),($E77+$F77)*Stock!AQ77/100,Stock!AQ77))</f>
        <v>0</v>
      </c>
      <c r="AW77" s="9">
        <f>IF(Stock!AR77="",0,IF(ISNUMBER($E77),($E77+$F77)*Stock!AR77/100,Stock!AR77))</f>
        <v>0</v>
      </c>
      <c r="AX77" s="9">
        <f>IF(Stock!AS77="",0,IF(ISNUMBER($E77),($E77+$F77)*Stock!AS77/100,Stock!AS77))</f>
        <v>0</v>
      </c>
      <c r="AY77" s="9">
        <f>IF(Stock!AT77="",0,IF(ISNUMBER($E77),($E77+$F77)*Stock!AT77/100,Stock!AT77))</f>
        <v>0</v>
      </c>
      <c r="AZ77" s="9">
        <f>IF(Stock!AU77="",0,IF(ISNUMBER($E77),($E77+$F77)*Stock!AU77/100,Stock!AU77))</f>
        <v>0</v>
      </c>
      <c r="BA77" s="9">
        <f>IF(Stock!AV77="",0,IF(ISNUMBER($E77),($E77+$F77)*Stock!AV77/100,Stock!AV77))</f>
        <v>0</v>
      </c>
      <c r="BB77" s="9">
        <f>IF(Stock!AW77="",0,IF(ISNUMBER($E77),($E77+$F77)*Stock!AW77/100,Stock!AW77))</f>
        <v>0</v>
      </c>
      <c r="BC77" s="9">
        <f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>IF(Stock!C78="",0,IF(ISNUMBER($E78),($E78+$F78)*Stock!C78/100,Stock!C78))</f>
        <v>0</v>
      </c>
      <c r="I78" s="9">
        <f>IF(Stock!D78="",0,IF(ISNUMBER($E78),($E78+$F78)*Stock!D78/100,Stock!D78))</f>
        <v>0</v>
      </c>
      <c r="J78" s="9">
        <f>IF(Stock!E78="",0,IF(ISNUMBER($E78),($E78+$F78)*Stock!E78/100,Stock!E78))</f>
        <v>0</v>
      </c>
      <c r="K78" s="9">
        <f>IF(Stock!F78="",0,IF(ISNUMBER($E78),($E78+$F78)*Stock!F78/100,Stock!F78))</f>
        <v>0</v>
      </c>
      <c r="L78" s="9">
        <f>IF(Stock!G78="",0,IF(ISNUMBER($E78),($E78+$F78)*Stock!G78/100,Stock!G78))</f>
        <v>0</v>
      </c>
      <c r="M78" s="9">
        <f>IF(Stock!H78="",0,IF(ISNUMBER($E78),($E78+$F78)*Stock!H78/100,Stock!H78))</f>
        <v>0</v>
      </c>
      <c r="N78" s="9">
        <f>IF(Stock!I78="",0,IF(ISNUMBER($E78),($E78+$F78)*Stock!I78/100,Stock!I78))</f>
        <v>0</v>
      </c>
      <c r="O78" s="9">
        <f>IF(Stock!J78="",0,IF(ISNUMBER($E78),($E78+$F78)*Stock!J78/100,Stock!J78))</f>
        <v>0</v>
      </c>
      <c r="P78" s="9">
        <f>IF(Stock!K78="",0,IF(ISNUMBER($E78),($E78+$F78)*Stock!K78/100,Stock!K78))</f>
        <v>0</v>
      </c>
      <c r="Q78" s="9">
        <f>IF(Stock!L78="",0,IF(ISNUMBER($E78),($E78+$F78)*Stock!L78/100,Stock!L78))</f>
        <v>0</v>
      </c>
      <c r="R78" s="9">
        <f>IF(Stock!M78="",0,IF(ISNUMBER($E78),($E78+$F78)*Stock!M78/100,Stock!M78))</f>
        <v>0</v>
      </c>
      <c r="S78" s="9">
        <f>IF(Stock!N78="",0,IF(ISNUMBER($E78),($E78+$F78)*Stock!N78/100,Stock!N78))</f>
        <v>0</v>
      </c>
      <c r="T78" s="9">
        <f>IF(Stock!O78="",0,IF(ISNUMBER($E78),($E78+$F78)*Stock!O78/100,Stock!O78))</f>
        <v>0</v>
      </c>
      <c r="U78" s="9">
        <f>IF(Stock!P78="",0,IF(ISNUMBER($E78),($E78+$F78)*Stock!P78/100,Stock!P78))</f>
        <v>0</v>
      </c>
      <c r="V78" s="9">
        <f>IF(Stock!Q78="",0,IF(ISNUMBER($E78),($E78+$F78)*Stock!Q78/100,Stock!Q78))</f>
        <v>0</v>
      </c>
      <c r="W78" s="9">
        <f>IF(Stock!R78="",0,IF(ISNUMBER($E78),($E78+$F78)*Stock!R78/100,Stock!R78))</f>
        <v>0</v>
      </c>
      <c r="X78" s="9">
        <f>IF(Stock!S78="",0,IF(ISNUMBER($E78),($E78+$F78)*Stock!S78/100,Stock!S78))</f>
        <v>0</v>
      </c>
      <c r="Y78" s="9">
        <f>IF(Stock!T78="",0,IF(ISNUMBER($E78),($E78+$F78)*Stock!T78/100,Stock!T78))</f>
        <v>0</v>
      </c>
      <c r="Z78" s="9">
        <f>IF(Stock!U78="",0,IF(ISNUMBER($E78),($E78+$F78)*Stock!U78/100,Stock!U78))</f>
        <v>0</v>
      </c>
      <c r="AA78" s="9">
        <f>IF(Stock!V78="",0,IF(ISNUMBER($E78),($E78+$F78)*Stock!V78/100,Stock!V78))</f>
        <v>0</v>
      </c>
      <c r="AB78" s="9">
        <f>IF(Stock!W78="",0,IF(ISNUMBER($E78),($E78+$F78)*Stock!W78/100,Stock!W78))</f>
        <v>0</v>
      </c>
      <c r="AC78" s="9">
        <f>IF(Stock!X78="",0,IF(ISNUMBER($E78),($E78+$F78)*Stock!X78/100,Stock!X78))</f>
        <v>0</v>
      </c>
      <c r="AD78" s="9">
        <f>IF(Stock!Y78="",0,IF(ISNUMBER($E78),($E78+$F78)*Stock!Y78/100,Stock!Y78))</f>
        <v>0</v>
      </c>
      <c r="AE78" s="9">
        <f>IF(Stock!Z78="",0,IF(ISNUMBER($E78),($E78+$F78)*Stock!Z78/100,Stock!Z78))</f>
        <v>0</v>
      </c>
      <c r="AF78" s="9">
        <f>IF(Stock!AA78="",0,IF(ISNUMBER($E78),($E78+$F78)*Stock!AA78/100,Stock!AA78))</f>
        <v>0</v>
      </c>
      <c r="AG78" s="9">
        <f>IF(Stock!AB78="",0,IF(ISNUMBER($E78),($E78+$F78)*Stock!AB78/100,Stock!AB78))</f>
        <v>0</v>
      </c>
      <c r="AH78" s="9">
        <f>IF(Stock!AC78="",0,IF(ISNUMBER($E78),($E78+$F78)*Stock!AC78/100,Stock!AC78))</f>
        <v>0</v>
      </c>
      <c r="AI78" s="9">
        <f>IF(Stock!AD78="",0,IF(ISNUMBER($E78),($E78+$F78)*Stock!AD78/100,Stock!AD78))</f>
        <v>0</v>
      </c>
      <c r="AJ78" s="9">
        <f>IF(Stock!AE78="",0,IF(ISNUMBER($E78),($E78+$F78)*Stock!AE78/100,Stock!AE78))</f>
        <v>0</v>
      </c>
      <c r="AK78" s="9">
        <f>IF(Stock!AF78="",0,IF(ISNUMBER($E78),($E78+$F78)*Stock!AF78/100,Stock!AF78))</f>
        <v>0</v>
      </c>
      <c r="AL78" s="9">
        <f>IF(Stock!AG78="",0,IF(ISNUMBER($E78),($E78+$F78)*Stock!AG78/100,Stock!AG78))</f>
        <v>0</v>
      </c>
      <c r="AM78" s="9">
        <f>IF(Stock!AH78="",0,IF(ISNUMBER($E78),($E78+$F78)*Stock!AH78/100,Stock!AH78))</f>
        <v>0</v>
      </c>
      <c r="AN78" s="9">
        <f>IF(Stock!AI78="",0,IF(ISNUMBER($E78),($E78+$F78)*Stock!AI78/100,Stock!AI78))</f>
        <v>0</v>
      </c>
      <c r="AO78" s="9">
        <f>IF(Stock!AJ78="",0,IF(ISNUMBER($E78),($E78+$F78)*Stock!AJ78/100,Stock!AJ78))</f>
        <v>0</v>
      </c>
      <c r="AP78" s="9">
        <f>IF(Stock!AK78="",0,IF(ISNUMBER($E78),($E78+$F78)*Stock!AK78/100,Stock!AK78))</f>
        <v>0</v>
      </c>
      <c r="AQ78" s="9">
        <f>IF(Stock!AL78="",0,IF(ISNUMBER($E78),($E78+$F78)*Stock!AL78/100,Stock!AL78))</f>
        <v>0</v>
      </c>
      <c r="AR78" s="9">
        <f>IF(Stock!AM78="",0,IF(ISNUMBER($E78),($E78+$F78)*Stock!AM78/100,Stock!AM78))</f>
        <v>0</v>
      </c>
      <c r="AS78" s="9">
        <f>IF(Stock!AN78="",0,IF(ISNUMBER($E78),($E78+$F78)*Stock!AN78/100,Stock!AN78))</f>
        <v>0</v>
      </c>
      <c r="AT78" s="9">
        <f>IF(Stock!AO78="",0,IF(ISNUMBER($E78),($E78+$F78)*Stock!AO78/100,Stock!AO78))</f>
        <v>0</v>
      </c>
      <c r="AU78" s="9">
        <f>IF(Stock!AP78="",0,IF(ISNUMBER($E78),($E78+$F78)*Stock!AP78/100,Stock!AP78))</f>
        <v>0</v>
      </c>
      <c r="AV78" s="9">
        <f>IF(Stock!AQ78="",0,IF(ISNUMBER($E78),($E78+$F78)*Stock!AQ78/100,Stock!AQ78))</f>
        <v>0</v>
      </c>
      <c r="AW78" s="9">
        <f>IF(Stock!AR78="",0,IF(ISNUMBER($E78),($E78+$F78)*Stock!AR78/100,Stock!AR78))</f>
        <v>0</v>
      </c>
      <c r="AX78" s="9">
        <f>IF(Stock!AS78="",0,IF(ISNUMBER($E78),($E78+$F78)*Stock!AS78/100,Stock!AS78))</f>
        <v>0</v>
      </c>
      <c r="AY78" s="9">
        <f>IF(Stock!AT78="",0,IF(ISNUMBER($E78),($E78+$F78)*Stock!AT78/100,Stock!AT78))</f>
        <v>0</v>
      </c>
      <c r="AZ78" s="9">
        <f>IF(Stock!AU78="",0,IF(ISNUMBER($E78),($E78+$F78)*Stock!AU78/100,Stock!AU78))</f>
        <v>0</v>
      </c>
      <c r="BA78" s="9">
        <f>IF(Stock!AV78="",0,IF(ISNUMBER($E78),($E78+$F78)*Stock!AV78/100,Stock!AV78))</f>
        <v>0</v>
      </c>
      <c r="BB78" s="9">
        <f>IF(Stock!AW78="",0,IF(ISNUMBER($E78),($E78+$F78)*Stock!AW78/100,Stock!AW78))</f>
        <v>0</v>
      </c>
      <c r="BC78" s="9">
        <f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>IF(Stock!C79="",0,IF(ISNUMBER($E79),($E79+$F79)*Stock!C79/100,Stock!C79))</f>
        <v>0</v>
      </c>
      <c r="I79" s="9">
        <f>IF(Stock!D79="",0,IF(ISNUMBER($E79),($E79+$F79)*Stock!D79/100,Stock!D79))</f>
        <v>0</v>
      </c>
      <c r="J79" s="9">
        <f>IF(Stock!E79="",0,IF(ISNUMBER($E79),($E79+$F79)*Stock!E79/100,Stock!E79))</f>
        <v>0</v>
      </c>
      <c r="K79" s="9">
        <f>IF(Stock!F79="",0,IF(ISNUMBER($E79),($E79+$F79)*Stock!F79/100,Stock!F79))</f>
        <v>0</v>
      </c>
      <c r="L79" s="9">
        <f>IF(Stock!G79="",0,IF(ISNUMBER($E79),($E79+$F79)*Stock!G79/100,Stock!G79))</f>
        <v>0</v>
      </c>
      <c r="M79" s="9">
        <f>IF(Stock!H79="",0,IF(ISNUMBER($E79),($E79+$F79)*Stock!H79/100,Stock!H79))</f>
        <v>0</v>
      </c>
      <c r="N79" s="9">
        <f>IF(Stock!I79="",0,IF(ISNUMBER($E79),($E79+$F79)*Stock!I79/100,Stock!I79))</f>
        <v>0</v>
      </c>
      <c r="O79" s="9">
        <f>IF(Stock!J79="",0,IF(ISNUMBER($E79),($E79+$F79)*Stock!J79/100,Stock!J79))</f>
        <v>0</v>
      </c>
      <c r="P79" s="9">
        <f>IF(Stock!K79="",0,IF(ISNUMBER($E79),($E79+$F79)*Stock!K79/100,Stock!K79))</f>
        <v>0</v>
      </c>
      <c r="Q79" s="9">
        <f>IF(Stock!L79="",0,IF(ISNUMBER($E79),($E79+$F79)*Stock!L79/100,Stock!L79))</f>
        <v>0</v>
      </c>
      <c r="R79" s="9">
        <f>IF(Stock!M79="",0,IF(ISNUMBER($E79),($E79+$F79)*Stock!M79/100,Stock!M79))</f>
        <v>0</v>
      </c>
      <c r="S79" s="9">
        <f>IF(Stock!N79="",0,IF(ISNUMBER($E79),($E79+$F79)*Stock!N79/100,Stock!N79))</f>
        <v>0</v>
      </c>
      <c r="T79" s="9">
        <f>IF(Stock!O79="",0,IF(ISNUMBER($E79),($E79+$F79)*Stock!O79/100,Stock!O79))</f>
        <v>0</v>
      </c>
      <c r="U79" s="9">
        <f>IF(Stock!P79="",0,IF(ISNUMBER($E79),($E79+$F79)*Stock!P79/100,Stock!P79))</f>
        <v>0</v>
      </c>
      <c r="V79" s="9">
        <f>IF(Stock!Q79="",0,IF(ISNUMBER($E79),($E79+$F79)*Stock!Q79/100,Stock!Q79))</f>
        <v>0</v>
      </c>
      <c r="W79" s="9">
        <f>IF(Stock!R79="",0,IF(ISNUMBER($E79),($E79+$F79)*Stock!R79/100,Stock!R79))</f>
        <v>0</v>
      </c>
      <c r="X79" s="9">
        <f>IF(Stock!S79="",0,IF(ISNUMBER($E79),($E79+$F79)*Stock!S79/100,Stock!S79))</f>
        <v>0</v>
      </c>
      <c r="Y79" s="9">
        <f>IF(Stock!T79="",0,IF(ISNUMBER($E79),($E79+$F79)*Stock!T79/100,Stock!T79))</f>
        <v>0</v>
      </c>
      <c r="Z79" s="9">
        <f>IF(Stock!U79="",0,IF(ISNUMBER($E79),($E79+$F79)*Stock!U79/100,Stock!U79))</f>
        <v>0</v>
      </c>
      <c r="AA79" s="9">
        <f>IF(Stock!V79="",0,IF(ISNUMBER($E79),($E79+$F79)*Stock!V79/100,Stock!V79))</f>
        <v>0</v>
      </c>
      <c r="AB79" s="9">
        <f>IF(Stock!W79="",0,IF(ISNUMBER($E79),($E79+$F79)*Stock!W79/100,Stock!W79))</f>
        <v>0</v>
      </c>
      <c r="AC79" s="9">
        <f>IF(Stock!X79="",0,IF(ISNUMBER($E79),($E79+$F79)*Stock!X79/100,Stock!X79))</f>
        <v>0</v>
      </c>
      <c r="AD79" s="9">
        <f>IF(Stock!Y79="",0,IF(ISNUMBER($E79),($E79+$F79)*Stock!Y79/100,Stock!Y79))</f>
        <v>0</v>
      </c>
      <c r="AE79" s="9">
        <f>IF(Stock!Z79="",0,IF(ISNUMBER($E79),($E79+$F79)*Stock!Z79/100,Stock!Z79))</f>
        <v>0</v>
      </c>
      <c r="AF79" s="9">
        <f>IF(Stock!AA79="",0,IF(ISNUMBER($E79),($E79+$F79)*Stock!AA79/100,Stock!AA79))</f>
        <v>0</v>
      </c>
      <c r="AG79" s="9">
        <f>IF(Stock!AB79="",0,IF(ISNUMBER($E79),($E79+$F79)*Stock!AB79/100,Stock!AB79))</f>
        <v>0</v>
      </c>
      <c r="AH79" s="9">
        <f>IF(Stock!AC79="",0,IF(ISNUMBER($E79),($E79+$F79)*Stock!AC79/100,Stock!AC79))</f>
        <v>0</v>
      </c>
      <c r="AI79" s="9">
        <f>IF(Stock!AD79="",0,IF(ISNUMBER($E79),($E79+$F79)*Stock!AD79/100,Stock!AD79))</f>
        <v>0</v>
      </c>
      <c r="AJ79" s="9">
        <f>IF(Stock!AE79="",0,IF(ISNUMBER($E79),($E79+$F79)*Stock!AE79/100,Stock!AE79))</f>
        <v>0</v>
      </c>
      <c r="AK79" s="9">
        <f>IF(Stock!AF79="",0,IF(ISNUMBER($E79),($E79+$F79)*Stock!AF79/100,Stock!AF79))</f>
        <v>0</v>
      </c>
      <c r="AL79" s="9">
        <f>IF(Stock!AG79="",0,IF(ISNUMBER($E79),($E79+$F79)*Stock!AG79/100,Stock!AG79))</f>
        <v>0</v>
      </c>
      <c r="AM79" s="9">
        <f>IF(Stock!AH79="",0,IF(ISNUMBER($E79),($E79+$F79)*Stock!AH79/100,Stock!AH79))</f>
        <v>0</v>
      </c>
      <c r="AN79" s="9">
        <f>IF(Stock!AI79="",0,IF(ISNUMBER($E79),($E79+$F79)*Stock!AI79/100,Stock!AI79))</f>
        <v>0</v>
      </c>
      <c r="AO79" s="9">
        <f>IF(Stock!AJ79="",0,IF(ISNUMBER($E79),($E79+$F79)*Stock!AJ79/100,Stock!AJ79))</f>
        <v>0</v>
      </c>
      <c r="AP79" s="9">
        <f>IF(Stock!AK79="",0,IF(ISNUMBER($E79),($E79+$F79)*Stock!AK79/100,Stock!AK79))</f>
        <v>0</v>
      </c>
      <c r="AQ79" s="9">
        <f>IF(Stock!AL79="",0,IF(ISNUMBER($E79),($E79+$F79)*Stock!AL79/100,Stock!AL79))</f>
        <v>0</v>
      </c>
      <c r="AR79" s="9">
        <f>IF(Stock!AM79="",0,IF(ISNUMBER($E79),($E79+$F79)*Stock!AM79/100,Stock!AM79))</f>
        <v>0</v>
      </c>
      <c r="AS79" s="9">
        <f>IF(Stock!AN79="",0,IF(ISNUMBER($E79),($E79+$F79)*Stock!AN79/100,Stock!AN79))</f>
        <v>0</v>
      </c>
      <c r="AT79" s="9">
        <f>IF(Stock!AO79="",0,IF(ISNUMBER($E79),($E79+$F79)*Stock!AO79/100,Stock!AO79))</f>
        <v>0</v>
      </c>
      <c r="AU79" s="9">
        <f>IF(Stock!AP79="",0,IF(ISNUMBER($E79),($E79+$F79)*Stock!AP79/100,Stock!AP79))</f>
        <v>0</v>
      </c>
      <c r="AV79" s="9">
        <f>IF(Stock!AQ79="",0,IF(ISNUMBER($E79),($E79+$F79)*Stock!AQ79/100,Stock!AQ79))</f>
        <v>0</v>
      </c>
      <c r="AW79" s="9">
        <f>IF(Stock!AR79="",0,IF(ISNUMBER($E79),($E79+$F79)*Stock!AR79/100,Stock!AR79))</f>
        <v>0</v>
      </c>
      <c r="AX79" s="9">
        <f>IF(Stock!AS79="",0,IF(ISNUMBER($E79),($E79+$F79)*Stock!AS79/100,Stock!AS79))</f>
        <v>0</v>
      </c>
      <c r="AY79" s="9">
        <f>IF(Stock!AT79="",0,IF(ISNUMBER($E79),($E79+$F79)*Stock!AT79/100,Stock!AT79))</f>
        <v>0</v>
      </c>
      <c r="AZ79" s="9">
        <f>IF(Stock!AU79="",0,IF(ISNUMBER($E79),($E79+$F79)*Stock!AU79/100,Stock!AU79))</f>
        <v>0</v>
      </c>
      <c r="BA79" s="9">
        <f>IF(Stock!AV79="",0,IF(ISNUMBER($E79),($E79+$F79)*Stock!AV79/100,Stock!AV79))</f>
        <v>0</v>
      </c>
      <c r="BB79" s="9">
        <f>IF(Stock!AW79="",0,IF(ISNUMBER($E79),($E79+$F79)*Stock!AW79/100,Stock!AW79))</f>
        <v>0</v>
      </c>
      <c r="BC79" s="9">
        <f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>IF(Stock!C80="",0,IF(ISNUMBER($E80),($E80+$F80)*Stock!C80/100,Stock!C80))</f>
        <v>0</v>
      </c>
      <c r="I80" s="9">
        <f>IF(Stock!D80="",0,IF(ISNUMBER($E80),($E80+$F80)*Stock!D80/100,Stock!D80))</f>
        <v>0</v>
      </c>
      <c r="J80" s="9">
        <f>IF(Stock!E80="",0,IF(ISNUMBER($E80),($E80+$F80)*Stock!E80/100,Stock!E80))</f>
        <v>0</v>
      </c>
      <c r="K80" s="9">
        <f>IF(Stock!F80="",0,IF(ISNUMBER($E80),($E80+$F80)*Stock!F80/100,Stock!F80))</f>
        <v>0</v>
      </c>
      <c r="L80" s="9">
        <f>IF(Stock!G80="",0,IF(ISNUMBER($E80),($E80+$F80)*Stock!G80/100,Stock!G80))</f>
        <v>0</v>
      </c>
      <c r="M80" s="9">
        <f>IF(Stock!H80="",0,IF(ISNUMBER($E80),($E80+$F80)*Stock!H80/100,Stock!H80))</f>
        <v>0</v>
      </c>
      <c r="N80" s="9">
        <f>IF(Stock!I80="",0,IF(ISNUMBER($E80),($E80+$F80)*Stock!I80/100,Stock!I80))</f>
        <v>0</v>
      </c>
      <c r="O80" s="9">
        <f>IF(Stock!J80="",0,IF(ISNUMBER($E80),($E80+$F80)*Stock!J80/100,Stock!J80))</f>
        <v>0</v>
      </c>
      <c r="P80" s="9">
        <f>IF(Stock!K80="",0,IF(ISNUMBER($E80),($E80+$F80)*Stock!K80/100,Stock!K80))</f>
        <v>0</v>
      </c>
      <c r="Q80" s="9">
        <f>IF(Stock!L80="",0,IF(ISNUMBER($E80),($E80+$F80)*Stock!L80/100,Stock!L80))</f>
        <v>0</v>
      </c>
      <c r="R80" s="9">
        <f>IF(Stock!M80="",0,IF(ISNUMBER($E80),($E80+$F80)*Stock!M80/100,Stock!M80))</f>
        <v>0</v>
      </c>
      <c r="S80" s="9">
        <f>IF(Stock!N80="",0,IF(ISNUMBER($E80),($E80+$F80)*Stock!N80/100,Stock!N80))</f>
        <v>0</v>
      </c>
      <c r="T80" s="9">
        <f>IF(Stock!O80="",0,IF(ISNUMBER($E80),($E80+$F80)*Stock!O80/100,Stock!O80))</f>
        <v>0</v>
      </c>
      <c r="U80" s="9">
        <f>IF(Stock!P80="",0,IF(ISNUMBER($E80),($E80+$F80)*Stock!P80/100,Stock!P80))</f>
        <v>0</v>
      </c>
      <c r="V80" s="9">
        <f>IF(Stock!Q80="",0,IF(ISNUMBER($E80),($E80+$F80)*Stock!Q80/100,Stock!Q80))</f>
        <v>0</v>
      </c>
      <c r="W80" s="9">
        <f>IF(Stock!R80="",0,IF(ISNUMBER($E80),($E80+$F80)*Stock!R80/100,Stock!R80))</f>
        <v>0</v>
      </c>
      <c r="X80" s="9">
        <f>IF(Stock!S80="",0,IF(ISNUMBER($E80),($E80+$F80)*Stock!S80/100,Stock!S80))</f>
        <v>0</v>
      </c>
      <c r="Y80" s="9">
        <f>IF(Stock!T80="",0,IF(ISNUMBER($E80),($E80+$F80)*Stock!T80/100,Stock!T80))</f>
        <v>0</v>
      </c>
      <c r="Z80" s="9">
        <f>IF(Stock!U80="",0,IF(ISNUMBER($E80),($E80+$F80)*Stock!U80/100,Stock!U80))</f>
        <v>0</v>
      </c>
      <c r="AA80" s="9">
        <f>IF(Stock!V80="",0,IF(ISNUMBER($E80),($E80+$F80)*Stock!V80/100,Stock!V80))</f>
        <v>0</v>
      </c>
      <c r="AB80" s="9">
        <f>IF(Stock!W80="",0,IF(ISNUMBER($E80),($E80+$F80)*Stock!W80/100,Stock!W80))</f>
        <v>0</v>
      </c>
      <c r="AC80" s="9">
        <f>IF(Stock!X80="",0,IF(ISNUMBER($E80),($E80+$F80)*Stock!X80/100,Stock!X80))</f>
        <v>0</v>
      </c>
      <c r="AD80" s="9">
        <f>IF(Stock!Y80="",0,IF(ISNUMBER($E80),($E80+$F80)*Stock!Y80/100,Stock!Y80))</f>
        <v>0</v>
      </c>
      <c r="AE80" s="9">
        <f>IF(Stock!Z80="",0,IF(ISNUMBER($E80),($E80+$F80)*Stock!Z80/100,Stock!Z80))</f>
        <v>0</v>
      </c>
      <c r="AF80" s="9">
        <f>IF(Stock!AA80="",0,IF(ISNUMBER($E80),($E80+$F80)*Stock!AA80/100,Stock!AA80))</f>
        <v>0</v>
      </c>
      <c r="AG80" s="9">
        <f>IF(Stock!AB80="",0,IF(ISNUMBER($E80),($E80+$F80)*Stock!AB80/100,Stock!AB80))</f>
        <v>0</v>
      </c>
      <c r="AH80" s="9">
        <f>IF(Stock!AC80="",0,IF(ISNUMBER($E80),($E80+$F80)*Stock!AC80/100,Stock!AC80))</f>
        <v>0</v>
      </c>
      <c r="AI80" s="9">
        <f>IF(Stock!AD80="",0,IF(ISNUMBER($E80),($E80+$F80)*Stock!AD80/100,Stock!AD80))</f>
        <v>0</v>
      </c>
      <c r="AJ80" s="9">
        <f>IF(Stock!AE80="",0,IF(ISNUMBER($E80),($E80+$F80)*Stock!AE80/100,Stock!AE80))</f>
        <v>0</v>
      </c>
      <c r="AK80" s="9">
        <f>IF(Stock!AF80="",0,IF(ISNUMBER($E80),($E80+$F80)*Stock!AF80/100,Stock!AF80))</f>
        <v>0</v>
      </c>
      <c r="AL80" s="9">
        <f>IF(Stock!AG80="",0,IF(ISNUMBER($E80),($E80+$F80)*Stock!AG80/100,Stock!AG80))</f>
        <v>0</v>
      </c>
      <c r="AM80" s="9">
        <f>IF(Stock!AH80="",0,IF(ISNUMBER($E80),($E80+$F80)*Stock!AH80/100,Stock!AH80))</f>
        <v>0</v>
      </c>
      <c r="AN80" s="9">
        <f>IF(Stock!AI80="",0,IF(ISNUMBER($E80),($E80+$F80)*Stock!AI80/100,Stock!AI80))</f>
        <v>0</v>
      </c>
      <c r="AO80" s="9">
        <f>IF(Stock!AJ80="",0,IF(ISNUMBER($E80),($E80+$F80)*Stock!AJ80/100,Stock!AJ80))</f>
        <v>0</v>
      </c>
      <c r="AP80" s="9">
        <f>IF(Stock!AK80="",0,IF(ISNUMBER($E80),($E80+$F80)*Stock!AK80/100,Stock!AK80))</f>
        <v>0</v>
      </c>
      <c r="AQ80" s="9">
        <f>IF(Stock!AL80="",0,IF(ISNUMBER($E80),($E80+$F80)*Stock!AL80/100,Stock!AL80))</f>
        <v>0</v>
      </c>
      <c r="AR80" s="9">
        <f>IF(Stock!AM80="",0,IF(ISNUMBER($E80),($E80+$F80)*Stock!AM80/100,Stock!AM80))</f>
        <v>0</v>
      </c>
      <c r="AS80" s="9">
        <f>IF(Stock!AN80="",0,IF(ISNUMBER($E80),($E80+$F80)*Stock!AN80/100,Stock!AN80))</f>
        <v>0</v>
      </c>
      <c r="AT80" s="9">
        <f>IF(Stock!AO80="",0,IF(ISNUMBER($E80),($E80+$F80)*Stock!AO80/100,Stock!AO80))</f>
        <v>0</v>
      </c>
      <c r="AU80" s="9">
        <f>IF(Stock!AP80="",0,IF(ISNUMBER($E80),($E80+$F80)*Stock!AP80/100,Stock!AP80))</f>
        <v>0</v>
      </c>
      <c r="AV80" s="9">
        <f>IF(Stock!AQ80="",0,IF(ISNUMBER($E80),($E80+$F80)*Stock!AQ80/100,Stock!AQ80))</f>
        <v>0</v>
      </c>
      <c r="AW80" s="9">
        <f>IF(Stock!AR80="",0,IF(ISNUMBER($E80),($E80+$F80)*Stock!AR80/100,Stock!AR80))</f>
        <v>0</v>
      </c>
      <c r="AX80" s="9">
        <f>IF(Stock!AS80="",0,IF(ISNUMBER($E80),($E80+$F80)*Stock!AS80/100,Stock!AS80))</f>
        <v>0</v>
      </c>
      <c r="AY80" s="9">
        <f>IF(Stock!AT80="",0,IF(ISNUMBER($E80),($E80+$F80)*Stock!AT80/100,Stock!AT80))</f>
        <v>0</v>
      </c>
      <c r="AZ80" s="9">
        <f>IF(Stock!AU80="",0,IF(ISNUMBER($E80),($E80+$F80)*Stock!AU80/100,Stock!AU80))</f>
        <v>0</v>
      </c>
      <c r="BA80" s="9">
        <f>IF(Stock!AV80="",0,IF(ISNUMBER($E80),($E80+$F80)*Stock!AV80/100,Stock!AV80))</f>
        <v>0</v>
      </c>
      <c r="BB80" s="9">
        <f>IF(Stock!AW80="",0,IF(ISNUMBER($E80),($E80+$F80)*Stock!AW80/100,Stock!AW80))</f>
        <v>0</v>
      </c>
      <c r="BC80" s="9">
        <f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>IF(Stock!C81="",0,IF(ISNUMBER($E81),($E81+$F81)*Stock!C81/100,Stock!C81))</f>
        <v>0</v>
      </c>
      <c r="I81" s="9">
        <f>IF(Stock!D81="",0,IF(ISNUMBER($E81),($E81+$F81)*Stock!D81/100,Stock!D81))</f>
        <v>0</v>
      </c>
      <c r="J81" s="9">
        <f>IF(Stock!E81="",0,IF(ISNUMBER($E81),($E81+$F81)*Stock!E81/100,Stock!E81))</f>
        <v>0</v>
      </c>
      <c r="K81" s="9">
        <f>IF(Stock!F81="",0,IF(ISNUMBER($E81),($E81+$F81)*Stock!F81/100,Stock!F81))</f>
        <v>0</v>
      </c>
      <c r="L81" s="9">
        <f>IF(Stock!G81="",0,IF(ISNUMBER($E81),($E81+$F81)*Stock!G81/100,Stock!G81))</f>
        <v>0</v>
      </c>
      <c r="M81" s="9">
        <f>IF(Stock!H81="",0,IF(ISNUMBER($E81),($E81+$F81)*Stock!H81/100,Stock!H81))</f>
        <v>0</v>
      </c>
      <c r="N81" s="9">
        <f>IF(Stock!I81="",0,IF(ISNUMBER($E81),($E81+$F81)*Stock!I81/100,Stock!I81))</f>
        <v>0</v>
      </c>
      <c r="O81" s="9">
        <f>IF(Stock!J81="",0,IF(ISNUMBER($E81),($E81+$F81)*Stock!J81/100,Stock!J81))</f>
        <v>0</v>
      </c>
      <c r="P81" s="9">
        <f>IF(Stock!K81="",0,IF(ISNUMBER($E81),($E81+$F81)*Stock!K81/100,Stock!K81))</f>
        <v>0</v>
      </c>
      <c r="Q81" s="9">
        <f>IF(Stock!L81="",0,IF(ISNUMBER($E81),($E81+$F81)*Stock!L81/100,Stock!L81))</f>
        <v>0</v>
      </c>
      <c r="R81" s="9">
        <f>IF(Stock!M81="",0,IF(ISNUMBER($E81),($E81+$F81)*Stock!M81/100,Stock!M81))</f>
        <v>0</v>
      </c>
      <c r="S81" s="9">
        <f>IF(Stock!N81="",0,IF(ISNUMBER($E81),($E81+$F81)*Stock!N81/100,Stock!N81))</f>
        <v>0</v>
      </c>
      <c r="T81" s="9">
        <f>IF(Stock!O81="",0,IF(ISNUMBER($E81),($E81+$F81)*Stock!O81/100,Stock!O81))</f>
        <v>0</v>
      </c>
      <c r="U81" s="9">
        <f>IF(Stock!P81="",0,IF(ISNUMBER($E81),($E81+$F81)*Stock!P81/100,Stock!P81))</f>
        <v>0</v>
      </c>
      <c r="V81" s="9">
        <f>IF(Stock!Q81="",0,IF(ISNUMBER($E81),($E81+$F81)*Stock!Q81/100,Stock!Q81))</f>
        <v>0</v>
      </c>
      <c r="W81" s="9">
        <f>IF(Stock!R81="",0,IF(ISNUMBER($E81),($E81+$F81)*Stock!R81/100,Stock!R81))</f>
        <v>0</v>
      </c>
      <c r="X81" s="9">
        <f>IF(Stock!S81="",0,IF(ISNUMBER($E81),($E81+$F81)*Stock!S81/100,Stock!S81))</f>
        <v>0</v>
      </c>
      <c r="Y81" s="9">
        <f>IF(Stock!T81="",0,IF(ISNUMBER($E81),($E81+$F81)*Stock!T81/100,Stock!T81))</f>
        <v>0</v>
      </c>
      <c r="Z81" s="9">
        <f>IF(Stock!U81="",0,IF(ISNUMBER($E81),($E81+$F81)*Stock!U81/100,Stock!U81))</f>
        <v>0</v>
      </c>
      <c r="AA81" s="9">
        <f>IF(Stock!V81="",0,IF(ISNUMBER($E81),($E81+$F81)*Stock!V81/100,Stock!V81))</f>
        <v>0</v>
      </c>
      <c r="AB81" s="9">
        <f>IF(Stock!W81="",0,IF(ISNUMBER($E81),($E81+$F81)*Stock!W81/100,Stock!W81))</f>
        <v>0</v>
      </c>
      <c r="AC81" s="9">
        <f>IF(Stock!X81="",0,IF(ISNUMBER($E81),($E81+$F81)*Stock!X81/100,Stock!X81))</f>
        <v>0</v>
      </c>
      <c r="AD81" s="9">
        <f>IF(Stock!Y81="",0,IF(ISNUMBER($E81),($E81+$F81)*Stock!Y81/100,Stock!Y81))</f>
        <v>0</v>
      </c>
      <c r="AE81" s="9">
        <f>IF(Stock!Z81="",0,IF(ISNUMBER($E81),($E81+$F81)*Stock!Z81/100,Stock!Z81))</f>
        <v>0</v>
      </c>
      <c r="AF81" s="9">
        <f>IF(Stock!AA81="",0,IF(ISNUMBER($E81),($E81+$F81)*Stock!AA81/100,Stock!AA81))</f>
        <v>0</v>
      </c>
      <c r="AG81" s="9">
        <f>IF(Stock!AB81="",0,IF(ISNUMBER($E81),($E81+$F81)*Stock!AB81/100,Stock!AB81))</f>
        <v>0</v>
      </c>
      <c r="AH81" s="9">
        <f>IF(Stock!AC81="",0,IF(ISNUMBER($E81),($E81+$F81)*Stock!AC81/100,Stock!AC81))</f>
        <v>0</v>
      </c>
      <c r="AI81" s="9">
        <f>IF(Stock!AD81="",0,IF(ISNUMBER($E81),($E81+$F81)*Stock!AD81/100,Stock!AD81))</f>
        <v>0</v>
      </c>
      <c r="AJ81" s="9">
        <f>IF(Stock!AE81="",0,IF(ISNUMBER($E81),($E81+$F81)*Stock!AE81/100,Stock!AE81))</f>
        <v>0</v>
      </c>
      <c r="AK81" s="9">
        <f>IF(Stock!AF81="",0,IF(ISNUMBER($E81),($E81+$F81)*Stock!AF81/100,Stock!AF81))</f>
        <v>0</v>
      </c>
      <c r="AL81" s="9">
        <f>IF(Stock!AG81="",0,IF(ISNUMBER($E81),($E81+$F81)*Stock!AG81/100,Stock!AG81))</f>
        <v>0</v>
      </c>
      <c r="AM81" s="9">
        <f>IF(Stock!AH81="",0,IF(ISNUMBER($E81),($E81+$F81)*Stock!AH81/100,Stock!AH81))</f>
        <v>0</v>
      </c>
      <c r="AN81" s="9">
        <f>IF(Stock!AI81="",0,IF(ISNUMBER($E81),($E81+$F81)*Stock!AI81/100,Stock!AI81))</f>
        <v>0</v>
      </c>
      <c r="AO81" s="9">
        <f>IF(Stock!AJ81="",0,IF(ISNUMBER($E81),($E81+$F81)*Stock!AJ81/100,Stock!AJ81))</f>
        <v>0</v>
      </c>
      <c r="AP81" s="9">
        <f>IF(Stock!AK81="",0,IF(ISNUMBER($E81),($E81+$F81)*Stock!AK81/100,Stock!AK81))</f>
        <v>0</v>
      </c>
      <c r="AQ81" s="9">
        <f>IF(Stock!AL81="",0,IF(ISNUMBER($E81),($E81+$F81)*Stock!AL81/100,Stock!AL81))</f>
        <v>0</v>
      </c>
      <c r="AR81" s="9">
        <f>IF(Stock!AM81="",0,IF(ISNUMBER($E81),($E81+$F81)*Stock!AM81/100,Stock!AM81))</f>
        <v>0</v>
      </c>
      <c r="AS81" s="9">
        <f>IF(Stock!AN81="",0,IF(ISNUMBER($E81),($E81+$F81)*Stock!AN81/100,Stock!AN81))</f>
        <v>0</v>
      </c>
      <c r="AT81" s="9">
        <f>IF(Stock!AO81="",0,IF(ISNUMBER($E81),($E81+$F81)*Stock!AO81/100,Stock!AO81))</f>
        <v>0</v>
      </c>
      <c r="AU81" s="9">
        <f>IF(Stock!AP81="",0,IF(ISNUMBER($E81),($E81+$F81)*Stock!AP81/100,Stock!AP81))</f>
        <v>0</v>
      </c>
      <c r="AV81" s="9">
        <f>IF(Stock!AQ81="",0,IF(ISNUMBER($E81),($E81+$F81)*Stock!AQ81/100,Stock!AQ81))</f>
        <v>0</v>
      </c>
      <c r="AW81" s="9">
        <f>IF(Stock!AR81="",0,IF(ISNUMBER($E81),($E81+$F81)*Stock!AR81/100,Stock!AR81))</f>
        <v>0</v>
      </c>
      <c r="AX81" s="9">
        <f>IF(Stock!AS81="",0,IF(ISNUMBER($E81),($E81+$F81)*Stock!AS81/100,Stock!AS81))</f>
        <v>0</v>
      </c>
      <c r="AY81" s="9">
        <f>IF(Stock!AT81="",0,IF(ISNUMBER($E81),($E81+$F81)*Stock!AT81/100,Stock!AT81))</f>
        <v>0</v>
      </c>
      <c r="AZ81" s="9">
        <f>IF(Stock!AU81="",0,IF(ISNUMBER($E81),($E81+$F81)*Stock!AU81/100,Stock!AU81))</f>
        <v>0</v>
      </c>
      <c r="BA81" s="9">
        <f>IF(Stock!AV81="",0,IF(ISNUMBER($E81),($E81+$F81)*Stock!AV81/100,Stock!AV81))</f>
        <v>0</v>
      </c>
      <c r="BB81" s="9">
        <f>IF(Stock!AW81="",0,IF(ISNUMBER($E81),($E81+$F81)*Stock!AW81/100,Stock!AW81))</f>
        <v>0</v>
      </c>
      <c r="BC81" s="9">
        <f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>IF(Stock!C82="",0,IF(ISNUMBER($E82),($E82+$F82)*Stock!C82/100,Stock!C82))</f>
        <v>0</v>
      </c>
      <c r="I82" s="9">
        <f>IF(Stock!D82="",0,IF(ISNUMBER($E82),($E82+$F82)*Stock!D82/100,Stock!D82))</f>
        <v>0</v>
      </c>
      <c r="J82" s="9">
        <f>IF(Stock!E82="",0,IF(ISNUMBER($E82),($E82+$F82)*Stock!E82/100,Stock!E82))</f>
        <v>0</v>
      </c>
      <c r="K82" s="9">
        <f>IF(Stock!F82="",0,IF(ISNUMBER($E82),($E82+$F82)*Stock!F82/100,Stock!F82))</f>
        <v>0</v>
      </c>
      <c r="L82" s="9">
        <f>IF(Stock!G82="",0,IF(ISNUMBER($E82),($E82+$F82)*Stock!G82/100,Stock!G82))</f>
        <v>0</v>
      </c>
      <c r="M82" s="9">
        <f>IF(Stock!H82="",0,IF(ISNUMBER($E82),($E82+$F82)*Stock!H82/100,Stock!H82))</f>
        <v>0</v>
      </c>
      <c r="N82" s="9">
        <f>IF(Stock!I82="",0,IF(ISNUMBER($E82),($E82+$F82)*Stock!I82/100,Stock!I82))</f>
        <v>0</v>
      </c>
      <c r="O82" s="9">
        <f>IF(Stock!J82="",0,IF(ISNUMBER($E82),($E82+$F82)*Stock!J82/100,Stock!J82))</f>
        <v>0</v>
      </c>
      <c r="P82" s="9">
        <f>IF(Stock!K82="",0,IF(ISNUMBER($E82),($E82+$F82)*Stock!K82/100,Stock!K82))</f>
        <v>0</v>
      </c>
      <c r="Q82" s="9">
        <f>IF(Stock!L82="",0,IF(ISNUMBER($E82),($E82+$F82)*Stock!L82/100,Stock!L82))</f>
        <v>0</v>
      </c>
      <c r="R82" s="9">
        <f>IF(Stock!M82="",0,IF(ISNUMBER($E82),($E82+$F82)*Stock!M82/100,Stock!M82))</f>
        <v>0</v>
      </c>
      <c r="S82" s="9">
        <f>IF(Stock!N82="",0,IF(ISNUMBER($E82),($E82+$F82)*Stock!N82/100,Stock!N82))</f>
        <v>0</v>
      </c>
      <c r="T82" s="9">
        <f>IF(Stock!O82="",0,IF(ISNUMBER($E82),($E82+$F82)*Stock!O82/100,Stock!O82))</f>
        <v>0</v>
      </c>
      <c r="U82" s="9">
        <f>IF(Stock!P82="",0,IF(ISNUMBER($E82),($E82+$F82)*Stock!P82/100,Stock!P82))</f>
        <v>0</v>
      </c>
      <c r="V82" s="9">
        <f>IF(Stock!Q82="",0,IF(ISNUMBER($E82),($E82+$F82)*Stock!Q82/100,Stock!Q82))</f>
        <v>0</v>
      </c>
      <c r="W82" s="9">
        <f>IF(Stock!R82="",0,IF(ISNUMBER($E82),($E82+$F82)*Stock!R82/100,Stock!R82))</f>
        <v>0</v>
      </c>
      <c r="X82" s="9">
        <f>IF(Stock!S82="",0,IF(ISNUMBER($E82),($E82+$F82)*Stock!S82/100,Stock!S82))</f>
        <v>0</v>
      </c>
      <c r="Y82" s="9">
        <f>IF(Stock!T82="",0,IF(ISNUMBER($E82),($E82+$F82)*Stock!T82/100,Stock!T82))</f>
        <v>0</v>
      </c>
      <c r="Z82" s="9">
        <f>IF(Stock!U82="",0,IF(ISNUMBER($E82),($E82+$F82)*Stock!U82/100,Stock!U82))</f>
        <v>0</v>
      </c>
      <c r="AA82" s="9">
        <f>IF(Stock!V82="",0,IF(ISNUMBER($E82),($E82+$F82)*Stock!V82/100,Stock!V82))</f>
        <v>0</v>
      </c>
      <c r="AB82" s="9">
        <f>IF(Stock!W82="",0,IF(ISNUMBER($E82),($E82+$F82)*Stock!W82/100,Stock!W82))</f>
        <v>0</v>
      </c>
      <c r="AC82" s="9">
        <f>IF(Stock!X82="",0,IF(ISNUMBER($E82),($E82+$F82)*Stock!X82/100,Stock!X82))</f>
        <v>0</v>
      </c>
      <c r="AD82" s="9">
        <f>IF(Stock!Y82="",0,IF(ISNUMBER($E82),($E82+$F82)*Stock!Y82/100,Stock!Y82))</f>
        <v>0</v>
      </c>
      <c r="AE82" s="9">
        <f>IF(Stock!Z82="",0,IF(ISNUMBER($E82),($E82+$F82)*Stock!Z82/100,Stock!Z82))</f>
        <v>0</v>
      </c>
      <c r="AF82" s="9">
        <f>IF(Stock!AA82="",0,IF(ISNUMBER($E82),($E82+$F82)*Stock!AA82/100,Stock!AA82))</f>
        <v>0</v>
      </c>
      <c r="AG82" s="9">
        <f>IF(Stock!AB82="",0,IF(ISNUMBER($E82),($E82+$F82)*Stock!AB82/100,Stock!AB82))</f>
        <v>0</v>
      </c>
      <c r="AH82" s="9">
        <f>IF(Stock!AC82="",0,IF(ISNUMBER($E82),($E82+$F82)*Stock!AC82/100,Stock!AC82))</f>
        <v>0</v>
      </c>
      <c r="AI82" s="9">
        <f>IF(Stock!AD82="",0,IF(ISNUMBER($E82),($E82+$F82)*Stock!AD82/100,Stock!AD82))</f>
        <v>0</v>
      </c>
      <c r="AJ82" s="9">
        <f>IF(Stock!AE82="",0,IF(ISNUMBER($E82),($E82+$F82)*Stock!AE82/100,Stock!AE82))</f>
        <v>0</v>
      </c>
      <c r="AK82" s="9">
        <f>IF(Stock!AF82="",0,IF(ISNUMBER($E82),($E82+$F82)*Stock!AF82/100,Stock!AF82))</f>
        <v>0</v>
      </c>
      <c r="AL82" s="9">
        <f>IF(Stock!AG82="",0,IF(ISNUMBER($E82),($E82+$F82)*Stock!AG82/100,Stock!AG82))</f>
        <v>0</v>
      </c>
      <c r="AM82" s="9">
        <f>IF(Stock!AH82="",0,IF(ISNUMBER($E82),($E82+$F82)*Stock!AH82/100,Stock!AH82))</f>
        <v>0</v>
      </c>
      <c r="AN82" s="9">
        <f>IF(Stock!AI82="",0,IF(ISNUMBER($E82),($E82+$F82)*Stock!AI82/100,Stock!AI82))</f>
        <v>0</v>
      </c>
      <c r="AO82" s="9">
        <f>IF(Stock!AJ82="",0,IF(ISNUMBER($E82),($E82+$F82)*Stock!AJ82/100,Stock!AJ82))</f>
        <v>0</v>
      </c>
      <c r="AP82" s="9">
        <f>IF(Stock!AK82="",0,IF(ISNUMBER($E82),($E82+$F82)*Stock!AK82/100,Stock!AK82))</f>
        <v>0</v>
      </c>
      <c r="AQ82" s="9">
        <f>IF(Stock!AL82="",0,IF(ISNUMBER($E82),($E82+$F82)*Stock!AL82/100,Stock!AL82))</f>
        <v>0</v>
      </c>
      <c r="AR82" s="9">
        <f>IF(Stock!AM82="",0,IF(ISNUMBER($E82),($E82+$F82)*Stock!AM82/100,Stock!AM82))</f>
        <v>0</v>
      </c>
      <c r="AS82" s="9">
        <f>IF(Stock!AN82="",0,IF(ISNUMBER($E82),($E82+$F82)*Stock!AN82/100,Stock!AN82))</f>
        <v>0</v>
      </c>
      <c r="AT82" s="9">
        <f>IF(Stock!AO82="",0,IF(ISNUMBER($E82),($E82+$F82)*Stock!AO82/100,Stock!AO82))</f>
        <v>0</v>
      </c>
      <c r="AU82" s="9">
        <f>IF(Stock!AP82="",0,IF(ISNUMBER($E82),($E82+$F82)*Stock!AP82/100,Stock!AP82))</f>
        <v>0</v>
      </c>
      <c r="AV82" s="9">
        <f>IF(Stock!AQ82="",0,IF(ISNUMBER($E82),($E82+$F82)*Stock!AQ82/100,Stock!AQ82))</f>
        <v>0</v>
      </c>
      <c r="AW82" s="9">
        <f>IF(Stock!AR82="",0,IF(ISNUMBER($E82),($E82+$F82)*Stock!AR82/100,Stock!AR82))</f>
        <v>0</v>
      </c>
      <c r="AX82" s="9">
        <f>IF(Stock!AS82="",0,IF(ISNUMBER($E82),($E82+$F82)*Stock!AS82/100,Stock!AS82))</f>
        <v>0</v>
      </c>
      <c r="AY82" s="9">
        <f>IF(Stock!AT82="",0,IF(ISNUMBER($E82),($E82+$F82)*Stock!AT82/100,Stock!AT82))</f>
        <v>0</v>
      </c>
      <c r="AZ82" s="9">
        <f>IF(Stock!AU82="",0,IF(ISNUMBER($E82),($E82+$F82)*Stock!AU82/100,Stock!AU82))</f>
        <v>0</v>
      </c>
      <c r="BA82" s="9">
        <f>IF(Stock!AV82="",0,IF(ISNUMBER($E82),($E82+$F82)*Stock!AV82/100,Stock!AV82))</f>
        <v>0</v>
      </c>
      <c r="BB82" s="9">
        <f>IF(Stock!AW82="",0,IF(ISNUMBER($E82),($E82+$F82)*Stock!AW82/100,Stock!AW82))</f>
        <v>0</v>
      </c>
      <c r="BC82" s="9">
        <f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>IF(Stock!C83="",0,IF(ISNUMBER($E83),($E83+$F83)*Stock!C83/100,Stock!C83))</f>
        <v>0</v>
      </c>
      <c r="I83" s="9">
        <f>IF(Stock!D83="",0,IF(ISNUMBER($E83),($E83+$F83)*Stock!D83/100,Stock!D83))</f>
        <v>0</v>
      </c>
      <c r="J83" s="9">
        <f>IF(Stock!E83="",0,IF(ISNUMBER($E83),($E83+$F83)*Stock!E83/100,Stock!E83))</f>
        <v>0</v>
      </c>
      <c r="K83" s="9">
        <f>IF(Stock!F83="",0,IF(ISNUMBER($E83),($E83+$F83)*Stock!F83/100,Stock!F83))</f>
        <v>0</v>
      </c>
      <c r="L83" s="9">
        <f>IF(Stock!G83="",0,IF(ISNUMBER($E83),($E83+$F83)*Stock!G83/100,Stock!G83))</f>
        <v>0</v>
      </c>
      <c r="M83" s="9">
        <f>IF(Stock!H83="",0,IF(ISNUMBER($E83),($E83+$F83)*Stock!H83/100,Stock!H83))</f>
        <v>0</v>
      </c>
      <c r="N83" s="9">
        <f>IF(Stock!I83="",0,IF(ISNUMBER($E83),($E83+$F83)*Stock!I83/100,Stock!I83))</f>
        <v>0</v>
      </c>
      <c r="O83" s="9">
        <f>IF(Stock!J83="",0,IF(ISNUMBER($E83),($E83+$F83)*Stock!J83/100,Stock!J83))</f>
        <v>0</v>
      </c>
      <c r="P83" s="9">
        <f>IF(Stock!K83="",0,IF(ISNUMBER($E83),($E83+$F83)*Stock!K83/100,Stock!K83))</f>
        <v>0</v>
      </c>
      <c r="Q83" s="9">
        <f>IF(Stock!L83="",0,IF(ISNUMBER($E83),($E83+$F83)*Stock!L83/100,Stock!L83))</f>
        <v>0</v>
      </c>
      <c r="R83" s="9">
        <f>IF(Stock!M83="",0,IF(ISNUMBER($E83),($E83+$F83)*Stock!M83/100,Stock!M83))</f>
        <v>0</v>
      </c>
      <c r="S83" s="9">
        <f>IF(Stock!N83="",0,IF(ISNUMBER($E83),($E83+$F83)*Stock!N83/100,Stock!N83))</f>
        <v>0</v>
      </c>
      <c r="T83" s="9">
        <f>IF(Stock!O83="",0,IF(ISNUMBER($E83),($E83+$F83)*Stock!O83/100,Stock!O83))</f>
        <v>0</v>
      </c>
      <c r="U83" s="9">
        <f>IF(Stock!P83="",0,IF(ISNUMBER($E83),($E83+$F83)*Stock!P83/100,Stock!P83))</f>
        <v>0</v>
      </c>
      <c r="V83" s="9">
        <f>IF(Stock!Q83="",0,IF(ISNUMBER($E83),($E83+$F83)*Stock!Q83/100,Stock!Q83))</f>
        <v>0</v>
      </c>
      <c r="W83" s="9">
        <f>IF(Stock!R83="",0,IF(ISNUMBER($E83),($E83+$F83)*Stock!R83/100,Stock!R83))</f>
        <v>0</v>
      </c>
      <c r="X83" s="9">
        <f>IF(Stock!S83="",0,IF(ISNUMBER($E83),($E83+$F83)*Stock!S83/100,Stock!S83))</f>
        <v>0</v>
      </c>
      <c r="Y83" s="9">
        <f>IF(Stock!T83="",0,IF(ISNUMBER($E83),($E83+$F83)*Stock!T83/100,Stock!T83))</f>
        <v>0</v>
      </c>
      <c r="Z83" s="9">
        <f>IF(Stock!U83="",0,IF(ISNUMBER($E83),($E83+$F83)*Stock!U83/100,Stock!U83))</f>
        <v>0</v>
      </c>
      <c r="AA83" s="9">
        <f>IF(Stock!V83="",0,IF(ISNUMBER($E83),($E83+$F83)*Stock!V83/100,Stock!V83))</f>
        <v>0</v>
      </c>
      <c r="AB83" s="9">
        <f>IF(Stock!W83="",0,IF(ISNUMBER($E83),($E83+$F83)*Stock!W83/100,Stock!W83))</f>
        <v>0</v>
      </c>
      <c r="AC83" s="9">
        <f>IF(Stock!X83="",0,IF(ISNUMBER($E83),($E83+$F83)*Stock!X83/100,Stock!X83))</f>
        <v>0</v>
      </c>
      <c r="AD83" s="9">
        <f>IF(Stock!Y83="",0,IF(ISNUMBER($E83),($E83+$F83)*Stock!Y83/100,Stock!Y83))</f>
        <v>0</v>
      </c>
      <c r="AE83" s="9">
        <f>IF(Stock!Z83="",0,IF(ISNUMBER($E83),($E83+$F83)*Stock!Z83/100,Stock!Z83))</f>
        <v>0</v>
      </c>
      <c r="AF83" s="9">
        <f>IF(Stock!AA83="",0,IF(ISNUMBER($E83),($E83+$F83)*Stock!AA83/100,Stock!AA83))</f>
        <v>0</v>
      </c>
      <c r="AG83" s="9">
        <f>IF(Stock!AB83="",0,IF(ISNUMBER($E83),($E83+$F83)*Stock!AB83/100,Stock!AB83))</f>
        <v>0</v>
      </c>
      <c r="AH83" s="9">
        <f>IF(Stock!AC83="",0,IF(ISNUMBER($E83),($E83+$F83)*Stock!AC83/100,Stock!AC83))</f>
        <v>0</v>
      </c>
      <c r="AI83" s="9">
        <f>IF(Stock!AD83="",0,IF(ISNUMBER($E83),($E83+$F83)*Stock!AD83/100,Stock!AD83))</f>
        <v>0</v>
      </c>
      <c r="AJ83" s="9">
        <f>IF(Stock!AE83="",0,IF(ISNUMBER($E83),($E83+$F83)*Stock!AE83/100,Stock!AE83))</f>
        <v>0</v>
      </c>
      <c r="AK83" s="9">
        <f>IF(Stock!AF83="",0,IF(ISNUMBER($E83),($E83+$F83)*Stock!AF83/100,Stock!AF83))</f>
        <v>0</v>
      </c>
      <c r="AL83" s="9">
        <f>IF(Stock!AG83="",0,IF(ISNUMBER($E83),($E83+$F83)*Stock!AG83/100,Stock!AG83))</f>
        <v>0</v>
      </c>
      <c r="AM83" s="9">
        <f>IF(Stock!AH83="",0,IF(ISNUMBER($E83),($E83+$F83)*Stock!AH83/100,Stock!AH83))</f>
        <v>0</v>
      </c>
      <c r="AN83" s="9">
        <f>IF(Stock!AI83="",0,IF(ISNUMBER($E83),($E83+$F83)*Stock!AI83/100,Stock!AI83))</f>
        <v>0</v>
      </c>
      <c r="AO83" s="9">
        <f>IF(Stock!AJ83="",0,IF(ISNUMBER($E83),($E83+$F83)*Stock!AJ83/100,Stock!AJ83))</f>
        <v>0</v>
      </c>
      <c r="AP83" s="9">
        <f>IF(Stock!AK83="",0,IF(ISNUMBER($E83),($E83+$F83)*Stock!AK83/100,Stock!AK83))</f>
        <v>0</v>
      </c>
      <c r="AQ83" s="9">
        <f>IF(Stock!AL83="",0,IF(ISNUMBER($E83),($E83+$F83)*Stock!AL83/100,Stock!AL83))</f>
        <v>0</v>
      </c>
      <c r="AR83" s="9">
        <f>IF(Stock!AM83="",0,IF(ISNUMBER($E83),($E83+$F83)*Stock!AM83/100,Stock!AM83))</f>
        <v>0</v>
      </c>
      <c r="AS83" s="9">
        <f>IF(Stock!AN83="",0,IF(ISNUMBER($E83),($E83+$F83)*Stock!AN83/100,Stock!AN83))</f>
        <v>0</v>
      </c>
      <c r="AT83" s="9">
        <f>IF(Stock!AO83="",0,IF(ISNUMBER($E83),($E83+$F83)*Stock!AO83/100,Stock!AO83))</f>
        <v>0</v>
      </c>
      <c r="AU83" s="9">
        <f>IF(Stock!AP83="",0,IF(ISNUMBER($E83),($E83+$F83)*Stock!AP83/100,Stock!AP83))</f>
        <v>0</v>
      </c>
      <c r="AV83" s="9">
        <f>IF(Stock!AQ83="",0,IF(ISNUMBER($E83),($E83+$F83)*Stock!AQ83/100,Stock!AQ83))</f>
        <v>0</v>
      </c>
      <c r="AW83" s="9">
        <f>IF(Stock!AR83="",0,IF(ISNUMBER($E83),($E83+$F83)*Stock!AR83/100,Stock!AR83))</f>
        <v>0</v>
      </c>
      <c r="AX83" s="9">
        <f>IF(Stock!AS83="",0,IF(ISNUMBER($E83),($E83+$F83)*Stock!AS83/100,Stock!AS83))</f>
        <v>0</v>
      </c>
      <c r="AY83" s="9">
        <f>IF(Stock!AT83="",0,IF(ISNUMBER($E83),($E83+$F83)*Stock!AT83/100,Stock!AT83))</f>
        <v>0</v>
      </c>
      <c r="AZ83" s="9">
        <f>IF(Stock!AU83="",0,IF(ISNUMBER($E83),($E83+$F83)*Stock!AU83/100,Stock!AU83))</f>
        <v>0</v>
      </c>
      <c r="BA83" s="9">
        <f>IF(Stock!AV83="",0,IF(ISNUMBER($E83),($E83+$F83)*Stock!AV83/100,Stock!AV83))</f>
        <v>0</v>
      </c>
      <c r="BB83" s="9">
        <f>IF(Stock!AW83="",0,IF(ISNUMBER($E83),($E83+$F83)*Stock!AW83/100,Stock!AW83))</f>
        <v>0</v>
      </c>
      <c r="BC83" s="9">
        <f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>IF(Stock!C84="",0,IF(ISNUMBER($E84),($E84+$F84)*Stock!C84/100,Stock!C84))</f>
        <v>0</v>
      </c>
      <c r="I84" s="9">
        <f>IF(Stock!D84="",0,IF(ISNUMBER($E84),($E84+$F84)*Stock!D84/100,Stock!D84))</f>
        <v>0</v>
      </c>
      <c r="J84" s="9">
        <f>IF(Stock!E84="",0,IF(ISNUMBER($E84),($E84+$F84)*Stock!E84/100,Stock!E84))</f>
        <v>0</v>
      </c>
      <c r="K84" s="9">
        <f>IF(Stock!F84="",0,IF(ISNUMBER($E84),($E84+$F84)*Stock!F84/100,Stock!F84))</f>
        <v>0</v>
      </c>
      <c r="L84" s="9">
        <f>IF(Stock!G84="",0,IF(ISNUMBER($E84),($E84+$F84)*Stock!G84/100,Stock!G84))</f>
        <v>0</v>
      </c>
      <c r="M84" s="9">
        <f>IF(Stock!H84="",0,IF(ISNUMBER($E84),($E84+$F84)*Stock!H84/100,Stock!H84))</f>
        <v>0</v>
      </c>
      <c r="N84" s="9">
        <f>IF(Stock!I84="",0,IF(ISNUMBER($E84),($E84+$F84)*Stock!I84/100,Stock!I84))</f>
        <v>0</v>
      </c>
      <c r="O84" s="9">
        <f>IF(Stock!J84="",0,IF(ISNUMBER($E84),($E84+$F84)*Stock!J84/100,Stock!J84))</f>
        <v>0</v>
      </c>
      <c r="P84" s="9">
        <f>IF(Stock!K84="",0,IF(ISNUMBER($E84),($E84+$F84)*Stock!K84/100,Stock!K84))</f>
        <v>0</v>
      </c>
      <c r="Q84" s="9">
        <f>IF(Stock!L84="",0,IF(ISNUMBER($E84),($E84+$F84)*Stock!L84/100,Stock!L84))</f>
        <v>0</v>
      </c>
      <c r="R84" s="9">
        <f>IF(Stock!M84="",0,IF(ISNUMBER($E84),($E84+$F84)*Stock!M84/100,Stock!M84))</f>
        <v>0</v>
      </c>
      <c r="S84" s="9">
        <f>IF(Stock!N84="",0,IF(ISNUMBER($E84),($E84+$F84)*Stock!N84/100,Stock!N84))</f>
        <v>0</v>
      </c>
      <c r="T84" s="9">
        <f>IF(Stock!O84="",0,IF(ISNUMBER($E84),($E84+$F84)*Stock!O84/100,Stock!O84))</f>
        <v>0</v>
      </c>
      <c r="U84" s="9">
        <f>IF(Stock!P84="",0,IF(ISNUMBER($E84),($E84+$F84)*Stock!P84/100,Stock!P84))</f>
        <v>0</v>
      </c>
      <c r="V84" s="9">
        <f>IF(Stock!Q84="",0,IF(ISNUMBER($E84),($E84+$F84)*Stock!Q84/100,Stock!Q84))</f>
        <v>0</v>
      </c>
      <c r="W84" s="9">
        <f>IF(Stock!R84="",0,IF(ISNUMBER($E84),($E84+$F84)*Stock!R84/100,Stock!R84))</f>
        <v>0</v>
      </c>
      <c r="X84" s="9">
        <f>IF(Stock!S84="",0,IF(ISNUMBER($E84),($E84+$F84)*Stock!S84/100,Stock!S84))</f>
        <v>0</v>
      </c>
      <c r="Y84" s="9">
        <f>IF(Stock!T84="",0,IF(ISNUMBER($E84),($E84+$F84)*Stock!T84/100,Stock!T84))</f>
        <v>0</v>
      </c>
      <c r="Z84" s="9">
        <f>IF(Stock!U84="",0,IF(ISNUMBER($E84),($E84+$F84)*Stock!U84/100,Stock!U84))</f>
        <v>0</v>
      </c>
      <c r="AA84" s="9">
        <f>IF(Stock!V84="",0,IF(ISNUMBER($E84),($E84+$F84)*Stock!V84/100,Stock!V84))</f>
        <v>0</v>
      </c>
      <c r="AB84" s="9">
        <f>IF(Stock!W84="",0,IF(ISNUMBER($E84),($E84+$F84)*Stock!W84/100,Stock!W84))</f>
        <v>0</v>
      </c>
      <c r="AC84" s="9">
        <f>IF(Stock!X84="",0,IF(ISNUMBER($E84),($E84+$F84)*Stock!X84/100,Stock!X84))</f>
        <v>0</v>
      </c>
      <c r="AD84" s="9">
        <f>IF(Stock!Y84="",0,IF(ISNUMBER($E84),($E84+$F84)*Stock!Y84/100,Stock!Y84))</f>
        <v>0</v>
      </c>
      <c r="AE84" s="9">
        <f>IF(Stock!Z84="",0,IF(ISNUMBER($E84),($E84+$F84)*Stock!Z84/100,Stock!Z84))</f>
        <v>0</v>
      </c>
      <c r="AF84" s="9">
        <f>IF(Stock!AA84="",0,IF(ISNUMBER($E84),($E84+$F84)*Stock!AA84/100,Stock!AA84))</f>
        <v>0</v>
      </c>
      <c r="AG84" s="9">
        <f>IF(Stock!AB84="",0,IF(ISNUMBER($E84),($E84+$F84)*Stock!AB84/100,Stock!AB84))</f>
        <v>0</v>
      </c>
      <c r="AH84" s="9">
        <f>IF(Stock!AC84="",0,IF(ISNUMBER($E84),($E84+$F84)*Stock!AC84/100,Stock!AC84))</f>
        <v>0</v>
      </c>
      <c r="AI84" s="9">
        <f>IF(Stock!AD84="",0,IF(ISNUMBER($E84),($E84+$F84)*Stock!AD84/100,Stock!AD84))</f>
        <v>0</v>
      </c>
      <c r="AJ84" s="9">
        <f>IF(Stock!AE84="",0,IF(ISNUMBER($E84),($E84+$F84)*Stock!AE84/100,Stock!AE84))</f>
        <v>0</v>
      </c>
      <c r="AK84" s="9">
        <f>IF(Stock!AF84="",0,IF(ISNUMBER($E84),($E84+$F84)*Stock!AF84/100,Stock!AF84))</f>
        <v>0</v>
      </c>
      <c r="AL84" s="9">
        <f>IF(Stock!AG84="",0,IF(ISNUMBER($E84),($E84+$F84)*Stock!AG84/100,Stock!AG84))</f>
        <v>0</v>
      </c>
      <c r="AM84" s="9">
        <f>IF(Stock!AH84="",0,IF(ISNUMBER($E84),($E84+$F84)*Stock!AH84/100,Stock!AH84))</f>
        <v>0</v>
      </c>
      <c r="AN84" s="9">
        <f>IF(Stock!AI84="",0,IF(ISNUMBER($E84),($E84+$F84)*Stock!AI84/100,Stock!AI84))</f>
        <v>0</v>
      </c>
      <c r="AO84" s="9">
        <f>IF(Stock!AJ84="",0,IF(ISNUMBER($E84),($E84+$F84)*Stock!AJ84/100,Stock!AJ84))</f>
        <v>0</v>
      </c>
      <c r="AP84" s="9">
        <f>IF(Stock!AK84="",0,IF(ISNUMBER($E84),($E84+$F84)*Stock!AK84/100,Stock!AK84))</f>
        <v>0</v>
      </c>
      <c r="AQ84" s="9">
        <f>IF(Stock!AL84="",0,IF(ISNUMBER($E84),($E84+$F84)*Stock!AL84/100,Stock!AL84))</f>
        <v>0</v>
      </c>
      <c r="AR84" s="9">
        <f>IF(Stock!AM84="",0,IF(ISNUMBER($E84),($E84+$F84)*Stock!AM84/100,Stock!AM84))</f>
        <v>0</v>
      </c>
      <c r="AS84" s="9">
        <f>IF(Stock!AN84="",0,IF(ISNUMBER($E84),($E84+$F84)*Stock!AN84/100,Stock!AN84))</f>
        <v>0</v>
      </c>
      <c r="AT84" s="9">
        <f>IF(Stock!AO84="",0,IF(ISNUMBER($E84),($E84+$F84)*Stock!AO84/100,Stock!AO84))</f>
        <v>0</v>
      </c>
      <c r="AU84" s="9">
        <f>IF(Stock!AP84="",0,IF(ISNUMBER($E84),($E84+$F84)*Stock!AP84/100,Stock!AP84))</f>
        <v>0</v>
      </c>
      <c r="AV84" s="9">
        <f>IF(Stock!AQ84="",0,IF(ISNUMBER($E84),($E84+$F84)*Stock!AQ84/100,Stock!AQ84))</f>
        <v>0</v>
      </c>
      <c r="AW84" s="9">
        <f>IF(Stock!AR84="",0,IF(ISNUMBER($E84),($E84+$F84)*Stock!AR84/100,Stock!AR84))</f>
        <v>0</v>
      </c>
      <c r="AX84" s="9">
        <f>IF(Stock!AS84="",0,IF(ISNUMBER($E84),($E84+$F84)*Stock!AS84/100,Stock!AS84))</f>
        <v>0</v>
      </c>
      <c r="AY84" s="9">
        <f>IF(Stock!AT84="",0,IF(ISNUMBER($E84),($E84+$F84)*Stock!AT84/100,Stock!AT84))</f>
        <v>0</v>
      </c>
      <c r="AZ84" s="9">
        <f>IF(Stock!AU84="",0,IF(ISNUMBER($E84),($E84+$F84)*Stock!AU84/100,Stock!AU84))</f>
        <v>0</v>
      </c>
      <c r="BA84" s="9">
        <f>IF(Stock!AV84="",0,IF(ISNUMBER($E84),($E84+$F84)*Stock!AV84/100,Stock!AV84))</f>
        <v>0</v>
      </c>
      <c r="BB84" s="9">
        <f>IF(Stock!AW84="",0,IF(ISNUMBER($E84),($E84+$F84)*Stock!AW84/100,Stock!AW84))</f>
        <v>0</v>
      </c>
      <c r="BC84" s="9">
        <f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>IF(Stock!C85="",0,IF(ISNUMBER($E85),($E85+$F85)*Stock!C85/100,Stock!C85))</f>
        <v>0</v>
      </c>
      <c r="I85" s="9">
        <f>IF(Stock!D85="",0,IF(ISNUMBER($E85),($E85+$F85)*Stock!D85/100,Stock!D85))</f>
        <v>0</v>
      </c>
      <c r="J85" s="9">
        <f>IF(Stock!E85="",0,IF(ISNUMBER($E85),($E85+$F85)*Stock!E85/100,Stock!E85))</f>
        <v>0</v>
      </c>
      <c r="K85" s="9">
        <f>IF(Stock!F85="",0,IF(ISNUMBER($E85),($E85+$F85)*Stock!F85/100,Stock!F85))</f>
        <v>0</v>
      </c>
      <c r="L85" s="9">
        <f>IF(Stock!G85="",0,IF(ISNUMBER($E85),($E85+$F85)*Stock!G85/100,Stock!G85))</f>
        <v>0</v>
      </c>
      <c r="M85" s="9">
        <f>IF(Stock!H85="",0,IF(ISNUMBER($E85),($E85+$F85)*Stock!H85/100,Stock!H85))</f>
        <v>0</v>
      </c>
      <c r="N85" s="9">
        <f>IF(Stock!I85="",0,IF(ISNUMBER($E85),($E85+$F85)*Stock!I85/100,Stock!I85))</f>
        <v>0</v>
      </c>
      <c r="O85" s="9">
        <f>IF(Stock!J85="",0,IF(ISNUMBER($E85),($E85+$F85)*Stock!J85/100,Stock!J85))</f>
        <v>0</v>
      </c>
      <c r="P85" s="9">
        <f>IF(Stock!K85="",0,IF(ISNUMBER($E85),($E85+$F85)*Stock!K85/100,Stock!K85))</f>
        <v>0</v>
      </c>
      <c r="Q85" s="9">
        <f>IF(Stock!L85="",0,IF(ISNUMBER($E85),($E85+$F85)*Stock!L85/100,Stock!L85))</f>
        <v>0</v>
      </c>
      <c r="R85" s="9">
        <f>IF(Stock!M85="",0,IF(ISNUMBER($E85),($E85+$F85)*Stock!M85/100,Stock!M85))</f>
        <v>0</v>
      </c>
      <c r="S85" s="9">
        <f>IF(Stock!N85="",0,IF(ISNUMBER($E85),($E85+$F85)*Stock!N85/100,Stock!N85))</f>
        <v>0</v>
      </c>
      <c r="T85" s="9">
        <f>IF(Stock!O85="",0,IF(ISNUMBER($E85),($E85+$F85)*Stock!O85/100,Stock!O85))</f>
        <v>0</v>
      </c>
      <c r="U85" s="9">
        <f>IF(Stock!P85="",0,IF(ISNUMBER($E85),($E85+$F85)*Stock!P85/100,Stock!P85))</f>
        <v>0</v>
      </c>
      <c r="V85" s="9">
        <f>IF(Stock!Q85="",0,IF(ISNUMBER($E85),($E85+$F85)*Stock!Q85/100,Stock!Q85))</f>
        <v>0</v>
      </c>
      <c r="W85" s="9">
        <f>IF(Stock!R85="",0,IF(ISNUMBER($E85),($E85+$F85)*Stock!R85/100,Stock!R85))</f>
        <v>0</v>
      </c>
      <c r="X85" s="9">
        <f>IF(Stock!S85="",0,IF(ISNUMBER($E85),($E85+$F85)*Stock!S85/100,Stock!S85))</f>
        <v>0</v>
      </c>
      <c r="Y85" s="9">
        <f>IF(Stock!T85="",0,IF(ISNUMBER($E85),($E85+$F85)*Stock!T85/100,Stock!T85))</f>
        <v>0</v>
      </c>
      <c r="Z85" s="9">
        <f>IF(Stock!U85="",0,IF(ISNUMBER($E85),($E85+$F85)*Stock!U85/100,Stock!U85))</f>
        <v>0</v>
      </c>
      <c r="AA85" s="9">
        <f>IF(Stock!V85="",0,IF(ISNUMBER($E85),($E85+$F85)*Stock!V85/100,Stock!V85))</f>
        <v>0</v>
      </c>
      <c r="AB85" s="9">
        <f>IF(Stock!W85="",0,IF(ISNUMBER($E85),($E85+$F85)*Stock!W85/100,Stock!W85))</f>
        <v>0</v>
      </c>
      <c r="AC85" s="9">
        <f>IF(Stock!X85="",0,IF(ISNUMBER($E85),($E85+$F85)*Stock!X85/100,Stock!X85))</f>
        <v>0</v>
      </c>
      <c r="AD85" s="9">
        <f>IF(Stock!Y85="",0,IF(ISNUMBER($E85),($E85+$F85)*Stock!Y85/100,Stock!Y85))</f>
        <v>0</v>
      </c>
      <c r="AE85" s="9">
        <f>IF(Stock!Z85="",0,IF(ISNUMBER($E85),($E85+$F85)*Stock!Z85/100,Stock!Z85))</f>
        <v>0</v>
      </c>
      <c r="AF85" s="9">
        <f>IF(Stock!AA85="",0,IF(ISNUMBER($E85),($E85+$F85)*Stock!AA85/100,Stock!AA85))</f>
        <v>0</v>
      </c>
      <c r="AG85" s="9">
        <f>IF(Stock!AB85="",0,IF(ISNUMBER($E85),($E85+$F85)*Stock!AB85/100,Stock!AB85))</f>
        <v>0</v>
      </c>
      <c r="AH85" s="9">
        <f>IF(Stock!AC85="",0,IF(ISNUMBER($E85),($E85+$F85)*Stock!AC85/100,Stock!AC85))</f>
        <v>0</v>
      </c>
      <c r="AI85" s="9">
        <f>IF(Stock!AD85="",0,IF(ISNUMBER($E85),($E85+$F85)*Stock!AD85/100,Stock!AD85))</f>
        <v>0</v>
      </c>
      <c r="AJ85" s="9">
        <f>IF(Stock!AE85="",0,IF(ISNUMBER($E85),($E85+$F85)*Stock!AE85/100,Stock!AE85))</f>
        <v>0</v>
      </c>
      <c r="AK85" s="9">
        <f>IF(Stock!AF85="",0,IF(ISNUMBER($E85),($E85+$F85)*Stock!AF85/100,Stock!AF85))</f>
        <v>0</v>
      </c>
      <c r="AL85" s="9">
        <f>IF(Stock!AG85="",0,IF(ISNUMBER($E85),($E85+$F85)*Stock!AG85/100,Stock!AG85))</f>
        <v>0</v>
      </c>
      <c r="AM85" s="9">
        <f>IF(Stock!AH85="",0,IF(ISNUMBER($E85),($E85+$F85)*Stock!AH85/100,Stock!AH85))</f>
        <v>0</v>
      </c>
      <c r="AN85" s="9">
        <f>IF(Stock!AI85="",0,IF(ISNUMBER($E85),($E85+$F85)*Stock!AI85/100,Stock!AI85))</f>
        <v>0</v>
      </c>
      <c r="AO85" s="9">
        <f>IF(Stock!AJ85="",0,IF(ISNUMBER($E85),($E85+$F85)*Stock!AJ85/100,Stock!AJ85))</f>
        <v>0</v>
      </c>
      <c r="AP85" s="9">
        <f>IF(Stock!AK85="",0,IF(ISNUMBER($E85),($E85+$F85)*Stock!AK85/100,Stock!AK85))</f>
        <v>0</v>
      </c>
      <c r="AQ85" s="9">
        <f>IF(Stock!AL85="",0,IF(ISNUMBER($E85),($E85+$F85)*Stock!AL85/100,Stock!AL85))</f>
        <v>0</v>
      </c>
      <c r="AR85" s="9">
        <f>IF(Stock!AM85="",0,IF(ISNUMBER($E85),($E85+$F85)*Stock!AM85/100,Stock!AM85))</f>
        <v>0</v>
      </c>
      <c r="AS85" s="9">
        <f>IF(Stock!AN85="",0,IF(ISNUMBER($E85),($E85+$F85)*Stock!AN85/100,Stock!AN85))</f>
        <v>0</v>
      </c>
      <c r="AT85" s="9">
        <f>IF(Stock!AO85="",0,IF(ISNUMBER($E85),($E85+$F85)*Stock!AO85/100,Stock!AO85))</f>
        <v>0</v>
      </c>
      <c r="AU85" s="9">
        <f>IF(Stock!AP85="",0,IF(ISNUMBER($E85),($E85+$F85)*Stock!AP85/100,Stock!AP85))</f>
        <v>0</v>
      </c>
      <c r="AV85" s="9">
        <f>IF(Stock!AQ85="",0,IF(ISNUMBER($E85),($E85+$F85)*Stock!AQ85/100,Stock!AQ85))</f>
        <v>0</v>
      </c>
      <c r="AW85" s="9">
        <f>IF(Stock!AR85="",0,IF(ISNUMBER($E85),($E85+$F85)*Stock!AR85/100,Stock!AR85))</f>
        <v>0</v>
      </c>
      <c r="AX85" s="9">
        <f>IF(Stock!AS85="",0,IF(ISNUMBER($E85),($E85+$F85)*Stock!AS85/100,Stock!AS85))</f>
        <v>0</v>
      </c>
      <c r="AY85" s="9">
        <f>IF(Stock!AT85="",0,IF(ISNUMBER($E85),($E85+$F85)*Stock!AT85/100,Stock!AT85))</f>
        <v>0</v>
      </c>
      <c r="AZ85" s="9">
        <f>IF(Stock!AU85="",0,IF(ISNUMBER($E85),($E85+$F85)*Stock!AU85/100,Stock!AU85))</f>
        <v>0</v>
      </c>
      <c r="BA85" s="9">
        <f>IF(Stock!AV85="",0,IF(ISNUMBER($E85),($E85+$F85)*Stock!AV85/100,Stock!AV85))</f>
        <v>0</v>
      </c>
      <c r="BB85" s="9">
        <f>IF(Stock!AW85="",0,IF(ISNUMBER($E85),($E85+$F85)*Stock!AW85/100,Stock!AW85))</f>
        <v>0</v>
      </c>
      <c r="BC85" s="9">
        <f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>IF(Stock!C86="",0,IF(ISNUMBER($E86),($E86+$F86)*Stock!C86/100,Stock!C86))</f>
        <v>0</v>
      </c>
      <c r="I86" s="9">
        <f>IF(Stock!D86="",0,IF(ISNUMBER($E86),($E86+$F86)*Stock!D86/100,Stock!D86))</f>
        <v>0</v>
      </c>
      <c r="J86" s="9">
        <f>IF(Stock!E86="",0,IF(ISNUMBER($E86),($E86+$F86)*Stock!E86/100,Stock!E86))</f>
        <v>0</v>
      </c>
      <c r="K86" s="9">
        <f>IF(Stock!F86="",0,IF(ISNUMBER($E86),($E86+$F86)*Stock!F86/100,Stock!F86))</f>
        <v>0</v>
      </c>
      <c r="L86" s="9">
        <f>IF(Stock!G86="",0,IF(ISNUMBER($E86),($E86+$F86)*Stock!G86/100,Stock!G86))</f>
        <v>0</v>
      </c>
      <c r="M86" s="9">
        <f>IF(Stock!H86="",0,IF(ISNUMBER($E86),($E86+$F86)*Stock!H86/100,Stock!H86))</f>
        <v>0</v>
      </c>
      <c r="N86" s="9">
        <f>IF(Stock!I86="",0,IF(ISNUMBER($E86),($E86+$F86)*Stock!I86/100,Stock!I86))</f>
        <v>0</v>
      </c>
      <c r="O86" s="9">
        <f>IF(Stock!J86="",0,IF(ISNUMBER($E86),($E86+$F86)*Stock!J86/100,Stock!J86))</f>
        <v>0</v>
      </c>
      <c r="P86" s="9">
        <f>IF(Stock!K86="",0,IF(ISNUMBER($E86),($E86+$F86)*Stock!K86/100,Stock!K86))</f>
        <v>0</v>
      </c>
      <c r="Q86" s="9">
        <f>IF(Stock!L86="",0,IF(ISNUMBER($E86),($E86+$F86)*Stock!L86/100,Stock!L86))</f>
        <v>0</v>
      </c>
      <c r="R86" s="9">
        <f>IF(Stock!M86="",0,IF(ISNUMBER($E86),($E86+$F86)*Stock!M86/100,Stock!M86))</f>
        <v>0</v>
      </c>
      <c r="S86" s="9">
        <f>IF(Stock!N86="",0,IF(ISNUMBER($E86),($E86+$F86)*Stock!N86/100,Stock!N86))</f>
        <v>0</v>
      </c>
      <c r="T86" s="9">
        <f>IF(Stock!O86="",0,IF(ISNUMBER($E86),($E86+$F86)*Stock!O86/100,Stock!O86))</f>
        <v>0</v>
      </c>
      <c r="U86" s="9">
        <f>IF(Stock!P86="",0,IF(ISNUMBER($E86),($E86+$F86)*Stock!P86/100,Stock!P86))</f>
        <v>0</v>
      </c>
      <c r="V86" s="9">
        <f>IF(Stock!Q86="",0,IF(ISNUMBER($E86),($E86+$F86)*Stock!Q86/100,Stock!Q86))</f>
        <v>0</v>
      </c>
      <c r="W86" s="9">
        <f>IF(Stock!R86="",0,IF(ISNUMBER($E86),($E86+$F86)*Stock!R86/100,Stock!R86))</f>
        <v>0</v>
      </c>
      <c r="X86" s="9">
        <f>IF(Stock!S86="",0,IF(ISNUMBER($E86),($E86+$F86)*Stock!S86/100,Stock!S86))</f>
        <v>0</v>
      </c>
      <c r="Y86" s="9">
        <f>IF(Stock!T86="",0,IF(ISNUMBER($E86),($E86+$F86)*Stock!T86/100,Stock!T86))</f>
        <v>0</v>
      </c>
      <c r="Z86" s="9">
        <f>IF(Stock!U86="",0,IF(ISNUMBER($E86),($E86+$F86)*Stock!U86/100,Stock!U86))</f>
        <v>0</v>
      </c>
      <c r="AA86" s="9">
        <f>IF(Stock!V86="",0,IF(ISNUMBER($E86),($E86+$F86)*Stock!V86/100,Stock!V86))</f>
        <v>0</v>
      </c>
      <c r="AB86" s="9">
        <f>IF(Stock!W86="",0,IF(ISNUMBER($E86),($E86+$F86)*Stock!W86/100,Stock!W86))</f>
        <v>0</v>
      </c>
      <c r="AC86" s="9">
        <f>IF(Stock!X86="",0,IF(ISNUMBER($E86),($E86+$F86)*Stock!X86/100,Stock!X86))</f>
        <v>0</v>
      </c>
      <c r="AD86" s="9">
        <f>IF(Stock!Y86="",0,IF(ISNUMBER($E86),($E86+$F86)*Stock!Y86/100,Stock!Y86))</f>
        <v>0</v>
      </c>
      <c r="AE86" s="9">
        <f>IF(Stock!Z86="",0,IF(ISNUMBER($E86),($E86+$F86)*Stock!Z86/100,Stock!Z86))</f>
        <v>0</v>
      </c>
      <c r="AF86" s="9">
        <f>IF(Stock!AA86="",0,IF(ISNUMBER($E86),($E86+$F86)*Stock!AA86/100,Stock!AA86))</f>
        <v>0</v>
      </c>
      <c r="AG86" s="9">
        <f>IF(Stock!AB86="",0,IF(ISNUMBER($E86),($E86+$F86)*Stock!AB86/100,Stock!AB86))</f>
        <v>0</v>
      </c>
      <c r="AH86" s="9">
        <f>IF(Stock!AC86="",0,IF(ISNUMBER($E86),($E86+$F86)*Stock!AC86/100,Stock!AC86))</f>
        <v>0</v>
      </c>
      <c r="AI86" s="9">
        <f>IF(Stock!AD86="",0,IF(ISNUMBER($E86),($E86+$F86)*Stock!AD86/100,Stock!AD86))</f>
        <v>0</v>
      </c>
      <c r="AJ86" s="9">
        <f>IF(Stock!AE86="",0,IF(ISNUMBER($E86),($E86+$F86)*Stock!AE86/100,Stock!AE86))</f>
        <v>0</v>
      </c>
      <c r="AK86" s="9">
        <f>IF(Stock!AF86="",0,IF(ISNUMBER($E86),($E86+$F86)*Stock!AF86/100,Stock!AF86))</f>
        <v>0</v>
      </c>
      <c r="AL86" s="9">
        <f>IF(Stock!AG86="",0,IF(ISNUMBER($E86),($E86+$F86)*Stock!AG86/100,Stock!AG86))</f>
        <v>0</v>
      </c>
      <c r="AM86" s="9">
        <f>IF(Stock!AH86="",0,IF(ISNUMBER($E86),($E86+$F86)*Stock!AH86/100,Stock!AH86))</f>
        <v>0</v>
      </c>
      <c r="AN86" s="9">
        <f>IF(Stock!AI86="",0,IF(ISNUMBER($E86),($E86+$F86)*Stock!AI86/100,Stock!AI86))</f>
        <v>0</v>
      </c>
      <c r="AO86" s="9">
        <f>IF(Stock!AJ86="",0,IF(ISNUMBER($E86),($E86+$F86)*Stock!AJ86/100,Stock!AJ86))</f>
        <v>0</v>
      </c>
      <c r="AP86" s="9">
        <f>IF(Stock!AK86="",0,IF(ISNUMBER($E86),($E86+$F86)*Stock!AK86/100,Stock!AK86))</f>
        <v>0</v>
      </c>
      <c r="AQ86" s="9">
        <f>IF(Stock!AL86="",0,IF(ISNUMBER($E86),($E86+$F86)*Stock!AL86/100,Stock!AL86))</f>
        <v>0</v>
      </c>
      <c r="AR86" s="9">
        <f>IF(Stock!AM86="",0,IF(ISNUMBER($E86),($E86+$F86)*Stock!AM86/100,Stock!AM86))</f>
        <v>0</v>
      </c>
      <c r="AS86" s="9">
        <f>IF(Stock!AN86="",0,IF(ISNUMBER($E86),($E86+$F86)*Stock!AN86/100,Stock!AN86))</f>
        <v>0</v>
      </c>
      <c r="AT86" s="9">
        <f>IF(Stock!AO86="",0,IF(ISNUMBER($E86),($E86+$F86)*Stock!AO86/100,Stock!AO86))</f>
        <v>0</v>
      </c>
      <c r="AU86" s="9">
        <f>IF(Stock!AP86="",0,IF(ISNUMBER($E86),($E86+$F86)*Stock!AP86/100,Stock!AP86))</f>
        <v>0</v>
      </c>
      <c r="AV86" s="9">
        <f>IF(Stock!AQ86="",0,IF(ISNUMBER($E86),($E86+$F86)*Stock!AQ86/100,Stock!AQ86))</f>
        <v>0</v>
      </c>
      <c r="AW86" s="9">
        <f>IF(Stock!AR86="",0,IF(ISNUMBER($E86),($E86+$F86)*Stock!AR86/100,Stock!AR86))</f>
        <v>0</v>
      </c>
      <c r="AX86" s="9">
        <f>IF(Stock!AS86="",0,IF(ISNUMBER($E86),($E86+$F86)*Stock!AS86/100,Stock!AS86))</f>
        <v>0</v>
      </c>
      <c r="AY86" s="9">
        <f>IF(Stock!AT86="",0,IF(ISNUMBER($E86),($E86+$F86)*Stock!AT86/100,Stock!AT86))</f>
        <v>0</v>
      </c>
      <c r="AZ86" s="9">
        <f>IF(Stock!AU86="",0,IF(ISNUMBER($E86),($E86+$F86)*Stock!AU86/100,Stock!AU86))</f>
        <v>0</v>
      </c>
      <c r="BA86" s="9">
        <f>IF(Stock!AV86="",0,IF(ISNUMBER($E86),($E86+$F86)*Stock!AV86/100,Stock!AV86))</f>
        <v>0</v>
      </c>
      <c r="BB86" s="9">
        <f>IF(Stock!AW86="",0,IF(ISNUMBER($E86),($E86+$F86)*Stock!AW86/100,Stock!AW86))</f>
        <v>0</v>
      </c>
      <c r="BC86" s="9">
        <f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>IF(Stock!C87="",0,IF(ISNUMBER($E87),($E87+$F87)*Stock!C87/100,Stock!C87))</f>
        <v>0</v>
      </c>
      <c r="I87" s="9">
        <f>IF(Stock!D87="",0,IF(ISNUMBER($E87),($E87+$F87)*Stock!D87/100,Stock!D87))</f>
        <v>0</v>
      </c>
      <c r="J87" s="9">
        <f>IF(Stock!E87="",0,IF(ISNUMBER($E87),($E87+$F87)*Stock!E87/100,Stock!E87))</f>
        <v>0</v>
      </c>
      <c r="K87" s="9">
        <f>IF(Stock!F87="",0,IF(ISNUMBER($E87),($E87+$F87)*Stock!F87/100,Stock!F87))</f>
        <v>0</v>
      </c>
      <c r="L87" s="9">
        <f>IF(Stock!G87="",0,IF(ISNUMBER($E87),($E87+$F87)*Stock!G87/100,Stock!G87))</f>
        <v>0</v>
      </c>
      <c r="M87" s="9">
        <f>IF(Stock!H87="",0,IF(ISNUMBER($E87),($E87+$F87)*Stock!H87/100,Stock!H87))</f>
        <v>0</v>
      </c>
      <c r="N87" s="9">
        <f>IF(Stock!I87="",0,IF(ISNUMBER($E87),($E87+$F87)*Stock!I87/100,Stock!I87))</f>
        <v>0</v>
      </c>
      <c r="O87" s="9">
        <f>IF(Stock!J87="",0,IF(ISNUMBER($E87),($E87+$F87)*Stock!J87/100,Stock!J87))</f>
        <v>0</v>
      </c>
      <c r="P87" s="9">
        <f>IF(Stock!K87="",0,IF(ISNUMBER($E87),($E87+$F87)*Stock!K87/100,Stock!K87))</f>
        <v>0</v>
      </c>
      <c r="Q87" s="9">
        <f>IF(Stock!L87="",0,IF(ISNUMBER($E87),($E87+$F87)*Stock!L87/100,Stock!L87))</f>
        <v>0</v>
      </c>
      <c r="R87" s="9">
        <f>IF(Stock!M87="",0,IF(ISNUMBER($E87),($E87+$F87)*Stock!M87/100,Stock!M87))</f>
        <v>0</v>
      </c>
      <c r="S87" s="9">
        <f>IF(Stock!N87="",0,IF(ISNUMBER($E87),($E87+$F87)*Stock!N87/100,Stock!N87))</f>
        <v>0</v>
      </c>
      <c r="T87" s="9">
        <f>IF(Stock!O87="",0,IF(ISNUMBER($E87),($E87+$F87)*Stock!O87/100,Stock!O87))</f>
        <v>0</v>
      </c>
      <c r="U87" s="9">
        <f>IF(Stock!P87="",0,IF(ISNUMBER($E87),($E87+$F87)*Stock!P87/100,Stock!P87))</f>
        <v>0</v>
      </c>
      <c r="V87" s="9">
        <f>IF(Stock!Q87="",0,IF(ISNUMBER($E87),($E87+$F87)*Stock!Q87/100,Stock!Q87))</f>
        <v>0</v>
      </c>
      <c r="W87" s="9">
        <f>IF(Stock!R87="",0,IF(ISNUMBER($E87),($E87+$F87)*Stock!R87/100,Stock!R87))</f>
        <v>0</v>
      </c>
      <c r="X87" s="9">
        <f>IF(Stock!S87="",0,IF(ISNUMBER($E87),($E87+$F87)*Stock!S87/100,Stock!S87))</f>
        <v>0</v>
      </c>
      <c r="Y87" s="9">
        <f>IF(Stock!T87="",0,IF(ISNUMBER($E87),($E87+$F87)*Stock!T87/100,Stock!T87))</f>
        <v>0</v>
      </c>
      <c r="Z87" s="9">
        <f>IF(Stock!U87="",0,IF(ISNUMBER($E87),($E87+$F87)*Stock!U87/100,Stock!U87))</f>
        <v>0</v>
      </c>
      <c r="AA87" s="9">
        <f>IF(Stock!V87="",0,IF(ISNUMBER($E87),($E87+$F87)*Stock!V87/100,Stock!V87))</f>
        <v>0</v>
      </c>
      <c r="AB87" s="9">
        <f>IF(Stock!W87="",0,IF(ISNUMBER($E87),($E87+$F87)*Stock!W87/100,Stock!W87))</f>
        <v>0</v>
      </c>
      <c r="AC87" s="9">
        <f>IF(Stock!X87="",0,IF(ISNUMBER($E87),($E87+$F87)*Stock!X87/100,Stock!X87))</f>
        <v>0</v>
      </c>
      <c r="AD87" s="9">
        <f>IF(Stock!Y87="",0,IF(ISNUMBER($E87),($E87+$F87)*Stock!Y87/100,Stock!Y87))</f>
        <v>0</v>
      </c>
      <c r="AE87" s="9">
        <f>IF(Stock!Z87="",0,IF(ISNUMBER($E87),($E87+$F87)*Stock!Z87/100,Stock!Z87))</f>
        <v>0</v>
      </c>
      <c r="AF87" s="9">
        <f>IF(Stock!AA87="",0,IF(ISNUMBER($E87),($E87+$F87)*Stock!AA87/100,Stock!AA87))</f>
        <v>0</v>
      </c>
      <c r="AG87" s="9">
        <f>IF(Stock!AB87="",0,IF(ISNUMBER($E87),($E87+$F87)*Stock!AB87/100,Stock!AB87))</f>
        <v>0</v>
      </c>
      <c r="AH87" s="9">
        <f>IF(Stock!AC87="",0,IF(ISNUMBER($E87),($E87+$F87)*Stock!AC87/100,Stock!AC87))</f>
        <v>0</v>
      </c>
      <c r="AI87" s="9">
        <f>IF(Stock!AD87="",0,IF(ISNUMBER($E87),($E87+$F87)*Stock!AD87/100,Stock!AD87))</f>
        <v>0</v>
      </c>
      <c r="AJ87" s="9">
        <f>IF(Stock!AE87="",0,IF(ISNUMBER($E87),($E87+$F87)*Stock!AE87/100,Stock!AE87))</f>
        <v>0</v>
      </c>
      <c r="AK87" s="9">
        <f>IF(Stock!AF87="",0,IF(ISNUMBER($E87),($E87+$F87)*Stock!AF87/100,Stock!AF87))</f>
        <v>0</v>
      </c>
      <c r="AL87" s="9">
        <f>IF(Stock!AG87="",0,IF(ISNUMBER($E87),($E87+$F87)*Stock!AG87/100,Stock!AG87))</f>
        <v>0</v>
      </c>
      <c r="AM87" s="9">
        <f>IF(Stock!AH87="",0,IF(ISNUMBER($E87),($E87+$F87)*Stock!AH87/100,Stock!AH87))</f>
        <v>0</v>
      </c>
      <c r="AN87" s="9">
        <f>IF(Stock!AI87="",0,IF(ISNUMBER($E87),($E87+$F87)*Stock!AI87/100,Stock!AI87))</f>
        <v>0</v>
      </c>
      <c r="AO87" s="9">
        <f>IF(Stock!AJ87="",0,IF(ISNUMBER($E87),($E87+$F87)*Stock!AJ87/100,Stock!AJ87))</f>
        <v>0</v>
      </c>
      <c r="AP87" s="9">
        <f>IF(Stock!AK87="",0,IF(ISNUMBER($E87),($E87+$F87)*Stock!AK87/100,Stock!AK87))</f>
        <v>0</v>
      </c>
      <c r="AQ87" s="9">
        <f>IF(Stock!AL87="",0,IF(ISNUMBER($E87),($E87+$F87)*Stock!AL87/100,Stock!AL87))</f>
        <v>0</v>
      </c>
      <c r="AR87" s="9">
        <f>IF(Stock!AM87="",0,IF(ISNUMBER($E87),($E87+$F87)*Stock!AM87/100,Stock!AM87))</f>
        <v>0</v>
      </c>
      <c r="AS87" s="9">
        <f>IF(Stock!AN87="",0,IF(ISNUMBER($E87),($E87+$F87)*Stock!AN87/100,Stock!AN87))</f>
        <v>0</v>
      </c>
      <c r="AT87" s="9">
        <f>IF(Stock!AO87="",0,IF(ISNUMBER($E87),($E87+$F87)*Stock!AO87/100,Stock!AO87))</f>
        <v>0</v>
      </c>
      <c r="AU87" s="9">
        <f>IF(Stock!AP87="",0,IF(ISNUMBER($E87),($E87+$F87)*Stock!AP87/100,Stock!AP87))</f>
        <v>0</v>
      </c>
      <c r="AV87" s="9">
        <f>IF(Stock!AQ87="",0,IF(ISNUMBER($E87),($E87+$F87)*Stock!AQ87/100,Stock!AQ87))</f>
        <v>0</v>
      </c>
      <c r="AW87" s="9">
        <f>IF(Stock!AR87="",0,IF(ISNUMBER($E87),($E87+$F87)*Stock!AR87/100,Stock!AR87))</f>
        <v>0</v>
      </c>
      <c r="AX87" s="9">
        <f>IF(Stock!AS87="",0,IF(ISNUMBER($E87),($E87+$F87)*Stock!AS87/100,Stock!AS87))</f>
        <v>0</v>
      </c>
      <c r="AY87" s="9">
        <f>IF(Stock!AT87="",0,IF(ISNUMBER($E87),($E87+$F87)*Stock!AT87/100,Stock!AT87))</f>
        <v>0</v>
      </c>
      <c r="AZ87" s="9">
        <f>IF(Stock!AU87="",0,IF(ISNUMBER($E87),($E87+$F87)*Stock!AU87/100,Stock!AU87))</f>
        <v>0</v>
      </c>
      <c r="BA87" s="9">
        <f>IF(Stock!AV87="",0,IF(ISNUMBER($E87),($E87+$F87)*Stock!AV87/100,Stock!AV87))</f>
        <v>0</v>
      </c>
      <c r="BB87" s="9">
        <f>IF(Stock!AW87="",0,IF(ISNUMBER($E87),($E87+$F87)*Stock!AW87/100,Stock!AW87))</f>
        <v>0</v>
      </c>
      <c r="BC87" s="9">
        <f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>IF(Stock!C88="",0,IF(ISNUMBER($E88),($E88+$F88)*Stock!C88/100,Stock!C88))</f>
        <v>0</v>
      </c>
      <c r="I88" s="9">
        <f>IF(Stock!D88="",0,IF(ISNUMBER($E88),($E88+$F88)*Stock!D88/100,Stock!D88))</f>
        <v>0</v>
      </c>
      <c r="J88" s="9">
        <f>IF(Stock!E88="",0,IF(ISNUMBER($E88),($E88+$F88)*Stock!E88/100,Stock!E88))</f>
        <v>0</v>
      </c>
      <c r="K88" s="9">
        <f>IF(Stock!F88="",0,IF(ISNUMBER($E88),($E88+$F88)*Stock!F88/100,Stock!F88))</f>
        <v>0</v>
      </c>
      <c r="L88" s="9">
        <f>IF(Stock!G88="",0,IF(ISNUMBER($E88),($E88+$F88)*Stock!G88/100,Stock!G88))</f>
        <v>0</v>
      </c>
      <c r="M88" s="9">
        <f>IF(Stock!H88="",0,IF(ISNUMBER($E88),($E88+$F88)*Stock!H88/100,Stock!H88))</f>
        <v>0</v>
      </c>
      <c r="N88" s="9">
        <f>IF(Stock!I88="",0,IF(ISNUMBER($E88),($E88+$F88)*Stock!I88/100,Stock!I88))</f>
        <v>0</v>
      </c>
      <c r="O88" s="9">
        <f>IF(Stock!J88="",0,IF(ISNUMBER($E88),($E88+$F88)*Stock!J88/100,Stock!J88))</f>
        <v>0</v>
      </c>
      <c r="P88" s="9">
        <f>IF(Stock!K88="",0,IF(ISNUMBER($E88),($E88+$F88)*Stock!K88/100,Stock!K88))</f>
        <v>0</v>
      </c>
      <c r="Q88" s="9">
        <f>IF(Stock!L88="",0,IF(ISNUMBER($E88),($E88+$F88)*Stock!L88/100,Stock!L88))</f>
        <v>0</v>
      </c>
      <c r="R88" s="9">
        <f>IF(Stock!M88="",0,IF(ISNUMBER($E88),($E88+$F88)*Stock!M88/100,Stock!M88))</f>
        <v>0</v>
      </c>
      <c r="S88" s="9">
        <f>IF(Stock!N88="",0,IF(ISNUMBER($E88),($E88+$F88)*Stock!N88/100,Stock!N88))</f>
        <v>0</v>
      </c>
      <c r="T88" s="9">
        <f>IF(Stock!O88="",0,IF(ISNUMBER($E88),($E88+$F88)*Stock!O88/100,Stock!O88))</f>
        <v>0</v>
      </c>
      <c r="U88" s="9">
        <f>IF(Stock!P88="",0,IF(ISNUMBER($E88),($E88+$F88)*Stock!P88/100,Stock!P88))</f>
        <v>0</v>
      </c>
      <c r="V88" s="9">
        <f>IF(Stock!Q88="",0,IF(ISNUMBER($E88),($E88+$F88)*Stock!Q88/100,Stock!Q88))</f>
        <v>0</v>
      </c>
      <c r="W88" s="9">
        <f>IF(Stock!R88="",0,IF(ISNUMBER($E88),($E88+$F88)*Stock!R88/100,Stock!R88))</f>
        <v>0</v>
      </c>
      <c r="X88" s="9">
        <f>IF(Stock!S88="",0,IF(ISNUMBER($E88),($E88+$F88)*Stock!S88/100,Stock!S88))</f>
        <v>0</v>
      </c>
      <c r="Y88" s="9">
        <f>IF(Stock!T88="",0,IF(ISNUMBER($E88),($E88+$F88)*Stock!T88/100,Stock!T88))</f>
        <v>0</v>
      </c>
      <c r="Z88" s="9">
        <f>IF(Stock!U88="",0,IF(ISNUMBER($E88),($E88+$F88)*Stock!U88/100,Stock!U88))</f>
        <v>0</v>
      </c>
      <c r="AA88" s="9">
        <f>IF(Stock!V88="",0,IF(ISNUMBER($E88),($E88+$F88)*Stock!V88/100,Stock!V88))</f>
        <v>0</v>
      </c>
      <c r="AB88" s="9">
        <f>IF(Stock!W88="",0,IF(ISNUMBER($E88),($E88+$F88)*Stock!W88/100,Stock!W88))</f>
        <v>0</v>
      </c>
      <c r="AC88" s="9">
        <f>IF(Stock!X88="",0,IF(ISNUMBER($E88),($E88+$F88)*Stock!X88/100,Stock!X88))</f>
        <v>0</v>
      </c>
      <c r="AD88" s="9">
        <f>IF(Stock!Y88="",0,IF(ISNUMBER($E88),($E88+$F88)*Stock!Y88/100,Stock!Y88))</f>
        <v>0</v>
      </c>
      <c r="AE88" s="9">
        <f>IF(Stock!Z88="",0,IF(ISNUMBER($E88),($E88+$F88)*Stock!Z88/100,Stock!Z88))</f>
        <v>0</v>
      </c>
      <c r="AF88" s="9">
        <f>IF(Stock!AA88="",0,IF(ISNUMBER($E88),($E88+$F88)*Stock!AA88/100,Stock!AA88))</f>
        <v>0</v>
      </c>
      <c r="AG88" s="9">
        <f>IF(Stock!AB88="",0,IF(ISNUMBER($E88),($E88+$F88)*Stock!AB88/100,Stock!AB88))</f>
        <v>0</v>
      </c>
      <c r="AH88" s="9">
        <f>IF(Stock!AC88="",0,IF(ISNUMBER($E88),($E88+$F88)*Stock!AC88/100,Stock!AC88))</f>
        <v>0</v>
      </c>
      <c r="AI88" s="9">
        <f>IF(Stock!AD88="",0,IF(ISNUMBER($E88),($E88+$F88)*Stock!AD88/100,Stock!AD88))</f>
        <v>0</v>
      </c>
      <c r="AJ88" s="9">
        <f>IF(Stock!AE88="",0,IF(ISNUMBER($E88),($E88+$F88)*Stock!AE88/100,Stock!AE88))</f>
        <v>0</v>
      </c>
      <c r="AK88" s="9">
        <f>IF(Stock!AF88="",0,IF(ISNUMBER($E88),($E88+$F88)*Stock!AF88/100,Stock!AF88))</f>
        <v>0</v>
      </c>
      <c r="AL88" s="9">
        <f>IF(Stock!AG88="",0,IF(ISNUMBER($E88),($E88+$F88)*Stock!AG88/100,Stock!AG88))</f>
        <v>0</v>
      </c>
      <c r="AM88" s="9">
        <f>IF(Stock!AH88="",0,IF(ISNUMBER($E88),($E88+$F88)*Stock!AH88/100,Stock!AH88))</f>
        <v>0</v>
      </c>
      <c r="AN88" s="9">
        <f>IF(Stock!AI88="",0,IF(ISNUMBER($E88),($E88+$F88)*Stock!AI88/100,Stock!AI88))</f>
        <v>0</v>
      </c>
      <c r="AO88" s="9">
        <f>IF(Stock!AJ88="",0,IF(ISNUMBER($E88),($E88+$F88)*Stock!AJ88/100,Stock!AJ88))</f>
        <v>0</v>
      </c>
      <c r="AP88" s="9">
        <f>IF(Stock!AK88="",0,IF(ISNUMBER($E88),($E88+$F88)*Stock!AK88/100,Stock!AK88))</f>
        <v>0</v>
      </c>
      <c r="AQ88" s="9">
        <f>IF(Stock!AL88="",0,IF(ISNUMBER($E88),($E88+$F88)*Stock!AL88/100,Stock!AL88))</f>
        <v>0</v>
      </c>
      <c r="AR88" s="9">
        <f>IF(Stock!AM88="",0,IF(ISNUMBER($E88),($E88+$F88)*Stock!AM88/100,Stock!AM88))</f>
        <v>0</v>
      </c>
      <c r="AS88" s="9">
        <f>IF(Stock!AN88="",0,IF(ISNUMBER($E88),($E88+$F88)*Stock!AN88/100,Stock!AN88))</f>
        <v>0</v>
      </c>
      <c r="AT88" s="9">
        <f>IF(Stock!AO88="",0,IF(ISNUMBER($E88),($E88+$F88)*Stock!AO88/100,Stock!AO88))</f>
        <v>0</v>
      </c>
      <c r="AU88" s="9">
        <f>IF(Stock!AP88="",0,IF(ISNUMBER($E88),($E88+$F88)*Stock!AP88/100,Stock!AP88))</f>
        <v>0</v>
      </c>
      <c r="AV88" s="9">
        <f>IF(Stock!AQ88="",0,IF(ISNUMBER($E88),($E88+$F88)*Stock!AQ88/100,Stock!AQ88))</f>
        <v>0</v>
      </c>
      <c r="AW88" s="9">
        <f>IF(Stock!AR88="",0,IF(ISNUMBER($E88),($E88+$F88)*Stock!AR88/100,Stock!AR88))</f>
        <v>0</v>
      </c>
      <c r="AX88" s="9">
        <f>IF(Stock!AS88="",0,IF(ISNUMBER($E88),($E88+$F88)*Stock!AS88/100,Stock!AS88))</f>
        <v>0</v>
      </c>
      <c r="AY88" s="9">
        <f>IF(Stock!AT88="",0,IF(ISNUMBER($E88),($E88+$F88)*Stock!AT88/100,Stock!AT88))</f>
        <v>0</v>
      </c>
      <c r="AZ88" s="9">
        <f>IF(Stock!AU88="",0,IF(ISNUMBER($E88),($E88+$F88)*Stock!AU88/100,Stock!AU88))</f>
        <v>0</v>
      </c>
      <c r="BA88" s="9">
        <f>IF(Stock!AV88="",0,IF(ISNUMBER($E88),($E88+$F88)*Stock!AV88/100,Stock!AV88))</f>
        <v>0</v>
      </c>
      <c r="BB88" s="9">
        <f>IF(Stock!AW88="",0,IF(ISNUMBER($E88),($E88+$F88)*Stock!AW88/100,Stock!AW88))</f>
        <v>0</v>
      </c>
      <c r="BC88" s="9">
        <f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>IF(Stock!C89="",0,IF(ISNUMBER($E89),($E89+$F89)*Stock!C89/100,Stock!C89))</f>
        <v>0</v>
      </c>
      <c r="I89" s="9">
        <f>IF(Stock!D89="",0,IF(ISNUMBER($E89),($E89+$F89)*Stock!D89/100,Stock!D89))</f>
        <v>0</v>
      </c>
      <c r="J89" s="9">
        <f>IF(Stock!E89="",0,IF(ISNUMBER($E89),($E89+$F89)*Stock!E89/100,Stock!E89))</f>
        <v>0</v>
      </c>
      <c r="K89" s="9">
        <f>IF(Stock!F89="",0,IF(ISNUMBER($E89),($E89+$F89)*Stock!F89/100,Stock!F89))</f>
        <v>0</v>
      </c>
      <c r="L89" s="9">
        <f>IF(Stock!G89="",0,IF(ISNUMBER($E89),($E89+$F89)*Stock!G89/100,Stock!G89))</f>
        <v>0</v>
      </c>
      <c r="M89" s="9">
        <f>IF(Stock!H89="",0,IF(ISNUMBER($E89),($E89+$F89)*Stock!H89/100,Stock!H89))</f>
        <v>0</v>
      </c>
      <c r="N89" s="9">
        <f>IF(Stock!I89="",0,IF(ISNUMBER($E89),($E89+$F89)*Stock!I89/100,Stock!I89))</f>
        <v>0</v>
      </c>
      <c r="O89" s="9">
        <f>IF(Stock!J89="",0,IF(ISNUMBER($E89),($E89+$F89)*Stock!J89/100,Stock!J89))</f>
        <v>0</v>
      </c>
      <c r="P89" s="9">
        <f>IF(Stock!K89="",0,IF(ISNUMBER($E89),($E89+$F89)*Stock!K89/100,Stock!K89))</f>
        <v>0</v>
      </c>
      <c r="Q89" s="9">
        <f>IF(Stock!L89="",0,IF(ISNUMBER($E89),($E89+$F89)*Stock!L89/100,Stock!L89))</f>
        <v>0</v>
      </c>
      <c r="R89" s="9">
        <f>IF(Stock!M89="",0,IF(ISNUMBER($E89),($E89+$F89)*Stock!M89/100,Stock!M89))</f>
        <v>0</v>
      </c>
      <c r="S89" s="9">
        <f>IF(Stock!N89="",0,IF(ISNUMBER($E89),($E89+$F89)*Stock!N89/100,Stock!N89))</f>
        <v>0</v>
      </c>
      <c r="T89" s="9">
        <f>IF(Stock!O89="",0,IF(ISNUMBER($E89),($E89+$F89)*Stock!O89/100,Stock!O89))</f>
        <v>0</v>
      </c>
      <c r="U89" s="9">
        <f>IF(Stock!P89="",0,IF(ISNUMBER($E89),($E89+$F89)*Stock!P89/100,Stock!P89))</f>
        <v>0</v>
      </c>
      <c r="V89" s="9">
        <f>IF(Stock!Q89="",0,IF(ISNUMBER($E89),($E89+$F89)*Stock!Q89/100,Stock!Q89))</f>
        <v>0</v>
      </c>
      <c r="W89" s="9">
        <f>IF(Stock!R89="",0,IF(ISNUMBER($E89),($E89+$F89)*Stock!R89/100,Stock!R89))</f>
        <v>0</v>
      </c>
      <c r="X89" s="9">
        <f>IF(Stock!S89="",0,IF(ISNUMBER($E89),($E89+$F89)*Stock!S89/100,Stock!S89))</f>
        <v>0</v>
      </c>
      <c r="Y89" s="9">
        <f>IF(Stock!T89="",0,IF(ISNUMBER($E89),($E89+$F89)*Stock!T89/100,Stock!T89))</f>
        <v>0</v>
      </c>
      <c r="Z89" s="9">
        <f>IF(Stock!U89="",0,IF(ISNUMBER($E89),($E89+$F89)*Stock!U89/100,Stock!U89))</f>
        <v>0</v>
      </c>
      <c r="AA89" s="9">
        <f>IF(Stock!V89="",0,IF(ISNUMBER($E89),($E89+$F89)*Stock!V89/100,Stock!V89))</f>
        <v>0</v>
      </c>
      <c r="AB89" s="9">
        <f>IF(Stock!W89="",0,IF(ISNUMBER($E89),($E89+$F89)*Stock!W89/100,Stock!W89))</f>
        <v>0</v>
      </c>
      <c r="AC89" s="9">
        <f>IF(Stock!X89="",0,IF(ISNUMBER($E89),($E89+$F89)*Stock!X89/100,Stock!X89))</f>
        <v>0</v>
      </c>
      <c r="AD89" s="9">
        <f>IF(Stock!Y89="",0,IF(ISNUMBER($E89),($E89+$F89)*Stock!Y89/100,Stock!Y89))</f>
        <v>0</v>
      </c>
      <c r="AE89" s="9">
        <f>IF(Stock!Z89="",0,IF(ISNUMBER($E89),($E89+$F89)*Stock!Z89/100,Stock!Z89))</f>
        <v>0</v>
      </c>
      <c r="AF89" s="9">
        <f>IF(Stock!AA89="",0,IF(ISNUMBER($E89),($E89+$F89)*Stock!AA89/100,Stock!AA89))</f>
        <v>0</v>
      </c>
      <c r="AG89" s="9">
        <f>IF(Stock!AB89="",0,IF(ISNUMBER($E89),($E89+$F89)*Stock!AB89/100,Stock!AB89))</f>
        <v>0</v>
      </c>
      <c r="AH89" s="9">
        <f>IF(Stock!AC89="",0,IF(ISNUMBER($E89),($E89+$F89)*Stock!AC89/100,Stock!AC89))</f>
        <v>0</v>
      </c>
      <c r="AI89" s="9">
        <f>IF(Stock!AD89="",0,IF(ISNUMBER($E89),($E89+$F89)*Stock!AD89/100,Stock!AD89))</f>
        <v>0</v>
      </c>
      <c r="AJ89" s="9">
        <f>IF(Stock!AE89="",0,IF(ISNUMBER($E89),($E89+$F89)*Stock!AE89/100,Stock!AE89))</f>
        <v>0</v>
      </c>
      <c r="AK89" s="9">
        <f>IF(Stock!AF89="",0,IF(ISNUMBER($E89),($E89+$F89)*Stock!AF89/100,Stock!AF89))</f>
        <v>0</v>
      </c>
      <c r="AL89" s="9">
        <f>IF(Stock!AG89="",0,IF(ISNUMBER($E89),($E89+$F89)*Stock!AG89/100,Stock!AG89))</f>
        <v>0</v>
      </c>
      <c r="AM89" s="9">
        <f>IF(Stock!AH89="",0,IF(ISNUMBER($E89),($E89+$F89)*Stock!AH89/100,Stock!AH89))</f>
        <v>0</v>
      </c>
      <c r="AN89" s="9">
        <f>IF(Stock!AI89="",0,IF(ISNUMBER($E89),($E89+$F89)*Stock!AI89/100,Stock!AI89))</f>
        <v>0</v>
      </c>
      <c r="AO89" s="9">
        <f>IF(Stock!AJ89="",0,IF(ISNUMBER($E89),($E89+$F89)*Stock!AJ89/100,Stock!AJ89))</f>
        <v>0</v>
      </c>
      <c r="AP89" s="9">
        <f>IF(Stock!AK89="",0,IF(ISNUMBER($E89),($E89+$F89)*Stock!AK89/100,Stock!AK89))</f>
        <v>0</v>
      </c>
      <c r="AQ89" s="9">
        <f>IF(Stock!AL89="",0,IF(ISNUMBER($E89),($E89+$F89)*Stock!AL89/100,Stock!AL89))</f>
        <v>0</v>
      </c>
      <c r="AR89" s="9">
        <f>IF(Stock!AM89="",0,IF(ISNUMBER($E89),($E89+$F89)*Stock!AM89/100,Stock!AM89))</f>
        <v>0</v>
      </c>
      <c r="AS89" s="9">
        <f>IF(Stock!AN89="",0,IF(ISNUMBER($E89),($E89+$F89)*Stock!AN89/100,Stock!AN89))</f>
        <v>0</v>
      </c>
      <c r="AT89" s="9">
        <f>IF(Stock!AO89="",0,IF(ISNUMBER($E89),($E89+$F89)*Stock!AO89/100,Stock!AO89))</f>
        <v>0</v>
      </c>
      <c r="AU89" s="9">
        <f>IF(Stock!AP89="",0,IF(ISNUMBER($E89),($E89+$F89)*Stock!AP89/100,Stock!AP89))</f>
        <v>0</v>
      </c>
      <c r="AV89" s="9">
        <f>IF(Stock!AQ89="",0,IF(ISNUMBER($E89),($E89+$F89)*Stock!AQ89/100,Stock!AQ89))</f>
        <v>0</v>
      </c>
      <c r="AW89" s="9">
        <f>IF(Stock!AR89="",0,IF(ISNUMBER($E89),($E89+$F89)*Stock!AR89/100,Stock!AR89))</f>
        <v>0</v>
      </c>
      <c r="AX89" s="9">
        <f>IF(Stock!AS89="",0,IF(ISNUMBER($E89),($E89+$F89)*Stock!AS89/100,Stock!AS89))</f>
        <v>0</v>
      </c>
      <c r="AY89" s="9">
        <f>IF(Stock!AT89="",0,IF(ISNUMBER($E89),($E89+$F89)*Stock!AT89/100,Stock!AT89))</f>
        <v>0</v>
      </c>
      <c r="AZ89" s="9">
        <f>IF(Stock!AU89="",0,IF(ISNUMBER($E89),($E89+$F89)*Stock!AU89/100,Stock!AU89))</f>
        <v>0</v>
      </c>
      <c r="BA89" s="9">
        <f>IF(Stock!AV89="",0,IF(ISNUMBER($E89),($E89+$F89)*Stock!AV89/100,Stock!AV89))</f>
        <v>0</v>
      </c>
      <c r="BB89" s="9">
        <f>IF(Stock!AW89="",0,IF(ISNUMBER($E89),($E89+$F89)*Stock!AW89/100,Stock!AW89))</f>
        <v>0</v>
      </c>
      <c r="BC89" s="9">
        <f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>IF(Stock!C90="",0,IF(ISNUMBER($E90),($E90+$F90)*Stock!C90/100,Stock!C90))</f>
        <v>0</v>
      </c>
      <c r="I90" s="9">
        <f>IF(Stock!D90="",0,IF(ISNUMBER($E90),($E90+$F90)*Stock!D90/100,Stock!D90))</f>
        <v>0</v>
      </c>
      <c r="J90" s="9">
        <f>IF(Stock!E90="",0,IF(ISNUMBER($E90),($E90+$F90)*Stock!E90/100,Stock!E90))</f>
        <v>0</v>
      </c>
      <c r="K90" s="9">
        <f>IF(Stock!F90="",0,IF(ISNUMBER($E90),($E90+$F90)*Stock!F90/100,Stock!F90))</f>
        <v>0</v>
      </c>
      <c r="L90" s="9">
        <f>IF(Stock!G90="",0,IF(ISNUMBER($E90),($E90+$F90)*Stock!G90/100,Stock!G90))</f>
        <v>0</v>
      </c>
      <c r="M90" s="9">
        <f>IF(Stock!H90="",0,IF(ISNUMBER($E90),($E90+$F90)*Stock!H90/100,Stock!H90))</f>
        <v>0</v>
      </c>
      <c r="N90" s="9">
        <f>IF(Stock!I90="",0,IF(ISNUMBER($E90),($E90+$F90)*Stock!I90/100,Stock!I90))</f>
        <v>0</v>
      </c>
      <c r="O90" s="9">
        <f>IF(Stock!J90="",0,IF(ISNUMBER($E90),($E90+$F90)*Stock!J90/100,Stock!J90))</f>
        <v>0</v>
      </c>
      <c r="P90" s="9">
        <f>IF(Stock!K90="",0,IF(ISNUMBER($E90),($E90+$F90)*Stock!K90/100,Stock!K90))</f>
        <v>0</v>
      </c>
      <c r="Q90" s="9">
        <f>IF(Stock!L90="",0,IF(ISNUMBER($E90),($E90+$F90)*Stock!L90/100,Stock!L90))</f>
        <v>0</v>
      </c>
      <c r="R90" s="9">
        <f>IF(Stock!M90="",0,IF(ISNUMBER($E90),($E90+$F90)*Stock!M90/100,Stock!M90))</f>
        <v>0</v>
      </c>
      <c r="S90" s="9">
        <f>IF(Stock!N90="",0,IF(ISNUMBER($E90),($E90+$F90)*Stock!N90/100,Stock!N90))</f>
        <v>0</v>
      </c>
      <c r="T90" s="9">
        <f>IF(Stock!O90="",0,IF(ISNUMBER($E90),($E90+$F90)*Stock!O90/100,Stock!O90))</f>
        <v>0</v>
      </c>
      <c r="U90" s="9">
        <f>IF(Stock!P90="",0,IF(ISNUMBER($E90),($E90+$F90)*Stock!P90/100,Stock!P90))</f>
        <v>0</v>
      </c>
      <c r="V90" s="9">
        <f>IF(Stock!Q90="",0,IF(ISNUMBER($E90),($E90+$F90)*Stock!Q90/100,Stock!Q90))</f>
        <v>0</v>
      </c>
      <c r="W90" s="9">
        <f>IF(Stock!R90="",0,IF(ISNUMBER($E90),($E90+$F90)*Stock!R90/100,Stock!R90))</f>
        <v>0</v>
      </c>
      <c r="X90" s="9">
        <f>IF(Stock!S90="",0,IF(ISNUMBER($E90),($E90+$F90)*Stock!S90/100,Stock!S90))</f>
        <v>0</v>
      </c>
      <c r="Y90" s="9">
        <f>IF(Stock!T90="",0,IF(ISNUMBER($E90),($E90+$F90)*Stock!T90/100,Stock!T90))</f>
        <v>0</v>
      </c>
      <c r="Z90" s="9">
        <f>IF(Stock!U90="",0,IF(ISNUMBER($E90),($E90+$F90)*Stock!U90/100,Stock!U90))</f>
        <v>0</v>
      </c>
      <c r="AA90" s="9">
        <f>IF(Stock!V90="",0,IF(ISNUMBER($E90),($E90+$F90)*Stock!V90/100,Stock!V90))</f>
        <v>0</v>
      </c>
      <c r="AB90" s="9">
        <f>IF(Stock!W90="",0,IF(ISNUMBER($E90),($E90+$F90)*Stock!W90/100,Stock!W90))</f>
        <v>0</v>
      </c>
      <c r="AC90" s="9">
        <f>IF(Stock!X90="",0,IF(ISNUMBER($E90),($E90+$F90)*Stock!X90/100,Stock!X90))</f>
        <v>0</v>
      </c>
      <c r="AD90" s="9">
        <f>IF(Stock!Y90="",0,IF(ISNUMBER($E90),($E90+$F90)*Stock!Y90/100,Stock!Y90))</f>
        <v>0</v>
      </c>
      <c r="AE90" s="9">
        <f>IF(Stock!Z90="",0,IF(ISNUMBER($E90),($E90+$F90)*Stock!Z90/100,Stock!Z90))</f>
        <v>0</v>
      </c>
      <c r="AF90" s="9">
        <f>IF(Stock!AA90="",0,IF(ISNUMBER($E90),($E90+$F90)*Stock!AA90/100,Stock!AA90))</f>
        <v>0</v>
      </c>
      <c r="AG90" s="9">
        <f>IF(Stock!AB90="",0,IF(ISNUMBER($E90),($E90+$F90)*Stock!AB90/100,Stock!AB90))</f>
        <v>0</v>
      </c>
      <c r="AH90" s="9">
        <f>IF(Stock!AC90="",0,IF(ISNUMBER($E90),($E90+$F90)*Stock!AC90/100,Stock!AC90))</f>
        <v>0</v>
      </c>
      <c r="AI90" s="9">
        <f>IF(Stock!AD90="",0,IF(ISNUMBER($E90),($E90+$F90)*Stock!AD90/100,Stock!AD90))</f>
        <v>0</v>
      </c>
      <c r="AJ90" s="9">
        <f>IF(Stock!AE90="",0,IF(ISNUMBER($E90),($E90+$F90)*Stock!AE90/100,Stock!AE90))</f>
        <v>0</v>
      </c>
      <c r="AK90" s="9">
        <f>IF(Stock!AF90="",0,IF(ISNUMBER($E90),($E90+$F90)*Stock!AF90/100,Stock!AF90))</f>
        <v>0</v>
      </c>
      <c r="AL90" s="9">
        <f>IF(Stock!AG90="",0,IF(ISNUMBER($E90),($E90+$F90)*Stock!AG90/100,Stock!AG90))</f>
        <v>0</v>
      </c>
      <c r="AM90" s="9">
        <f>IF(Stock!AH90="",0,IF(ISNUMBER($E90),($E90+$F90)*Stock!AH90/100,Stock!AH90))</f>
        <v>0</v>
      </c>
      <c r="AN90" s="9">
        <f>IF(Stock!AI90="",0,IF(ISNUMBER($E90),($E90+$F90)*Stock!AI90/100,Stock!AI90))</f>
        <v>0</v>
      </c>
      <c r="AO90" s="9">
        <f>IF(Stock!AJ90="",0,IF(ISNUMBER($E90),($E90+$F90)*Stock!AJ90/100,Stock!AJ90))</f>
        <v>0</v>
      </c>
      <c r="AP90" s="9">
        <f>IF(Stock!AK90="",0,IF(ISNUMBER($E90),($E90+$F90)*Stock!AK90/100,Stock!AK90))</f>
        <v>0</v>
      </c>
      <c r="AQ90" s="9">
        <f>IF(Stock!AL90="",0,IF(ISNUMBER($E90),($E90+$F90)*Stock!AL90/100,Stock!AL90))</f>
        <v>0</v>
      </c>
      <c r="AR90" s="9">
        <f>IF(Stock!AM90="",0,IF(ISNUMBER($E90),($E90+$F90)*Stock!AM90/100,Stock!AM90))</f>
        <v>0</v>
      </c>
      <c r="AS90" s="9">
        <f>IF(Stock!AN90="",0,IF(ISNUMBER($E90),($E90+$F90)*Stock!AN90/100,Stock!AN90))</f>
        <v>0</v>
      </c>
      <c r="AT90" s="9">
        <f>IF(Stock!AO90="",0,IF(ISNUMBER($E90),($E90+$F90)*Stock!AO90/100,Stock!AO90))</f>
        <v>0</v>
      </c>
      <c r="AU90" s="9">
        <f>IF(Stock!AP90="",0,IF(ISNUMBER($E90),($E90+$F90)*Stock!AP90/100,Stock!AP90))</f>
        <v>0</v>
      </c>
      <c r="AV90" s="9">
        <f>IF(Stock!AQ90="",0,IF(ISNUMBER($E90),($E90+$F90)*Stock!AQ90/100,Stock!AQ90))</f>
        <v>0</v>
      </c>
      <c r="AW90" s="9">
        <f>IF(Stock!AR90="",0,IF(ISNUMBER($E90),($E90+$F90)*Stock!AR90/100,Stock!AR90))</f>
        <v>0</v>
      </c>
      <c r="AX90" s="9">
        <f>IF(Stock!AS90="",0,IF(ISNUMBER($E90),($E90+$F90)*Stock!AS90/100,Stock!AS90))</f>
        <v>0</v>
      </c>
      <c r="AY90" s="9">
        <f>IF(Stock!AT90="",0,IF(ISNUMBER($E90),($E90+$F90)*Stock!AT90/100,Stock!AT90))</f>
        <v>0</v>
      </c>
      <c r="AZ90" s="9">
        <f>IF(Stock!AU90="",0,IF(ISNUMBER($E90),($E90+$F90)*Stock!AU90/100,Stock!AU90))</f>
        <v>0</v>
      </c>
      <c r="BA90" s="9">
        <f>IF(Stock!AV90="",0,IF(ISNUMBER($E90),($E90+$F90)*Stock!AV90/100,Stock!AV90))</f>
        <v>0</v>
      </c>
      <c r="BB90" s="9">
        <f>IF(Stock!AW90="",0,IF(ISNUMBER($E90),($E90+$F90)*Stock!AW90/100,Stock!AW90))</f>
        <v>0</v>
      </c>
      <c r="BC90" s="9">
        <f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>IF(Stock!C91="",0,IF(ISNUMBER($E91),($E91+$F91)*Stock!C91/100,Stock!C91))</f>
        <v>0</v>
      </c>
      <c r="I91" s="9">
        <f>IF(Stock!D91="",0,IF(ISNUMBER($E91),($E91+$F91)*Stock!D91/100,Stock!D91))</f>
        <v>0</v>
      </c>
      <c r="J91" s="9">
        <f>IF(Stock!E91="",0,IF(ISNUMBER($E91),($E91+$F91)*Stock!E91/100,Stock!E91))</f>
        <v>0</v>
      </c>
      <c r="K91" s="9">
        <f>IF(Stock!F91="",0,IF(ISNUMBER($E91),($E91+$F91)*Stock!F91/100,Stock!F91))</f>
        <v>0</v>
      </c>
      <c r="L91" s="9">
        <f>IF(Stock!G91="",0,IF(ISNUMBER($E91),($E91+$F91)*Stock!G91/100,Stock!G91))</f>
        <v>0</v>
      </c>
      <c r="M91" s="9">
        <f>IF(Stock!H91="",0,IF(ISNUMBER($E91),($E91+$F91)*Stock!H91/100,Stock!H91))</f>
        <v>0</v>
      </c>
      <c r="N91" s="9">
        <f>IF(Stock!I91="",0,IF(ISNUMBER($E91),($E91+$F91)*Stock!I91/100,Stock!I91))</f>
        <v>0</v>
      </c>
      <c r="O91" s="9">
        <f>IF(Stock!J91="",0,IF(ISNUMBER($E91),($E91+$F91)*Stock!J91/100,Stock!J91))</f>
        <v>0</v>
      </c>
      <c r="P91" s="9">
        <f>IF(Stock!K91="",0,IF(ISNUMBER($E91),($E91+$F91)*Stock!K91/100,Stock!K91))</f>
        <v>0</v>
      </c>
      <c r="Q91" s="9">
        <f>IF(Stock!L91="",0,IF(ISNUMBER($E91),($E91+$F91)*Stock!L91/100,Stock!L91))</f>
        <v>0</v>
      </c>
      <c r="R91" s="9">
        <f>IF(Stock!M91="",0,IF(ISNUMBER($E91),($E91+$F91)*Stock!M91/100,Stock!M91))</f>
        <v>0</v>
      </c>
      <c r="S91" s="9">
        <f>IF(Stock!N91="",0,IF(ISNUMBER($E91),($E91+$F91)*Stock!N91/100,Stock!N91))</f>
        <v>0</v>
      </c>
      <c r="T91" s="9">
        <f>IF(Stock!O91="",0,IF(ISNUMBER($E91),($E91+$F91)*Stock!O91/100,Stock!O91))</f>
        <v>0</v>
      </c>
      <c r="U91" s="9">
        <f>IF(Stock!P91="",0,IF(ISNUMBER($E91),($E91+$F91)*Stock!P91/100,Stock!P91))</f>
        <v>0</v>
      </c>
      <c r="V91" s="9">
        <f>IF(Stock!Q91="",0,IF(ISNUMBER($E91),($E91+$F91)*Stock!Q91/100,Stock!Q91))</f>
        <v>0</v>
      </c>
      <c r="W91" s="9">
        <f>IF(Stock!R91="",0,IF(ISNUMBER($E91),($E91+$F91)*Stock!R91/100,Stock!R91))</f>
        <v>0</v>
      </c>
      <c r="X91" s="9">
        <f>IF(Stock!S91="",0,IF(ISNUMBER($E91),($E91+$F91)*Stock!S91/100,Stock!S91))</f>
        <v>0</v>
      </c>
      <c r="Y91" s="9">
        <f>IF(Stock!T91="",0,IF(ISNUMBER($E91),($E91+$F91)*Stock!T91/100,Stock!T91))</f>
        <v>0</v>
      </c>
      <c r="Z91" s="9">
        <f>IF(Stock!U91="",0,IF(ISNUMBER($E91),($E91+$F91)*Stock!U91/100,Stock!U91))</f>
        <v>0</v>
      </c>
      <c r="AA91" s="9">
        <f>IF(Stock!V91="",0,IF(ISNUMBER($E91),($E91+$F91)*Stock!V91/100,Stock!V91))</f>
        <v>0</v>
      </c>
      <c r="AB91" s="9">
        <f>IF(Stock!W91="",0,IF(ISNUMBER($E91),($E91+$F91)*Stock!W91/100,Stock!W91))</f>
        <v>0</v>
      </c>
      <c r="AC91" s="9">
        <f>IF(Stock!X91="",0,IF(ISNUMBER($E91),($E91+$F91)*Stock!X91/100,Stock!X91))</f>
        <v>0</v>
      </c>
      <c r="AD91" s="9">
        <f>IF(Stock!Y91="",0,IF(ISNUMBER($E91),($E91+$F91)*Stock!Y91/100,Stock!Y91))</f>
        <v>0</v>
      </c>
      <c r="AE91" s="9">
        <f>IF(Stock!Z91="",0,IF(ISNUMBER($E91),($E91+$F91)*Stock!Z91/100,Stock!Z91))</f>
        <v>0</v>
      </c>
      <c r="AF91" s="9">
        <f>IF(Stock!AA91="",0,IF(ISNUMBER($E91),($E91+$F91)*Stock!AA91/100,Stock!AA91))</f>
        <v>0</v>
      </c>
      <c r="AG91" s="9">
        <f>IF(Stock!AB91="",0,IF(ISNUMBER($E91),($E91+$F91)*Stock!AB91/100,Stock!AB91))</f>
        <v>0</v>
      </c>
      <c r="AH91" s="9">
        <f>IF(Stock!AC91="",0,IF(ISNUMBER($E91),($E91+$F91)*Stock!AC91/100,Stock!AC91))</f>
        <v>0</v>
      </c>
      <c r="AI91" s="9">
        <f>IF(Stock!AD91="",0,IF(ISNUMBER($E91),($E91+$F91)*Stock!AD91/100,Stock!AD91))</f>
        <v>0</v>
      </c>
      <c r="AJ91" s="9">
        <f>IF(Stock!AE91="",0,IF(ISNUMBER($E91),($E91+$F91)*Stock!AE91/100,Stock!AE91))</f>
        <v>0</v>
      </c>
      <c r="AK91" s="9">
        <f>IF(Stock!AF91="",0,IF(ISNUMBER($E91),($E91+$F91)*Stock!AF91/100,Stock!AF91))</f>
        <v>0</v>
      </c>
      <c r="AL91" s="9">
        <f>IF(Stock!AG91="",0,IF(ISNUMBER($E91),($E91+$F91)*Stock!AG91/100,Stock!AG91))</f>
        <v>0</v>
      </c>
      <c r="AM91" s="9">
        <f>IF(Stock!AH91="",0,IF(ISNUMBER($E91),($E91+$F91)*Stock!AH91/100,Stock!AH91))</f>
        <v>0</v>
      </c>
      <c r="AN91" s="9">
        <f>IF(Stock!AI91="",0,IF(ISNUMBER($E91),($E91+$F91)*Stock!AI91/100,Stock!AI91))</f>
        <v>0</v>
      </c>
      <c r="AO91" s="9">
        <f>IF(Stock!AJ91="",0,IF(ISNUMBER($E91),($E91+$F91)*Stock!AJ91/100,Stock!AJ91))</f>
        <v>0</v>
      </c>
      <c r="AP91" s="9">
        <f>IF(Stock!AK91="",0,IF(ISNUMBER($E91),($E91+$F91)*Stock!AK91/100,Stock!AK91))</f>
        <v>0</v>
      </c>
      <c r="AQ91" s="9">
        <f>IF(Stock!AL91="",0,IF(ISNUMBER($E91),($E91+$F91)*Stock!AL91/100,Stock!AL91))</f>
        <v>0</v>
      </c>
      <c r="AR91" s="9">
        <f>IF(Stock!AM91="",0,IF(ISNUMBER($E91),($E91+$F91)*Stock!AM91/100,Stock!AM91))</f>
        <v>0</v>
      </c>
      <c r="AS91" s="9">
        <f>IF(Stock!AN91="",0,IF(ISNUMBER($E91),($E91+$F91)*Stock!AN91/100,Stock!AN91))</f>
        <v>0</v>
      </c>
      <c r="AT91" s="9">
        <f>IF(Stock!AO91="",0,IF(ISNUMBER($E91),($E91+$F91)*Stock!AO91/100,Stock!AO91))</f>
        <v>0</v>
      </c>
      <c r="AU91" s="9">
        <f>IF(Stock!AP91="",0,IF(ISNUMBER($E91),($E91+$F91)*Stock!AP91/100,Stock!AP91))</f>
        <v>0</v>
      </c>
      <c r="AV91" s="9">
        <f>IF(Stock!AQ91="",0,IF(ISNUMBER($E91),($E91+$F91)*Stock!AQ91/100,Stock!AQ91))</f>
        <v>0</v>
      </c>
      <c r="AW91" s="9">
        <f>IF(Stock!AR91="",0,IF(ISNUMBER($E91),($E91+$F91)*Stock!AR91/100,Stock!AR91))</f>
        <v>0</v>
      </c>
      <c r="AX91" s="9">
        <f>IF(Stock!AS91="",0,IF(ISNUMBER($E91),($E91+$F91)*Stock!AS91/100,Stock!AS91))</f>
        <v>0</v>
      </c>
      <c r="AY91" s="9">
        <f>IF(Stock!AT91="",0,IF(ISNUMBER($E91),($E91+$F91)*Stock!AT91/100,Stock!AT91))</f>
        <v>0</v>
      </c>
      <c r="AZ91" s="9">
        <f>IF(Stock!AU91="",0,IF(ISNUMBER($E91),($E91+$F91)*Stock!AU91/100,Stock!AU91))</f>
        <v>0</v>
      </c>
      <c r="BA91" s="9">
        <f>IF(Stock!AV91="",0,IF(ISNUMBER($E91),($E91+$F91)*Stock!AV91/100,Stock!AV91))</f>
        <v>0</v>
      </c>
      <c r="BB91" s="9">
        <f>IF(Stock!AW91="",0,IF(ISNUMBER($E91),($E91+$F91)*Stock!AW91/100,Stock!AW91))</f>
        <v>0</v>
      </c>
      <c r="BC91" s="9">
        <f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>IF(Stock!C92="",0,IF(ISNUMBER($E92),($E92+$F92)*Stock!C92/100,Stock!C92))</f>
        <v>0</v>
      </c>
      <c r="I92" s="9">
        <f>IF(Stock!D92="",0,IF(ISNUMBER($E92),($E92+$F92)*Stock!D92/100,Stock!D92))</f>
        <v>0</v>
      </c>
      <c r="J92" s="9">
        <f>IF(Stock!E92="",0,IF(ISNUMBER($E92),($E92+$F92)*Stock!E92/100,Stock!E92))</f>
        <v>0</v>
      </c>
      <c r="K92" s="9">
        <f>IF(Stock!F92="",0,IF(ISNUMBER($E92),($E92+$F92)*Stock!F92/100,Stock!F92))</f>
        <v>0</v>
      </c>
      <c r="L92" s="9">
        <f>IF(Stock!G92="",0,IF(ISNUMBER($E92),($E92+$F92)*Stock!G92/100,Stock!G92))</f>
        <v>0</v>
      </c>
      <c r="M92" s="9">
        <f>IF(Stock!H92="",0,IF(ISNUMBER($E92),($E92+$F92)*Stock!H92/100,Stock!H92))</f>
        <v>0</v>
      </c>
      <c r="N92" s="9">
        <f>IF(Stock!I92="",0,IF(ISNUMBER($E92),($E92+$F92)*Stock!I92/100,Stock!I92))</f>
        <v>0</v>
      </c>
      <c r="O92" s="9">
        <f>IF(Stock!J92="",0,IF(ISNUMBER($E92),($E92+$F92)*Stock!J92/100,Stock!J92))</f>
        <v>0</v>
      </c>
      <c r="P92" s="9">
        <f>IF(Stock!K92="",0,IF(ISNUMBER($E92),($E92+$F92)*Stock!K92/100,Stock!K92))</f>
        <v>0</v>
      </c>
      <c r="Q92" s="9">
        <f>IF(Stock!L92="",0,IF(ISNUMBER($E92),($E92+$F92)*Stock!L92/100,Stock!L92))</f>
        <v>0</v>
      </c>
      <c r="R92" s="9">
        <f>IF(Stock!M92="",0,IF(ISNUMBER($E92),($E92+$F92)*Stock!M92/100,Stock!M92))</f>
        <v>0</v>
      </c>
      <c r="S92" s="9">
        <f>IF(Stock!N92="",0,IF(ISNUMBER($E92),($E92+$F92)*Stock!N92/100,Stock!N92))</f>
        <v>0</v>
      </c>
      <c r="T92" s="9">
        <f>IF(Stock!O92="",0,IF(ISNUMBER($E92),($E92+$F92)*Stock!O92/100,Stock!O92))</f>
        <v>0</v>
      </c>
      <c r="U92" s="9">
        <f>IF(Stock!P92="",0,IF(ISNUMBER($E92),($E92+$F92)*Stock!P92/100,Stock!P92))</f>
        <v>0</v>
      </c>
      <c r="V92" s="9">
        <f>IF(Stock!Q92="",0,IF(ISNUMBER($E92),($E92+$F92)*Stock!Q92/100,Stock!Q92))</f>
        <v>0</v>
      </c>
      <c r="W92" s="9">
        <f>IF(Stock!R92="",0,IF(ISNUMBER($E92),($E92+$F92)*Stock!R92/100,Stock!R92))</f>
        <v>0</v>
      </c>
      <c r="X92" s="9">
        <f>IF(Stock!S92="",0,IF(ISNUMBER($E92),($E92+$F92)*Stock!S92/100,Stock!S92))</f>
        <v>0</v>
      </c>
      <c r="Y92" s="9">
        <f>IF(Stock!T92="",0,IF(ISNUMBER($E92),($E92+$F92)*Stock!T92/100,Stock!T92))</f>
        <v>0</v>
      </c>
      <c r="Z92" s="9">
        <f>IF(Stock!U92="",0,IF(ISNUMBER($E92),($E92+$F92)*Stock!U92/100,Stock!U92))</f>
        <v>0</v>
      </c>
      <c r="AA92" s="9">
        <f>IF(Stock!V92="",0,IF(ISNUMBER($E92),($E92+$F92)*Stock!V92/100,Stock!V92))</f>
        <v>0</v>
      </c>
      <c r="AB92" s="9">
        <f>IF(Stock!W92="",0,IF(ISNUMBER($E92),($E92+$F92)*Stock!W92/100,Stock!W92))</f>
        <v>0</v>
      </c>
      <c r="AC92" s="9">
        <f>IF(Stock!X92="",0,IF(ISNUMBER($E92),($E92+$F92)*Stock!X92/100,Stock!X92))</f>
        <v>0</v>
      </c>
      <c r="AD92" s="9">
        <f>IF(Stock!Y92="",0,IF(ISNUMBER($E92),($E92+$F92)*Stock!Y92/100,Stock!Y92))</f>
        <v>0</v>
      </c>
      <c r="AE92" s="9">
        <f>IF(Stock!Z92="",0,IF(ISNUMBER($E92),($E92+$F92)*Stock!Z92/100,Stock!Z92))</f>
        <v>0</v>
      </c>
      <c r="AF92" s="9">
        <f>IF(Stock!AA92="",0,IF(ISNUMBER($E92),($E92+$F92)*Stock!AA92/100,Stock!AA92))</f>
        <v>0</v>
      </c>
      <c r="AG92" s="9">
        <f>IF(Stock!AB92="",0,IF(ISNUMBER($E92),($E92+$F92)*Stock!AB92/100,Stock!AB92))</f>
        <v>0</v>
      </c>
      <c r="AH92" s="9">
        <f>IF(Stock!AC92="",0,IF(ISNUMBER($E92),($E92+$F92)*Stock!AC92/100,Stock!AC92))</f>
        <v>0</v>
      </c>
      <c r="AI92" s="9">
        <f>IF(Stock!AD92="",0,IF(ISNUMBER($E92),($E92+$F92)*Stock!AD92/100,Stock!AD92))</f>
        <v>0</v>
      </c>
      <c r="AJ92" s="9">
        <f>IF(Stock!AE92="",0,IF(ISNUMBER($E92),($E92+$F92)*Stock!AE92/100,Stock!AE92))</f>
        <v>0</v>
      </c>
      <c r="AK92" s="9">
        <f>IF(Stock!AF92="",0,IF(ISNUMBER($E92),($E92+$F92)*Stock!AF92/100,Stock!AF92))</f>
        <v>0</v>
      </c>
      <c r="AL92" s="9">
        <f>IF(Stock!AG92="",0,IF(ISNUMBER($E92),($E92+$F92)*Stock!AG92/100,Stock!AG92))</f>
        <v>0</v>
      </c>
      <c r="AM92" s="9">
        <f>IF(Stock!AH92="",0,IF(ISNUMBER($E92),($E92+$F92)*Stock!AH92/100,Stock!AH92))</f>
        <v>0</v>
      </c>
      <c r="AN92" s="9">
        <f>IF(Stock!AI92="",0,IF(ISNUMBER($E92),($E92+$F92)*Stock!AI92/100,Stock!AI92))</f>
        <v>0</v>
      </c>
      <c r="AO92" s="9">
        <f>IF(Stock!AJ92="",0,IF(ISNUMBER($E92),($E92+$F92)*Stock!AJ92/100,Stock!AJ92))</f>
        <v>0</v>
      </c>
      <c r="AP92" s="9">
        <f>IF(Stock!AK92="",0,IF(ISNUMBER($E92),($E92+$F92)*Stock!AK92/100,Stock!AK92))</f>
        <v>0</v>
      </c>
      <c r="AQ92" s="9">
        <f>IF(Stock!AL92="",0,IF(ISNUMBER($E92),($E92+$F92)*Stock!AL92/100,Stock!AL92))</f>
        <v>0</v>
      </c>
      <c r="AR92" s="9">
        <f>IF(Stock!AM92="",0,IF(ISNUMBER($E92),($E92+$F92)*Stock!AM92/100,Stock!AM92))</f>
        <v>0</v>
      </c>
      <c r="AS92" s="9">
        <f>IF(Stock!AN92="",0,IF(ISNUMBER($E92),($E92+$F92)*Stock!AN92/100,Stock!AN92))</f>
        <v>0</v>
      </c>
      <c r="AT92" s="9">
        <f>IF(Stock!AO92="",0,IF(ISNUMBER($E92),($E92+$F92)*Stock!AO92/100,Stock!AO92))</f>
        <v>0</v>
      </c>
      <c r="AU92" s="9">
        <f>IF(Stock!AP92="",0,IF(ISNUMBER($E92),($E92+$F92)*Stock!AP92/100,Stock!AP92))</f>
        <v>0</v>
      </c>
      <c r="AV92" s="9">
        <f>IF(Stock!AQ92="",0,IF(ISNUMBER($E92),($E92+$F92)*Stock!AQ92/100,Stock!AQ92))</f>
        <v>0</v>
      </c>
      <c r="AW92" s="9">
        <f>IF(Stock!AR92="",0,IF(ISNUMBER($E92),($E92+$F92)*Stock!AR92/100,Stock!AR92))</f>
        <v>0</v>
      </c>
      <c r="AX92" s="9">
        <f>IF(Stock!AS92="",0,IF(ISNUMBER($E92),($E92+$F92)*Stock!AS92/100,Stock!AS92))</f>
        <v>0</v>
      </c>
      <c r="AY92" s="9">
        <f>IF(Stock!AT92="",0,IF(ISNUMBER($E92),($E92+$F92)*Stock!AT92/100,Stock!AT92))</f>
        <v>0</v>
      </c>
      <c r="AZ92" s="9">
        <f>IF(Stock!AU92="",0,IF(ISNUMBER($E92),($E92+$F92)*Stock!AU92/100,Stock!AU92))</f>
        <v>0</v>
      </c>
      <c r="BA92" s="9">
        <f>IF(Stock!AV92="",0,IF(ISNUMBER($E92),($E92+$F92)*Stock!AV92/100,Stock!AV92))</f>
        <v>0</v>
      </c>
      <c r="BB92" s="9">
        <f>IF(Stock!AW92="",0,IF(ISNUMBER($E92),($E92+$F92)*Stock!AW92/100,Stock!AW92))</f>
        <v>0</v>
      </c>
      <c r="BC92" s="9">
        <f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>IF(Stock!C93="",0,IF(ISNUMBER($E93),($E93+$F93)*Stock!C93/100,Stock!C93))</f>
        <v>0</v>
      </c>
      <c r="I93" s="9">
        <f>IF(Stock!D93="",0,IF(ISNUMBER($E93),($E93+$F93)*Stock!D93/100,Stock!D93))</f>
        <v>0</v>
      </c>
      <c r="J93" s="9">
        <f>IF(Stock!E93="",0,IF(ISNUMBER($E93),($E93+$F93)*Stock!E93/100,Stock!E93))</f>
        <v>0</v>
      </c>
      <c r="K93" s="9">
        <f>IF(Stock!F93="",0,IF(ISNUMBER($E93),($E93+$F93)*Stock!F93/100,Stock!F93))</f>
        <v>0</v>
      </c>
      <c r="L93" s="9">
        <f>IF(Stock!G93="",0,IF(ISNUMBER($E93),($E93+$F93)*Stock!G93/100,Stock!G93))</f>
        <v>0</v>
      </c>
      <c r="M93" s="9">
        <f>IF(Stock!H93="",0,IF(ISNUMBER($E93),($E93+$F93)*Stock!H93/100,Stock!H93))</f>
        <v>0</v>
      </c>
      <c r="N93" s="9">
        <f>IF(Stock!I93="",0,IF(ISNUMBER($E93),($E93+$F93)*Stock!I93/100,Stock!I93))</f>
        <v>0</v>
      </c>
      <c r="O93" s="9">
        <f>IF(Stock!J93="",0,IF(ISNUMBER($E93),($E93+$F93)*Stock!J93/100,Stock!J93))</f>
        <v>0</v>
      </c>
      <c r="P93" s="9">
        <f>IF(Stock!K93="",0,IF(ISNUMBER($E93),($E93+$F93)*Stock!K93/100,Stock!K93))</f>
        <v>0</v>
      </c>
      <c r="Q93" s="9">
        <f>IF(Stock!L93="",0,IF(ISNUMBER($E93),($E93+$F93)*Stock!L93/100,Stock!L93))</f>
        <v>0</v>
      </c>
      <c r="R93" s="9">
        <f>IF(Stock!M93="",0,IF(ISNUMBER($E93),($E93+$F93)*Stock!M93/100,Stock!M93))</f>
        <v>0</v>
      </c>
      <c r="S93" s="9">
        <f>IF(Stock!N93="",0,IF(ISNUMBER($E93),($E93+$F93)*Stock!N93/100,Stock!N93))</f>
        <v>0</v>
      </c>
      <c r="T93" s="9">
        <f>IF(Stock!O93="",0,IF(ISNUMBER($E93),($E93+$F93)*Stock!O93/100,Stock!O93))</f>
        <v>0</v>
      </c>
      <c r="U93" s="9">
        <f>IF(Stock!P93="",0,IF(ISNUMBER($E93),($E93+$F93)*Stock!P93/100,Stock!P93))</f>
        <v>0</v>
      </c>
      <c r="V93" s="9">
        <f>IF(Stock!Q93="",0,IF(ISNUMBER($E93),($E93+$F93)*Stock!Q93/100,Stock!Q93))</f>
        <v>0</v>
      </c>
      <c r="W93" s="9">
        <f>IF(Stock!R93="",0,IF(ISNUMBER($E93),($E93+$F93)*Stock!R93/100,Stock!R93))</f>
        <v>0</v>
      </c>
      <c r="X93" s="9">
        <f>IF(Stock!S93="",0,IF(ISNUMBER($E93),($E93+$F93)*Stock!S93/100,Stock!S93))</f>
        <v>0</v>
      </c>
      <c r="Y93" s="9">
        <f>IF(Stock!T93="",0,IF(ISNUMBER($E93),($E93+$F93)*Stock!T93/100,Stock!T93))</f>
        <v>0</v>
      </c>
      <c r="Z93" s="9">
        <f>IF(Stock!U93="",0,IF(ISNUMBER($E93),($E93+$F93)*Stock!U93/100,Stock!U93))</f>
        <v>0</v>
      </c>
      <c r="AA93" s="9">
        <f>IF(Stock!V93="",0,IF(ISNUMBER($E93),($E93+$F93)*Stock!V93/100,Stock!V93))</f>
        <v>0</v>
      </c>
      <c r="AB93" s="9">
        <f>IF(Stock!W93="",0,IF(ISNUMBER($E93),($E93+$F93)*Stock!W93/100,Stock!W93))</f>
        <v>0</v>
      </c>
      <c r="AC93" s="9">
        <f>IF(Stock!X93="",0,IF(ISNUMBER($E93),($E93+$F93)*Stock!X93/100,Stock!X93))</f>
        <v>0</v>
      </c>
      <c r="AD93" s="9">
        <f>IF(Stock!Y93="",0,IF(ISNUMBER($E93),($E93+$F93)*Stock!Y93/100,Stock!Y93))</f>
        <v>0</v>
      </c>
      <c r="AE93" s="9">
        <f>IF(Stock!Z93="",0,IF(ISNUMBER($E93),($E93+$F93)*Stock!Z93/100,Stock!Z93))</f>
        <v>0</v>
      </c>
      <c r="AF93" s="9">
        <f>IF(Stock!AA93="",0,IF(ISNUMBER($E93),($E93+$F93)*Stock!AA93/100,Stock!AA93))</f>
        <v>0</v>
      </c>
      <c r="AG93" s="9">
        <f>IF(Stock!AB93="",0,IF(ISNUMBER($E93),($E93+$F93)*Stock!AB93/100,Stock!AB93))</f>
        <v>0</v>
      </c>
      <c r="AH93" s="9">
        <f>IF(Stock!AC93="",0,IF(ISNUMBER($E93),($E93+$F93)*Stock!AC93/100,Stock!AC93))</f>
        <v>0</v>
      </c>
      <c r="AI93" s="9">
        <f>IF(Stock!AD93="",0,IF(ISNUMBER($E93),($E93+$F93)*Stock!AD93/100,Stock!AD93))</f>
        <v>0</v>
      </c>
      <c r="AJ93" s="9">
        <f>IF(Stock!AE93="",0,IF(ISNUMBER($E93),($E93+$F93)*Stock!AE93/100,Stock!AE93))</f>
        <v>0</v>
      </c>
      <c r="AK93" s="9">
        <f>IF(Stock!AF93="",0,IF(ISNUMBER($E93),($E93+$F93)*Stock!AF93/100,Stock!AF93))</f>
        <v>0</v>
      </c>
      <c r="AL93" s="9">
        <f>IF(Stock!AG93="",0,IF(ISNUMBER($E93),($E93+$F93)*Stock!AG93/100,Stock!AG93))</f>
        <v>0</v>
      </c>
      <c r="AM93" s="9">
        <f>IF(Stock!AH93="",0,IF(ISNUMBER($E93),($E93+$F93)*Stock!AH93/100,Stock!AH93))</f>
        <v>0</v>
      </c>
      <c r="AN93" s="9">
        <f>IF(Stock!AI93="",0,IF(ISNUMBER($E93),($E93+$F93)*Stock!AI93/100,Stock!AI93))</f>
        <v>0</v>
      </c>
      <c r="AO93" s="9">
        <f>IF(Stock!AJ93="",0,IF(ISNUMBER($E93),($E93+$F93)*Stock!AJ93/100,Stock!AJ93))</f>
        <v>0</v>
      </c>
      <c r="AP93" s="9">
        <f>IF(Stock!AK93="",0,IF(ISNUMBER($E93),($E93+$F93)*Stock!AK93/100,Stock!AK93))</f>
        <v>0</v>
      </c>
      <c r="AQ93" s="9">
        <f>IF(Stock!AL93="",0,IF(ISNUMBER($E93),($E93+$F93)*Stock!AL93/100,Stock!AL93))</f>
        <v>0</v>
      </c>
      <c r="AR93" s="9">
        <f>IF(Stock!AM93="",0,IF(ISNUMBER($E93),($E93+$F93)*Stock!AM93/100,Stock!AM93))</f>
        <v>0</v>
      </c>
      <c r="AS93" s="9">
        <f>IF(Stock!AN93="",0,IF(ISNUMBER($E93),($E93+$F93)*Stock!AN93/100,Stock!AN93))</f>
        <v>0</v>
      </c>
      <c r="AT93" s="9">
        <f>IF(Stock!AO93="",0,IF(ISNUMBER($E93),($E93+$F93)*Stock!AO93/100,Stock!AO93))</f>
        <v>0</v>
      </c>
      <c r="AU93" s="9">
        <f>IF(Stock!AP93="",0,IF(ISNUMBER($E93),($E93+$F93)*Stock!AP93/100,Stock!AP93))</f>
        <v>0</v>
      </c>
      <c r="AV93" s="9">
        <f>IF(Stock!AQ93="",0,IF(ISNUMBER($E93),($E93+$F93)*Stock!AQ93/100,Stock!AQ93))</f>
        <v>0</v>
      </c>
      <c r="AW93" s="9">
        <f>IF(Stock!AR93="",0,IF(ISNUMBER($E93),($E93+$F93)*Stock!AR93/100,Stock!AR93))</f>
        <v>0</v>
      </c>
      <c r="AX93" s="9">
        <f>IF(Stock!AS93="",0,IF(ISNUMBER($E93),($E93+$F93)*Stock!AS93/100,Stock!AS93))</f>
        <v>0</v>
      </c>
      <c r="AY93" s="9">
        <f>IF(Stock!AT93="",0,IF(ISNUMBER($E93),($E93+$F93)*Stock!AT93/100,Stock!AT93))</f>
        <v>0</v>
      </c>
      <c r="AZ93" s="9">
        <f>IF(Stock!AU93="",0,IF(ISNUMBER($E93),($E93+$F93)*Stock!AU93/100,Stock!AU93))</f>
        <v>0</v>
      </c>
      <c r="BA93" s="9">
        <f>IF(Stock!AV93="",0,IF(ISNUMBER($E93),($E93+$F93)*Stock!AV93/100,Stock!AV93))</f>
        <v>0</v>
      </c>
      <c r="BB93" s="9">
        <f>IF(Stock!AW93="",0,IF(ISNUMBER($E93),($E93+$F93)*Stock!AW93/100,Stock!AW93))</f>
        <v>0</v>
      </c>
      <c r="BC93" s="9">
        <f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>IF(Stock!C94="",0,IF(ISNUMBER($E94),($E94+$F94)*Stock!C94/100,Stock!C94))</f>
        <v>0</v>
      </c>
      <c r="I94" s="9">
        <f>IF(Stock!D94="",0,IF(ISNUMBER($E94),($E94+$F94)*Stock!D94/100,Stock!D94))</f>
        <v>0</v>
      </c>
      <c r="J94" s="9">
        <f>IF(Stock!E94="",0,IF(ISNUMBER($E94),($E94+$F94)*Stock!E94/100,Stock!E94))</f>
        <v>0</v>
      </c>
      <c r="K94" s="9">
        <f>IF(Stock!F94="",0,IF(ISNUMBER($E94),($E94+$F94)*Stock!F94/100,Stock!F94))</f>
        <v>0</v>
      </c>
      <c r="L94" s="9">
        <f>IF(Stock!G94="",0,IF(ISNUMBER($E94),($E94+$F94)*Stock!G94/100,Stock!G94))</f>
        <v>0</v>
      </c>
      <c r="M94" s="9">
        <f>IF(Stock!H94="",0,IF(ISNUMBER($E94),($E94+$F94)*Stock!H94/100,Stock!H94))</f>
        <v>0</v>
      </c>
      <c r="N94" s="9">
        <f>IF(Stock!I94="",0,IF(ISNUMBER($E94),($E94+$F94)*Stock!I94/100,Stock!I94))</f>
        <v>0</v>
      </c>
      <c r="O94" s="9">
        <f>IF(Stock!J94="",0,IF(ISNUMBER($E94),($E94+$F94)*Stock!J94/100,Stock!J94))</f>
        <v>0</v>
      </c>
      <c r="P94" s="9">
        <f>IF(Stock!K94="",0,IF(ISNUMBER($E94),($E94+$F94)*Stock!K94/100,Stock!K94))</f>
        <v>0</v>
      </c>
      <c r="Q94" s="9">
        <f>IF(Stock!L94="",0,IF(ISNUMBER($E94),($E94+$F94)*Stock!L94/100,Stock!L94))</f>
        <v>0</v>
      </c>
      <c r="R94" s="9">
        <f>IF(Stock!M94="",0,IF(ISNUMBER($E94),($E94+$F94)*Stock!M94/100,Stock!M94))</f>
        <v>0</v>
      </c>
      <c r="S94" s="9">
        <f>IF(Stock!N94="",0,IF(ISNUMBER($E94),($E94+$F94)*Stock!N94/100,Stock!N94))</f>
        <v>0</v>
      </c>
      <c r="T94" s="9">
        <f>IF(Stock!O94="",0,IF(ISNUMBER($E94),($E94+$F94)*Stock!O94/100,Stock!O94))</f>
        <v>0</v>
      </c>
      <c r="U94" s="9">
        <f>IF(Stock!P94="",0,IF(ISNUMBER($E94),($E94+$F94)*Stock!P94/100,Stock!P94))</f>
        <v>0</v>
      </c>
      <c r="V94" s="9">
        <f>IF(Stock!Q94="",0,IF(ISNUMBER($E94),($E94+$F94)*Stock!Q94/100,Stock!Q94))</f>
        <v>0</v>
      </c>
      <c r="W94" s="9">
        <f>IF(Stock!R94="",0,IF(ISNUMBER($E94),($E94+$F94)*Stock!R94/100,Stock!R94))</f>
        <v>0</v>
      </c>
      <c r="X94" s="9">
        <f>IF(Stock!S94="",0,IF(ISNUMBER($E94),($E94+$F94)*Stock!S94/100,Stock!S94))</f>
        <v>0</v>
      </c>
      <c r="Y94" s="9">
        <f>IF(Stock!T94="",0,IF(ISNUMBER($E94),($E94+$F94)*Stock!T94/100,Stock!T94))</f>
        <v>0</v>
      </c>
      <c r="Z94" s="9">
        <f>IF(Stock!U94="",0,IF(ISNUMBER($E94),($E94+$F94)*Stock!U94/100,Stock!U94))</f>
        <v>0</v>
      </c>
      <c r="AA94" s="9">
        <f>IF(Stock!V94="",0,IF(ISNUMBER($E94),($E94+$F94)*Stock!V94/100,Stock!V94))</f>
        <v>0</v>
      </c>
      <c r="AB94" s="9">
        <f>IF(Stock!W94="",0,IF(ISNUMBER($E94),($E94+$F94)*Stock!W94/100,Stock!W94))</f>
        <v>0</v>
      </c>
      <c r="AC94" s="9">
        <f>IF(Stock!X94="",0,IF(ISNUMBER($E94),($E94+$F94)*Stock!X94/100,Stock!X94))</f>
        <v>0</v>
      </c>
      <c r="AD94" s="9">
        <f>IF(Stock!Y94="",0,IF(ISNUMBER($E94),($E94+$F94)*Stock!Y94/100,Stock!Y94))</f>
        <v>0</v>
      </c>
      <c r="AE94" s="9">
        <f>IF(Stock!Z94="",0,IF(ISNUMBER($E94),($E94+$F94)*Stock!Z94/100,Stock!Z94))</f>
        <v>0</v>
      </c>
      <c r="AF94" s="9">
        <f>IF(Stock!AA94="",0,IF(ISNUMBER($E94),($E94+$F94)*Stock!AA94/100,Stock!AA94))</f>
        <v>0</v>
      </c>
      <c r="AG94" s="9">
        <f>IF(Stock!AB94="",0,IF(ISNUMBER($E94),($E94+$F94)*Stock!AB94/100,Stock!AB94))</f>
        <v>0</v>
      </c>
      <c r="AH94" s="9">
        <f>IF(Stock!AC94="",0,IF(ISNUMBER($E94),($E94+$F94)*Stock!AC94/100,Stock!AC94))</f>
        <v>0</v>
      </c>
      <c r="AI94" s="9">
        <f>IF(Stock!AD94="",0,IF(ISNUMBER($E94),($E94+$F94)*Stock!AD94/100,Stock!AD94))</f>
        <v>0</v>
      </c>
      <c r="AJ94" s="9">
        <f>IF(Stock!AE94="",0,IF(ISNUMBER($E94),($E94+$F94)*Stock!AE94/100,Stock!AE94))</f>
        <v>0</v>
      </c>
      <c r="AK94" s="9">
        <f>IF(Stock!AF94="",0,IF(ISNUMBER($E94),($E94+$F94)*Stock!AF94/100,Stock!AF94))</f>
        <v>0</v>
      </c>
      <c r="AL94" s="9">
        <f>IF(Stock!AG94="",0,IF(ISNUMBER($E94),($E94+$F94)*Stock!AG94/100,Stock!AG94))</f>
        <v>0</v>
      </c>
      <c r="AM94" s="9">
        <f>IF(Stock!AH94="",0,IF(ISNUMBER($E94),($E94+$F94)*Stock!AH94/100,Stock!AH94))</f>
        <v>0</v>
      </c>
      <c r="AN94" s="9">
        <f>IF(Stock!AI94="",0,IF(ISNUMBER($E94),($E94+$F94)*Stock!AI94/100,Stock!AI94))</f>
        <v>0</v>
      </c>
      <c r="AO94" s="9">
        <f>IF(Stock!AJ94="",0,IF(ISNUMBER($E94),($E94+$F94)*Stock!AJ94/100,Stock!AJ94))</f>
        <v>0</v>
      </c>
      <c r="AP94" s="9">
        <f>IF(Stock!AK94="",0,IF(ISNUMBER($E94),($E94+$F94)*Stock!AK94/100,Stock!AK94))</f>
        <v>0</v>
      </c>
      <c r="AQ94" s="9">
        <f>IF(Stock!AL94="",0,IF(ISNUMBER($E94),($E94+$F94)*Stock!AL94/100,Stock!AL94))</f>
        <v>0</v>
      </c>
      <c r="AR94" s="9">
        <f>IF(Stock!AM94="",0,IF(ISNUMBER($E94),($E94+$F94)*Stock!AM94/100,Stock!AM94))</f>
        <v>0</v>
      </c>
      <c r="AS94" s="9">
        <f>IF(Stock!AN94="",0,IF(ISNUMBER($E94),($E94+$F94)*Stock!AN94/100,Stock!AN94))</f>
        <v>0</v>
      </c>
      <c r="AT94" s="9">
        <f>IF(Stock!AO94="",0,IF(ISNUMBER($E94),($E94+$F94)*Stock!AO94/100,Stock!AO94))</f>
        <v>0</v>
      </c>
      <c r="AU94" s="9">
        <f>IF(Stock!AP94="",0,IF(ISNUMBER($E94),($E94+$F94)*Stock!AP94/100,Stock!AP94))</f>
        <v>0</v>
      </c>
      <c r="AV94" s="9">
        <f>IF(Stock!AQ94="",0,IF(ISNUMBER($E94),($E94+$F94)*Stock!AQ94/100,Stock!AQ94))</f>
        <v>0</v>
      </c>
      <c r="AW94" s="9">
        <f>IF(Stock!AR94="",0,IF(ISNUMBER($E94),($E94+$F94)*Stock!AR94/100,Stock!AR94))</f>
        <v>0</v>
      </c>
      <c r="AX94" s="9">
        <f>IF(Stock!AS94="",0,IF(ISNUMBER($E94),($E94+$F94)*Stock!AS94/100,Stock!AS94))</f>
        <v>0</v>
      </c>
      <c r="AY94" s="9">
        <f>IF(Stock!AT94="",0,IF(ISNUMBER($E94),($E94+$F94)*Stock!AT94/100,Stock!AT94))</f>
        <v>0</v>
      </c>
      <c r="AZ94" s="9">
        <f>IF(Stock!AU94="",0,IF(ISNUMBER($E94),($E94+$F94)*Stock!AU94/100,Stock!AU94))</f>
        <v>0</v>
      </c>
      <c r="BA94" s="9">
        <f>IF(Stock!AV94="",0,IF(ISNUMBER($E94),($E94+$F94)*Stock!AV94/100,Stock!AV94))</f>
        <v>0</v>
      </c>
      <c r="BB94" s="9">
        <f>IF(Stock!AW94="",0,IF(ISNUMBER($E94),($E94+$F94)*Stock!AW94/100,Stock!AW94))</f>
        <v>0</v>
      </c>
      <c r="BC94" s="9">
        <f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>IF(Stock!C95="",0,IF(ISNUMBER($E95),($E95+$F95)*Stock!C95/100,Stock!C95))</f>
        <v>0</v>
      </c>
      <c r="I95" s="9">
        <f>IF(Stock!D95="",0,IF(ISNUMBER($E95),($E95+$F95)*Stock!D95/100,Stock!D95))</f>
        <v>0</v>
      </c>
      <c r="J95" s="9">
        <f>IF(Stock!E95="",0,IF(ISNUMBER($E95),($E95+$F95)*Stock!E95/100,Stock!E95))</f>
        <v>0</v>
      </c>
      <c r="K95" s="9">
        <f>IF(Stock!F95="",0,IF(ISNUMBER($E95),($E95+$F95)*Stock!F95/100,Stock!F95))</f>
        <v>0</v>
      </c>
      <c r="L95" s="9">
        <f>IF(Stock!G95="",0,IF(ISNUMBER($E95),($E95+$F95)*Stock!G95/100,Stock!G95))</f>
        <v>0</v>
      </c>
      <c r="M95" s="9">
        <f>IF(Stock!H95="",0,IF(ISNUMBER($E95),($E95+$F95)*Stock!H95/100,Stock!H95))</f>
        <v>0</v>
      </c>
      <c r="N95" s="9">
        <f>IF(Stock!I95="",0,IF(ISNUMBER($E95),($E95+$F95)*Stock!I95/100,Stock!I95))</f>
        <v>0</v>
      </c>
      <c r="O95" s="9">
        <f>IF(Stock!J95="",0,IF(ISNUMBER($E95),($E95+$F95)*Stock!J95/100,Stock!J95))</f>
        <v>0</v>
      </c>
      <c r="P95" s="9">
        <f>IF(Stock!K95="",0,IF(ISNUMBER($E95),($E95+$F95)*Stock!K95/100,Stock!K95))</f>
        <v>0</v>
      </c>
      <c r="Q95" s="9">
        <f>IF(Stock!L95="",0,IF(ISNUMBER($E95),($E95+$F95)*Stock!L95/100,Stock!L95))</f>
        <v>0</v>
      </c>
      <c r="R95" s="9">
        <f>IF(Stock!M95="",0,IF(ISNUMBER($E95),($E95+$F95)*Stock!M95/100,Stock!M95))</f>
        <v>0</v>
      </c>
      <c r="S95" s="9">
        <f>IF(Stock!N95="",0,IF(ISNUMBER($E95),($E95+$F95)*Stock!N95/100,Stock!N95))</f>
        <v>0</v>
      </c>
      <c r="T95" s="9">
        <f>IF(Stock!O95="",0,IF(ISNUMBER($E95),($E95+$F95)*Stock!O95/100,Stock!O95))</f>
        <v>0</v>
      </c>
      <c r="U95" s="9">
        <f>IF(Stock!P95="",0,IF(ISNUMBER($E95),($E95+$F95)*Stock!P95/100,Stock!P95))</f>
        <v>0</v>
      </c>
      <c r="V95" s="9">
        <f>IF(Stock!Q95="",0,IF(ISNUMBER($E95),($E95+$F95)*Stock!Q95/100,Stock!Q95))</f>
        <v>0</v>
      </c>
      <c r="W95" s="9">
        <f>IF(Stock!R95="",0,IF(ISNUMBER($E95),($E95+$F95)*Stock!R95/100,Stock!R95))</f>
        <v>0</v>
      </c>
      <c r="X95" s="9">
        <f>IF(Stock!S95="",0,IF(ISNUMBER($E95),($E95+$F95)*Stock!S95/100,Stock!S95))</f>
        <v>0</v>
      </c>
      <c r="Y95" s="9">
        <f>IF(Stock!T95="",0,IF(ISNUMBER($E95),($E95+$F95)*Stock!T95/100,Stock!T95))</f>
        <v>0</v>
      </c>
      <c r="Z95" s="9">
        <f>IF(Stock!U95="",0,IF(ISNUMBER($E95),($E95+$F95)*Stock!U95/100,Stock!U95))</f>
        <v>0</v>
      </c>
      <c r="AA95" s="9">
        <f>IF(Stock!V95="",0,IF(ISNUMBER($E95),($E95+$F95)*Stock!V95/100,Stock!V95))</f>
        <v>0</v>
      </c>
      <c r="AB95" s="9">
        <f>IF(Stock!W95="",0,IF(ISNUMBER($E95),($E95+$F95)*Stock!W95/100,Stock!W95))</f>
        <v>0</v>
      </c>
      <c r="AC95" s="9">
        <f>IF(Stock!X95="",0,IF(ISNUMBER($E95),($E95+$F95)*Stock!X95/100,Stock!X95))</f>
        <v>0</v>
      </c>
      <c r="AD95" s="9">
        <f>IF(Stock!Y95="",0,IF(ISNUMBER($E95),($E95+$F95)*Stock!Y95/100,Stock!Y95))</f>
        <v>0</v>
      </c>
      <c r="AE95" s="9">
        <f>IF(Stock!Z95="",0,IF(ISNUMBER($E95),($E95+$F95)*Stock!Z95/100,Stock!Z95))</f>
        <v>0</v>
      </c>
      <c r="AF95" s="9">
        <f>IF(Stock!AA95="",0,IF(ISNUMBER($E95),($E95+$F95)*Stock!AA95/100,Stock!AA95))</f>
        <v>0</v>
      </c>
      <c r="AG95" s="9">
        <f>IF(Stock!AB95="",0,IF(ISNUMBER($E95),($E95+$F95)*Stock!AB95/100,Stock!AB95))</f>
        <v>0</v>
      </c>
      <c r="AH95" s="9">
        <f>IF(Stock!AC95="",0,IF(ISNUMBER($E95),($E95+$F95)*Stock!AC95/100,Stock!AC95))</f>
        <v>0</v>
      </c>
      <c r="AI95" s="9">
        <f>IF(Stock!AD95="",0,IF(ISNUMBER($E95),($E95+$F95)*Stock!AD95/100,Stock!AD95))</f>
        <v>0</v>
      </c>
      <c r="AJ95" s="9">
        <f>IF(Stock!AE95="",0,IF(ISNUMBER($E95),($E95+$F95)*Stock!AE95/100,Stock!AE95))</f>
        <v>0</v>
      </c>
      <c r="AK95" s="9">
        <f>IF(Stock!AF95="",0,IF(ISNUMBER($E95),($E95+$F95)*Stock!AF95/100,Stock!AF95))</f>
        <v>0</v>
      </c>
      <c r="AL95" s="9">
        <f>IF(Stock!AG95="",0,IF(ISNUMBER($E95),($E95+$F95)*Stock!AG95/100,Stock!AG95))</f>
        <v>0</v>
      </c>
      <c r="AM95" s="9">
        <f>IF(Stock!AH95="",0,IF(ISNUMBER($E95),($E95+$F95)*Stock!AH95/100,Stock!AH95))</f>
        <v>0</v>
      </c>
      <c r="AN95" s="9">
        <f>IF(Stock!AI95="",0,IF(ISNUMBER($E95),($E95+$F95)*Stock!AI95/100,Stock!AI95))</f>
        <v>0</v>
      </c>
      <c r="AO95" s="9">
        <f>IF(Stock!AJ95="",0,IF(ISNUMBER($E95),($E95+$F95)*Stock!AJ95/100,Stock!AJ95))</f>
        <v>0</v>
      </c>
      <c r="AP95" s="9">
        <f>IF(Stock!AK95="",0,IF(ISNUMBER($E95),($E95+$F95)*Stock!AK95/100,Stock!AK95))</f>
        <v>0</v>
      </c>
      <c r="AQ95" s="9">
        <f>IF(Stock!AL95="",0,IF(ISNUMBER($E95),($E95+$F95)*Stock!AL95/100,Stock!AL95))</f>
        <v>0</v>
      </c>
      <c r="AR95" s="9">
        <f>IF(Stock!AM95="",0,IF(ISNUMBER($E95),($E95+$F95)*Stock!AM95/100,Stock!AM95))</f>
        <v>0</v>
      </c>
      <c r="AS95" s="9">
        <f>IF(Stock!AN95="",0,IF(ISNUMBER($E95),($E95+$F95)*Stock!AN95/100,Stock!AN95))</f>
        <v>0</v>
      </c>
      <c r="AT95" s="9">
        <f>IF(Stock!AO95="",0,IF(ISNUMBER($E95),($E95+$F95)*Stock!AO95/100,Stock!AO95))</f>
        <v>0</v>
      </c>
      <c r="AU95" s="9">
        <f>IF(Stock!AP95="",0,IF(ISNUMBER($E95),($E95+$F95)*Stock!AP95/100,Stock!AP95))</f>
        <v>0</v>
      </c>
      <c r="AV95" s="9">
        <f>IF(Stock!AQ95="",0,IF(ISNUMBER($E95),($E95+$F95)*Stock!AQ95/100,Stock!AQ95))</f>
        <v>0</v>
      </c>
      <c r="AW95" s="9">
        <f>IF(Stock!AR95="",0,IF(ISNUMBER($E95),($E95+$F95)*Stock!AR95/100,Stock!AR95))</f>
        <v>0</v>
      </c>
      <c r="AX95" s="9">
        <f>IF(Stock!AS95="",0,IF(ISNUMBER($E95),($E95+$F95)*Stock!AS95/100,Stock!AS95))</f>
        <v>0</v>
      </c>
      <c r="AY95" s="9">
        <f>IF(Stock!AT95="",0,IF(ISNUMBER($E95),($E95+$F95)*Stock!AT95/100,Stock!AT95))</f>
        <v>0</v>
      </c>
      <c r="AZ95" s="9">
        <f>IF(Stock!AU95="",0,IF(ISNUMBER($E95),($E95+$F95)*Stock!AU95/100,Stock!AU95))</f>
        <v>0</v>
      </c>
      <c r="BA95" s="9">
        <f>IF(Stock!AV95="",0,IF(ISNUMBER($E95),($E95+$F95)*Stock!AV95/100,Stock!AV95))</f>
        <v>0</v>
      </c>
      <c r="BB95" s="9">
        <f>IF(Stock!AW95="",0,IF(ISNUMBER($E95),($E95+$F95)*Stock!AW95/100,Stock!AW95))</f>
        <v>0</v>
      </c>
      <c r="BC95" s="9">
        <f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>IF(Stock!C96="",0,IF(ISNUMBER($E96),($E96+$F96)*Stock!C96/100,Stock!C96))</f>
        <v>0</v>
      </c>
      <c r="I96" s="9">
        <f>IF(Stock!D96="",0,IF(ISNUMBER($E96),($E96+$F96)*Stock!D96/100,Stock!D96))</f>
        <v>0</v>
      </c>
      <c r="J96" s="9">
        <f>IF(Stock!E96="",0,IF(ISNUMBER($E96),($E96+$F96)*Stock!E96/100,Stock!E96))</f>
        <v>0</v>
      </c>
      <c r="K96" s="9">
        <f>IF(Stock!F96="",0,IF(ISNUMBER($E96),($E96+$F96)*Stock!F96/100,Stock!F96))</f>
        <v>0</v>
      </c>
      <c r="L96" s="9">
        <f>IF(Stock!G96="",0,IF(ISNUMBER($E96),($E96+$F96)*Stock!G96/100,Stock!G96))</f>
        <v>0</v>
      </c>
      <c r="M96" s="9">
        <f>IF(Stock!H96="",0,IF(ISNUMBER($E96),($E96+$F96)*Stock!H96/100,Stock!H96))</f>
        <v>0</v>
      </c>
      <c r="N96" s="9">
        <f>IF(Stock!I96="",0,IF(ISNUMBER($E96),($E96+$F96)*Stock!I96/100,Stock!I96))</f>
        <v>0</v>
      </c>
      <c r="O96" s="9">
        <f>IF(Stock!J96="",0,IF(ISNUMBER($E96),($E96+$F96)*Stock!J96/100,Stock!J96))</f>
        <v>0</v>
      </c>
      <c r="P96" s="9">
        <f>IF(Stock!K96="",0,IF(ISNUMBER($E96),($E96+$F96)*Stock!K96/100,Stock!K96))</f>
        <v>0</v>
      </c>
      <c r="Q96" s="9">
        <f>IF(Stock!L96="",0,IF(ISNUMBER($E96),($E96+$F96)*Stock!L96/100,Stock!L96))</f>
        <v>0</v>
      </c>
      <c r="R96" s="9">
        <f>IF(Stock!M96="",0,IF(ISNUMBER($E96),($E96+$F96)*Stock!M96/100,Stock!M96))</f>
        <v>0</v>
      </c>
      <c r="S96" s="9">
        <f>IF(Stock!N96="",0,IF(ISNUMBER($E96),($E96+$F96)*Stock!N96/100,Stock!N96))</f>
        <v>0</v>
      </c>
      <c r="T96" s="9">
        <f>IF(Stock!O96="",0,IF(ISNUMBER($E96),($E96+$F96)*Stock!O96/100,Stock!O96))</f>
        <v>0</v>
      </c>
      <c r="U96" s="9">
        <f>IF(Stock!P96="",0,IF(ISNUMBER($E96),($E96+$F96)*Stock!P96/100,Stock!P96))</f>
        <v>0</v>
      </c>
      <c r="V96" s="9">
        <f>IF(Stock!Q96="",0,IF(ISNUMBER($E96),($E96+$F96)*Stock!Q96/100,Stock!Q96))</f>
        <v>0</v>
      </c>
      <c r="W96" s="9">
        <f>IF(Stock!R96="",0,IF(ISNUMBER($E96),($E96+$F96)*Stock!R96/100,Stock!R96))</f>
        <v>0</v>
      </c>
      <c r="X96" s="9">
        <f>IF(Stock!S96="",0,IF(ISNUMBER($E96),($E96+$F96)*Stock!S96/100,Stock!S96))</f>
        <v>0</v>
      </c>
      <c r="Y96" s="9">
        <f>IF(Stock!T96="",0,IF(ISNUMBER($E96),($E96+$F96)*Stock!T96/100,Stock!T96))</f>
        <v>0</v>
      </c>
      <c r="Z96" s="9">
        <f>IF(Stock!U96="",0,IF(ISNUMBER($E96),($E96+$F96)*Stock!U96/100,Stock!U96))</f>
        <v>0</v>
      </c>
      <c r="AA96" s="9">
        <f>IF(Stock!V96="",0,IF(ISNUMBER($E96),($E96+$F96)*Stock!V96/100,Stock!V96))</f>
        <v>0</v>
      </c>
      <c r="AB96" s="9">
        <f>IF(Stock!W96="",0,IF(ISNUMBER($E96),($E96+$F96)*Stock!W96/100,Stock!W96))</f>
        <v>0</v>
      </c>
      <c r="AC96" s="9">
        <f>IF(Stock!X96="",0,IF(ISNUMBER($E96),($E96+$F96)*Stock!X96/100,Stock!X96))</f>
        <v>0</v>
      </c>
      <c r="AD96" s="9">
        <f>IF(Stock!Y96="",0,IF(ISNUMBER($E96),($E96+$F96)*Stock!Y96/100,Stock!Y96))</f>
        <v>0</v>
      </c>
      <c r="AE96" s="9">
        <f>IF(Stock!Z96="",0,IF(ISNUMBER($E96),($E96+$F96)*Stock!Z96/100,Stock!Z96))</f>
        <v>0</v>
      </c>
      <c r="AF96" s="9">
        <f>IF(Stock!AA96="",0,IF(ISNUMBER($E96),($E96+$F96)*Stock!AA96/100,Stock!AA96))</f>
        <v>0</v>
      </c>
      <c r="AG96" s="9">
        <f>IF(Stock!AB96="",0,IF(ISNUMBER($E96),($E96+$F96)*Stock!AB96/100,Stock!AB96))</f>
        <v>0</v>
      </c>
      <c r="AH96" s="9">
        <f>IF(Stock!AC96="",0,IF(ISNUMBER($E96),($E96+$F96)*Stock!AC96/100,Stock!AC96))</f>
        <v>0</v>
      </c>
      <c r="AI96" s="9">
        <f>IF(Stock!AD96="",0,IF(ISNUMBER($E96),($E96+$F96)*Stock!AD96/100,Stock!AD96))</f>
        <v>0</v>
      </c>
      <c r="AJ96" s="9">
        <f>IF(Stock!AE96="",0,IF(ISNUMBER($E96),($E96+$F96)*Stock!AE96/100,Stock!AE96))</f>
        <v>0</v>
      </c>
      <c r="AK96" s="9">
        <f>IF(Stock!AF96="",0,IF(ISNUMBER($E96),($E96+$F96)*Stock!AF96/100,Stock!AF96))</f>
        <v>0</v>
      </c>
      <c r="AL96" s="9">
        <f>IF(Stock!AG96="",0,IF(ISNUMBER($E96),($E96+$F96)*Stock!AG96/100,Stock!AG96))</f>
        <v>0</v>
      </c>
      <c r="AM96" s="9">
        <f>IF(Stock!AH96="",0,IF(ISNUMBER($E96),($E96+$F96)*Stock!AH96/100,Stock!AH96))</f>
        <v>0</v>
      </c>
      <c r="AN96" s="9">
        <f>IF(Stock!AI96="",0,IF(ISNUMBER($E96),($E96+$F96)*Stock!AI96/100,Stock!AI96))</f>
        <v>0</v>
      </c>
      <c r="AO96" s="9">
        <f>IF(Stock!AJ96="",0,IF(ISNUMBER($E96),($E96+$F96)*Stock!AJ96/100,Stock!AJ96))</f>
        <v>0</v>
      </c>
      <c r="AP96" s="9">
        <f>IF(Stock!AK96="",0,IF(ISNUMBER($E96),($E96+$F96)*Stock!AK96/100,Stock!AK96))</f>
        <v>0</v>
      </c>
      <c r="AQ96" s="9">
        <f>IF(Stock!AL96="",0,IF(ISNUMBER($E96),($E96+$F96)*Stock!AL96/100,Stock!AL96))</f>
        <v>0</v>
      </c>
      <c r="AR96" s="9">
        <f>IF(Stock!AM96="",0,IF(ISNUMBER($E96),($E96+$F96)*Stock!AM96/100,Stock!AM96))</f>
        <v>0</v>
      </c>
      <c r="AS96" s="9">
        <f>IF(Stock!AN96="",0,IF(ISNUMBER($E96),($E96+$F96)*Stock!AN96/100,Stock!AN96))</f>
        <v>0</v>
      </c>
      <c r="AT96" s="9">
        <f>IF(Stock!AO96="",0,IF(ISNUMBER($E96),($E96+$F96)*Stock!AO96/100,Stock!AO96))</f>
        <v>0</v>
      </c>
      <c r="AU96" s="9">
        <f>IF(Stock!AP96="",0,IF(ISNUMBER($E96),($E96+$F96)*Stock!AP96/100,Stock!AP96))</f>
        <v>0</v>
      </c>
      <c r="AV96" s="9">
        <f>IF(Stock!AQ96="",0,IF(ISNUMBER($E96),($E96+$F96)*Stock!AQ96/100,Stock!AQ96))</f>
        <v>0</v>
      </c>
      <c r="AW96" s="9">
        <f>IF(Stock!AR96="",0,IF(ISNUMBER($E96),($E96+$F96)*Stock!AR96/100,Stock!AR96))</f>
        <v>0</v>
      </c>
      <c r="AX96" s="9">
        <f>IF(Stock!AS96="",0,IF(ISNUMBER($E96),($E96+$F96)*Stock!AS96/100,Stock!AS96))</f>
        <v>0</v>
      </c>
      <c r="AY96" s="9">
        <f>IF(Stock!AT96="",0,IF(ISNUMBER($E96),($E96+$F96)*Stock!AT96/100,Stock!AT96))</f>
        <v>0</v>
      </c>
      <c r="AZ96" s="9">
        <f>IF(Stock!AU96="",0,IF(ISNUMBER($E96),($E96+$F96)*Stock!AU96/100,Stock!AU96))</f>
        <v>0</v>
      </c>
      <c r="BA96" s="9">
        <f>IF(Stock!AV96="",0,IF(ISNUMBER($E96),($E96+$F96)*Stock!AV96/100,Stock!AV96))</f>
        <v>0</v>
      </c>
      <c r="BB96" s="9">
        <f>IF(Stock!AW96="",0,IF(ISNUMBER($E96),($E96+$F96)*Stock!AW96/100,Stock!AW96))</f>
        <v>0</v>
      </c>
      <c r="BC96" s="9">
        <f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>IF(Stock!C97="",0,IF(ISNUMBER($E97),($E97+$F97)*Stock!C97/100,Stock!C97))</f>
        <v>0</v>
      </c>
      <c r="I97" s="9">
        <f>IF(Stock!D97="",0,IF(ISNUMBER($E97),($E97+$F97)*Stock!D97/100,Stock!D97))</f>
        <v>0</v>
      </c>
      <c r="J97" s="9">
        <f>IF(Stock!E97="",0,IF(ISNUMBER($E97),($E97+$F97)*Stock!E97/100,Stock!E97))</f>
        <v>0</v>
      </c>
      <c r="K97" s="9">
        <f>IF(Stock!F97="",0,IF(ISNUMBER($E97),($E97+$F97)*Stock!F97/100,Stock!F97))</f>
        <v>0</v>
      </c>
      <c r="L97" s="9">
        <f>IF(Stock!G97="",0,IF(ISNUMBER($E97),($E97+$F97)*Stock!G97/100,Stock!G97))</f>
        <v>0</v>
      </c>
      <c r="M97" s="9">
        <f>IF(Stock!H97="",0,IF(ISNUMBER($E97),($E97+$F97)*Stock!H97/100,Stock!H97))</f>
        <v>0</v>
      </c>
      <c r="N97" s="9">
        <f>IF(Stock!I97="",0,IF(ISNUMBER($E97),($E97+$F97)*Stock!I97/100,Stock!I97))</f>
        <v>0</v>
      </c>
      <c r="O97" s="9">
        <f>IF(Stock!J97="",0,IF(ISNUMBER($E97),($E97+$F97)*Stock!J97/100,Stock!J97))</f>
        <v>0</v>
      </c>
      <c r="P97" s="9">
        <f>IF(Stock!K97="",0,IF(ISNUMBER($E97),($E97+$F97)*Stock!K97/100,Stock!K97))</f>
        <v>0</v>
      </c>
      <c r="Q97" s="9">
        <f>IF(Stock!L97="",0,IF(ISNUMBER($E97),($E97+$F97)*Stock!L97/100,Stock!L97))</f>
        <v>0</v>
      </c>
      <c r="R97" s="9">
        <f>IF(Stock!M97="",0,IF(ISNUMBER($E97),($E97+$F97)*Stock!M97/100,Stock!M97))</f>
        <v>0</v>
      </c>
      <c r="S97" s="9">
        <f>IF(Stock!N97="",0,IF(ISNUMBER($E97),($E97+$F97)*Stock!N97/100,Stock!N97))</f>
        <v>0</v>
      </c>
      <c r="T97" s="9">
        <f>IF(Stock!O97="",0,IF(ISNUMBER($E97),($E97+$F97)*Stock!O97/100,Stock!O97))</f>
        <v>0</v>
      </c>
      <c r="U97" s="9">
        <f>IF(Stock!P97="",0,IF(ISNUMBER($E97),($E97+$F97)*Stock!P97/100,Stock!P97))</f>
        <v>0</v>
      </c>
      <c r="V97" s="9">
        <f>IF(Stock!Q97="",0,IF(ISNUMBER($E97),($E97+$F97)*Stock!Q97/100,Stock!Q97))</f>
        <v>0</v>
      </c>
      <c r="W97" s="9">
        <f>IF(Stock!R97="",0,IF(ISNUMBER($E97),($E97+$F97)*Stock!R97/100,Stock!R97))</f>
        <v>0</v>
      </c>
      <c r="X97" s="9">
        <f>IF(Stock!S97="",0,IF(ISNUMBER($E97),($E97+$F97)*Stock!S97/100,Stock!S97))</f>
        <v>0</v>
      </c>
      <c r="Y97" s="9">
        <f>IF(Stock!T97="",0,IF(ISNUMBER($E97),($E97+$F97)*Stock!T97/100,Stock!T97))</f>
        <v>0</v>
      </c>
      <c r="Z97" s="9">
        <f>IF(Stock!U97="",0,IF(ISNUMBER($E97),($E97+$F97)*Stock!U97/100,Stock!U97))</f>
        <v>0</v>
      </c>
      <c r="AA97" s="9">
        <f>IF(Stock!V97="",0,IF(ISNUMBER($E97),($E97+$F97)*Stock!V97/100,Stock!V97))</f>
        <v>0</v>
      </c>
      <c r="AB97" s="9">
        <f>IF(Stock!W97="",0,IF(ISNUMBER($E97),($E97+$F97)*Stock!W97/100,Stock!W97))</f>
        <v>0</v>
      </c>
      <c r="AC97" s="9">
        <f>IF(Stock!X97="",0,IF(ISNUMBER($E97),($E97+$F97)*Stock!X97/100,Stock!X97))</f>
        <v>0</v>
      </c>
      <c r="AD97" s="9">
        <f>IF(Stock!Y97="",0,IF(ISNUMBER($E97),($E97+$F97)*Stock!Y97/100,Stock!Y97))</f>
        <v>0</v>
      </c>
      <c r="AE97" s="9">
        <f>IF(Stock!Z97="",0,IF(ISNUMBER($E97),($E97+$F97)*Stock!Z97/100,Stock!Z97))</f>
        <v>0</v>
      </c>
      <c r="AF97" s="9">
        <f>IF(Stock!AA97="",0,IF(ISNUMBER($E97),($E97+$F97)*Stock!AA97/100,Stock!AA97))</f>
        <v>0</v>
      </c>
      <c r="AG97" s="9">
        <f>IF(Stock!AB97="",0,IF(ISNUMBER($E97),($E97+$F97)*Stock!AB97/100,Stock!AB97))</f>
        <v>0</v>
      </c>
      <c r="AH97" s="9">
        <f>IF(Stock!AC97="",0,IF(ISNUMBER($E97),($E97+$F97)*Stock!AC97/100,Stock!AC97))</f>
        <v>0</v>
      </c>
      <c r="AI97" s="9">
        <f>IF(Stock!AD97="",0,IF(ISNUMBER($E97),($E97+$F97)*Stock!AD97/100,Stock!AD97))</f>
        <v>0</v>
      </c>
      <c r="AJ97" s="9">
        <f>IF(Stock!AE97="",0,IF(ISNUMBER($E97),($E97+$F97)*Stock!AE97/100,Stock!AE97))</f>
        <v>0</v>
      </c>
      <c r="AK97" s="9">
        <f>IF(Stock!AF97="",0,IF(ISNUMBER($E97),($E97+$F97)*Stock!AF97/100,Stock!AF97))</f>
        <v>0</v>
      </c>
      <c r="AL97" s="9">
        <f>IF(Stock!AG97="",0,IF(ISNUMBER($E97),($E97+$F97)*Stock!AG97/100,Stock!AG97))</f>
        <v>0</v>
      </c>
      <c r="AM97" s="9">
        <f>IF(Stock!AH97="",0,IF(ISNUMBER($E97),($E97+$F97)*Stock!AH97/100,Stock!AH97))</f>
        <v>0</v>
      </c>
      <c r="AN97" s="9">
        <f>IF(Stock!AI97="",0,IF(ISNUMBER($E97),($E97+$F97)*Stock!AI97/100,Stock!AI97))</f>
        <v>0</v>
      </c>
      <c r="AO97" s="9">
        <f>IF(Stock!AJ97="",0,IF(ISNUMBER($E97),($E97+$F97)*Stock!AJ97/100,Stock!AJ97))</f>
        <v>0</v>
      </c>
      <c r="AP97" s="9">
        <f>IF(Stock!AK97="",0,IF(ISNUMBER($E97),($E97+$F97)*Stock!AK97/100,Stock!AK97))</f>
        <v>0</v>
      </c>
      <c r="AQ97" s="9">
        <f>IF(Stock!AL97="",0,IF(ISNUMBER($E97),($E97+$F97)*Stock!AL97/100,Stock!AL97))</f>
        <v>0</v>
      </c>
      <c r="AR97" s="9">
        <f>IF(Stock!AM97="",0,IF(ISNUMBER($E97),($E97+$F97)*Stock!AM97/100,Stock!AM97))</f>
        <v>0</v>
      </c>
      <c r="AS97" s="9">
        <f>IF(Stock!AN97="",0,IF(ISNUMBER($E97),($E97+$F97)*Stock!AN97/100,Stock!AN97))</f>
        <v>0</v>
      </c>
      <c r="AT97" s="9">
        <f>IF(Stock!AO97="",0,IF(ISNUMBER($E97),($E97+$F97)*Stock!AO97/100,Stock!AO97))</f>
        <v>0</v>
      </c>
      <c r="AU97" s="9">
        <f>IF(Stock!AP97="",0,IF(ISNUMBER($E97),($E97+$F97)*Stock!AP97/100,Stock!AP97))</f>
        <v>0</v>
      </c>
      <c r="AV97" s="9">
        <f>IF(Stock!AQ97="",0,IF(ISNUMBER($E97),($E97+$F97)*Stock!AQ97/100,Stock!AQ97))</f>
        <v>0</v>
      </c>
      <c r="AW97" s="9">
        <f>IF(Stock!AR97="",0,IF(ISNUMBER($E97),($E97+$F97)*Stock!AR97/100,Stock!AR97))</f>
        <v>0</v>
      </c>
      <c r="AX97" s="9">
        <f>IF(Stock!AS97="",0,IF(ISNUMBER($E97),($E97+$F97)*Stock!AS97/100,Stock!AS97))</f>
        <v>0</v>
      </c>
      <c r="AY97" s="9">
        <f>IF(Stock!AT97="",0,IF(ISNUMBER($E97),($E97+$F97)*Stock!AT97/100,Stock!AT97))</f>
        <v>0</v>
      </c>
      <c r="AZ97" s="9">
        <f>IF(Stock!AU97="",0,IF(ISNUMBER($E97),($E97+$F97)*Stock!AU97/100,Stock!AU97))</f>
        <v>0</v>
      </c>
      <c r="BA97" s="9">
        <f>IF(Stock!AV97="",0,IF(ISNUMBER($E97),($E97+$F97)*Stock!AV97/100,Stock!AV97))</f>
        <v>0</v>
      </c>
      <c r="BB97" s="9">
        <f>IF(Stock!AW97="",0,IF(ISNUMBER($E97),($E97+$F97)*Stock!AW97/100,Stock!AW97))</f>
        <v>0</v>
      </c>
      <c r="BC97" s="9">
        <f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>IF(Stock!C98="",0,IF(ISNUMBER($E98),($E98+$F98)*Stock!C98/100,Stock!C98))</f>
        <v>0</v>
      </c>
      <c r="I98" s="9">
        <f>IF(Stock!D98="",0,IF(ISNUMBER($E98),($E98+$F98)*Stock!D98/100,Stock!D98))</f>
        <v>0</v>
      </c>
      <c r="J98" s="9">
        <f>IF(Stock!E98="",0,IF(ISNUMBER($E98),($E98+$F98)*Stock!E98/100,Stock!E98))</f>
        <v>0</v>
      </c>
      <c r="K98" s="9">
        <f>IF(Stock!F98="",0,IF(ISNUMBER($E98),($E98+$F98)*Stock!F98/100,Stock!F98))</f>
        <v>0</v>
      </c>
      <c r="L98" s="9">
        <f>IF(Stock!G98="",0,IF(ISNUMBER($E98),($E98+$F98)*Stock!G98/100,Stock!G98))</f>
        <v>0</v>
      </c>
      <c r="M98" s="9">
        <f>IF(Stock!H98="",0,IF(ISNUMBER($E98),($E98+$F98)*Stock!H98/100,Stock!H98))</f>
        <v>0</v>
      </c>
      <c r="N98" s="9">
        <f>IF(Stock!I98="",0,IF(ISNUMBER($E98),($E98+$F98)*Stock!I98/100,Stock!I98))</f>
        <v>0</v>
      </c>
      <c r="O98" s="9">
        <f>IF(Stock!J98="",0,IF(ISNUMBER($E98),($E98+$F98)*Stock!J98/100,Stock!J98))</f>
        <v>0</v>
      </c>
      <c r="P98" s="9">
        <f>IF(Stock!K98="",0,IF(ISNUMBER($E98),($E98+$F98)*Stock!K98/100,Stock!K98))</f>
        <v>0</v>
      </c>
      <c r="Q98" s="9">
        <f>IF(Stock!L98="",0,IF(ISNUMBER($E98),($E98+$F98)*Stock!L98/100,Stock!L98))</f>
        <v>0</v>
      </c>
      <c r="R98" s="9">
        <f>IF(Stock!M98="",0,IF(ISNUMBER($E98),($E98+$F98)*Stock!M98/100,Stock!M98))</f>
        <v>0</v>
      </c>
      <c r="S98" s="9">
        <f>IF(Stock!N98="",0,IF(ISNUMBER($E98),($E98+$F98)*Stock!N98/100,Stock!N98))</f>
        <v>0</v>
      </c>
      <c r="T98" s="9">
        <f>IF(Stock!O98="",0,IF(ISNUMBER($E98),($E98+$F98)*Stock!O98/100,Stock!O98))</f>
        <v>0</v>
      </c>
      <c r="U98" s="9">
        <f>IF(Stock!P98="",0,IF(ISNUMBER($E98),($E98+$F98)*Stock!P98/100,Stock!P98))</f>
        <v>0</v>
      </c>
      <c r="V98" s="9">
        <f>IF(Stock!Q98="",0,IF(ISNUMBER($E98),($E98+$F98)*Stock!Q98/100,Stock!Q98))</f>
        <v>0</v>
      </c>
      <c r="W98" s="9">
        <f>IF(Stock!R98="",0,IF(ISNUMBER($E98),($E98+$F98)*Stock!R98/100,Stock!R98))</f>
        <v>0</v>
      </c>
      <c r="X98" s="9">
        <f>IF(Stock!S98="",0,IF(ISNUMBER($E98),($E98+$F98)*Stock!S98/100,Stock!S98))</f>
        <v>0</v>
      </c>
      <c r="Y98" s="9">
        <f>IF(Stock!T98="",0,IF(ISNUMBER($E98),($E98+$F98)*Stock!T98/100,Stock!T98))</f>
        <v>0</v>
      </c>
      <c r="Z98" s="9">
        <f>IF(Stock!U98="",0,IF(ISNUMBER($E98),($E98+$F98)*Stock!U98/100,Stock!U98))</f>
        <v>0</v>
      </c>
      <c r="AA98" s="9">
        <f>IF(Stock!V98="",0,IF(ISNUMBER($E98),($E98+$F98)*Stock!V98/100,Stock!V98))</f>
        <v>0</v>
      </c>
      <c r="AB98" s="9">
        <f>IF(Stock!W98="",0,IF(ISNUMBER($E98),($E98+$F98)*Stock!W98/100,Stock!W98))</f>
        <v>0</v>
      </c>
      <c r="AC98" s="9">
        <f>IF(Stock!X98="",0,IF(ISNUMBER($E98),($E98+$F98)*Stock!X98/100,Stock!X98))</f>
        <v>0</v>
      </c>
      <c r="AD98" s="9">
        <f>IF(Stock!Y98="",0,IF(ISNUMBER($E98),($E98+$F98)*Stock!Y98/100,Stock!Y98))</f>
        <v>0</v>
      </c>
      <c r="AE98" s="9">
        <f>IF(Stock!Z98="",0,IF(ISNUMBER($E98),($E98+$F98)*Stock!Z98/100,Stock!Z98))</f>
        <v>0</v>
      </c>
      <c r="AF98" s="9">
        <f>IF(Stock!AA98="",0,IF(ISNUMBER($E98),($E98+$F98)*Stock!AA98/100,Stock!AA98))</f>
        <v>0</v>
      </c>
      <c r="AG98" s="9">
        <f>IF(Stock!AB98="",0,IF(ISNUMBER($E98),($E98+$F98)*Stock!AB98/100,Stock!AB98))</f>
        <v>0</v>
      </c>
      <c r="AH98" s="9">
        <f>IF(Stock!AC98="",0,IF(ISNUMBER($E98),($E98+$F98)*Stock!AC98/100,Stock!AC98))</f>
        <v>0</v>
      </c>
      <c r="AI98" s="9">
        <f>IF(Stock!AD98="",0,IF(ISNUMBER($E98),($E98+$F98)*Stock!AD98/100,Stock!AD98))</f>
        <v>0</v>
      </c>
      <c r="AJ98" s="9">
        <f>IF(Stock!AE98="",0,IF(ISNUMBER($E98),($E98+$F98)*Stock!AE98/100,Stock!AE98))</f>
        <v>0</v>
      </c>
      <c r="AK98" s="9">
        <f>IF(Stock!AF98="",0,IF(ISNUMBER($E98),($E98+$F98)*Stock!AF98/100,Stock!AF98))</f>
        <v>0</v>
      </c>
      <c r="AL98" s="9">
        <f>IF(Stock!AG98="",0,IF(ISNUMBER($E98),($E98+$F98)*Stock!AG98/100,Stock!AG98))</f>
        <v>0</v>
      </c>
      <c r="AM98" s="9">
        <f>IF(Stock!AH98="",0,IF(ISNUMBER($E98),($E98+$F98)*Stock!AH98/100,Stock!AH98))</f>
        <v>0</v>
      </c>
      <c r="AN98" s="9">
        <f>IF(Stock!AI98="",0,IF(ISNUMBER($E98),($E98+$F98)*Stock!AI98/100,Stock!AI98))</f>
        <v>0</v>
      </c>
      <c r="AO98" s="9">
        <f>IF(Stock!AJ98="",0,IF(ISNUMBER($E98),($E98+$F98)*Stock!AJ98/100,Stock!AJ98))</f>
        <v>0</v>
      </c>
      <c r="AP98" s="9">
        <f>IF(Stock!AK98="",0,IF(ISNUMBER($E98),($E98+$F98)*Stock!AK98/100,Stock!AK98))</f>
        <v>0</v>
      </c>
      <c r="AQ98" s="9">
        <f>IF(Stock!AL98="",0,IF(ISNUMBER($E98),($E98+$F98)*Stock!AL98/100,Stock!AL98))</f>
        <v>0</v>
      </c>
      <c r="AR98" s="9">
        <f>IF(Stock!AM98="",0,IF(ISNUMBER($E98),($E98+$F98)*Stock!AM98/100,Stock!AM98))</f>
        <v>0</v>
      </c>
      <c r="AS98" s="9">
        <f>IF(Stock!AN98="",0,IF(ISNUMBER($E98),($E98+$F98)*Stock!AN98/100,Stock!AN98))</f>
        <v>0</v>
      </c>
      <c r="AT98" s="9">
        <f>IF(Stock!AO98="",0,IF(ISNUMBER($E98),($E98+$F98)*Stock!AO98/100,Stock!AO98))</f>
        <v>0</v>
      </c>
      <c r="AU98" s="9">
        <f>IF(Stock!AP98="",0,IF(ISNUMBER($E98),($E98+$F98)*Stock!AP98/100,Stock!AP98))</f>
        <v>0</v>
      </c>
      <c r="AV98" s="9">
        <f>IF(Stock!AQ98="",0,IF(ISNUMBER($E98),($E98+$F98)*Stock!AQ98/100,Stock!AQ98))</f>
        <v>0</v>
      </c>
      <c r="AW98" s="9">
        <f>IF(Stock!AR98="",0,IF(ISNUMBER($E98),($E98+$F98)*Stock!AR98/100,Stock!AR98))</f>
        <v>0</v>
      </c>
      <c r="AX98" s="9">
        <f>IF(Stock!AS98="",0,IF(ISNUMBER($E98),($E98+$F98)*Stock!AS98/100,Stock!AS98))</f>
        <v>0</v>
      </c>
      <c r="AY98" s="9">
        <f>IF(Stock!AT98="",0,IF(ISNUMBER($E98),($E98+$F98)*Stock!AT98/100,Stock!AT98))</f>
        <v>0</v>
      </c>
      <c r="AZ98" s="9">
        <f>IF(Stock!AU98="",0,IF(ISNUMBER($E98),($E98+$F98)*Stock!AU98/100,Stock!AU98))</f>
        <v>0</v>
      </c>
      <c r="BA98" s="9">
        <f>IF(Stock!AV98="",0,IF(ISNUMBER($E98),($E98+$F98)*Stock!AV98/100,Stock!AV98))</f>
        <v>0</v>
      </c>
      <c r="BB98" s="9">
        <f>IF(Stock!AW98="",0,IF(ISNUMBER($E98),($E98+$F98)*Stock!AW98/100,Stock!AW98))</f>
        <v>0</v>
      </c>
      <c r="BC98" s="9">
        <f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>IF(Stock!C99="",0,IF(ISNUMBER($E99),($E99+$F99)*Stock!C99/100,Stock!C99))</f>
        <v>0</v>
      </c>
      <c r="I99" s="9">
        <f>IF(Stock!D99="",0,IF(ISNUMBER($E99),($E99+$F99)*Stock!D99/100,Stock!D99))</f>
        <v>0</v>
      </c>
      <c r="J99" s="9">
        <f>IF(Stock!E99="",0,IF(ISNUMBER($E99),($E99+$F99)*Stock!E99/100,Stock!E99))</f>
        <v>0</v>
      </c>
      <c r="K99" s="9">
        <f>IF(Stock!F99="",0,IF(ISNUMBER($E99),($E99+$F99)*Stock!F99/100,Stock!F99))</f>
        <v>0</v>
      </c>
      <c r="L99" s="9">
        <f>IF(Stock!G99="",0,IF(ISNUMBER($E99),($E99+$F99)*Stock!G99/100,Stock!G99))</f>
        <v>0</v>
      </c>
      <c r="M99" s="9">
        <f>IF(Stock!H99="",0,IF(ISNUMBER($E99),($E99+$F99)*Stock!H99/100,Stock!H99))</f>
        <v>0</v>
      </c>
      <c r="N99" s="9">
        <f>IF(Stock!I99="",0,IF(ISNUMBER($E99),($E99+$F99)*Stock!I99/100,Stock!I99))</f>
        <v>0</v>
      </c>
      <c r="O99" s="9">
        <f>IF(Stock!J99="",0,IF(ISNUMBER($E99),($E99+$F99)*Stock!J99/100,Stock!J99))</f>
        <v>0</v>
      </c>
      <c r="P99" s="9">
        <f>IF(Stock!K99="",0,IF(ISNUMBER($E99),($E99+$F99)*Stock!K99/100,Stock!K99))</f>
        <v>0</v>
      </c>
      <c r="Q99" s="9">
        <f>IF(Stock!L99="",0,IF(ISNUMBER($E99),($E99+$F99)*Stock!L99/100,Stock!L99))</f>
        <v>0</v>
      </c>
      <c r="R99" s="9">
        <f>IF(Stock!M99="",0,IF(ISNUMBER($E99),($E99+$F99)*Stock!M99/100,Stock!M99))</f>
        <v>0</v>
      </c>
      <c r="S99" s="9">
        <f>IF(Stock!N99="",0,IF(ISNUMBER($E99),($E99+$F99)*Stock!N99/100,Stock!N99))</f>
        <v>0</v>
      </c>
      <c r="T99" s="9">
        <f>IF(Stock!O99="",0,IF(ISNUMBER($E99),($E99+$F99)*Stock!O99/100,Stock!O99))</f>
        <v>0</v>
      </c>
      <c r="U99" s="9">
        <f>IF(Stock!P99="",0,IF(ISNUMBER($E99),($E99+$F99)*Stock!P99/100,Stock!P99))</f>
        <v>0</v>
      </c>
      <c r="V99" s="9">
        <f>IF(Stock!Q99="",0,IF(ISNUMBER($E99),($E99+$F99)*Stock!Q99/100,Stock!Q99))</f>
        <v>0</v>
      </c>
      <c r="W99" s="9">
        <f>IF(Stock!R99="",0,IF(ISNUMBER($E99),($E99+$F99)*Stock!R99/100,Stock!R99))</f>
        <v>0</v>
      </c>
      <c r="X99" s="9">
        <f>IF(Stock!S99="",0,IF(ISNUMBER($E99),($E99+$F99)*Stock!S99/100,Stock!S99))</f>
        <v>0</v>
      </c>
      <c r="Y99" s="9">
        <f>IF(Stock!T99="",0,IF(ISNUMBER($E99),($E99+$F99)*Stock!T99/100,Stock!T99))</f>
        <v>0</v>
      </c>
      <c r="Z99" s="9">
        <f>IF(Stock!U99="",0,IF(ISNUMBER($E99),($E99+$F99)*Stock!U99/100,Stock!U99))</f>
        <v>0</v>
      </c>
      <c r="AA99" s="9">
        <f>IF(Stock!V99="",0,IF(ISNUMBER($E99),($E99+$F99)*Stock!V99/100,Stock!V99))</f>
        <v>0</v>
      </c>
      <c r="AB99" s="9">
        <f>IF(Stock!W99="",0,IF(ISNUMBER($E99),($E99+$F99)*Stock!W99/100,Stock!W99))</f>
        <v>0</v>
      </c>
      <c r="AC99" s="9">
        <f>IF(Stock!X99="",0,IF(ISNUMBER($E99),($E99+$F99)*Stock!X99/100,Stock!X99))</f>
        <v>0</v>
      </c>
      <c r="AD99" s="9">
        <f>IF(Stock!Y99="",0,IF(ISNUMBER($E99),($E99+$F99)*Stock!Y99/100,Stock!Y99))</f>
        <v>0</v>
      </c>
      <c r="AE99" s="9">
        <f>IF(Stock!Z99="",0,IF(ISNUMBER($E99),($E99+$F99)*Stock!Z99/100,Stock!Z99))</f>
        <v>0</v>
      </c>
      <c r="AF99" s="9">
        <f>IF(Stock!AA99="",0,IF(ISNUMBER($E99),($E99+$F99)*Stock!AA99/100,Stock!AA99))</f>
        <v>0</v>
      </c>
      <c r="AG99" s="9">
        <f>IF(Stock!AB99="",0,IF(ISNUMBER($E99),($E99+$F99)*Stock!AB99/100,Stock!AB99))</f>
        <v>0</v>
      </c>
      <c r="AH99" s="9">
        <f>IF(Stock!AC99="",0,IF(ISNUMBER($E99),($E99+$F99)*Stock!AC99/100,Stock!AC99))</f>
        <v>0</v>
      </c>
      <c r="AI99" s="9">
        <f>IF(Stock!AD99="",0,IF(ISNUMBER($E99),($E99+$F99)*Stock!AD99/100,Stock!AD99))</f>
        <v>0</v>
      </c>
      <c r="AJ99" s="9">
        <f>IF(Stock!AE99="",0,IF(ISNUMBER($E99),($E99+$F99)*Stock!AE99/100,Stock!AE99))</f>
        <v>0</v>
      </c>
      <c r="AK99" s="9">
        <f>IF(Stock!AF99="",0,IF(ISNUMBER($E99),($E99+$F99)*Stock!AF99/100,Stock!AF99))</f>
        <v>0</v>
      </c>
      <c r="AL99" s="9">
        <f>IF(Stock!AG99="",0,IF(ISNUMBER($E99),($E99+$F99)*Stock!AG99/100,Stock!AG99))</f>
        <v>0</v>
      </c>
      <c r="AM99" s="9">
        <f>IF(Stock!AH99="",0,IF(ISNUMBER($E99),($E99+$F99)*Stock!AH99/100,Stock!AH99))</f>
        <v>0</v>
      </c>
      <c r="AN99" s="9">
        <f>IF(Stock!AI99="",0,IF(ISNUMBER($E99),($E99+$F99)*Stock!AI99/100,Stock!AI99))</f>
        <v>0</v>
      </c>
      <c r="AO99" s="9">
        <f>IF(Stock!AJ99="",0,IF(ISNUMBER($E99),($E99+$F99)*Stock!AJ99/100,Stock!AJ99))</f>
        <v>0</v>
      </c>
      <c r="AP99" s="9">
        <f>IF(Stock!AK99="",0,IF(ISNUMBER($E99),($E99+$F99)*Stock!AK99/100,Stock!AK99))</f>
        <v>0</v>
      </c>
      <c r="AQ99" s="9">
        <f>IF(Stock!AL99="",0,IF(ISNUMBER($E99),($E99+$F99)*Stock!AL99/100,Stock!AL99))</f>
        <v>0</v>
      </c>
      <c r="AR99" s="9">
        <f>IF(Stock!AM99="",0,IF(ISNUMBER($E99),($E99+$F99)*Stock!AM99/100,Stock!AM99))</f>
        <v>0</v>
      </c>
      <c r="AS99" s="9">
        <f>IF(Stock!AN99="",0,IF(ISNUMBER($E99),($E99+$F99)*Stock!AN99/100,Stock!AN99))</f>
        <v>0</v>
      </c>
      <c r="AT99" s="9">
        <f>IF(Stock!AO99="",0,IF(ISNUMBER($E99),($E99+$F99)*Stock!AO99/100,Stock!AO99))</f>
        <v>0</v>
      </c>
      <c r="AU99" s="9">
        <f>IF(Stock!AP99="",0,IF(ISNUMBER($E99),($E99+$F99)*Stock!AP99/100,Stock!AP99))</f>
        <v>0</v>
      </c>
      <c r="AV99" s="9">
        <f>IF(Stock!AQ99="",0,IF(ISNUMBER($E99),($E99+$F99)*Stock!AQ99/100,Stock!AQ99))</f>
        <v>0</v>
      </c>
      <c r="AW99" s="9">
        <f>IF(Stock!AR99="",0,IF(ISNUMBER($E99),($E99+$F99)*Stock!AR99/100,Stock!AR99))</f>
        <v>0</v>
      </c>
      <c r="AX99" s="9">
        <f>IF(Stock!AS99="",0,IF(ISNUMBER($E99),($E99+$F99)*Stock!AS99/100,Stock!AS99))</f>
        <v>0</v>
      </c>
      <c r="AY99" s="9">
        <f>IF(Stock!AT99="",0,IF(ISNUMBER($E99),($E99+$F99)*Stock!AT99/100,Stock!AT99))</f>
        <v>0</v>
      </c>
      <c r="AZ99" s="9">
        <f>IF(Stock!AU99="",0,IF(ISNUMBER($E99),($E99+$F99)*Stock!AU99/100,Stock!AU99))</f>
        <v>0</v>
      </c>
      <c r="BA99" s="9">
        <f>IF(Stock!AV99="",0,IF(ISNUMBER($E99),($E99+$F99)*Stock!AV99/100,Stock!AV99))</f>
        <v>0</v>
      </c>
      <c r="BB99" s="9">
        <f>IF(Stock!AW99="",0,IF(ISNUMBER($E99),($E99+$F99)*Stock!AW99/100,Stock!AW99))</f>
        <v>0</v>
      </c>
      <c r="BC99" s="9">
        <f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23</v>
      </c>
      <c r="B1" s="14">
        <f>'Stock UST'!F$1</f>
        <v>41089</v>
      </c>
      <c r="C1" s="14">
        <f>_xll.CALENDRIER.JOURS.OUVRES(B$1,"USD",1)</f>
        <v>41092</v>
      </c>
      <c r="D1" s="14">
        <f>_xll.CALENDRIER.JOURS.OUVRES(C$1,"USD",1)</f>
        <v>41093</v>
      </c>
      <c r="E1" s="14">
        <f>_xll.CALENDRIER.JOURS.OUVRES(D$1,"USD",1)</f>
        <v>41095</v>
      </c>
      <c r="F1" s="14">
        <f>_xll.CALENDRIER.JOURS.OUVRES(E$1,"USD",1)</f>
        <v>41096</v>
      </c>
      <c r="G1" s="14">
        <f>_xll.CALENDRIER.JOURS.OUVRES(F$1,"USD",1)</f>
        <v>41099</v>
      </c>
      <c r="H1" s="14">
        <f>_xll.CALENDRIER.JOURS.OUVRES(G$1,"USD",1)</f>
        <v>41100</v>
      </c>
      <c r="I1" s="14">
        <f>_xll.CALENDRIER.JOURS.OUVRES(H$1,"USD",1)</f>
        <v>41101</v>
      </c>
      <c r="J1" s="14">
        <f>_xll.CALENDRIER.JOURS.OUVRES(I$1,"USD",1)</f>
        <v>41102</v>
      </c>
      <c r="K1" s="14">
        <f>_xll.CALENDRIER.JOURS.OUVRES(J$1,"USD",1)</f>
        <v>41103</v>
      </c>
      <c r="L1" s="14">
        <f>_xll.CALENDRIER.JOURS.OUVRES(K$1,"USD",1)</f>
        <v>41106</v>
      </c>
      <c r="M1" s="14">
        <f>_xll.CALENDRIER.JOURS.OUVRES(L$1,"USD",1)</f>
        <v>41107</v>
      </c>
      <c r="N1" s="14">
        <f>_xll.CALENDRIER.JOURS.OUVRES(M$1,"USD",1)</f>
        <v>41108</v>
      </c>
      <c r="O1" s="14">
        <f>_xll.CALENDRIER.JOURS.OUVRES(N$1,"USD",1)</f>
        <v>41109</v>
      </c>
      <c r="P1" s="14">
        <f>_xll.CALENDRIER.JOURS.OUVRES(O$1,"USD",1)</f>
        <v>41110</v>
      </c>
      <c r="Q1" s="14">
        <f>_xll.CALENDRIER.JOURS.OUVRES(P$1,"USD",1)</f>
        <v>41113</v>
      </c>
      <c r="R1" s="14">
        <f>_xll.CALENDRIER.JOURS.OUVRES(Q$1,"USD",1)</f>
        <v>41114</v>
      </c>
      <c r="S1" s="14">
        <f>_xll.CALENDRIER.JOURS.OUVRES(R$1,"USD",1)</f>
        <v>41115</v>
      </c>
      <c r="T1" s="14">
        <f>_xll.CALENDRIER.JOURS.OUVRES(S$1,"USD",1)</f>
        <v>41116</v>
      </c>
      <c r="U1" s="14">
        <f>_xll.CALENDRIER.JOURS.OUVRES(T$1,"USD",1)</f>
        <v>41117</v>
      </c>
      <c r="V1" s="14">
        <f>_xll.CALENDRIER.JOURS.OUVRES(U$1,"USD",1)</f>
        <v>41120</v>
      </c>
      <c r="W1" s="14">
        <f>_xll.CALENDRIER.JOURS.OUVRES(V$1,"USD",1)</f>
        <v>41121</v>
      </c>
      <c r="X1" s="14">
        <f>_xll.CALENDRIER.JOURS.OUVRES(W$1,"USD",1)</f>
        <v>41122</v>
      </c>
      <c r="Y1" s="14">
        <f>_xll.CALENDRIER.JOURS.OUVRES(X$1,"USD",1)</f>
        <v>41123</v>
      </c>
      <c r="Z1" s="14">
        <f>_xll.CALENDRIER.JOURS.OUVRES(Y$1,"USD",1)</f>
        <v>41124</v>
      </c>
      <c r="AA1" s="14">
        <f>_xll.CALENDRIER.JOURS.OUVRES(Z$1,"USD",1)</f>
        <v>41127</v>
      </c>
      <c r="AB1" s="14">
        <f>_xll.CALENDRIER.JOURS.OUVRES(AA$1,"USD",1)</f>
        <v>41128</v>
      </c>
      <c r="AC1" s="14">
        <f>_xll.CALENDRIER.JOURS.OUVRES(AB$1,"USD",1)</f>
        <v>41129</v>
      </c>
      <c r="AD1" s="14">
        <f>_xll.CALENDRIER.JOURS.OUVRES(AC$1,"USD",1)</f>
        <v>41130</v>
      </c>
      <c r="AE1" s="14">
        <f>_xll.CALENDRIER.JOURS.OUVRES(AD$1,"USD",1)</f>
        <v>41131</v>
      </c>
      <c r="AF1" s="14">
        <f>_xll.CALENDRIER.JOURS.OUVRES(AE$1,"USD",1)</f>
        <v>41134</v>
      </c>
      <c r="AG1" s="14">
        <f>_xll.CALENDRIER.JOURS.OUVRES(AF$1,"USD",1)</f>
        <v>41135</v>
      </c>
      <c r="AH1" s="14">
        <f>_xll.CALENDRIER.JOURS.OUVRES(AG$1,"USD",1)</f>
        <v>41136</v>
      </c>
      <c r="AI1" s="14">
        <f>_xll.CALENDRIER.JOURS.OUVRES(AH$1,"USD",1)</f>
        <v>41137</v>
      </c>
      <c r="AJ1" s="14">
        <f>_xll.CALENDRIER.JOURS.OUVRES(AI$1,"USD",1)</f>
        <v>41138</v>
      </c>
      <c r="AK1" s="14">
        <f>_xll.CALENDRIER.JOURS.OUVRES(AJ$1,"USD",1)</f>
        <v>41141</v>
      </c>
      <c r="AL1" s="14">
        <f>_xll.CALENDRIER.JOURS.OUVRES(AK$1,"USD",1)</f>
        <v>41142</v>
      </c>
      <c r="AM1" s="14">
        <f>_xll.CALENDRIER.JOURS.OUVRES(AL$1,"USD",1)</f>
        <v>41143</v>
      </c>
      <c r="AN1" s="14">
        <f>_xll.CALENDRIER.JOURS.OUVRES(AM$1,"USD",1)</f>
        <v>41144</v>
      </c>
      <c r="AO1" s="14">
        <f>_xll.CALENDRIER.JOURS.OUVRES(AN$1,"USD",1)</f>
        <v>41145</v>
      </c>
      <c r="AP1" s="14">
        <f>_xll.CALENDRIER.JOURS.OUVRES(AO$1,"USD",1)</f>
        <v>41148</v>
      </c>
      <c r="AQ1" s="14">
        <f>_xll.CALENDRIER.JOURS.OUVRES(AP$1,"USD",1)</f>
        <v>41149</v>
      </c>
      <c r="AR1" s="14">
        <f>_xll.CALENDRIER.JOURS.OUVRES(AQ$1,"USD",1)</f>
        <v>41150</v>
      </c>
      <c r="AS1" s="14">
        <f>_xll.CALENDRIER.JOURS.OUVRES(AR$1,"USD",1)</f>
        <v>41151</v>
      </c>
      <c r="AT1" s="14">
        <f>_xll.CALENDRIER.JOURS.OUVRES(AS$1,"USD",1)</f>
        <v>41152</v>
      </c>
      <c r="AU1" s="14">
        <f>_xll.CALENDRIER.JOURS.OUVRES(AT$1,"USD",1)</f>
        <v>41156</v>
      </c>
      <c r="AV1" s="14">
        <f>_xll.CALENDRIER.JOURS.OUVRES(AU$1,"USD",1)</f>
        <v>41157</v>
      </c>
      <c r="AW1" s="14">
        <f>_xll.CALENDRIER.JOURS.OUVRES(AV$1,"USD",1)</f>
        <v>41158</v>
      </c>
      <c r="AX1" s="14">
        <f>_xll.CALENDRIER.JOURS.OUVRES(AW$1,"USD",1)</f>
        <v>41159</v>
      </c>
    </row>
    <row r="2" spans="1:91" x14ac:dyDescent="0.2">
      <c r="A2" s="9" t="str">
        <f>IF('Stock UST'!E2="","",'Stock UST'!E2)</f>
        <v/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>
        <f>IF(IF(ISERROR(MATCH(Stock!C$1,'Stock UST'!$1:$1,0)),B2,INDEX('Stock UST'!2:2,1,MATCH(Stock!C$1,'Stock UST'!$1:$1,0)))=0,"",IF(ISERROR(MATCH(Stock!C$1,'Stock UST'!$1:$1,0)),B2,INDEX('Stock UST'!2:2,1,MATCH(Stock!C$1,'Stock UST'!$1:$1,0))))</f>
        <v>414000000</v>
      </c>
      <c r="D2" s="9">
        <f>IF(IF(ISERROR(MATCH(Stock!D$1,'Stock UST'!$1:$1,0)),C2,INDEX('Stock UST'!2:2,1,MATCH(Stock!D$1,'Stock UST'!$1:$1,0)))=0,"",IF(ISERROR(MATCH(Stock!D$1,'Stock UST'!$1:$1,0)),C2,INDEX('Stock UST'!2:2,1,MATCH(Stock!D$1,'Stock UST'!$1:$1,0))))</f>
        <v>414000000</v>
      </c>
      <c r="E2" s="9">
        <f>IF(IF(ISERROR(MATCH(Stock!E$1,'Stock UST'!$1:$1,0)),D2,INDEX('Stock UST'!2:2,1,MATCH(Stock!E$1,'Stock UST'!$1:$1,0)))=0,"",IF(ISERROR(MATCH(Stock!E$1,'Stock UST'!$1:$1,0)),D2,INDEX('Stock UST'!2:2,1,MATCH(Stock!E$1,'Stock UST'!$1:$1,0))))</f>
        <v>414000000</v>
      </c>
      <c r="F2" s="9">
        <f>IF(IF(ISERROR(MATCH(Stock!F$1,'Stock UST'!$1:$1,0)),E2,INDEX('Stock UST'!2:2,1,MATCH(Stock!F$1,'Stock UST'!$1:$1,0)))=0,"",IF(ISERROR(MATCH(Stock!F$1,'Stock UST'!$1:$1,0)),E2,INDEX('Stock UST'!2:2,1,MATCH(Stock!F$1,'Stock UST'!$1:$1,0))))</f>
        <v>414000000</v>
      </c>
      <c r="G2" s="9">
        <f>IF(IF(ISERROR(MATCH(Stock!G$1,'Stock UST'!$1:$1,0)),F2,INDEX('Stock UST'!2:2,1,MATCH(Stock!G$1,'Stock UST'!$1:$1,0)))=0,"",IF(ISERROR(MATCH(Stock!G$1,'Stock UST'!$1:$1,0)),F2,INDEX('Stock UST'!2:2,1,MATCH(Stock!G$1,'Stock UST'!$1:$1,0))))</f>
        <v>414000000</v>
      </c>
      <c r="H2" s="9">
        <f>IF(IF(ISERROR(MATCH(Stock!H$1,'Stock UST'!$1:$1,0)),G2,INDEX('Stock UST'!2:2,1,MATCH(Stock!H$1,'Stock UST'!$1:$1,0)))=0,"",IF(ISERROR(MATCH(Stock!H$1,'Stock UST'!$1:$1,0)),G2,INDEX('Stock UST'!2:2,1,MATCH(Stock!H$1,'Stock UST'!$1:$1,0))))</f>
        <v>414000000</v>
      </c>
      <c r="I2" s="9">
        <f>IF(IF(ISERROR(MATCH(Stock!I$1,'Stock UST'!$1:$1,0)),H2,INDEX('Stock UST'!2:2,1,MATCH(Stock!I$1,'Stock UST'!$1:$1,0)))=0,"",IF(ISERROR(MATCH(Stock!I$1,'Stock UST'!$1:$1,0)),H2,INDEX('Stock UST'!2:2,1,MATCH(Stock!I$1,'Stock UST'!$1:$1,0))))</f>
        <v>414000000</v>
      </c>
      <c r="J2" s="9">
        <f>IF(IF(ISERROR(MATCH(Stock!J$1,'Stock UST'!$1:$1,0)),I2,INDEX('Stock UST'!2:2,1,MATCH(Stock!J$1,'Stock UST'!$1:$1,0)))=0,"",IF(ISERROR(MATCH(Stock!J$1,'Stock UST'!$1:$1,0)),I2,INDEX('Stock UST'!2:2,1,MATCH(Stock!J$1,'Stock UST'!$1:$1,0))))</f>
        <v>414000000</v>
      </c>
      <c r="K2" s="9">
        <f>IF(IF(ISERROR(MATCH(Stock!K$1,'Stock UST'!$1:$1,0)),J2,INDEX('Stock UST'!2:2,1,MATCH(Stock!K$1,'Stock UST'!$1:$1,0)))=0,"",IF(ISERROR(MATCH(Stock!K$1,'Stock UST'!$1:$1,0)),J2,INDEX('Stock UST'!2:2,1,MATCH(Stock!K$1,'Stock UST'!$1:$1,0))))</f>
        <v>414000000</v>
      </c>
      <c r="L2" s="9">
        <f>IF(IF(ISERROR(MATCH(Stock!L$1,'Stock UST'!$1:$1,0)),K2,INDEX('Stock UST'!2:2,1,MATCH(Stock!L$1,'Stock UST'!$1:$1,0)))=0,"",IF(ISERROR(MATCH(Stock!L$1,'Stock UST'!$1:$1,0)),K2,INDEX('Stock UST'!2:2,1,MATCH(Stock!L$1,'Stock UST'!$1:$1,0))))</f>
        <v>414000000</v>
      </c>
      <c r="M2" s="9">
        <f>IF(IF(ISERROR(MATCH(Stock!M$1,'Stock UST'!$1:$1,0)),L2,INDEX('Stock UST'!2:2,1,MATCH(Stock!M$1,'Stock UST'!$1:$1,0)))=0,"",IF(ISERROR(MATCH(Stock!M$1,'Stock UST'!$1:$1,0)),L2,INDEX('Stock UST'!2:2,1,MATCH(Stock!M$1,'Stock UST'!$1:$1,0))))</f>
        <v>414000000</v>
      </c>
      <c r="N2" s="9">
        <f>IF(IF(ISERROR(MATCH(Stock!N$1,'Stock UST'!$1:$1,0)),M2,INDEX('Stock UST'!2:2,1,MATCH(Stock!N$1,'Stock UST'!$1:$1,0)))=0,"",IF(ISERROR(MATCH(Stock!N$1,'Stock UST'!$1:$1,0)),M2,INDEX('Stock UST'!2:2,1,MATCH(Stock!N$1,'Stock UST'!$1:$1,0))))</f>
        <v>414000000</v>
      </c>
      <c r="O2" s="9">
        <f>IF(IF(ISERROR(MATCH(Stock!O$1,'Stock UST'!$1:$1,0)),N2,INDEX('Stock UST'!2:2,1,MATCH(Stock!O$1,'Stock UST'!$1:$1,0)))=0,"",IF(ISERROR(MATCH(Stock!O$1,'Stock UST'!$1:$1,0)),N2,INDEX('Stock UST'!2:2,1,MATCH(Stock!O$1,'Stock UST'!$1:$1,0))))</f>
        <v>414000000</v>
      </c>
      <c r="P2" s="9">
        <f>IF(IF(ISERROR(MATCH(Stock!P$1,'Stock UST'!$1:$1,0)),O2,INDEX('Stock UST'!2:2,1,MATCH(Stock!P$1,'Stock UST'!$1:$1,0)))=0,"",IF(ISERROR(MATCH(Stock!P$1,'Stock UST'!$1:$1,0)),O2,INDEX('Stock UST'!2:2,1,MATCH(Stock!P$1,'Stock UST'!$1:$1,0))))</f>
        <v>414000000</v>
      </c>
      <c r="Q2" s="9">
        <f>IF(IF(ISERROR(MATCH(Stock!Q$1,'Stock UST'!$1:$1,0)),P2,INDEX('Stock UST'!2:2,1,MATCH(Stock!Q$1,'Stock UST'!$1:$1,0)))=0,"",IF(ISERROR(MATCH(Stock!Q$1,'Stock UST'!$1:$1,0)),P2,INDEX('Stock UST'!2:2,1,MATCH(Stock!Q$1,'Stock UST'!$1:$1,0))))</f>
        <v>414000000</v>
      </c>
      <c r="R2" s="9">
        <f>IF(IF(ISERROR(MATCH(Stock!R$1,'Stock UST'!$1:$1,0)),Q2,INDEX('Stock UST'!2:2,1,MATCH(Stock!R$1,'Stock UST'!$1:$1,0)))=0,"",IF(ISERROR(MATCH(Stock!R$1,'Stock UST'!$1:$1,0)),Q2,INDEX('Stock UST'!2:2,1,MATCH(Stock!R$1,'Stock UST'!$1:$1,0))))</f>
        <v>414000000</v>
      </c>
      <c r="S2" s="9">
        <f>IF(IF(ISERROR(MATCH(Stock!S$1,'Stock UST'!$1:$1,0)),R2,INDEX('Stock UST'!2:2,1,MATCH(Stock!S$1,'Stock UST'!$1:$1,0)))=0,"",IF(ISERROR(MATCH(Stock!S$1,'Stock UST'!$1:$1,0)),R2,INDEX('Stock UST'!2:2,1,MATCH(Stock!S$1,'Stock UST'!$1:$1,0))))</f>
        <v>414000000</v>
      </c>
      <c r="T2" s="9">
        <f>IF(IF(ISERROR(MATCH(Stock!T$1,'Stock UST'!$1:$1,0)),S2,INDEX('Stock UST'!2:2,1,MATCH(Stock!T$1,'Stock UST'!$1:$1,0)))=0,"",IF(ISERROR(MATCH(Stock!T$1,'Stock UST'!$1:$1,0)),S2,INDEX('Stock UST'!2:2,1,MATCH(Stock!T$1,'Stock UST'!$1:$1,0))))</f>
        <v>414000000</v>
      </c>
      <c r="U2" s="9">
        <f>IF(IF(ISERROR(MATCH(Stock!U$1,'Stock UST'!$1:$1,0)),T2,INDEX('Stock UST'!2:2,1,MATCH(Stock!U$1,'Stock UST'!$1:$1,0)))=0,"",IF(ISERROR(MATCH(Stock!U$1,'Stock UST'!$1:$1,0)),T2,INDEX('Stock UST'!2:2,1,MATCH(Stock!U$1,'Stock UST'!$1:$1,0))))</f>
        <v>414000000</v>
      </c>
      <c r="V2" s="9">
        <f>IF(IF(ISERROR(MATCH(Stock!V$1,'Stock UST'!$1:$1,0)),U2,INDEX('Stock UST'!2:2,1,MATCH(Stock!V$1,'Stock UST'!$1:$1,0)))=0,"",IF(ISERROR(MATCH(Stock!V$1,'Stock UST'!$1:$1,0)),U2,INDEX('Stock UST'!2:2,1,MATCH(Stock!V$1,'Stock UST'!$1:$1,0))))</f>
        <v>414000000</v>
      </c>
      <c r="W2" s="9">
        <f>IF(IF(ISERROR(MATCH(Stock!W$1,'Stock UST'!$1:$1,0)),V2,INDEX('Stock UST'!2:2,1,MATCH(Stock!W$1,'Stock UST'!$1:$1,0)))=0,"",IF(ISERROR(MATCH(Stock!W$1,'Stock UST'!$1:$1,0)),V2,INDEX('Stock UST'!2:2,1,MATCH(Stock!W$1,'Stock UST'!$1:$1,0))))</f>
        <v>414000000</v>
      </c>
      <c r="X2" s="9">
        <f>IF(IF(ISERROR(MATCH(Stock!X$1,'Stock UST'!$1:$1,0)),W2,INDEX('Stock UST'!2:2,1,MATCH(Stock!X$1,'Stock UST'!$1:$1,0)))=0,"",IF(ISERROR(MATCH(Stock!X$1,'Stock UST'!$1:$1,0)),W2,INDEX('Stock UST'!2:2,1,MATCH(Stock!X$1,'Stock UST'!$1:$1,0))))</f>
        <v>414000000</v>
      </c>
      <c r="Y2" s="9">
        <f>IF(IF(ISERROR(MATCH(Stock!Y$1,'Stock UST'!$1:$1,0)),X2,INDEX('Stock UST'!2:2,1,MATCH(Stock!Y$1,'Stock UST'!$1:$1,0)))=0,"",IF(ISERROR(MATCH(Stock!Y$1,'Stock UST'!$1:$1,0)),X2,INDEX('Stock UST'!2:2,1,MATCH(Stock!Y$1,'Stock UST'!$1:$1,0))))</f>
        <v>414000000</v>
      </c>
      <c r="Z2" s="9">
        <f>IF(IF(ISERROR(MATCH(Stock!Z$1,'Stock UST'!$1:$1,0)),Y2,INDEX('Stock UST'!2:2,1,MATCH(Stock!Z$1,'Stock UST'!$1:$1,0)))=0,"",IF(ISERROR(MATCH(Stock!Z$1,'Stock UST'!$1:$1,0)),Y2,INDEX('Stock UST'!2:2,1,MATCH(Stock!Z$1,'Stock UST'!$1:$1,0))))</f>
        <v>414000000</v>
      </c>
      <c r="AA2" s="9">
        <f>IF(IF(ISERROR(MATCH(Stock!AA$1,'Stock UST'!$1:$1,0)),Z2,INDEX('Stock UST'!2:2,1,MATCH(Stock!AA$1,'Stock UST'!$1:$1,0)))=0,"",IF(ISERROR(MATCH(Stock!AA$1,'Stock UST'!$1:$1,0)),Z2,INDEX('Stock UST'!2:2,1,MATCH(Stock!AA$1,'Stock UST'!$1:$1,0))))</f>
        <v>414000000</v>
      </c>
      <c r="AB2" s="9">
        <f>IF(IF(ISERROR(MATCH(Stock!AB$1,'Stock UST'!$1:$1,0)),AA2,INDEX('Stock UST'!2:2,1,MATCH(Stock!AB$1,'Stock UST'!$1:$1,0)))=0,"",IF(ISERROR(MATCH(Stock!AB$1,'Stock UST'!$1:$1,0)),AA2,INDEX('Stock UST'!2:2,1,MATCH(Stock!AB$1,'Stock UST'!$1:$1,0))))</f>
        <v>414000000</v>
      </c>
      <c r="AC2" s="9">
        <f>IF(IF(ISERROR(MATCH(Stock!AC$1,'Stock UST'!$1:$1,0)),AB2,INDEX('Stock UST'!2:2,1,MATCH(Stock!AC$1,'Stock UST'!$1:$1,0)))=0,"",IF(ISERROR(MATCH(Stock!AC$1,'Stock UST'!$1:$1,0)),AB2,INDEX('Stock UST'!2:2,1,MATCH(Stock!AC$1,'Stock UST'!$1:$1,0))))</f>
        <v>414000000</v>
      </c>
      <c r="AD2" s="9">
        <f>IF(IF(ISERROR(MATCH(Stock!AD$1,'Stock UST'!$1:$1,0)),AC2,INDEX('Stock UST'!2:2,1,MATCH(Stock!AD$1,'Stock UST'!$1:$1,0)))=0,"",IF(ISERROR(MATCH(Stock!AD$1,'Stock UST'!$1:$1,0)),AC2,INDEX('Stock UST'!2:2,1,MATCH(Stock!AD$1,'Stock UST'!$1:$1,0))))</f>
        <v>414000000</v>
      </c>
      <c r="AE2" s="9">
        <f>IF(IF(ISERROR(MATCH(Stock!AE$1,'Stock UST'!$1:$1,0)),AD2,INDEX('Stock UST'!2:2,1,MATCH(Stock!AE$1,'Stock UST'!$1:$1,0)))=0,"",IF(ISERROR(MATCH(Stock!AE$1,'Stock UST'!$1:$1,0)),AD2,INDEX('Stock UST'!2:2,1,MATCH(Stock!AE$1,'Stock UST'!$1:$1,0))))</f>
        <v>414000000</v>
      </c>
      <c r="AF2" s="9">
        <f>IF(IF(ISERROR(MATCH(Stock!AF$1,'Stock UST'!$1:$1,0)),AE2,INDEX('Stock UST'!2:2,1,MATCH(Stock!AF$1,'Stock UST'!$1:$1,0)))=0,"",IF(ISERROR(MATCH(Stock!AF$1,'Stock UST'!$1:$1,0)),AE2,INDEX('Stock UST'!2:2,1,MATCH(Stock!AF$1,'Stock UST'!$1:$1,0))))</f>
        <v>414000000</v>
      </c>
      <c r="AG2" s="9">
        <f>IF(IF(ISERROR(MATCH(Stock!AG$1,'Stock UST'!$1:$1,0)),AF2,INDEX('Stock UST'!2:2,1,MATCH(Stock!AG$1,'Stock UST'!$1:$1,0)))=0,"",IF(ISERROR(MATCH(Stock!AG$1,'Stock UST'!$1:$1,0)),AF2,INDEX('Stock UST'!2:2,1,MATCH(Stock!AG$1,'Stock UST'!$1:$1,0))))</f>
        <v>414000000</v>
      </c>
      <c r="AH2" s="9">
        <f>IF(IF(ISERROR(MATCH(Stock!AH$1,'Stock UST'!$1:$1,0)),AG2,INDEX('Stock UST'!2:2,1,MATCH(Stock!AH$1,'Stock UST'!$1:$1,0)))=0,"",IF(ISERROR(MATCH(Stock!AH$1,'Stock UST'!$1:$1,0)),AG2,INDEX('Stock UST'!2:2,1,MATCH(Stock!AH$1,'Stock UST'!$1:$1,0))))</f>
        <v>414000000</v>
      </c>
      <c r="AI2" s="9">
        <f>IF(IF(ISERROR(MATCH(Stock!AI$1,'Stock UST'!$1:$1,0)),AH2,INDEX('Stock UST'!2:2,1,MATCH(Stock!AI$1,'Stock UST'!$1:$1,0)))=0,"",IF(ISERROR(MATCH(Stock!AI$1,'Stock UST'!$1:$1,0)),AH2,INDEX('Stock UST'!2:2,1,MATCH(Stock!AI$1,'Stock UST'!$1:$1,0))))</f>
        <v>414000000</v>
      </c>
      <c r="AJ2" s="9">
        <f>IF(IF(ISERROR(MATCH(Stock!AJ$1,'Stock UST'!$1:$1,0)),AI2,INDEX('Stock UST'!2:2,1,MATCH(Stock!AJ$1,'Stock UST'!$1:$1,0)))=0,"",IF(ISERROR(MATCH(Stock!AJ$1,'Stock UST'!$1:$1,0)),AI2,INDEX('Stock UST'!2:2,1,MATCH(Stock!AJ$1,'Stock UST'!$1:$1,0))))</f>
        <v>414000000</v>
      </c>
      <c r="AK2" s="9">
        <f>IF(IF(ISERROR(MATCH(Stock!AK$1,'Stock UST'!$1:$1,0)),AJ2,INDEX('Stock UST'!2:2,1,MATCH(Stock!AK$1,'Stock UST'!$1:$1,0)))=0,"",IF(ISERROR(MATCH(Stock!AK$1,'Stock UST'!$1:$1,0)),AJ2,INDEX('Stock UST'!2:2,1,MATCH(Stock!AK$1,'Stock UST'!$1:$1,0))))</f>
        <v>414000000</v>
      </c>
      <c r="AL2" s="9">
        <f>IF(IF(ISERROR(MATCH(Stock!AL$1,'Stock UST'!$1:$1,0)),AK2,INDEX('Stock UST'!2:2,1,MATCH(Stock!AL$1,'Stock UST'!$1:$1,0)))=0,"",IF(ISERROR(MATCH(Stock!AL$1,'Stock UST'!$1:$1,0)),AK2,INDEX('Stock UST'!2:2,1,MATCH(Stock!AL$1,'Stock UST'!$1:$1,0))))</f>
        <v>414000000</v>
      </c>
      <c r="AM2" s="9">
        <f>IF(IF(ISERROR(MATCH(Stock!AM$1,'Stock UST'!$1:$1,0)),AL2,INDEX('Stock UST'!2:2,1,MATCH(Stock!AM$1,'Stock UST'!$1:$1,0)))=0,"",IF(ISERROR(MATCH(Stock!AM$1,'Stock UST'!$1:$1,0)),AL2,INDEX('Stock UST'!2:2,1,MATCH(Stock!AM$1,'Stock UST'!$1:$1,0))))</f>
        <v>414000000</v>
      </c>
      <c r="AN2" s="9">
        <f>IF(IF(ISERROR(MATCH(Stock!AN$1,'Stock UST'!$1:$1,0)),AM2,INDEX('Stock UST'!2:2,1,MATCH(Stock!AN$1,'Stock UST'!$1:$1,0)))=0,"",IF(ISERROR(MATCH(Stock!AN$1,'Stock UST'!$1:$1,0)),AM2,INDEX('Stock UST'!2:2,1,MATCH(Stock!AN$1,'Stock UST'!$1:$1,0))))</f>
        <v>414000000</v>
      </c>
      <c r="AO2" s="9">
        <f>IF(IF(ISERROR(MATCH(Stock!AO$1,'Stock UST'!$1:$1,0)),AN2,INDEX('Stock UST'!2:2,1,MATCH(Stock!AO$1,'Stock UST'!$1:$1,0)))=0,"",IF(ISERROR(MATCH(Stock!AO$1,'Stock UST'!$1:$1,0)),AN2,INDEX('Stock UST'!2:2,1,MATCH(Stock!AO$1,'Stock UST'!$1:$1,0))))</f>
        <v>414000000</v>
      </c>
      <c r="AP2" s="9">
        <f>IF(IF(ISERROR(MATCH(Stock!AP$1,'Stock UST'!$1:$1,0)),AO2,INDEX('Stock UST'!2:2,1,MATCH(Stock!AP$1,'Stock UST'!$1:$1,0)))=0,"",IF(ISERROR(MATCH(Stock!AP$1,'Stock UST'!$1:$1,0)),AO2,INDEX('Stock UST'!2:2,1,MATCH(Stock!AP$1,'Stock UST'!$1:$1,0))))</f>
        <v>414000000</v>
      </c>
      <c r="AQ2" s="9">
        <f>IF(IF(ISERROR(MATCH(Stock!AQ$1,'Stock UST'!$1:$1,0)),AP2,INDEX('Stock UST'!2:2,1,MATCH(Stock!AQ$1,'Stock UST'!$1:$1,0)))=0,"",IF(ISERROR(MATCH(Stock!AQ$1,'Stock UST'!$1:$1,0)),AP2,INDEX('Stock UST'!2:2,1,MATCH(Stock!AQ$1,'Stock UST'!$1:$1,0))))</f>
        <v>414000000</v>
      </c>
      <c r="AR2" s="9">
        <f>IF(IF(ISERROR(MATCH(Stock!AR$1,'Stock UST'!$1:$1,0)),AQ2,INDEX('Stock UST'!2:2,1,MATCH(Stock!AR$1,'Stock UST'!$1:$1,0)))=0,"",IF(ISERROR(MATCH(Stock!AR$1,'Stock UST'!$1:$1,0)),AQ2,INDEX('Stock UST'!2:2,1,MATCH(Stock!AR$1,'Stock UST'!$1:$1,0))))</f>
        <v>414000000</v>
      </c>
      <c r="AS2" s="9">
        <f>IF(IF(ISERROR(MATCH(Stock!AS$1,'Stock UST'!$1:$1,0)),AR2,INDEX('Stock UST'!2:2,1,MATCH(Stock!AS$1,'Stock UST'!$1:$1,0)))=0,"",IF(ISERROR(MATCH(Stock!AS$1,'Stock UST'!$1:$1,0)),AR2,INDEX('Stock UST'!2:2,1,MATCH(Stock!AS$1,'Stock UST'!$1:$1,0))))</f>
        <v>414000000</v>
      </c>
      <c r="AT2" s="9">
        <f>IF(IF(ISERROR(MATCH(Stock!AT$1,'Stock UST'!$1:$1,0)),AS2,INDEX('Stock UST'!2:2,1,MATCH(Stock!AT$1,'Stock UST'!$1:$1,0)))=0,"",IF(ISERROR(MATCH(Stock!AT$1,'Stock UST'!$1:$1,0)),AS2,INDEX('Stock UST'!2:2,1,MATCH(Stock!AT$1,'Stock UST'!$1:$1,0))))</f>
        <v>414000000</v>
      </c>
      <c r="AU2" s="9">
        <f>IF(IF(ISERROR(MATCH(Stock!AU$1,'Stock UST'!$1:$1,0)),AT2,INDEX('Stock UST'!2:2,1,MATCH(Stock!AU$1,'Stock UST'!$1:$1,0)))=0,"",IF(ISERROR(MATCH(Stock!AU$1,'Stock UST'!$1:$1,0)),AT2,INDEX('Stock UST'!2:2,1,MATCH(Stock!AU$1,'Stock UST'!$1:$1,0))))</f>
        <v>414000000</v>
      </c>
      <c r="AV2" s="9">
        <f>IF(IF(ISERROR(MATCH(Stock!AV$1,'Stock UST'!$1:$1,0)),AU2,INDEX('Stock UST'!2:2,1,MATCH(Stock!AV$1,'Stock UST'!$1:$1,0)))=0,"",IF(ISERROR(MATCH(Stock!AV$1,'Stock UST'!$1:$1,0)),AU2,INDEX('Stock UST'!2:2,1,MATCH(Stock!AV$1,'Stock UST'!$1:$1,0))))</f>
        <v>414000000</v>
      </c>
      <c r="AW2" s="9">
        <f>IF(IF(ISERROR(MATCH(Stock!AW$1,'Stock UST'!$1:$1,0)),AV2,INDEX('Stock UST'!2:2,1,MATCH(Stock!AW$1,'Stock UST'!$1:$1,0)))=0,"",IF(ISERROR(MATCH(Stock!AW$1,'Stock UST'!$1:$1,0)),AV2,INDEX('Stock UST'!2:2,1,MATCH(Stock!AW$1,'Stock UST'!$1:$1,0))))</f>
        <v>414000000</v>
      </c>
      <c r="AX2" s="9">
        <f>IF(IF(ISERROR(MATCH(Stock!AX$1,'Stock UST'!$1:$1,0)),AW2,INDEX('Stock UST'!2:2,1,MATCH(Stock!AX$1,'Stock UST'!$1:$1,0)))=0,"",IF(ISERROR(MATCH(Stock!AX$1,'Stock UST'!$1:$1,0)),AW2,INDEX('Stock UST'!2:2,1,MATCH(Stock!AX$1,'Stock UST'!$1:$1,0))))</f>
        <v>414000000</v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400000000</v>
      </c>
      <c r="C3" s="9">
        <f>IF(IF(ISERROR(MATCH(Stock!C$1,'Stock UST'!$1:$1,0)),B3,INDEX('Stock UST'!3:3,1,MATCH(Stock!C$1,'Stock UST'!$1:$1,0)))=0,"",IF(ISERROR(MATCH(Stock!C$1,'Stock UST'!$1:$1,0)),B3,INDEX('Stock UST'!3:3,1,MATCH(Stock!C$1,'Stock UST'!$1:$1,0))))</f>
        <v>400000000</v>
      </c>
      <c r="D3" s="9">
        <f>IF(IF(ISERROR(MATCH(Stock!D$1,'Stock UST'!$1:$1,0)),C3,INDEX('Stock UST'!3:3,1,MATCH(Stock!D$1,'Stock UST'!$1:$1,0)))=0,"",IF(ISERROR(MATCH(Stock!D$1,'Stock UST'!$1:$1,0)),C3,INDEX('Stock UST'!3:3,1,MATCH(Stock!D$1,'Stock UST'!$1:$1,0))))</f>
        <v>400000000</v>
      </c>
      <c r="E3" s="9">
        <f>IF(IF(ISERROR(MATCH(Stock!E$1,'Stock UST'!$1:$1,0)),D3,INDEX('Stock UST'!3:3,1,MATCH(Stock!E$1,'Stock UST'!$1:$1,0)))=0,"",IF(ISERROR(MATCH(Stock!E$1,'Stock UST'!$1:$1,0)),D3,INDEX('Stock UST'!3:3,1,MATCH(Stock!E$1,'Stock UST'!$1:$1,0))))</f>
        <v>400000000</v>
      </c>
      <c r="F3" s="9">
        <f>IF(IF(ISERROR(MATCH(Stock!F$1,'Stock UST'!$1:$1,0)),E3,INDEX('Stock UST'!3:3,1,MATCH(Stock!F$1,'Stock UST'!$1:$1,0)))=0,"",IF(ISERROR(MATCH(Stock!F$1,'Stock UST'!$1:$1,0)),E3,INDEX('Stock UST'!3:3,1,MATCH(Stock!F$1,'Stock UST'!$1:$1,0))))</f>
        <v>400000000</v>
      </c>
      <c r="G3" s="9">
        <f>IF(IF(ISERROR(MATCH(Stock!G$1,'Stock UST'!$1:$1,0)),F3,INDEX('Stock UST'!3:3,1,MATCH(Stock!G$1,'Stock UST'!$1:$1,0)))=0,"",IF(ISERROR(MATCH(Stock!G$1,'Stock UST'!$1:$1,0)),F3,INDEX('Stock UST'!3:3,1,MATCH(Stock!G$1,'Stock UST'!$1:$1,0))))</f>
        <v>400000000</v>
      </c>
      <c r="H3" s="9">
        <f>IF(IF(ISERROR(MATCH(Stock!H$1,'Stock UST'!$1:$1,0)),G3,INDEX('Stock UST'!3:3,1,MATCH(Stock!H$1,'Stock UST'!$1:$1,0)))=0,"",IF(ISERROR(MATCH(Stock!H$1,'Stock UST'!$1:$1,0)),G3,INDEX('Stock UST'!3:3,1,MATCH(Stock!H$1,'Stock UST'!$1:$1,0))))</f>
        <v>400000000</v>
      </c>
      <c r="I3" s="9">
        <f>IF(IF(ISERROR(MATCH(Stock!I$1,'Stock UST'!$1:$1,0)),H3,INDEX('Stock UST'!3:3,1,MATCH(Stock!I$1,'Stock UST'!$1:$1,0)))=0,"",IF(ISERROR(MATCH(Stock!I$1,'Stock UST'!$1:$1,0)),H3,INDEX('Stock UST'!3:3,1,MATCH(Stock!I$1,'Stock UST'!$1:$1,0))))</f>
        <v>400000000</v>
      </c>
      <c r="J3" s="9">
        <f>IF(IF(ISERROR(MATCH(Stock!J$1,'Stock UST'!$1:$1,0)),I3,INDEX('Stock UST'!3:3,1,MATCH(Stock!J$1,'Stock UST'!$1:$1,0)))=0,"",IF(ISERROR(MATCH(Stock!J$1,'Stock UST'!$1:$1,0)),I3,INDEX('Stock UST'!3:3,1,MATCH(Stock!J$1,'Stock UST'!$1:$1,0))))</f>
        <v>400000000</v>
      </c>
      <c r="K3" s="9">
        <f>IF(IF(ISERROR(MATCH(Stock!K$1,'Stock UST'!$1:$1,0)),J3,INDEX('Stock UST'!3:3,1,MATCH(Stock!K$1,'Stock UST'!$1:$1,0)))=0,"",IF(ISERROR(MATCH(Stock!K$1,'Stock UST'!$1:$1,0)),J3,INDEX('Stock UST'!3:3,1,MATCH(Stock!K$1,'Stock UST'!$1:$1,0))))</f>
        <v>400000000</v>
      </c>
      <c r="L3" s="9">
        <f>IF(IF(ISERROR(MATCH(Stock!L$1,'Stock UST'!$1:$1,0)),K3,INDEX('Stock UST'!3:3,1,MATCH(Stock!L$1,'Stock UST'!$1:$1,0)))=0,"",IF(ISERROR(MATCH(Stock!L$1,'Stock UST'!$1:$1,0)),K3,INDEX('Stock UST'!3:3,1,MATCH(Stock!L$1,'Stock UST'!$1:$1,0))))</f>
        <v>400000000</v>
      </c>
      <c r="M3" s="9">
        <f>IF(IF(ISERROR(MATCH(Stock!M$1,'Stock UST'!$1:$1,0)),L3,INDEX('Stock UST'!3:3,1,MATCH(Stock!M$1,'Stock UST'!$1:$1,0)))=0,"",IF(ISERROR(MATCH(Stock!M$1,'Stock UST'!$1:$1,0)),L3,INDEX('Stock UST'!3:3,1,MATCH(Stock!M$1,'Stock UST'!$1:$1,0))))</f>
        <v>400000000</v>
      </c>
      <c r="N3" s="9">
        <f>IF(IF(ISERROR(MATCH(Stock!N$1,'Stock UST'!$1:$1,0)),M3,INDEX('Stock UST'!3:3,1,MATCH(Stock!N$1,'Stock UST'!$1:$1,0)))=0,"",IF(ISERROR(MATCH(Stock!N$1,'Stock UST'!$1:$1,0)),M3,INDEX('Stock UST'!3:3,1,MATCH(Stock!N$1,'Stock UST'!$1:$1,0))))</f>
        <v>400000000</v>
      </c>
      <c r="O3" s="9">
        <f>IF(IF(ISERROR(MATCH(Stock!O$1,'Stock UST'!$1:$1,0)),N3,INDEX('Stock UST'!3:3,1,MATCH(Stock!O$1,'Stock UST'!$1:$1,0)))=0,"",IF(ISERROR(MATCH(Stock!O$1,'Stock UST'!$1:$1,0)),N3,INDEX('Stock UST'!3:3,1,MATCH(Stock!O$1,'Stock UST'!$1:$1,0))))</f>
        <v>400000000</v>
      </c>
      <c r="P3" s="9">
        <f>IF(IF(ISERROR(MATCH(Stock!P$1,'Stock UST'!$1:$1,0)),O3,INDEX('Stock UST'!3:3,1,MATCH(Stock!P$1,'Stock UST'!$1:$1,0)))=0,"",IF(ISERROR(MATCH(Stock!P$1,'Stock UST'!$1:$1,0)),O3,INDEX('Stock UST'!3:3,1,MATCH(Stock!P$1,'Stock UST'!$1:$1,0))))</f>
        <v>400000000</v>
      </c>
      <c r="Q3" s="9">
        <f>IF(IF(ISERROR(MATCH(Stock!Q$1,'Stock UST'!$1:$1,0)),P3,INDEX('Stock UST'!3:3,1,MATCH(Stock!Q$1,'Stock UST'!$1:$1,0)))=0,"",IF(ISERROR(MATCH(Stock!Q$1,'Stock UST'!$1:$1,0)),P3,INDEX('Stock UST'!3:3,1,MATCH(Stock!Q$1,'Stock UST'!$1:$1,0))))</f>
        <v>400000000</v>
      </c>
      <c r="R3" s="9">
        <f>IF(IF(ISERROR(MATCH(Stock!R$1,'Stock UST'!$1:$1,0)),Q3,INDEX('Stock UST'!3:3,1,MATCH(Stock!R$1,'Stock UST'!$1:$1,0)))=0,"",IF(ISERROR(MATCH(Stock!R$1,'Stock UST'!$1:$1,0)),Q3,INDEX('Stock UST'!3:3,1,MATCH(Stock!R$1,'Stock UST'!$1:$1,0))))</f>
        <v>400000000</v>
      </c>
      <c r="S3" s="9">
        <f>IF(IF(ISERROR(MATCH(Stock!S$1,'Stock UST'!$1:$1,0)),R3,INDEX('Stock UST'!3:3,1,MATCH(Stock!S$1,'Stock UST'!$1:$1,0)))=0,"",IF(ISERROR(MATCH(Stock!S$1,'Stock UST'!$1:$1,0)),R3,INDEX('Stock UST'!3:3,1,MATCH(Stock!S$1,'Stock UST'!$1:$1,0))))</f>
        <v>400000000</v>
      </c>
      <c r="T3" s="9">
        <f>IF(IF(ISERROR(MATCH(Stock!T$1,'Stock UST'!$1:$1,0)),S3,INDEX('Stock UST'!3:3,1,MATCH(Stock!T$1,'Stock UST'!$1:$1,0)))=0,"",IF(ISERROR(MATCH(Stock!T$1,'Stock UST'!$1:$1,0)),S3,INDEX('Stock UST'!3:3,1,MATCH(Stock!T$1,'Stock UST'!$1:$1,0))))</f>
        <v>400000000</v>
      </c>
      <c r="U3" s="9">
        <f>IF(IF(ISERROR(MATCH(Stock!U$1,'Stock UST'!$1:$1,0)),T3,INDEX('Stock UST'!3:3,1,MATCH(Stock!U$1,'Stock UST'!$1:$1,0)))=0,"",IF(ISERROR(MATCH(Stock!U$1,'Stock UST'!$1:$1,0)),T3,INDEX('Stock UST'!3:3,1,MATCH(Stock!U$1,'Stock UST'!$1:$1,0))))</f>
        <v>400000000</v>
      </c>
      <c r="V3" s="9">
        <f>IF(IF(ISERROR(MATCH(Stock!V$1,'Stock UST'!$1:$1,0)),U3,INDEX('Stock UST'!3:3,1,MATCH(Stock!V$1,'Stock UST'!$1:$1,0)))=0,"",IF(ISERROR(MATCH(Stock!V$1,'Stock UST'!$1:$1,0)),U3,INDEX('Stock UST'!3:3,1,MATCH(Stock!V$1,'Stock UST'!$1:$1,0))))</f>
        <v>400000000</v>
      </c>
      <c r="W3" s="9">
        <f>IF(IF(ISERROR(MATCH(Stock!W$1,'Stock UST'!$1:$1,0)),V3,INDEX('Stock UST'!3:3,1,MATCH(Stock!W$1,'Stock UST'!$1:$1,0)))=0,"",IF(ISERROR(MATCH(Stock!W$1,'Stock UST'!$1:$1,0)),V3,INDEX('Stock UST'!3:3,1,MATCH(Stock!W$1,'Stock UST'!$1:$1,0))))</f>
        <v>400000000</v>
      </c>
      <c r="X3" s="9">
        <f>IF(IF(ISERROR(MATCH(Stock!X$1,'Stock UST'!$1:$1,0)),W3,INDEX('Stock UST'!3:3,1,MATCH(Stock!X$1,'Stock UST'!$1:$1,0)))=0,"",IF(ISERROR(MATCH(Stock!X$1,'Stock UST'!$1:$1,0)),W3,INDEX('Stock UST'!3:3,1,MATCH(Stock!X$1,'Stock UST'!$1:$1,0))))</f>
        <v>400000000</v>
      </c>
      <c r="Y3" s="9">
        <f>IF(IF(ISERROR(MATCH(Stock!Y$1,'Stock UST'!$1:$1,0)),X3,INDEX('Stock UST'!3:3,1,MATCH(Stock!Y$1,'Stock UST'!$1:$1,0)))=0,"",IF(ISERROR(MATCH(Stock!Y$1,'Stock UST'!$1:$1,0)),X3,INDEX('Stock UST'!3:3,1,MATCH(Stock!Y$1,'Stock UST'!$1:$1,0))))</f>
        <v>400000000</v>
      </c>
      <c r="Z3" s="9">
        <f>IF(IF(ISERROR(MATCH(Stock!Z$1,'Stock UST'!$1:$1,0)),Y3,INDEX('Stock UST'!3:3,1,MATCH(Stock!Z$1,'Stock UST'!$1:$1,0)))=0,"",IF(ISERROR(MATCH(Stock!Z$1,'Stock UST'!$1:$1,0)),Y3,INDEX('Stock UST'!3:3,1,MATCH(Stock!Z$1,'Stock UST'!$1:$1,0))))</f>
        <v>400000000</v>
      </c>
      <c r="AA3" s="9">
        <f>IF(IF(ISERROR(MATCH(Stock!AA$1,'Stock UST'!$1:$1,0)),Z3,INDEX('Stock UST'!3:3,1,MATCH(Stock!AA$1,'Stock UST'!$1:$1,0)))=0,"",IF(ISERROR(MATCH(Stock!AA$1,'Stock UST'!$1:$1,0)),Z3,INDEX('Stock UST'!3:3,1,MATCH(Stock!AA$1,'Stock UST'!$1:$1,0))))</f>
        <v>400000000</v>
      </c>
      <c r="AB3" s="9">
        <f>IF(IF(ISERROR(MATCH(Stock!AB$1,'Stock UST'!$1:$1,0)),AA3,INDEX('Stock UST'!3:3,1,MATCH(Stock!AB$1,'Stock UST'!$1:$1,0)))=0,"",IF(ISERROR(MATCH(Stock!AB$1,'Stock UST'!$1:$1,0)),AA3,INDEX('Stock UST'!3:3,1,MATCH(Stock!AB$1,'Stock UST'!$1:$1,0))))</f>
        <v>400000000</v>
      </c>
      <c r="AC3" s="9">
        <f>IF(IF(ISERROR(MATCH(Stock!AC$1,'Stock UST'!$1:$1,0)),AB3,INDEX('Stock UST'!3:3,1,MATCH(Stock!AC$1,'Stock UST'!$1:$1,0)))=0,"",IF(ISERROR(MATCH(Stock!AC$1,'Stock UST'!$1:$1,0)),AB3,INDEX('Stock UST'!3:3,1,MATCH(Stock!AC$1,'Stock UST'!$1:$1,0))))</f>
        <v>400000000</v>
      </c>
      <c r="AD3" s="9">
        <f>IF(IF(ISERROR(MATCH(Stock!AD$1,'Stock UST'!$1:$1,0)),AC3,INDEX('Stock UST'!3:3,1,MATCH(Stock!AD$1,'Stock UST'!$1:$1,0)))=0,"",IF(ISERROR(MATCH(Stock!AD$1,'Stock UST'!$1:$1,0)),AC3,INDEX('Stock UST'!3:3,1,MATCH(Stock!AD$1,'Stock UST'!$1:$1,0))))</f>
        <v>400000000</v>
      </c>
      <c r="AE3" s="9">
        <f>IF(IF(ISERROR(MATCH(Stock!AE$1,'Stock UST'!$1:$1,0)),AD3,INDEX('Stock UST'!3:3,1,MATCH(Stock!AE$1,'Stock UST'!$1:$1,0)))=0,"",IF(ISERROR(MATCH(Stock!AE$1,'Stock UST'!$1:$1,0)),AD3,INDEX('Stock UST'!3:3,1,MATCH(Stock!AE$1,'Stock UST'!$1:$1,0))))</f>
        <v>400000000</v>
      </c>
      <c r="AF3" s="9">
        <f>IF(IF(ISERROR(MATCH(Stock!AF$1,'Stock UST'!$1:$1,0)),AE3,INDEX('Stock UST'!3:3,1,MATCH(Stock!AF$1,'Stock UST'!$1:$1,0)))=0,"",IF(ISERROR(MATCH(Stock!AF$1,'Stock UST'!$1:$1,0)),AE3,INDEX('Stock UST'!3:3,1,MATCH(Stock!AF$1,'Stock UST'!$1:$1,0))))</f>
        <v>400000000</v>
      </c>
      <c r="AG3" s="9">
        <f>IF(IF(ISERROR(MATCH(Stock!AG$1,'Stock UST'!$1:$1,0)),AF3,INDEX('Stock UST'!3:3,1,MATCH(Stock!AG$1,'Stock UST'!$1:$1,0)))=0,"",IF(ISERROR(MATCH(Stock!AG$1,'Stock UST'!$1:$1,0)),AF3,INDEX('Stock UST'!3:3,1,MATCH(Stock!AG$1,'Stock UST'!$1:$1,0))))</f>
        <v>400000000</v>
      </c>
      <c r="AH3" s="9">
        <f>IF(IF(ISERROR(MATCH(Stock!AH$1,'Stock UST'!$1:$1,0)),AG3,INDEX('Stock UST'!3:3,1,MATCH(Stock!AH$1,'Stock UST'!$1:$1,0)))=0,"",IF(ISERROR(MATCH(Stock!AH$1,'Stock UST'!$1:$1,0)),AG3,INDEX('Stock UST'!3:3,1,MATCH(Stock!AH$1,'Stock UST'!$1:$1,0))))</f>
        <v>400000000</v>
      </c>
      <c r="AI3" s="9">
        <f>IF(IF(ISERROR(MATCH(Stock!AI$1,'Stock UST'!$1:$1,0)),AH3,INDEX('Stock UST'!3:3,1,MATCH(Stock!AI$1,'Stock UST'!$1:$1,0)))=0,"",IF(ISERROR(MATCH(Stock!AI$1,'Stock UST'!$1:$1,0)),AH3,INDEX('Stock UST'!3:3,1,MATCH(Stock!AI$1,'Stock UST'!$1:$1,0))))</f>
        <v>400000000</v>
      </c>
      <c r="AJ3" s="9">
        <f>IF(IF(ISERROR(MATCH(Stock!AJ$1,'Stock UST'!$1:$1,0)),AI3,INDEX('Stock UST'!3:3,1,MATCH(Stock!AJ$1,'Stock UST'!$1:$1,0)))=0,"",IF(ISERROR(MATCH(Stock!AJ$1,'Stock UST'!$1:$1,0)),AI3,INDEX('Stock UST'!3:3,1,MATCH(Stock!AJ$1,'Stock UST'!$1:$1,0))))</f>
        <v>400000000</v>
      </c>
      <c r="AK3" s="9">
        <f>IF(IF(ISERROR(MATCH(Stock!AK$1,'Stock UST'!$1:$1,0)),AJ3,INDEX('Stock UST'!3:3,1,MATCH(Stock!AK$1,'Stock UST'!$1:$1,0)))=0,"",IF(ISERROR(MATCH(Stock!AK$1,'Stock UST'!$1:$1,0)),AJ3,INDEX('Stock UST'!3:3,1,MATCH(Stock!AK$1,'Stock UST'!$1:$1,0))))</f>
        <v>400000000</v>
      </c>
      <c r="AL3" s="9">
        <f>IF(IF(ISERROR(MATCH(Stock!AL$1,'Stock UST'!$1:$1,0)),AK3,INDEX('Stock UST'!3:3,1,MATCH(Stock!AL$1,'Stock UST'!$1:$1,0)))=0,"",IF(ISERROR(MATCH(Stock!AL$1,'Stock UST'!$1:$1,0)),AK3,INDEX('Stock UST'!3:3,1,MATCH(Stock!AL$1,'Stock UST'!$1:$1,0))))</f>
        <v>400000000</v>
      </c>
      <c r="AM3" s="9">
        <f>IF(IF(ISERROR(MATCH(Stock!AM$1,'Stock UST'!$1:$1,0)),AL3,INDEX('Stock UST'!3:3,1,MATCH(Stock!AM$1,'Stock UST'!$1:$1,0)))=0,"",IF(ISERROR(MATCH(Stock!AM$1,'Stock UST'!$1:$1,0)),AL3,INDEX('Stock UST'!3:3,1,MATCH(Stock!AM$1,'Stock UST'!$1:$1,0))))</f>
        <v>400000000</v>
      </c>
      <c r="AN3" s="9">
        <f>IF(IF(ISERROR(MATCH(Stock!AN$1,'Stock UST'!$1:$1,0)),AM3,INDEX('Stock UST'!3:3,1,MATCH(Stock!AN$1,'Stock UST'!$1:$1,0)))=0,"",IF(ISERROR(MATCH(Stock!AN$1,'Stock UST'!$1:$1,0)),AM3,INDEX('Stock UST'!3:3,1,MATCH(Stock!AN$1,'Stock UST'!$1:$1,0))))</f>
        <v>400000000</v>
      </c>
      <c r="AO3" s="9">
        <f>IF(IF(ISERROR(MATCH(Stock!AO$1,'Stock UST'!$1:$1,0)),AN3,INDEX('Stock UST'!3:3,1,MATCH(Stock!AO$1,'Stock UST'!$1:$1,0)))=0,"",IF(ISERROR(MATCH(Stock!AO$1,'Stock UST'!$1:$1,0)),AN3,INDEX('Stock UST'!3:3,1,MATCH(Stock!AO$1,'Stock UST'!$1:$1,0))))</f>
        <v>400000000</v>
      </c>
      <c r="AP3" s="9">
        <f>IF(IF(ISERROR(MATCH(Stock!AP$1,'Stock UST'!$1:$1,0)),AO3,INDEX('Stock UST'!3:3,1,MATCH(Stock!AP$1,'Stock UST'!$1:$1,0)))=0,"",IF(ISERROR(MATCH(Stock!AP$1,'Stock UST'!$1:$1,0)),AO3,INDEX('Stock UST'!3:3,1,MATCH(Stock!AP$1,'Stock UST'!$1:$1,0))))</f>
        <v>400000000</v>
      </c>
      <c r="AQ3" s="9">
        <f>IF(IF(ISERROR(MATCH(Stock!AQ$1,'Stock UST'!$1:$1,0)),AP3,INDEX('Stock UST'!3:3,1,MATCH(Stock!AQ$1,'Stock UST'!$1:$1,0)))=0,"",IF(ISERROR(MATCH(Stock!AQ$1,'Stock UST'!$1:$1,0)),AP3,INDEX('Stock UST'!3:3,1,MATCH(Stock!AQ$1,'Stock UST'!$1:$1,0))))</f>
        <v>400000000</v>
      </c>
      <c r="AR3" s="9">
        <f>IF(IF(ISERROR(MATCH(Stock!AR$1,'Stock UST'!$1:$1,0)),AQ3,INDEX('Stock UST'!3:3,1,MATCH(Stock!AR$1,'Stock UST'!$1:$1,0)))=0,"",IF(ISERROR(MATCH(Stock!AR$1,'Stock UST'!$1:$1,0)),AQ3,INDEX('Stock UST'!3:3,1,MATCH(Stock!AR$1,'Stock UST'!$1:$1,0))))</f>
        <v>400000000</v>
      </c>
      <c r="AS3" s="9">
        <f>IF(IF(ISERROR(MATCH(Stock!AS$1,'Stock UST'!$1:$1,0)),AR3,INDEX('Stock UST'!3:3,1,MATCH(Stock!AS$1,'Stock UST'!$1:$1,0)))=0,"",IF(ISERROR(MATCH(Stock!AS$1,'Stock UST'!$1:$1,0)),AR3,INDEX('Stock UST'!3:3,1,MATCH(Stock!AS$1,'Stock UST'!$1:$1,0))))</f>
        <v>400000000</v>
      </c>
      <c r="AT3" s="9">
        <f>IF(IF(ISERROR(MATCH(Stock!AT$1,'Stock UST'!$1:$1,0)),AS3,INDEX('Stock UST'!3:3,1,MATCH(Stock!AT$1,'Stock UST'!$1:$1,0)))=0,"",IF(ISERROR(MATCH(Stock!AT$1,'Stock UST'!$1:$1,0)),AS3,INDEX('Stock UST'!3:3,1,MATCH(Stock!AT$1,'Stock UST'!$1:$1,0))))</f>
        <v>400000000</v>
      </c>
      <c r="AU3" s="9">
        <f>IF(IF(ISERROR(MATCH(Stock!AU$1,'Stock UST'!$1:$1,0)),AT3,INDEX('Stock UST'!3:3,1,MATCH(Stock!AU$1,'Stock UST'!$1:$1,0)))=0,"",IF(ISERROR(MATCH(Stock!AU$1,'Stock UST'!$1:$1,0)),AT3,INDEX('Stock UST'!3:3,1,MATCH(Stock!AU$1,'Stock UST'!$1:$1,0))))</f>
        <v>400000000</v>
      </c>
      <c r="AV3" s="9">
        <f>IF(IF(ISERROR(MATCH(Stock!AV$1,'Stock UST'!$1:$1,0)),AU3,INDEX('Stock UST'!3:3,1,MATCH(Stock!AV$1,'Stock UST'!$1:$1,0)))=0,"",IF(ISERROR(MATCH(Stock!AV$1,'Stock UST'!$1:$1,0)),AU3,INDEX('Stock UST'!3:3,1,MATCH(Stock!AV$1,'Stock UST'!$1:$1,0))))</f>
        <v>400000000</v>
      </c>
      <c r="AW3" s="9">
        <f>IF(IF(ISERROR(MATCH(Stock!AW$1,'Stock UST'!$1:$1,0)),AV3,INDEX('Stock UST'!3:3,1,MATCH(Stock!AW$1,'Stock UST'!$1:$1,0)))=0,"",IF(ISERROR(MATCH(Stock!AW$1,'Stock UST'!$1:$1,0)),AV3,INDEX('Stock UST'!3:3,1,MATCH(Stock!AW$1,'Stock UST'!$1:$1,0))))</f>
        <v>400000000</v>
      </c>
      <c r="AX3" s="9">
        <f>IF(IF(ISERROR(MATCH(Stock!AX$1,'Stock UST'!$1:$1,0)),AW3,INDEX('Stock UST'!3:3,1,MATCH(Stock!AX$1,'Stock UST'!$1:$1,0)))=0,"",IF(ISERROR(MATCH(Stock!AX$1,'Stock UST'!$1:$1,0)),AW3,INDEX('Stock UST'!3:3,1,MATCH(Stock!AX$1,'Stock UST'!$1:$1,0))))</f>
        <v>400000000</v>
      </c>
    </row>
    <row r="4" spans="1:91" x14ac:dyDescent="0.2">
      <c r="A4" s="9" t="str">
        <f>IF('Stock UST'!E4="","",'Stock UST'!E4)</f>
        <v/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>
        <f>IF(IF(ISERROR(MATCH(Stock!C$1,'Stock UST'!$1:$1,0)),B4,INDEX('Stock UST'!4:4,1,MATCH(Stock!C$1,'Stock UST'!$1:$1,0)))=0,"",IF(ISERROR(MATCH(Stock!C$1,'Stock UST'!$1:$1,0)),B4,INDEX('Stock UST'!4:4,1,MATCH(Stock!C$1,'Stock UST'!$1:$1,0))))</f>
        <v>500000000</v>
      </c>
      <c r="D4" s="9">
        <f>IF(IF(ISERROR(MATCH(Stock!D$1,'Stock UST'!$1:$1,0)),C4,INDEX('Stock UST'!4:4,1,MATCH(Stock!D$1,'Stock UST'!$1:$1,0)))=0,"",IF(ISERROR(MATCH(Stock!D$1,'Stock UST'!$1:$1,0)),C4,INDEX('Stock UST'!4:4,1,MATCH(Stock!D$1,'Stock UST'!$1:$1,0))))</f>
        <v>500000000</v>
      </c>
      <c r="E4" s="9">
        <f>IF(IF(ISERROR(MATCH(Stock!E$1,'Stock UST'!$1:$1,0)),D4,INDEX('Stock UST'!4:4,1,MATCH(Stock!E$1,'Stock UST'!$1:$1,0)))=0,"",IF(ISERROR(MATCH(Stock!E$1,'Stock UST'!$1:$1,0)),D4,INDEX('Stock UST'!4:4,1,MATCH(Stock!E$1,'Stock UST'!$1:$1,0))))</f>
        <v>500000000</v>
      </c>
      <c r="F4" s="9">
        <f>IF(IF(ISERROR(MATCH(Stock!F$1,'Stock UST'!$1:$1,0)),E4,INDEX('Stock UST'!4:4,1,MATCH(Stock!F$1,'Stock UST'!$1:$1,0)))=0,"",IF(ISERROR(MATCH(Stock!F$1,'Stock UST'!$1:$1,0)),E4,INDEX('Stock UST'!4:4,1,MATCH(Stock!F$1,'Stock UST'!$1:$1,0))))</f>
        <v>500000000</v>
      </c>
      <c r="G4" s="9">
        <f>IF(IF(ISERROR(MATCH(Stock!G$1,'Stock UST'!$1:$1,0)),F4,INDEX('Stock UST'!4:4,1,MATCH(Stock!G$1,'Stock UST'!$1:$1,0)))=0,"",IF(ISERROR(MATCH(Stock!G$1,'Stock UST'!$1:$1,0)),F4,INDEX('Stock UST'!4:4,1,MATCH(Stock!G$1,'Stock UST'!$1:$1,0))))</f>
        <v>1000000000</v>
      </c>
      <c r="H4" s="9">
        <f>IF(IF(ISERROR(MATCH(Stock!H$1,'Stock UST'!$1:$1,0)),G4,INDEX('Stock UST'!4:4,1,MATCH(Stock!H$1,'Stock UST'!$1:$1,0)))=0,"",IF(ISERROR(MATCH(Stock!H$1,'Stock UST'!$1:$1,0)),G4,INDEX('Stock UST'!4:4,1,MATCH(Stock!H$1,'Stock UST'!$1:$1,0))))</f>
        <v>1000000000</v>
      </c>
      <c r="I4" s="9">
        <f>IF(IF(ISERROR(MATCH(Stock!I$1,'Stock UST'!$1:$1,0)),H4,INDEX('Stock UST'!4:4,1,MATCH(Stock!I$1,'Stock UST'!$1:$1,0)))=0,"",IF(ISERROR(MATCH(Stock!I$1,'Stock UST'!$1:$1,0)),H4,INDEX('Stock UST'!4:4,1,MATCH(Stock!I$1,'Stock UST'!$1:$1,0))))</f>
        <v>1000000000</v>
      </c>
      <c r="J4" s="9">
        <f>IF(IF(ISERROR(MATCH(Stock!J$1,'Stock UST'!$1:$1,0)),I4,INDEX('Stock UST'!4:4,1,MATCH(Stock!J$1,'Stock UST'!$1:$1,0)))=0,"",IF(ISERROR(MATCH(Stock!J$1,'Stock UST'!$1:$1,0)),I4,INDEX('Stock UST'!4:4,1,MATCH(Stock!J$1,'Stock UST'!$1:$1,0))))</f>
        <v>1000000000</v>
      </c>
      <c r="K4" s="9">
        <f>IF(IF(ISERROR(MATCH(Stock!K$1,'Stock UST'!$1:$1,0)),J4,INDEX('Stock UST'!4:4,1,MATCH(Stock!K$1,'Stock UST'!$1:$1,0)))=0,"",IF(ISERROR(MATCH(Stock!K$1,'Stock UST'!$1:$1,0)),J4,INDEX('Stock UST'!4:4,1,MATCH(Stock!K$1,'Stock UST'!$1:$1,0))))</f>
        <v>1000000000</v>
      </c>
      <c r="L4" s="9">
        <f>IF(IF(ISERROR(MATCH(Stock!L$1,'Stock UST'!$1:$1,0)),K4,INDEX('Stock UST'!4:4,1,MATCH(Stock!L$1,'Stock UST'!$1:$1,0)))=0,"",IF(ISERROR(MATCH(Stock!L$1,'Stock UST'!$1:$1,0)),K4,INDEX('Stock UST'!4:4,1,MATCH(Stock!L$1,'Stock UST'!$1:$1,0))))</f>
        <v>1000000000</v>
      </c>
      <c r="M4" s="9">
        <f>IF(IF(ISERROR(MATCH(Stock!M$1,'Stock UST'!$1:$1,0)),L4,INDEX('Stock UST'!4:4,1,MATCH(Stock!M$1,'Stock UST'!$1:$1,0)))=0,"",IF(ISERROR(MATCH(Stock!M$1,'Stock UST'!$1:$1,0)),L4,INDEX('Stock UST'!4:4,1,MATCH(Stock!M$1,'Stock UST'!$1:$1,0))))</f>
        <v>1000000000</v>
      </c>
      <c r="N4" s="9">
        <f>IF(IF(ISERROR(MATCH(Stock!N$1,'Stock UST'!$1:$1,0)),M4,INDEX('Stock UST'!4:4,1,MATCH(Stock!N$1,'Stock UST'!$1:$1,0)))=0,"",IF(ISERROR(MATCH(Stock!N$1,'Stock UST'!$1:$1,0)),M4,INDEX('Stock UST'!4:4,1,MATCH(Stock!N$1,'Stock UST'!$1:$1,0))))</f>
        <v>1000000000</v>
      </c>
      <c r="O4" s="9">
        <f>IF(IF(ISERROR(MATCH(Stock!O$1,'Stock UST'!$1:$1,0)),N4,INDEX('Stock UST'!4:4,1,MATCH(Stock!O$1,'Stock UST'!$1:$1,0)))=0,"",IF(ISERROR(MATCH(Stock!O$1,'Stock UST'!$1:$1,0)),N4,INDEX('Stock UST'!4:4,1,MATCH(Stock!O$1,'Stock UST'!$1:$1,0))))</f>
        <v>1000000000</v>
      </c>
      <c r="P4" s="9">
        <f>IF(IF(ISERROR(MATCH(Stock!P$1,'Stock UST'!$1:$1,0)),O4,INDEX('Stock UST'!4:4,1,MATCH(Stock!P$1,'Stock UST'!$1:$1,0)))=0,"",IF(ISERROR(MATCH(Stock!P$1,'Stock UST'!$1:$1,0)),O4,INDEX('Stock UST'!4:4,1,MATCH(Stock!P$1,'Stock UST'!$1:$1,0))))</f>
        <v>1000000000</v>
      </c>
      <c r="Q4" s="9">
        <f>IF(IF(ISERROR(MATCH(Stock!Q$1,'Stock UST'!$1:$1,0)),P4,INDEX('Stock UST'!4:4,1,MATCH(Stock!Q$1,'Stock UST'!$1:$1,0)))=0,"",IF(ISERROR(MATCH(Stock!Q$1,'Stock UST'!$1:$1,0)),P4,INDEX('Stock UST'!4:4,1,MATCH(Stock!Q$1,'Stock UST'!$1:$1,0))))</f>
        <v>1000000000</v>
      </c>
      <c r="R4" s="9">
        <f>IF(IF(ISERROR(MATCH(Stock!R$1,'Stock UST'!$1:$1,0)),Q4,INDEX('Stock UST'!4:4,1,MATCH(Stock!R$1,'Stock UST'!$1:$1,0)))=0,"",IF(ISERROR(MATCH(Stock!R$1,'Stock UST'!$1:$1,0)),Q4,INDEX('Stock UST'!4:4,1,MATCH(Stock!R$1,'Stock UST'!$1:$1,0))))</f>
        <v>1000000000</v>
      </c>
      <c r="S4" s="9">
        <f>IF(IF(ISERROR(MATCH(Stock!S$1,'Stock UST'!$1:$1,0)),R4,INDEX('Stock UST'!4:4,1,MATCH(Stock!S$1,'Stock UST'!$1:$1,0)))=0,"",IF(ISERROR(MATCH(Stock!S$1,'Stock UST'!$1:$1,0)),R4,INDEX('Stock UST'!4:4,1,MATCH(Stock!S$1,'Stock UST'!$1:$1,0))))</f>
        <v>1000000000</v>
      </c>
      <c r="T4" s="9">
        <f>IF(IF(ISERROR(MATCH(Stock!T$1,'Stock UST'!$1:$1,0)),S4,INDEX('Stock UST'!4:4,1,MATCH(Stock!T$1,'Stock UST'!$1:$1,0)))=0,"",IF(ISERROR(MATCH(Stock!T$1,'Stock UST'!$1:$1,0)),S4,INDEX('Stock UST'!4:4,1,MATCH(Stock!T$1,'Stock UST'!$1:$1,0))))</f>
        <v>1000000000</v>
      </c>
      <c r="U4" s="9">
        <f>IF(IF(ISERROR(MATCH(Stock!U$1,'Stock UST'!$1:$1,0)),T4,INDEX('Stock UST'!4:4,1,MATCH(Stock!U$1,'Stock UST'!$1:$1,0)))=0,"",IF(ISERROR(MATCH(Stock!U$1,'Stock UST'!$1:$1,0)),T4,INDEX('Stock UST'!4:4,1,MATCH(Stock!U$1,'Stock UST'!$1:$1,0))))</f>
        <v>1000000000</v>
      </c>
      <c r="V4" s="9">
        <f>IF(IF(ISERROR(MATCH(Stock!V$1,'Stock UST'!$1:$1,0)),U4,INDEX('Stock UST'!4:4,1,MATCH(Stock!V$1,'Stock UST'!$1:$1,0)))=0,"",IF(ISERROR(MATCH(Stock!V$1,'Stock UST'!$1:$1,0)),U4,INDEX('Stock UST'!4:4,1,MATCH(Stock!V$1,'Stock UST'!$1:$1,0))))</f>
        <v>1000000000</v>
      </c>
      <c r="W4" s="9">
        <f>IF(IF(ISERROR(MATCH(Stock!W$1,'Stock UST'!$1:$1,0)),V4,INDEX('Stock UST'!4:4,1,MATCH(Stock!W$1,'Stock UST'!$1:$1,0)))=0,"",IF(ISERROR(MATCH(Stock!W$1,'Stock UST'!$1:$1,0)),V4,INDEX('Stock UST'!4:4,1,MATCH(Stock!W$1,'Stock UST'!$1:$1,0))))</f>
        <v>1000000000</v>
      </c>
      <c r="X4" s="9">
        <f>IF(IF(ISERROR(MATCH(Stock!X$1,'Stock UST'!$1:$1,0)),W4,INDEX('Stock UST'!4:4,1,MATCH(Stock!X$1,'Stock UST'!$1:$1,0)))=0,"",IF(ISERROR(MATCH(Stock!X$1,'Stock UST'!$1:$1,0)),W4,INDEX('Stock UST'!4:4,1,MATCH(Stock!X$1,'Stock UST'!$1:$1,0))))</f>
        <v>1000000000</v>
      </c>
      <c r="Y4" s="9">
        <f>IF(IF(ISERROR(MATCH(Stock!Y$1,'Stock UST'!$1:$1,0)),X4,INDEX('Stock UST'!4:4,1,MATCH(Stock!Y$1,'Stock UST'!$1:$1,0)))=0,"",IF(ISERROR(MATCH(Stock!Y$1,'Stock UST'!$1:$1,0)),X4,INDEX('Stock UST'!4:4,1,MATCH(Stock!Y$1,'Stock UST'!$1:$1,0))))</f>
        <v>1000000000</v>
      </c>
      <c r="Z4" s="9">
        <f>IF(IF(ISERROR(MATCH(Stock!Z$1,'Stock UST'!$1:$1,0)),Y4,INDEX('Stock UST'!4:4,1,MATCH(Stock!Z$1,'Stock UST'!$1:$1,0)))=0,"",IF(ISERROR(MATCH(Stock!Z$1,'Stock UST'!$1:$1,0)),Y4,INDEX('Stock UST'!4:4,1,MATCH(Stock!Z$1,'Stock UST'!$1:$1,0))))</f>
        <v>1000000000</v>
      </c>
      <c r="AA4" s="9">
        <f>IF(IF(ISERROR(MATCH(Stock!AA$1,'Stock UST'!$1:$1,0)),Z4,INDEX('Stock UST'!4:4,1,MATCH(Stock!AA$1,'Stock UST'!$1:$1,0)))=0,"",IF(ISERROR(MATCH(Stock!AA$1,'Stock UST'!$1:$1,0)),Z4,INDEX('Stock UST'!4:4,1,MATCH(Stock!AA$1,'Stock UST'!$1:$1,0))))</f>
        <v>1000000000</v>
      </c>
      <c r="AB4" s="9">
        <f>IF(IF(ISERROR(MATCH(Stock!AB$1,'Stock UST'!$1:$1,0)),AA4,INDEX('Stock UST'!4:4,1,MATCH(Stock!AB$1,'Stock UST'!$1:$1,0)))=0,"",IF(ISERROR(MATCH(Stock!AB$1,'Stock UST'!$1:$1,0)),AA4,INDEX('Stock UST'!4:4,1,MATCH(Stock!AB$1,'Stock UST'!$1:$1,0))))</f>
        <v>1000000000</v>
      </c>
      <c r="AC4" s="9">
        <f>IF(IF(ISERROR(MATCH(Stock!AC$1,'Stock UST'!$1:$1,0)),AB4,INDEX('Stock UST'!4:4,1,MATCH(Stock!AC$1,'Stock UST'!$1:$1,0)))=0,"",IF(ISERROR(MATCH(Stock!AC$1,'Stock UST'!$1:$1,0)),AB4,INDEX('Stock UST'!4:4,1,MATCH(Stock!AC$1,'Stock UST'!$1:$1,0))))</f>
        <v>1000000000</v>
      </c>
      <c r="AD4" s="9">
        <f>IF(IF(ISERROR(MATCH(Stock!AD$1,'Stock UST'!$1:$1,0)),AC4,INDEX('Stock UST'!4:4,1,MATCH(Stock!AD$1,'Stock UST'!$1:$1,0)))=0,"",IF(ISERROR(MATCH(Stock!AD$1,'Stock UST'!$1:$1,0)),AC4,INDEX('Stock UST'!4:4,1,MATCH(Stock!AD$1,'Stock UST'!$1:$1,0))))</f>
        <v>1000000000</v>
      </c>
      <c r="AE4" s="9">
        <f>IF(IF(ISERROR(MATCH(Stock!AE$1,'Stock UST'!$1:$1,0)),AD4,INDEX('Stock UST'!4:4,1,MATCH(Stock!AE$1,'Stock UST'!$1:$1,0)))=0,"",IF(ISERROR(MATCH(Stock!AE$1,'Stock UST'!$1:$1,0)),AD4,INDEX('Stock UST'!4:4,1,MATCH(Stock!AE$1,'Stock UST'!$1:$1,0))))</f>
        <v>1000000000</v>
      </c>
      <c r="AF4" s="9">
        <f>IF(IF(ISERROR(MATCH(Stock!AF$1,'Stock UST'!$1:$1,0)),AE4,INDEX('Stock UST'!4:4,1,MATCH(Stock!AF$1,'Stock UST'!$1:$1,0)))=0,"",IF(ISERROR(MATCH(Stock!AF$1,'Stock UST'!$1:$1,0)),AE4,INDEX('Stock UST'!4:4,1,MATCH(Stock!AF$1,'Stock UST'!$1:$1,0))))</f>
        <v>1000000000</v>
      </c>
      <c r="AG4" s="9">
        <f>IF(IF(ISERROR(MATCH(Stock!AG$1,'Stock UST'!$1:$1,0)),AF4,INDEX('Stock UST'!4:4,1,MATCH(Stock!AG$1,'Stock UST'!$1:$1,0)))=0,"",IF(ISERROR(MATCH(Stock!AG$1,'Stock UST'!$1:$1,0)),AF4,INDEX('Stock UST'!4:4,1,MATCH(Stock!AG$1,'Stock UST'!$1:$1,0))))</f>
        <v>1000000000</v>
      </c>
      <c r="AH4" s="9">
        <f>IF(IF(ISERROR(MATCH(Stock!AH$1,'Stock UST'!$1:$1,0)),AG4,INDEX('Stock UST'!4:4,1,MATCH(Stock!AH$1,'Stock UST'!$1:$1,0)))=0,"",IF(ISERROR(MATCH(Stock!AH$1,'Stock UST'!$1:$1,0)),AG4,INDEX('Stock UST'!4:4,1,MATCH(Stock!AH$1,'Stock UST'!$1:$1,0))))</f>
        <v>1000000000</v>
      </c>
      <c r="AI4" s="9">
        <f>IF(IF(ISERROR(MATCH(Stock!AI$1,'Stock UST'!$1:$1,0)),AH4,INDEX('Stock UST'!4:4,1,MATCH(Stock!AI$1,'Stock UST'!$1:$1,0)))=0,"",IF(ISERROR(MATCH(Stock!AI$1,'Stock UST'!$1:$1,0)),AH4,INDEX('Stock UST'!4:4,1,MATCH(Stock!AI$1,'Stock UST'!$1:$1,0))))</f>
        <v>1000000000</v>
      </c>
      <c r="AJ4" s="9">
        <f>IF(IF(ISERROR(MATCH(Stock!AJ$1,'Stock UST'!$1:$1,0)),AI4,INDEX('Stock UST'!4:4,1,MATCH(Stock!AJ$1,'Stock UST'!$1:$1,0)))=0,"",IF(ISERROR(MATCH(Stock!AJ$1,'Stock UST'!$1:$1,0)),AI4,INDEX('Stock UST'!4:4,1,MATCH(Stock!AJ$1,'Stock UST'!$1:$1,0))))</f>
        <v>1000000000</v>
      </c>
      <c r="AK4" s="9">
        <f>IF(IF(ISERROR(MATCH(Stock!AK$1,'Stock UST'!$1:$1,0)),AJ4,INDEX('Stock UST'!4:4,1,MATCH(Stock!AK$1,'Stock UST'!$1:$1,0)))=0,"",IF(ISERROR(MATCH(Stock!AK$1,'Stock UST'!$1:$1,0)),AJ4,INDEX('Stock UST'!4:4,1,MATCH(Stock!AK$1,'Stock UST'!$1:$1,0))))</f>
        <v>1000000000</v>
      </c>
      <c r="AL4" s="9">
        <f>IF(IF(ISERROR(MATCH(Stock!AL$1,'Stock UST'!$1:$1,0)),AK4,INDEX('Stock UST'!4:4,1,MATCH(Stock!AL$1,'Stock UST'!$1:$1,0)))=0,"",IF(ISERROR(MATCH(Stock!AL$1,'Stock UST'!$1:$1,0)),AK4,INDEX('Stock UST'!4:4,1,MATCH(Stock!AL$1,'Stock UST'!$1:$1,0))))</f>
        <v>1000000000</v>
      </c>
      <c r="AM4" s="9">
        <f>IF(IF(ISERROR(MATCH(Stock!AM$1,'Stock UST'!$1:$1,0)),AL4,INDEX('Stock UST'!4:4,1,MATCH(Stock!AM$1,'Stock UST'!$1:$1,0)))=0,"",IF(ISERROR(MATCH(Stock!AM$1,'Stock UST'!$1:$1,0)),AL4,INDEX('Stock UST'!4:4,1,MATCH(Stock!AM$1,'Stock UST'!$1:$1,0))))</f>
        <v>1000000000</v>
      </c>
      <c r="AN4" s="9">
        <f>IF(IF(ISERROR(MATCH(Stock!AN$1,'Stock UST'!$1:$1,0)),AM4,INDEX('Stock UST'!4:4,1,MATCH(Stock!AN$1,'Stock UST'!$1:$1,0)))=0,"",IF(ISERROR(MATCH(Stock!AN$1,'Stock UST'!$1:$1,0)),AM4,INDEX('Stock UST'!4:4,1,MATCH(Stock!AN$1,'Stock UST'!$1:$1,0))))</f>
        <v>1000000000</v>
      </c>
      <c r="AO4" s="9">
        <f>IF(IF(ISERROR(MATCH(Stock!AO$1,'Stock UST'!$1:$1,0)),AN4,INDEX('Stock UST'!4:4,1,MATCH(Stock!AO$1,'Stock UST'!$1:$1,0)))=0,"",IF(ISERROR(MATCH(Stock!AO$1,'Stock UST'!$1:$1,0)),AN4,INDEX('Stock UST'!4:4,1,MATCH(Stock!AO$1,'Stock UST'!$1:$1,0))))</f>
        <v>1000000000</v>
      </c>
      <c r="AP4" s="9">
        <f>IF(IF(ISERROR(MATCH(Stock!AP$1,'Stock UST'!$1:$1,0)),AO4,INDEX('Stock UST'!4:4,1,MATCH(Stock!AP$1,'Stock UST'!$1:$1,0)))=0,"",IF(ISERROR(MATCH(Stock!AP$1,'Stock UST'!$1:$1,0)),AO4,INDEX('Stock UST'!4:4,1,MATCH(Stock!AP$1,'Stock UST'!$1:$1,0))))</f>
        <v>1000000000</v>
      </c>
      <c r="AQ4" s="9">
        <f>IF(IF(ISERROR(MATCH(Stock!AQ$1,'Stock UST'!$1:$1,0)),AP4,INDEX('Stock UST'!4:4,1,MATCH(Stock!AQ$1,'Stock UST'!$1:$1,0)))=0,"",IF(ISERROR(MATCH(Stock!AQ$1,'Stock UST'!$1:$1,0)),AP4,INDEX('Stock UST'!4:4,1,MATCH(Stock!AQ$1,'Stock UST'!$1:$1,0))))</f>
        <v>1000000000</v>
      </c>
      <c r="AR4" s="9">
        <f>IF(IF(ISERROR(MATCH(Stock!AR$1,'Stock UST'!$1:$1,0)),AQ4,INDEX('Stock UST'!4:4,1,MATCH(Stock!AR$1,'Stock UST'!$1:$1,0)))=0,"",IF(ISERROR(MATCH(Stock!AR$1,'Stock UST'!$1:$1,0)),AQ4,INDEX('Stock UST'!4:4,1,MATCH(Stock!AR$1,'Stock UST'!$1:$1,0))))</f>
        <v>1000000000</v>
      </c>
      <c r="AS4" s="9">
        <f>IF(IF(ISERROR(MATCH(Stock!AS$1,'Stock UST'!$1:$1,0)),AR4,INDEX('Stock UST'!4:4,1,MATCH(Stock!AS$1,'Stock UST'!$1:$1,0)))=0,"",IF(ISERROR(MATCH(Stock!AS$1,'Stock UST'!$1:$1,0)),AR4,INDEX('Stock UST'!4:4,1,MATCH(Stock!AS$1,'Stock UST'!$1:$1,0))))</f>
        <v>1000000000</v>
      </c>
      <c r="AT4" s="9">
        <f>IF(IF(ISERROR(MATCH(Stock!AT$1,'Stock UST'!$1:$1,0)),AS4,INDEX('Stock UST'!4:4,1,MATCH(Stock!AT$1,'Stock UST'!$1:$1,0)))=0,"",IF(ISERROR(MATCH(Stock!AT$1,'Stock UST'!$1:$1,0)),AS4,INDEX('Stock UST'!4:4,1,MATCH(Stock!AT$1,'Stock UST'!$1:$1,0))))</f>
        <v>1000000000</v>
      </c>
      <c r="AU4" s="9">
        <f>IF(IF(ISERROR(MATCH(Stock!AU$1,'Stock UST'!$1:$1,0)),AT4,INDEX('Stock UST'!4:4,1,MATCH(Stock!AU$1,'Stock UST'!$1:$1,0)))=0,"",IF(ISERROR(MATCH(Stock!AU$1,'Stock UST'!$1:$1,0)),AT4,INDEX('Stock UST'!4:4,1,MATCH(Stock!AU$1,'Stock UST'!$1:$1,0))))</f>
        <v>1000000000</v>
      </c>
      <c r="AV4" s="9">
        <f>IF(IF(ISERROR(MATCH(Stock!AV$1,'Stock UST'!$1:$1,0)),AU4,INDEX('Stock UST'!4:4,1,MATCH(Stock!AV$1,'Stock UST'!$1:$1,0)))=0,"",IF(ISERROR(MATCH(Stock!AV$1,'Stock UST'!$1:$1,0)),AU4,INDEX('Stock UST'!4:4,1,MATCH(Stock!AV$1,'Stock UST'!$1:$1,0))))</f>
        <v>1000000000</v>
      </c>
      <c r="AW4" s="9">
        <f>IF(IF(ISERROR(MATCH(Stock!AW$1,'Stock UST'!$1:$1,0)),AV4,INDEX('Stock UST'!4:4,1,MATCH(Stock!AW$1,'Stock UST'!$1:$1,0)))=0,"",IF(ISERROR(MATCH(Stock!AW$1,'Stock UST'!$1:$1,0)),AV4,INDEX('Stock UST'!4:4,1,MATCH(Stock!AW$1,'Stock UST'!$1:$1,0))))</f>
        <v>1000000000</v>
      </c>
      <c r="AX4" s="9">
        <f>IF(IF(ISERROR(MATCH(Stock!AX$1,'Stock UST'!$1:$1,0)),AW4,INDEX('Stock UST'!4:4,1,MATCH(Stock!AX$1,'Stock UST'!$1:$1,0)))=0,"",IF(ISERROR(MATCH(Stock!AX$1,'Stock UST'!$1:$1,0)),AW4,INDEX('Stock UST'!4:4,1,MATCH(Stock!AX$1,'Stock UST'!$1:$1,0))))</f>
        <v>1000000000</v>
      </c>
    </row>
    <row r="5" spans="1:91" x14ac:dyDescent="0.2">
      <c r="A5" s="9">
        <f>IF('Stock UST'!E5="","",'Stock UST'!E5)</f>
        <v>252000000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252000000</v>
      </c>
      <c r="C5" s="9">
        <f>IF(IF(ISERROR(MATCH(Stock!C$1,'Stock UST'!$1:$1,0)),B5,INDEX('Stock UST'!5:5,1,MATCH(Stock!C$1,'Stock UST'!$1:$1,0)))=0,"",IF(ISERROR(MATCH(Stock!C$1,'Stock UST'!$1:$1,0)),B5,INDEX('Stock UST'!5:5,1,MATCH(Stock!C$1,'Stock UST'!$1:$1,0))))</f>
        <v>252000000</v>
      </c>
      <c r="D5" s="9">
        <f>IF(IF(ISERROR(MATCH(Stock!D$1,'Stock UST'!$1:$1,0)),C5,INDEX('Stock UST'!5:5,1,MATCH(Stock!D$1,'Stock UST'!$1:$1,0)))=0,"",IF(ISERROR(MATCH(Stock!D$1,'Stock UST'!$1:$1,0)),C5,INDEX('Stock UST'!5:5,1,MATCH(Stock!D$1,'Stock UST'!$1:$1,0))))</f>
        <v>252000000</v>
      </c>
      <c r="E5" s="9">
        <f>IF(IF(ISERROR(MATCH(Stock!E$1,'Stock UST'!$1:$1,0)),D5,INDEX('Stock UST'!5:5,1,MATCH(Stock!E$1,'Stock UST'!$1:$1,0)))=0,"",IF(ISERROR(MATCH(Stock!E$1,'Stock UST'!$1:$1,0)),D5,INDEX('Stock UST'!5:5,1,MATCH(Stock!E$1,'Stock UST'!$1:$1,0))))</f>
        <v>252000000</v>
      </c>
      <c r="F5" s="9">
        <f>IF(IF(ISERROR(MATCH(Stock!F$1,'Stock UST'!$1:$1,0)),E5,INDEX('Stock UST'!5:5,1,MATCH(Stock!F$1,'Stock UST'!$1:$1,0)))=0,"",IF(ISERROR(MATCH(Stock!F$1,'Stock UST'!$1:$1,0)),E5,INDEX('Stock UST'!5:5,1,MATCH(Stock!F$1,'Stock UST'!$1:$1,0))))</f>
        <v>252000000</v>
      </c>
      <c r="G5" s="9">
        <f>IF(IF(ISERROR(MATCH(Stock!G$1,'Stock UST'!$1:$1,0)),F5,INDEX('Stock UST'!5:5,1,MATCH(Stock!G$1,'Stock UST'!$1:$1,0)))=0,"",IF(ISERROR(MATCH(Stock!G$1,'Stock UST'!$1:$1,0)),F5,INDEX('Stock UST'!5:5,1,MATCH(Stock!G$1,'Stock UST'!$1:$1,0))))</f>
        <v>252000000</v>
      </c>
      <c r="H5" s="9">
        <f>IF(IF(ISERROR(MATCH(Stock!H$1,'Stock UST'!$1:$1,0)),G5,INDEX('Stock UST'!5:5,1,MATCH(Stock!H$1,'Stock UST'!$1:$1,0)))=0,"",IF(ISERROR(MATCH(Stock!H$1,'Stock UST'!$1:$1,0)),G5,INDEX('Stock UST'!5:5,1,MATCH(Stock!H$1,'Stock UST'!$1:$1,0))))</f>
        <v>252000000</v>
      </c>
      <c r="I5" s="9">
        <f>IF(IF(ISERROR(MATCH(Stock!I$1,'Stock UST'!$1:$1,0)),H5,INDEX('Stock UST'!5:5,1,MATCH(Stock!I$1,'Stock UST'!$1:$1,0)))=0,"",IF(ISERROR(MATCH(Stock!I$1,'Stock UST'!$1:$1,0)),H5,INDEX('Stock UST'!5:5,1,MATCH(Stock!I$1,'Stock UST'!$1:$1,0))))</f>
        <v>252000000</v>
      </c>
      <c r="J5" s="9">
        <f>IF(IF(ISERROR(MATCH(Stock!J$1,'Stock UST'!$1:$1,0)),I5,INDEX('Stock UST'!5:5,1,MATCH(Stock!J$1,'Stock UST'!$1:$1,0)))=0,"",IF(ISERROR(MATCH(Stock!J$1,'Stock UST'!$1:$1,0)),I5,INDEX('Stock UST'!5:5,1,MATCH(Stock!J$1,'Stock UST'!$1:$1,0))))</f>
        <v>252000000</v>
      </c>
      <c r="K5" s="9">
        <f>IF(IF(ISERROR(MATCH(Stock!K$1,'Stock UST'!$1:$1,0)),J5,INDEX('Stock UST'!5:5,1,MATCH(Stock!K$1,'Stock UST'!$1:$1,0)))=0,"",IF(ISERROR(MATCH(Stock!K$1,'Stock UST'!$1:$1,0)),J5,INDEX('Stock UST'!5:5,1,MATCH(Stock!K$1,'Stock UST'!$1:$1,0))))</f>
        <v>252000000</v>
      </c>
      <c r="L5" s="9">
        <f>IF(IF(ISERROR(MATCH(Stock!L$1,'Stock UST'!$1:$1,0)),K5,INDEX('Stock UST'!5:5,1,MATCH(Stock!L$1,'Stock UST'!$1:$1,0)))=0,"",IF(ISERROR(MATCH(Stock!L$1,'Stock UST'!$1:$1,0)),K5,INDEX('Stock UST'!5:5,1,MATCH(Stock!L$1,'Stock UST'!$1:$1,0))))</f>
        <v>252000000</v>
      </c>
      <c r="M5" s="9">
        <f>IF(IF(ISERROR(MATCH(Stock!M$1,'Stock UST'!$1:$1,0)),L5,INDEX('Stock UST'!5:5,1,MATCH(Stock!M$1,'Stock UST'!$1:$1,0)))=0,"",IF(ISERROR(MATCH(Stock!M$1,'Stock UST'!$1:$1,0)),L5,INDEX('Stock UST'!5:5,1,MATCH(Stock!M$1,'Stock UST'!$1:$1,0))))</f>
        <v>252000000</v>
      </c>
      <c r="N5" s="9">
        <f>IF(IF(ISERROR(MATCH(Stock!N$1,'Stock UST'!$1:$1,0)),M5,INDEX('Stock UST'!5:5,1,MATCH(Stock!N$1,'Stock UST'!$1:$1,0)))=0,"",IF(ISERROR(MATCH(Stock!N$1,'Stock UST'!$1:$1,0)),M5,INDEX('Stock UST'!5:5,1,MATCH(Stock!N$1,'Stock UST'!$1:$1,0))))</f>
        <v>252000000</v>
      </c>
      <c r="O5" s="9">
        <f>IF(IF(ISERROR(MATCH(Stock!O$1,'Stock UST'!$1:$1,0)),N5,INDEX('Stock UST'!5:5,1,MATCH(Stock!O$1,'Stock UST'!$1:$1,0)))=0,"",IF(ISERROR(MATCH(Stock!O$1,'Stock UST'!$1:$1,0)),N5,INDEX('Stock UST'!5:5,1,MATCH(Stock!O$1,'Stock UST'!$1:$1,0))))</f>
        <v>252000000</v>
      </c>
      <c r="P5" s="9">
        <f>IF(IF(ISERROR(MATCH(Stock!P$1,'Stock UST'!$1:$1,0)),O5,INDEX('Stock UST'!5:5,1,MATCH(Stock!P$1,'Stock UST'!$1:$1,0)))=0,"",IF(ISERROR(MATCH(Stock!P$1,'Stock UST'!$1:$1,0)),O5,INDEX('Stock UST'!5:5,1,MATCH(Stock!P$1,'Stock UST'!$1:$1,0))))</f>
        <v>252000000</v>
      </c>
      <c r="Q5" s="9">
        <f>IF(IF(ISERROR(MATCH(Stock!Q$1,'Stock UST'!$1:$1,0)),P5,INDEX('Stock UST'!5:5,1,MATCH(Stock!Q$1,'Stock UST'!$1:$1,0)))=0,"",IF(ISERROR(MATCH(Stock!Q$1,'Stock UST'!$1:$1,0)),P5,INDEX('Stock UST'!5:5,1,MATCH(Stock!Q$1,'Stock UST'!$1:$1,0))))</f>
        <v>252000000</v>
      </c>
      <c r="R5" s="9">
        <f>IF(IF(ISERROR(MATCH(Stock!R$1,'Stock UST'!$1:$1,0)),Q5,INDEX('Stock UST'!5:5,1,MATCH(Stock!R$1,'Stock UST'!$1:$1,0)))=0,"",IF(ISERROR(MATCH(Stock!R$1,'Stock UST'!$1:$1,0)),Q5,INDEX('Stock UST'!5:5,1,MATCH(Stock!R$1,'Stock UST'!$1:$1,0))))</f>
        <v>252000000</v>
      </c>
      <c r="S5" s="9">
        <f>IF(IF(ISERROR(MATCH(Stock!S$1,'Stock UST'!$1:$1,0)),R5,INDEX('Stock UST'!5:5,1,MATCH(Stock!S$1,'Stock UST'!$1:$1,0)))=0,"",IF(ISERROR(MATCH(Stock!S$1,'Stock UST'!$1:$1,0)),R5,INDEX('Stock UST'!5:5,1,MATCH(Stock!S$1,'Stock UST'!$1:$1,0))))</f>
        <v>252000000</v>
      </c>
      <c r="T5" s="9">
        <f>IF(IF(ISERROR(MATCH(Stock!T$1,'Stock UST'!$1:$1,0)),S5,INDEX('Stock UST'!5:5,1,MATCH(Stock!T$1,'Stock UST'!$1:$1,0)))=0,"",IF(ISERROR(MATCH(Stock!T$1,'Stock UST'!$1:$1,0)),S5,INDEX('Stock UST'!5:5,1,MATCH(Stock!T$1,'Stock UST'!$1:$1,0))))</f>
        <v>252000000</v>
      </c>
      <c r="U5" s="9">
        <f>IF(IF(ISERROR(MATCH(Stock!U$1,'Stock UST'!$1:$1,0)),T5,INDEX('Stock UST'!5:5,1,MATCH(Stock!U$1,'Stock UST'!$1:$1,0)))=0,"",IF(ISERROR(MATCH(Stock!U$1,'Stock UST'!$1:$1,0)),T5,INDEX('Stock UST'!5:5,1,MATCH(Stock!U$1,'Stock UST'!$1:$1,0))))</f>
        <v>252000000</v>
      </c>
      <c r="V5" s="9">
        <f>IF(IF(ISERROR(MATCH(Stock!V$1,'Stock UST'!$1:$1,0)),U5,INDEX('Stock UST'!5:5,1,MATCH(Stock!V$1,'Stock UST'!$1:$1,0)))=0,"",IF(ISERROR(MATCH(Stock!V$1,'Stock UST'!$1:$1,0)),U5,INDEX('Stock UST'!5:5,1,MATCH(Stock!V$1,'Stock UST'!$1:$1,0))))</f>
        <v>252000000</v>
      </c>
      <c r="W5" s="9">
        <f>IF(IF(ISERROR(MATCH(Stock!W$1,'Stock UST'!$1:$1,0)),V5,INDEX('Stock UST'!5:5,1,MATCH(Stock!W$1,'Stock UST'!$1:$1,0)))=0,"",IF(ISERROR(MATCH(Stock!W$1,'Stock UST'!$1:$1,0)),V5,INDEX('Stock UST'!5:5,1,MATCH(Stock!W$1,'Stock UST'!$1:$1,0))))</f>
        <v>252000000</v>
      </c>
      <c r="X5" s="9">
        <f>IF(IF(ISERROR(MATCH(Stock!X$1,'Stock UST'!$1:$1,0)),W5,INDEX('Stock UST'!5:5,1,MATCH(Stock!X$1,'Stock UST'!$1:$1,0)))=0,"",IF(ISERROR(MATCH(Stock!X$1,'Stock UST'!$1:$1,0)),W5,INDEX('Stock UST'!5:5,1,MATCH(Stock!X$1,'Stock UST'!$1:$1,0))))</f>
        <v>252000000</v>
      </c>
      <c r="Y5" s="9">
        <f>IF(IF(ISERROR(MATCH(Stock!Y$1,'Stock UST'!$1:$1,0)),X5,INDEX('Stock UST'!5:5,1,MATCH(Stock!Y$1,'Stock UST'!$1:$1,0)))=0,"",IF(ISERROR(MATCH(Stock!Y$1,'Stock UST'!$1:$1,0)),X5,INDEX('Stock UST'!5:5,1,MATCH(Stock!Y$1,'Stock UST'!$1:$1,0))))</f>
        <v>252000000</v>
      </c>
      <c r="Z5" s="9">
        <f>IF(IF(ISERROR(MATCH(Stock!Z$1,'Stock UST'!$1:$1,0)),Y5,INDEX('Stock UST'!5:5,1,MATCH(Stock!Z$1,'Stock UST'!$1:$1,0)))=0,"",IF(ISERROR(MATCH(Stock!Z$1,'Stock UST'!$1:$1,0)),Y5,INDEX('Stock UST'!5:5,1,MATCH(Stock!Z$1,'Stock UST'!$1:$1,0))))</f>
        <v>252000000</v>
      </c>
      <c r="AA5" s="9">
        <f>IF(IF(ISERROR(MATCH(Stock!AA$1,'Stock UST'!$1:$1,0)),Z5,INDEX('Stock UST'!5:5,1,MATCH(Stock!AA$1,'Stock UST'!$1:$1,0)))=0,"",IF(ISERROR(MATCH(Stock!AA$1,'Stock UST'!$1:$1,0)),Z5,INDEX('Stock UST'!5:5,1,MATCH(Stock!AA$1,'Stock UST'!$1:$1,0))))</f>
        <v>252000000</v>
      </c>
      <c r="AB5" s="9">
        <f>IF(IF(ISERROR(MATCH(Stock!AB$1,'Stock UST'!$1:$1,0)),AA5,INDEX('Stock UST'!5:5,1,MATCH(Stock!AB$1,'Stock UST'!$1:$1,0)))=0,"",IF(ISERROR(MATCH(Stock!AB$1,'Stock UST'!$1:$1,0)),AA5,INDEX('Stock UST'!5:5,1,MATCH(Stock!AB$1,'Stock UST'!$1:$1,0))))</f>
        <v>252000000</v>
      </c>
      <c r="AC5" s="9">
        <f>IF(IF(ISERROR(MATCH(Stock!AC$1,'Stock UST'!$1:$1,0)),AB5,INDEX('Stock UST'!5:5,1,MATCH(Stock!AC$1,'Stock UST'!$1:$1,0)))=0,"",IF(ISERROR(MATCH(Stock!AC$1,'Stock UST'!$1:$1,0)),AB5,INDEX('Stock UST'!5:5,1,MATCH(Stock!AC$1,'Stock UST'!$1:$1,0))))</f>
        <v>252000000</v>
      </c>
      <c r="AD5" s="9">
        <f>IF(IF(ISERROR(MATCH(Stock!AD$1,'Stock UST'!$1:$1,0)),AC5,INDEX('Stock UST'!5:5,1,MATCH(Stock!AD$1,'Stock UST'!$1:$1,0)))=0,"",IF(ISERROR(MATCH(Stock!AD$1,'Stock UST'!$1:$1,0)),AC5,INDEX('Stock UST'!5:5,1,MATCH(Stock!AD$1,'Stock UST'!$1:$1,0))))</f>
        <v>252000000</v>
      </c>
      <c r="AE5" s="9">
        <f>IF(IF(ISERROR(MATCH(Stock!AE$1,'Stock UST'!$1:$1,0)),AD5,INDEX('Stock UST'!5:5,1,MATCH(Stock!AE$1,'Stock UST'!$1:$1,0)))=0,"",IF(ISERROR(MATCH(Stock!AE$1,'Stock UST'!$1:$1,0)),AD5,INDEX('Stock UST'!5:5,1,MATCH(Stock!AE$1,'Stock UST'!$1:$1,0))))</f>
        <v>252000000</v>
      </c>
      <c r="AF5" s="9">
        <f>IF(IF(ISERROR(MATCH(Stock!AF$1,'Stock UST'!$1:$1,0)),AE5,INDEX('Stock UST'!5:5,1,MATCH(Stock!AF$1,'Stock UST'!$1:$1,0)))=0,"",IF(ISERROR(MATCH(Stock!AF$1,'Stock UST'!$1:$1,0)),AE5,INDEX('Stock UST'!5:5,1,MATCH(Stock!AF$1,'Stock UST'!$1:$1,0))))</f>
        <v>252000000</v>
      </c>
      <c r="AG5" s="9">
        <f>IF(IF(ISERROR(MATCH(Stock!AG$1,'Stock UST'!$1:$1,0)),AF5,INDEX('Stock UST'!5:5,1,MATCH(Stock!AG$1,'Stock UST'!$1:$1,0)))=0,"",IF(ISERROR(MATCH(Stock!AG$1,'Stock UST'!$1:$1,0)),AF5,INDEX('Stock UST'!5:5,1,MATCH(Stock!AG$1,'Stock UST'!$1:$1,0))))</f>
        <v>252000000</v>
      </c>
      <c r="AH5" s="9">
        <f>IF(IF(ISERROR(MATCH(Stock!AH$1,'Stock UST'!$1:$1,0)),AG5,INDEX('Stock UST'!5:5,1,MATCH(Stock!AH$1,'Stock UST'!$1:$1,0)))=0,"",IF(ISERROR(MATCH(Stock!AH$1,'Stock UST'!$1:$1,0)),AG5,INDEX('Stock UST'!5:5,1,MATCH(Stock!AH$1,'Stock UST'!$1:$1,0))))</f>
        <v>252000000</v>
      </c>
      <c r="AI5" s="9">
        <f>IF(IF(ISERROR(MATCH(Stock!AI$1,'Stock UST'!$1:$1,0)),AH5,INDEX('Stock UST'!5:5,1,MATCH(Stock!AI$1,'Stock UST'!$1:$1,0)))=0,"",IF(ISERROR(MATCH(Stock!AI$1,'Stock UST'!$1:$1,0)),AH5,INDEX('Stock UST'!5:5,1,MATCH(Stock!AI$1,'Stock UST'!$1:$1,0))))</f>
        <v>252000000</v>
      </c>
      <c r="AJ5" s="9">
        <f>IF(IF(ISERROR(MATCH(Stock!AJ$1,'Stock UST'!$1:$1,0)),AI5,INDEX('Stock UST'!5:5,1,MATCH(Stock!AJ$1,'Stock UST'!$1:$1,0)))=0,"",IF(ISERROR(MATCH(Stock!AJ$1,'Stock UST'!$1:$1,0)),AI5,INDEX('Stock UST'!5:5,1,MATCH(Stock!AJ$1,'Stock UST'!$1:$1,0))))</f>
        <v>252000000</v>
      </c>
      <c r="AK5" s="9">
        <f>IF(IF(ISERROR(MATCH(Stock!AK$1,'Stock UST'!$1:$1,0)),AJ5,INDEX('Stock UST'!5:5,1,MATCH(Stock!AK$1,'Stock UST'!$1:$1,0)))=0,"",IF(ISERROR(MATCH(Stock!AK$1,'Stock UST'!$1:$1,0)),AJ5,INDEX('Stock UST'!5:5,1,MATCH(Stock!AK$1,'Stock UST'!$1:$1,0))))</f>
        <v>252000000</v>
      </c>
      <c r="AL5" s="9">
        <f>IF(IF(ISERROR(MATCH(Stock!AL$1,'Stock UST'!$1:$1,0)),AK5,INDEX('Stock UST'!5:5,1,MATCH(Stock!AL$1,'Stock UST'!$1:$1,0)))=0,"",IF(ISERROR(MATCH(Stock!AL$1,'Stock UST'!$1:$1,0)),AK5,INDEX('Stock UST'!5:5,1,MATCH(Stock!AL$1,'Stock UST'!$1:$1,0))))</f>
        <v>252000000</v>
      </c>
      <c r="AM5" s="9">
        <f>IF(IF(ISERROR(MATCH(Stock!AM$1,'Stock UST'!$1:$1,0)),AL5,INDEX('Stock UST'!5:5,1,MATCH(Stock!AM$1,'Stock UST'!$1:$1,0)))=0,"",IF(ISERROR(MATCH(Stock!AM$1,'Stock UST'!$1:$1,0)),AL5,INDEX('Stock UST'!5:5,1,MATCH(Stock!AM$1,'Stock UST'!$1:$1,0))))</f>
        <v>252000000</v>
      </c>
      <c r="AN5" s="9">
        <f>IF(IF(ISERROR(MATCH(Stock!AN$1,'Stock UST'!$1:$1,0)),AM5,INDEX('Stock UST'!5:5,1,MATCH(Stock!AN$1,'Stock UST'!$1:$1,0)))=0,"",IF(ISERROR(MATCH(Stock!AN$1,'Stock UST'!$1:$1,0)),AM5,INDEX('Stock UST'!5:5,1,MATCH(Stock!AN$1,'Stock UST'!$1:$1,0))))</f>
        <v>252000000</v>
      </c>
      <c r="AO5" s="9">
        <f>IF(IF(ISERROR(MATCH(Stock!AO$1,'Stock UST'!$1:$1,0)),AN5,INDEX('Stock UST'!5:5,1,MATCH(Stock!AO$1,'Stock UST'!$1:$1,0)))=0,"",IF(ISERROR(MATCH(Stock!AO$1,'Stock UST'!$1:$1,0)),AN5,INDEX('Stock UST'!5:5,1,MATCH(Stock!AO$1,'Stock UST'!$1:$1,0))))</f>
        <v>252000000</v>
      </c>
      <c r="AP5" s="9">
        <f>IF(IF(ISERROR(MATCH(Stock!AP$1,'Stock UST'!$1:$1,0)),AO5,INDEX('Stock UST'!5:5,1,MATCH(Stock!AP$1,'Stock UST'!$1:$1,0)))=0,"",IF(ISERROR(MATCH(Stock!AP$1,'Stock UST'!$1:$1,0)),AO5,INDEX('Stock UST'!5:5,1,MATCH(Stock!AP$1,'Stock UST'!$1:$1,0))))</f>
        <v>252000000</v>
      </c>
      <c r="AQ5" s="9">
        <f>IF(IF(ISERROR(MATCH(Stock!AQ$1,'Stock UST'!$1:$1,0)),AP5,INDEX('Stock UST'!5:5,1,MATCH(Stock!AQ$1,'Stock UST'!$1:$1,0)))=0,"",IF(ISERROR(MATCH(Stock!AQ$1,'Stock UST'!$1:$1,0)),AP5,INDEX('Stock UST'!5:5,1,MATCH(Stock!AQ$1,'Stock UST'!$1:$1,0))))</f>
        <v>252000000</v>
      </c>
      <c r="AR5" s="9">
        <f>IF(IF(ISERROR(MATCH(Stock!AR$1,'Stock UST'!$1:$1,0)),AQ5,INDEX('Stock UST'!5:5,1,MATCH(Stock!AR$1,'Stock UST'!$1:$1,0)))=0,"",IF(ISERROR(MATCH(Stock!AR$1,'Stock UST'!$1:$1,0)),AQ5,INDEX('Stock UST'!5:5,1,MATCH(Stock!AR$1,'Stock UST'!$1:$1,0))))</f>
        <v>252000000</v>
      </c>
      <c r="AS5" s="9">
        <f>IF(IF(ISERROR(MATCH(Stock!AS$1,'Stock UST'!$1:$1,0)),AR5,INDEX('Stock UST'!5:5,1,MATCH(Stock!AS$1,'Stock UST'!$1:$1,0)))=0,"",IF(ISERROR(MATCH(Stock!AS$1,'Stock UST'!$1:$1,0)),AR5,INDEX('Stock UST'!5:5,1,MATCH(Stock!AS$1,'Stock UST'!$1:$1,0))))</f>
        <v>252000000</v>
      </c>
      <c r="AT5" s="9">
        <f>IF(IF(ISERROR(MATCH(Stock!AT$1,'Stock UST'!$1:$1,0)),AS5,INDEX('Stock UST'!5:5,1,MATCH(Stock!AT$1,'Stock UST'!$1:$1,0)))=0,"",IF(ISERROR(MATCH(Stock!AT$1,'Stock UST'!$1:$1,0)),AS5,INDEX('Stock UST'!5:5,1,MATCH(Stock!AT$1,'Stock UST'!$1:$1,0))))</f>
        <v>252000000</v>
      </c>
      <c r="AU5" s="9">
        <f>IF(IF(ISERROR(MATCH(Stock!AU$1,'Stock UST'!$1:$1,0)),AT5,INDEX('Stock UST'!5:5,1,MATCH(Stock!AU$1,'Stock UST'!$1:$1,0)))=0,"",IF(ISERROR(MATCH(Stock!AU$1,'Stock UST'!$1:$1,0)),AT5,INDEX('Stock UST'!5:5,1,MATCH(Stock!AU$1,'Stock UST'!$1:$1,0))))</f>
        <v>252000000</v>
      </c>
      <c r="AV5" s="9">
        <f>IF(IF(ISERROR(MATCH(Stock!AV$1,'Stock UST'!$1:$1,0)),AU5,INDEX('Stock UST'!5:5,1,MATCH(Stock!AV$1,'Stock UST'!$1:$1,0)))=0,"",IF(ISERROR(MATCH(Stock!AV$1,'Stock UST'!$1:$1,0)),AU5,INDEX('Stock UST'!5:5,1,MATCH(Stock!AV$1,'Stock UST'!$1:$1,0))))</f>
        <v>252000000</v>
      </c>
      <c r="AW5" s="9">
        <f>IF(IF(ISERROR(MATCH(Stock!AW$1,'Stock UST'!$1:$1,0)),AV5,INDEX('Stock UST'!5:5,1,MATCH(Stock!AW$1,'Stock UST'!$1:$1,0)))=0,"",IF(ISERROR(MATCH(Stock!AW$1,'Stock UST'!$1:$1,0)),AV5,INDEX('Stock UST'!5:5,1,MATCH(Stock!AW$1,'Stock UST'!$1:$1,0))))</f>
        <v>252000000</v>
      </c>
      <c r="AX5" s="9">
        <f>IF(IF(ISERROR(MATCH(Stock!AX$1,'Stock UST'!$1:$1,0)),AW5,INDEX('Stock UST'!5:5,1,MATCH(Stock!AX$1,'Stock UST'!$1:$1,0)))=0,"",IF(ISERROR(MATCH(Stock!AX$1,'Stock UST'!$1:$1,0)),AW5,INDEX('Stock UST'!5:5,1,MATCH(Stock!AX$1,'Stock UST'!$1:$1,0))))</f>
        <v>252000000</v>
      </c>
    </row>
    <row r="6" spans="1:91" x14ac:dyDescent="0.2">
      <c r="A6" s="9">
        <f>IF('Stock UST'!E6="","",'Stock UST'!E6)</f>
        <v>267000000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267000000</v>
      </c>
      <c r="C6" s="9">
        <f>IF(IF(ISERROR(MATCH(Stock!C$1,'Stock UST'!$1:$1,0)),B6,INDEX('Stock UST'!6:6,1,MATCH(Stock!C$1,'Stock UST'!$1:$1,0)))=0,"",IF(ISERROR(MATCH(Stock!C$1,'Stock UST'!$1:$1,0)),B6,INDEX('Stock UST'!6:6,1,MATCH(Stock!C$1,'Stock UST'!$1:$1,0))))</f>
        <v>267000000</v>
      </c>
      <c r="D6" s="9">
        <f>IF(IF(ISERROR(MATCH(Stock!D$1,'Stock UST'!$1:$1,0)),C6,INDEX('Stock UST'!6:6,1,MATCH(Stock!D$1,'Stock UST'!$1:$1,0)))=0,"",IF(ISERROR(MATCH(Stock!D$1,'Stock UST'!$1:$1,0)),C6,INDEX('Stock UST'!6:6,1,MATCH(Stock!D$1,'Stock UST'!$1:$1,0))))</f>
        <v>267000000</v>
      </c>
      <c r="E6" s="9">
        <f>IF(IF(ISERROR(MATCH(Stock!E$1,'Stock UST'!$1:$1,0)),D6,INDEX('Stock UST'!6:6,1,MATCH(Stock!E$1,'Stock UST'!$1:$1,0)))=0,"",IF(ISERROR(MATCH(Stock!E$1,'Stock UST'!$1:$1,0)),D6,INDEX('Stock UST'!6:6,1,MATCH(Stock!E$1,'Stock UST'!$1:$1,0))))</f>
        <v>267000000</v>
      </c>
      <c r="F6" s="9">
        <f>IF(IF(ISERROR(MATCH(Stock!F$1,'Stock UST'!$1:$1,0)),E6,INDEX('Stock UST'!6:6,1,MATCH(Stock!F$1,'Stock UST'!$1:$1,0)))=0,"",IF(ISERROR(MATCH(Stock!F$1,'Stock UST'!$1:$1,0)),E6,INDEX('Stock UST'!6:6,1,MATCH(Stock!F$1,'Stock UST'!$1:$1,0))))</f>
        <v>267000000</v>
      </c>
      <c r="G6" s="9">
        <f>IF(IF(ISERROR(MATCH(Stock!G$1,'Stock UST'!$1:$1,0)),F6,INDEX('Stock UST'!6:6,1,MATCH(Stock!G$1,'Stock UST'!$1:$1,0)))=0,"",IF(ISERROR(MATCH(Stock!G$1,'Stock UST'!$1:$1,0)),F6,INDEX('Stock UST'!6:6,1,MATCH(Stock!G$1,'Stock UST'!$1:$1,0))))</f>
        <v>267000000</v>
      </c>
      <c r="H6" s="9">
        <f>IF(IF(ISERROR(MATCH(Stock!H$1,'Stock UST'!$1:$1,0)),G6,INDEX('Stock UST'!6:6,1,MATCH(Stock!H$1,'Stock UST'!$1:$1,0)))=0,"",IF(ISERROR(MATCH(Stock!H$1,'Stock UST'!$1:$1,0)),G6,INDEX('Stock UST'!6:6,1,MATCH(Stock!H$1,'Stock UST'!$1:$1,0))))</f>
        <v>267000000</v>
      </c>
      <c r="I6" s="9">
        <f>IF(IF(ISERROR(MATCH(Stock!I$1,'Stock UST'!$1:$1,0)),H6,INDEX('Stock UST'!6:6,1,MATCH(Stock!I$1,'Stock UST'!$1:$1,0)))=0,"",IF(ISERROR(MATCH(Stock!I$1,'Stock UST'!$1:$1,0)),H6,INDEX('Stock UST'!6:6,1,MATCH(Stock!I$1,'Stock UST'!$1:$1,0))))</f>
        <v>267000000</v>
      </c>
      <c r="J6" s="9">
        <f>IF(IF(ISERROR(MATCH(Stock!J$1,'Stock UST'!$1:$1,0)),I6,INDEX('Stock UST'!6:6,1,MATCH(Stock!J$1,'Stock UST'!$1:$1,0)))=0,"",IF(ISERROR(MATCH(Stock!J$1,'Stock UST'!$1:$1,0)),I6,INDEX('Stock UST'!6:6,1,MATCH(Stock!J$1,'Stock UST'!$1:$1,0))))</f>
        <v>267000000</v>
      </c>
      <c r="K6" s="9">
        <f>IF(IF(ISERROR(MATCH(Stock!K$1,'Stock UST'!$1:$1,0)),J6,INDEX('Stock UST'!6:6,1,MATCH(Stock!K$1,'Stock UST'!$1:$1,0)))=0,"",IF(ISERROR(MATCH(Stock!K$1,'Stock UST'!$1:$1,0)),J6,INDEX('Stock UST'!6:6,1,MATCH(Stock!K$1,'Stock UST'!$1:$1,0))))</f>
        <v>267000000</v>
      </c>
      <c r="L6" s="9">
        <f>IF(IF(ISERROR(MATCH(Stock!L$1,'Stock UST'!$1:$1,0)),K6,INDEX('Stock UST'!6:6,1,MATCH(Stock!L$1,'Stock UST'!$1:$1,0)))=0,"",IF(ISERROR(MATCH(Stock!L$1,'Stock UST'!$1:$1,0)),K6,INDEX('Stock UST'!6:6,1,MATCH(Stock!L$1,'Stock UST'!$1:$1,0))))</f>
        <v>478000000</v>
      </c>
      <c r="M6" s="9">
        <f>IF(IF(ISERROR(MATCH(Stock!M$1,'Stock UST'!$1:$1,0)),L6,INDEX('Stock UST'!6:6,1,MATCH(Stock!M$1,'Stock UST'!$1:$1,0)))=0,"",IF(ISERROR(MATCH(Stock!M$1,'Stock UST'!$1:$1,0)),L6,INDEX('Stock UST'!6:6,1,MATCH(Stock!M$1,'Stock UST'!$1:$1,0))))</f>
        <v>478000000</v>
      </c>
      <c r="N6" s="9">
        <f>IF(IF(ISERROR(MATCH(Stock!N$1,'Stock UST'!$1:$1,0)),M6,INDEX('Stock UST'!6:6,1,MATCH(Stock!N$1,'Stock UST'!$1:$1,0)))=0,"",IF(ISERROR(MATCH(Stock!N$1,'Stock UST'!$1:$1,0)),M6,INDEX('Stock UST'!6:6,1,MATCH(Stock!N$1,'Stock UST'!$1:$1,0))))</f>
        <v>478000000</v>
      </c>
      <c r="O6" s="9">
        <f>IF(IF(ISERROR(MATCH(Stock!O$1,'Stock UST'!$1:$1,0)),N6,INDEX('Stock UST'!6:6,1,MATCH(Stock!O$1,'Stock UST'!$1:$1,0)))=0,"",IF(ISERROR(MATCH(Stock!O$1,'Stock UST'!$1:$1,0)),N6,INDEX('Stock UST'!6:6,1,MATCH(Stock!O$1,'Stock UST'!$1:$1,0))))</f>
        <v>478000000</v>
      </c>
      <c r="P6" s="9">
        <f>IF(IF(ISERROR(MATCH(Stock!P$1,'Stock UST'!$1:$1,0)),O6,INDEX('Stock UST'!6:6,1,MATCH(Stock!P$1,'Stock UST'!$1:$1,0)))=0,"",IF(ISERROR(MATCH(Stock!P$1,'Stock UST'!$1:$1,0)),O6,INDEX('Stock UST'!6:6,1,MATCH(Stock!P$1,'Stock UST'!$1:$1,0))))</f>
        <v>478000000</v>
      </c>
      <c r="Q6" s="9">
        <f>IF(IF(ISERROR(MATCH(Stock!Q$1,'Stock UST'!$1:$1,0)),P6,INDEX('Stock UST'!6:6,1,MATCH(Stock!Q$1,'Stock UST'!$1:$1,0)))=0,"",IF(ISERROR(MATCH(Stock!Q$1,'Stock UST'!$1:$1,0)),P6,INDEX('Stock UST'!6:6,1,MATCH(Stock!Q$1,'Stock UST'!$1:$1,0))))</f>
        <v>478000000</v>
      </c>
      <c r="R6" s="9">
        <f>IF(IF(ISERROR(MATCH(Stock!R$1,'Stock UST'!$1:$1,0)),Q6,INDEX('Stock UST'!6:6,1,MATCH(Stock!R$1,'Stock UST'!$1:$1,0)))=0,"",IF(ISERROR(MATCH(Stock!R$1,'Stock UST'!$1:$1,0)),Q6,INDEX('Stock UST'!6:6,1,MATCH(Stock!R$1,'Stock UST'!$1:$1,0))))</f>
        <v>478000000</v>
      </c>
      <c r="S6" s="9">
        <f>IF(IF(ISERROR(MATCH(Stock!S$1,'Stock UST'!$1:$1,0)),R6,INDEX('Stock UST'!6:6,1,MATCH(Stock!S$1,'Stock UST'!$1:$1,0)))=0,"",IF(ISERROR(MATCH(Stock!S$1,'Stock UST'!$1:$1,0)),R6,INDEX('Stock UST'!6:6,1,MATCH(Stock!S$1,'Stock UST'!$1:$1,0))))</f>
        <v>478000000</v>
      </c>
      <c r="T6" s="9">
        <f>IF(IF(ISERROR(MATCH(Stock!T$1,'Stock UST'!$1:$1,0)),S6,INDEX('Stock UST'!6:6,1,MATCH(Stock!T$1,'Stock UST'!$1:$1,0)))=0,"",IF(ISERROR(MATCH(Stock!T$1,'Stock UST'!$1:$1,0)),S6,INDEX('Stock UST'!6:6,1,MATCH(Stock!T$1,'Stock UST'!$1:$1,0))))</f>
        <v>478000000</v>
      </c>
      <c r="U6" s="9">
        <f>IF(IF(ISERROR(MATCH(Stock!U$1,'Stock UST'!$1:$1,0)),T6,INDEX('Stock UST'!6:6,1,MATCH(Stock!U$1,'Stock UST'!$1:$1,0)))=0,"",IF(ISERROR(MATCH(Stock!U$1,'Stock UST'!$1:$1,0)),T6,INDEX('Stock UST'!6:6,1,MATCH(Stock!U$1,'Stock UST'!$1:$1,0))))</f>
        <v>478000000</v>
      </c>
      <c r="V6" s="9">
        <f>IF(IF(ISERROR(MATCH(Stock!V$1,'Stock UST'!$1:$1,0)),U6,INDEX('Stock UST'!6:6,1,MATCH(Stock!V$1,'Stock UST'!$1:$1,0)))=0,"",IF(ISERROR(MATCH(Stock!V$1,'Stock UST'!$1:$1,0)),U6,INDEX('Stock UST'!6:6,1,MATCH(Stock!V$1,'Stock UST'!$1:$1,0))))</f>
        <v>478000000</v>
      </c>
      <c r="W6" s="9">
        <f>IF(IF(ISERROR(MATCH(Stock!W$1,'Stock UST'!$1:$1,0)),V6,INDEX('Stock UST'!6:6,1,MATCH(Stock!W$1,'Stock UST'!$1:$1,0)))=0,"",IF(ISERROR(MATCH(Stock!W$1,'Stock UST'!$1:$1,0)),V6,INDEX('Stock UST'!6:6,1,MATCH(Stock!W$1,'Stock UST'!$1:$1,0))))</f>
        <v>478000000</v>
      </c>
      <c r="X6" s="9">
        <f>IF(IF(ISERROR(MATCH(Stock!X$1,'Stock UST'!$1:$1,0)),W6,INDEX('Stock UST'!6:6,1,MATCH(Stock!X$1,'Stock UST'!$1:$1,0)))=0,"",IF(ISERROR(MATCH(Stock!X$1,'Stock UST'!$1:$1,0)),W6,INDEX('Stock UST'!6:6,1,MATCH(Stock!X$1,'Stock UST'!$1:$1,0))))</f>
        <v>478000000</v>
      </c>
      <c r="Y6" s="9">
        <f>IF(IF(ISERROR(MATCH(Stock!Y$1,'Stock UST'!$1:$1,0)),X6,INDEX('Stock UST'!6:6,1,MATCH(Stock!Y$1,'Stock UST'!$1:$1,0)))=0,"",IF(ISERROR(MATCH(Stock!Y$1,'Stock UST'!$1:$1,0)),X6,INDEX('Stock UST'!6:6,1,MATCH(Stock!Y$1,'Stock UST'!$1:$1,0))))</f>
        <v>478000000</v>
      </c>
      <c r="Z6" s="9">
        <f>IF(IF(ISERROR(MATCH(Stock!Z$1,'Stock UST'!$1:$1,0)),Y6,INDEX('Stock UST'!6:6,1,MATCH(Stock!Z$1,'Stock UST'!$1:$1,0)))=0,"",IF(ISERROR(MATCH(Stock!Z$1,'Stock UST'!$1:$1,0)),Y6,INDEX('Stock UST'!6:6,1,MATCH(Stock!Z$1,'Stock UST'!$1:$1,0))))</f>
        <v>478000000</v>
      </c>
      <c r="AA6" s="9">
        <f>IF(IF(ISERROR(MATCH(Stock!AA$1,'Stock UST'!$1:$1,0)),Z6,INDEX('Stock UST'!6:6,1,MATCH(Stock!AA$1,'Stock UST'!$1:$1,0)))=0,"",IF(ISERROR(MATCH(Stock!AA$1,'Stock UST'!$1:$1,0)),Z6,INDEX('Stock UST'!6:6,1,MATCH(Stock!AA$1,'Stock UST'!$1:$1,0))))</f>
        <v>478000000</v>
      </c>
      <c r="AB6" s="9">
        <f>IF(IF(ISERROR(MATCH(Stock!AB$1,'Stock UST'!$1:$1,0)),AA6,INDEX('Stock UST'!6:6,1,MATCH(Stock!AB$1,'Stock UST'!$1:$1,0)))=0,"",IF(ISERROR(MATCH(Stock!AB$1,'Stock UST'!$1:$1,0)),AA6,INDEX('Stock UST'!6:6,1,MATCH(Stock!AB$1,'Stock UST'!$1:$1,0))))</f>
        <v>478000000</v>
      </c>
      <c r="AC6" s="9">
        <f>IF(IF(ISERROR(MATCH(Stock!AC$1,'Stock UST'!$1:$1,0)),AB6,INDEX('Stock UST'!6:6,1,MATCH(Stock!AC$1,'Stock UST'!$1:$1,0)))=0,"",IF(ISERROR(MATCH(Stock!AC$1,'Stock UST'!$1:$1,0)),AB6,INDEX('Stock UST'!6:6,1,MATCH(Stock!AC$1,'Stock UST'!$1:$1,0))))</f>
        <v>478000000</v>
      </c>
      <c r="AD6" s="9">
        <f>IF(IF(ISERROR(MATCH(Stock!AD$1,'Stock UST'!$1:$1,0)),AC6,INDEX('Stock UST'!6:6,1,MATCH(Stock!AD$1,'Stock UST'!$1:$1,0)))=0,"",IF(ISERROR(MATCH(Stock!AD$1,'Stock UST'!$1:$1,0)),AC6,INDEX('Stock UST'!6:6,1,MATCH(Stock!AD$1,'Stock UST'!$1:$1,0))))</f>
        <v>478000000</v>
      </c>
      <c r="AE6" s="9">
        <f>IF(IF(ISERROR(MATCH(Stock!AE$1,'Stock UST'!$1:$1,0)),AD6,INDEX('Stock UST'!6:6,1,MATCH(Stock!AE$1,'Stock UST'!$1:$1,0)))=0,"",IF(ISERROR(MATCH(Stock!AE$1,'Stock UST'!$1:$1,0)),AD6,INDEX('Stock UST'!6:6,1,MATCH(Stock!AE$1,'Stock UST'!$1:$1,0))))</f>
        <v>478000000</v>
      </c>
      <c r="AF6" s="9">
        <f>IF(IF(ISERROR(MATCH(Stock!AF$1,'Stock UST'!$1:$1,0)),AE6,INDEX('Stock UST'!6:6,1,MATCH(Stock!AF$1,'Stock UST'!$1:$1,0)))=0,"",IF(ISERROR(MATCH(Stock!AF$1,'Stock UST'!$1:$1,0)),AE6,INDEX('Stock UST'!6:6,1,MATCH(Stock!AF$1,'Stock UST'!$1:$1,0))))</f>
        <v>478000000</v>
      </c>
      <c r="AG6" s="9">
        <f>IF(IF(ISERROR(MATCH(Stock!AG$1,'Stock UST'!$1:$1,0)),AF6,INDEX('Stock UST'!6:6,1,MATCH(Stock!AG$1,'Stock UST'!$1:$1,0)))=0,"",IF(ISERROR(MATCH(Stock!AG$1,'Stock UST'!$1:$1,0)),AF6,INDEX('Stock UST'!6:6,1,MATCH(Stock!AG$1,'Stock UST'!$1:$1,0))))</f>
        <v>478000000</v>
      </c>
      <c r="AH6" s="9">
        <f>IF(IF(ISERROR(MATCH(Stock!AH$1,'Stock UST'!$1:$1,0)),AG6,INDEX('Stock UST'!6:6,1,MATCH(Stock!AH$1,'Stock UST'!$1:$1,0)))=0,"",IF(ISERROR(MATCH(Stock!AH$1,'Stock UST'!$1:$1,0)),AG6,INDEX('Stock UST'!6:6,1,MATCH(Stock!AH$1,'Stock UST'!$1:$1,0))))</f>
        <v>478000000</v>
      </c>
      <c r="AI6" s="9">
        <f>IF(IF(ISERROR(MATCH(Stock!AI$1,'Stock UST'!$1:$1,0)),AH6,INDEX('Stock UST'!6:6,1,MATCH(Stock!AI$1,'Stock UST'!$1:$1,0)))=0,"",IF(ISERROR(MATCH(Stock!AI$1,'Stock UST'!$1:$1,0)),AH6,INDEX('Stock UST'!6:6,1,MATCH(Stock!AI$1,'Stock UST'!$1:$1,0))))</f>
        <v>478000000</v>
      </c>
      <c r="AJ6" s="9">
        <f>IF(IF(ISERROR(MATCH(Stock!AJ$1,'Stock UST'!$1:$1,0)),AI6,INDEX('Stock UST'!6:6,1,MATCH(Stock!AJ$1,'Stock UST'!$1:$1,0)))=0,"",IF(ISERROR(MATCH(Stock!AJ$1,'Stock UST'!$1:$1,0)),AI6,INDEX('Stock UST'!6:6,1,MATCH(Stock!AJ$1,'Stock UST'!$1:$1,0))))</f>
        <v>478000000</v>
      </c>
      <c r="AK6" s="9">
        <f>IF(IF(ISERROR(MATCH(Stock!AK$1,'Stock UST'!$1:$1,0)),AJ6,INDEX('Stock UST'!6:6,1,MATCH(Stock!AK$1,'Stock UST'!$1:$1,0)))=0,"",IF(ISERROR(MATCH(Stock!AK$1,'Stock UST'!$1:$1,0)),AJ6,INDEX('Stock UST'!6:6,1,MATCH(Stock!AK$1,'Stock UST'!$1:$1,0))))</f>
        <v>478000000</v>
      </c>
      <c r="AL6" s="9">
        <f>IF(IF(ISERROR(MATCH(Stock!AL$1,'Stock UST'!$1:$1,0)),AK6,INDEX('Stock UST'!6:6,1,MATCH(Stock!AL$1,'Stock UST'!$1:$1,0)))=0,"",IF(ISERROR(MATCH(Stock!AL$1,'Stock UST'!$1:$1,0)),AK6,INDEX('Stock UST'!6:6,1,MATCH(Stock!AL$1,'Stock UST'!$1:$1,0))))</f>
        <v>478000000</v>
      </c>
      <c r="AM6" s="9">
        <f>IF(IF(ISERROR(MATCH(Stock!AM$1,'Stock UST'!$1:$1,0)),AL6,INDEX('Stock UST'!6:6,1,MATCH(Stock!AM$1,'Stock UST'!$1:$1,0)))=0,"",IF(ISERROR(MATCH(Stock!AM$1,'Stock UST'!$1:$1,0)),AL6,INDEX('Stock UST'!6:6,1,MATCH(Stock!AM$1,'Stock UST'!$1:$1,0))))</f>
        <v>478000000</v>
      </c>
      <c r="AN6" s="9">
        <f>IF(IF(ISERROR(MATCH(Stock!AN$1,'Stock UST'!$1:$1,0)),AM6,INDEX('Stock UST'!6:6,1,MATCH(Stock!AN$1,'Stock UST'!$1:$1,0)))=0,"",IF(ISERROR(MATCH(Stock!AN$1,'Stock UST'!$1:$1,0)),AM6,INDEX('Stock UST'!6:6,1,MATCH(Stock!AN$1,'Stock UST'!$1:$1,0))))</f>
        <v>478000000</v>
      </c>
      <c r="AO6" s="9">
        <f>IF(IF(ISERROR(MATCH(Stock!AO$1,'Stock UST'!$1:$1,0)),AN6,INDEX('Stock UST'!6:6,1,MATCH(Stock!AO$1,'Stock UST'!$1:$1,0)))=0,"",IF(ISERROR(MATCH(Stock!AO$1,'Stock UST'!$1:$1,0)),AN6,INDEX('Stock UST'!6:6,1,MATCH(Stock!AO$1,'Stock UST'!$1:$1,0))))</f>
        <v>478000000</v>
      </c>
      <c r="AP6" s="9">
        <f>IF(IF(ISERROR(MATCH(Stock!AP$1,'Stock UST'!$1:$1,0)),AO6,INDEX('Stock UST'!6:6,1,MATCH(Stock!AP$1,'Stock UST'!$1:$1,0)))=0,"",IF(ISERROR(MATCH(Stock!AP$1,'Stock UST'!$1:$1,0)),AO6,INDEX('Stock UST'!6:6,1,MATCH(Stock!AP$1,'Stock UST'!$1:$1,0))))</f>
        <v>478000000</v>
      </c>
      <c r="AQ6" s="9">
        <f>IF(IF(ISERROR(MATCH(Stock!AQ$1,'Stock UST'!$1:$1,0)),AP6,INDEX('Stock UST'!6:6,1,MATCH(Stock!AQ$1,'Stock UST'!$1:$1,0)))=0,"",IF(ISERROR(MATCH(Stock!AQ$1,'Stock UST'!$1:$1,0)),AP6,INDEX('Stock UST'!6:6,1,MATCH(Stock!AQ$1,'Stock UST'!$1:$1,0))))</f>
        <v>478000000</v>
      </c>
      <c r="AR6" s="9">
        <f>IF(IF(ISERROR(MATCH(Stock!AR$1,'Stock UST'!$1:$1,0)),AQ6,INDEX('Stock UST'!6:6,1,MATCH(Stock!AR$1,'Stock UST'!$1:$1,0)))=0,"",IF(ISERROR(MATCH(Stock!AR$1,'Stock UST'!$1:$1,0)),AQ6,INDEX('Stock UST'!6:6,1,MATCH(Stock!AR$1,'Stock UST'!$1:$1,0))))</f>
        <v>478000000</v>
      </c>
      <c r="AS6" s="9">
        <f>IF(IF(ISERROR(MATCH(Stock!AS$1,'Stock UST'!$1:$1,0)),AR6,INDEX('Stock UST'!6:6,1,MATCH(Stock!AS$1,'Stock UST'!$1:$1,0)))=0,"",IF(ISERROR(MATCH(Stock!AS$1,'Stock UST'!$1:$1,0)),AR6,INDEX('Stock UST'!6:6,1,MATCH(Stock!AS$1,'Stock UST'!$1:$1,0))))</f>
        <v>478000000</v>
      </c>
      <c r="AT6" s="9">
        <f>IF(IF(ISERROR(MATCH(Stock!AT$1,'Stock UST'!$1:$1,0)),AS6,INDEX('Stock UST'!6:6,1,MATCH(Stock!AT$1,'Stock UST'!$1:$1,0)))=0,"",IF(ISERROR(MATCH(Stock!AT$1,'Stock UST'!$1:$1,0)),AS6,INDEX('Stock UST'!6:6,1,MATCH(Stock!AT$1,'Stock UST'!$1:$1,0))))</f>
        <v>478000000</v>
      </c>
      <c r="AU6" s="9">
        <f>IF(IF(ISERROR(MATCH(Stock!AU$1,'Stock UST'!$1:$1,0)),AT6,INDEX('Stock UST'!6:6,1,MATCH(Stock!AU$1,'Stock UST'!$1:$1,0)))=0,"",IF(ISERROR(MATCH(Stock!AU$1,'Stock UST'!$1:$1,0)),AT6,INDEX('Stock UST'!6:6,1,MATCH(Stock!AU$1,'Stock UST'!$1:$1,0))))</f>
        <v>478000000</v>
      </c>
      <c r="AV6" s="9">
        <f>IF(IF(ISERROR(MATCH(Stock!AV$1,'Stock UST'!$1:$1,0)),AU6,INDEX('Stock UST'!6:6,1,MATCH(Stock!AV$1,'Stock UST'!$1:$1,0)))=0,"",IF(ISERROR(MATCH(Stock!AV$1,'Stock UST'!$1:$1,0)),AU6,INDEX('Stock UST'!6:6,1,MATCH(Stock!AV$1,'Stock UST'!$1:$1,0))))</f>
        <v>478000000</v>
      </c>
      <c r="AW6" s="9">
        <f>IF(IF(ISERROR(MATCH(Stock!AW$1,'Stock UST'!$1:$1,0)),AV6,INDEX('Stock UST'!6:6,1,MATCH(Stock!AW$1,'Stock UST'!$1:$1,0)))=0,"",IF(ISERROR(MATCH(Stock!AW$1,'Stock UST'!$1:$1,0)),AV6,INDEX('Stock UST'!6:6,1,MATCH(Stock!AW$1,'Stock UST'!$1:$1,0))))</f>
        <v>478000000</v>
      </c>
      <c r="AX6" s="9">
        <f>IF(IF(ISERROR(MATCH(Stock!AX$1,'Stock UST'!$1:$1,0)),AW6,INDEX('Stock UST'!6:6,1,MATCH(Stock!AX$1,'Stock UST'!$1:$1,0)))=0,"",IF(ISERROR(MATCH(Stock!AX$1,'Stock UST'!$1:$1,0)),AW6,INDEX('Stock UST'!6:6,1,MATCH(Stock!AX$1,'Stock UST'!$1:$1,0))))</f>
        <v>478000000</v>
      </c>
    </row>
    <row r="7" spans="1:91" x14ac:dyDescent="0.2">
      <c r="A7" s="9">
        <f>IF('Stock UST'!E7="","",'Stock UST'!E7)</f>
        <v>210000000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456000000</v>
      </c>
      <c r="C8" s="9">
        <f>IF(IF(ISERROR(MATCH(Stock!C$1,'Stock UST'!$1:$1,0)),B8,INDEX('Stock UST'!8:8,1,MATCH(Stock!C$1,'Stock UST'!$1:$1,0)))=0,"",IF(ISERROR(MATCH(Stock!C$1,'Stock UST'!$1:$1,0)),B8,INDEX('Stock UST'!8:8,1,MATCH(Stock!C$1,'Stock UST'!$1:$1,0))))</f>
        <v>456000000</v>
      </c>
      <c r="D8" s="9">
        <f>IF(IF(ISERROR(MATCH(Stock!D$1,'Stock UST'!$1:$1,0)),C8,INDEX('Stock UST'!8:8,1,MATCH(Stock!D$1,'Stock UST'!$1:$1,0)))=0,"",IF(ISERROR(MATCH(Stock!D$1,'Stock UST'!$1:$1,0)),C8,INDEX('Stock UST'!8:8,1,MATCH(Stock!D$1,'Stock UST'!$1:$1,0))))</f>
        <v>456000000</v>
      </c>
      <c r="E8" s="9">
        <f>IF(IF(ISERROR(MATCH(Stock!E$1,'Stock UST'!$1:$1,0)),D8,INDEX('Stock UST'!8:8,1,MATCH(Stock!E$1,'Stock UST'!$1:$1,0)))=0,"",IF(ISERROR(MATCH(Stock!E$1,'Stock UST'!$1:$1,0)),D8,INDEX('Stock UST'!8:8,1,MATCH(Stock!E$1,'Stock UST'!$1:$1,0))))</f>
        <v>456000000</v>
      </c>
      <c r="F8" s="9">
        <f>IF(IF(ISERROR(MATCH(Stock!F$1,'Stock UST'!$1:$1,0)),E8,INDEX('Stock UST'!8:8,1,MATCH(Stock!F$1,'Stock UST'!$1:$1,0)))=0,"",IF(ISERROR(MATCH(Stock!F$1,'Stock UST'!$1:$1,0)),E8,INDEX('Stock UST'!8:8,1,MATCH(Stock!F$1,'Stock UST'!$1:$1,0))))</f>
        <v>456000000</v>
      </c>
      <c r="G8" s="9">
        <f>IF(IF(ISERROR(MATCH(Stock!G$1,'Stock UST'!$1:$1,0)),F8,INDEX('Stock UST'!8:8,1,MATCH(Stock!G$1,'Stock UST'!$1:$1,0)))=0,"",IF(ISERROR(MATCH(Stock!G$1,'Stock UST'!$1:$1,0)),F8,INDEX('Stock UST'!8:8,1,MATCH(Stock!G$1,'Stock UST'!$1:$1,0))))</f>
        <v>456000000</v>
      </c>
      <c r="H8" s="9">
        <f>IF(IF(ISERROR(MATCH(Stock!H$1,'Stock UST'!$1:$1,0)),G8,INDEX('Stock UST'!8:8,1,MATCH(Stock!H$1,'Stock UST'!$1:$1,0)))=0,"",IF(ISERROR(MATCH(Stock!H$1,'Stock UST'!$1:$1,0)),G8,INDEX('Stock UST'!8:8,1,MATCH(Stock!H$1,'Stock UST'!$1:$1,0))))</f>
        <v>456000000</v>
      </c>
      <c r="I8" s="9">
        <f>IF(IF(ISERROR(MATCH(Stock!I$1,'Stock UST'!$1:$1,0)),H8,INDEX('Stock UST'!8:8,1,MATCH(Stock!I$1,'Stock UST'!$1:$1,0)))=0,"",IF(ISERROR(MATCH(Stock!I$1,'Stock UST'!$1:$1,0)),H8,INDEX('Stock UST'!8:8,1,MATCH(Stock!I$1,'Stock UST'!$1:$1,0))))</f>
        <v>456000000</v>
      </c>
      <c r="J8" s="9">
        <f>IF(IF(ISERROR(MATCH(Stock!J$1,'Stock UST'!$1:$1,0)),I8,INDEX('Stock UST'!8:8,1,MATCH(Stock!J$1,'Stock UST'!$1:$1,0)))=0,"",IF(ISERROR(MATCH(Stock!J$1,'Stock UST'!$1:$1,0)),I8,INDEX('Stock UST'!8:8,1,MATCH(Stock!J$1,'Stock UST'!$1:$1,0))))</f>
        <v>456000000</v>
      </c>
      <c r="K8" s="9">
        <f>IF(IF(ISERROR(MATCH(Stock!K$1,'Stock UST'!$1:$1,0)),J8,INDEX('Stock UST'!8:8,1,MATCH(Stock!K$1,'Stock UST'!$1:$1,0)))=0,"",IF(ISERROR(MATCH(Stock!K$1,'Stock UST'!$1:$1,0)),J8,INDEX('Stock UST'!8:8,1,MATCH(Stock!K$1,'Stock UST'!$1:$1,0))))</f>
        <v>456000000</v>
      </c>
      <c r="L8" s="9">
        <f>IF(IF(ISERROR(MATCH(Stock!L$1,'Stock UST'!$1:$1,0)),K8,INDEX('Stock UST'!8:8,1,MATCH(Stock!L$1,'Stock UST'!$1:$1,0)))=0,"",IF(ISERROR(MATCH(Stock!L$1,'Stock UST'!$1:$1,0)),K8,INDEX('Stock UST'!8:8,1,MATCH(Stock!L$1,'Stock UST'!$1:$1,0))))</f>
        <v>456000000</v>
      </c>
      <c r="M8" s="9">
        <f>IF(IF(ISERROR(MATCH(Stock!M$1,'Stock UST'!$1:$1,0)),L8,INDEX('Stock UST'!8:8,1,MATCH(Stock!M$1,'Stock UST'!$1:$1,0)))=0,"",IF(ISERROR(MATCH(Stock!M$1,'Stock UST'!$1:$1,0)),L8,INDEX('Stock UST'!8:8,1,MATCH(Stock!M$1,'Stock UST'!$1:$1,0))))</f>
        <v>456000000</v>
      </c>
      <c r="N8" s="9">
        <f>IF(IF(ISERROR(MATCH(Stock!N$1,'Stock UST'!$1:$1,0)),M8,INDEX('Stock UST'!8:8,1,MATCH(Stock!N$1,'Stock UST'!$1:$1,0)))=0,"",IF(ISERROR(MATCH(Stock!N$1,'Stock UST'!$1:$1,0)),M8,INDEX('Stock UST'!8:8,1,MATCH(Stock!N$1,'Stock UST'!$1:$1,0))))</f>
        <v>456000000</v>
      </c>
      <c r="O8" s="9">
        <f>IF(IF(ISERROR(MATCH(Stock!O$1,'Stock UST'!$1:$1,0)),N8,INDEX('Stock UST'!8:8,1,MATCH(Stock!O$1,'Stock UST'!$1:$1,0)))=0,"",IF(ISERROR(MATCH(Stock!O$1,'Stock UST'!$1:$1,0)),N8,INDEX('Stock UST'!8:8,1,MATCH(Stock!O$1,'Stock UST'!$1:$1,0))))</f>
        <v>456000000</v>
      </c>
      <c r="P8" s="9">
        <f>IF(IF(ISERROR(MATCH(Stock!P$1,'Stock UST'!$1:$1,0)),O8,INDEX('Stock UST'!8:8,1,MATCH(Stock!P$1,'Stock UST'!$1:$1,0)))=0,"",IF(ISERROR(MATCH(Stock!P$1,'Stock UST'!$1:$1,0)),O8,INDEX('Stock UST'!8:8,1,MATCH(Stock!P$1,'Stock UST'!$1:$1,0))))</f>
        <v>456000000</v>
      </c>
      <c r="Q8" s="9">
        <f>IF(IF(ISERROR(MATCH(Stock!Q$1,'Stock UST'!$1:$1,0)),P8,INDEX('Stock UST'!8:8,1,MATCH(Stock!Q$1,'Stock UST'!$1:$1,0)))=0,"",IF(ISERROR(MATCH(Stock!Q$1,'Stock UST'!$1:$1,0)),P8,INDEX('Stock UST'!8:8,1,MATCH(Stock!Q$1,'Stock UST'!$1:$1,0))))</f>
        <v>456000000</v>
      </c>
      <c r="R8" s="9">
        <f>IF(IF(ISERROR(MATCH(Stock!R$1,'Stock UST'!$1:$1,0)),Q8,INDEX('Stock UST'!8:8,1,MATCH(Stock!R$1,'Stock UST'!$1:$1,0)))=0,"",IF(ISERROR(MATCH(Stock!R$1,'Stock UST'!$1:$1,0)),Q8,INDEX('Stock UST'!8:8,1,MATCH(Stock!R$1,'Stock UST'!$1:$1,0))))</f>
        <v>456000000</v>
      </c>
      <c r="S8" s="9">
        <f>IF(IF(ISERROR(MATCH(Stock!S$1,'Stock UST'!$1:$1,0)),R8,INDEX('Stock UST'!8:8,1,MATCH(Stock!S$1,'Stock UST'!$1:$1,0)))=0,"",IF(ISERROR(MATCH(Stock!S$1,'Stock UST'!$1:$1,0)),R8,INDEX('Stock UST'!8:8,1,MATCH(Stock!S$1,'Stock UST'!$1:$1,0))))</f>
        <v>456000000</v>
      </c>
      <c r="T8" s="9">
        <f>IF(IF(ISERROR(MATCH(Stock!T$1,'Stock UST'!$1:$1,0)),S8,INDEX('Stock UST'!8:8,1,MATCH(Stock!T$1,'Stock UST'!$1:$1,0)))=0,"",IF(ISERROR(MATCH(Stock!T$1,'Stock UST'!$1:$1,0)),S8,INDEX('Stock UST'!8:8,1,MATCH(Stock!T$1,'Stock UST'!$1:$1,0))))</f>
        <v>456000000</v>
      </c>
      <c r="U8" s="9">
        <f>IF(IF(ISERROR(MATCH(Stock!U$1,'Stock UST'!$1:$1,0)),T8,INDEX('Stock UST'!8:8,1,MATCH(Stock!U$1,'Stock UST'!$1:$1,0)))=0,"",IF(ISERROR(MATCH(Stock!U$1,'Stock UST'!$1:$1,0)),T8,INDEX('Stock UST'!8:8,1,MATCH(Stock!U$1,'Stock UST'!$1:$1,0))))</f>
        <v>456000000</v>
      </c>
      <c r="V8" s="9">
        <f>IF(IF(ISERROR(MATCH(Stock!V$1,'Stock UST'!$1:$1,0)),U8,INDEX('Stock UST'!8:8,1,MATCH(Stock!V$1,'Stock UST'!$1:$1,0)))=0,"",IF(ISERROR(MATCH(Stock!V$1,'Stock UST'!$1:$1,0)),U8,INDEX('Stock UST'!8:8,1,MATCH(Stock!V$1,'Stock UST'!$1:$1,0))))</f>
        <v>456000000</v>
      </c>
      <c r="W8" s="9">
        <f>IF(IF(ISERROR(MATCH(Stock!W$1,'Stock UST'!$1:$1,0)),V8,INDEX('Stock UST'!8:8,1,MATCH(Stock!W$1,'Stock UST'!$1:$1,0)))=0,"",IF(ISERROR(MATCH(Stock!W$1,'Stock UST'!$1:$1,0)),V8,INDEX('Stock UST'!8:8,1,MATCH(Stock!W$1,'Stock UST'!$1:$1,0))))</f>
        <v>456000000</v>
      </c>
      <c r="X8" s="9">
        <f>IF(IF(ISERROR(MATCH(Stock!X$1,'Stock UST'!$1:$1,0)),W8,INDEX('Stock UST'!8:8,1,MATCH(Stock!X$1,'Stock UST'!$1:$1,0)))=0,"",IF(ISERROR(MATCH(Stock!X$1,'Stock UST'!$1:$1,0)),W8,INDEX('Stock UST'!8:8,1,MATCH(Stock!X$1,'Stock UST'!$1:$1,0))))</f>
        <v>456000000</v>
      </c>
      <c r="Y8" s="9">
        <f>IF(IF(ISERROR(MATCH(Stock!Y$1,'Stock UST'!$1:$1,0)),X8,INDEX('Stock UST'!8:8,1,MATCH(Stock!Y$1,'Stock UST'!$1:$1,0)))=0,"",IF(ISERROR(MATCH(Stock!Y$1,'Stock UST'!$1:$1,0)),X8,INDEX('Stock UST'!8:8,1,MATCH(Stock!Y$1,'Stock UST'!$1:$1,0))))</f>
        <v>456000000</v>
      </c>
      <c r="Z8" s="9">
        <f>IF(IF(ISERROR(MATCH(Stock!Z$1,'Stock UST'!$1:$1,0)),Y8,INDEX('Stock UST'!8:8,1,MATCH(Stock!Z$1,'Stock UST'!$1:$1,0)))=0,"",IF(ISERROR(MATCH(Stock!Z$1,'Stock UST'!$1:$1,0)),Y8,INDEX('Stock UST'!8:8,1,MATCH(Stock!Z$1,'Stock UST'!$1:$1,0))))</f>
        <v>456000000</v>
      </c>
      <c r="AA8" s="9">
        <f>IF(IF(ISERROR(MATCH(Stock!AA$1,'Stock UST'!$1:$1,0)),Z8,INDEX('Stock UST'!8:8,1,MATCH(Stock!AA$1,'Stock UST'!$1:$1,0)))=0,"",IF(ISERROR(MATCH(Stock!AA$1,'Stock UST'!$1:$1,0)),Z8,INDEX('Stock UST'!8:8,1,MATCH(Stock!AA$1,'Stock UST'!$1:$1,0))))</f>
        <v>456000000</v>
      </c>
      <c r="AB8" s="9">
        <f>IF(IF(ISERROR(MATCH(Stock!AB$1,'Stock UST'!$1:$1,0)),AA8,INDEX('Stock UST'!8:8,1,MATCH(Stock!AB$1,'Stock UST'!$1:$1,0)))=0,"",IF(ISERROR(MATCH(Stock!AB$1,'Stock UST'!$1:$1,0)),AA8,INDEX('Stock UST'!8:8,1,MATCH(Stock!AB$1,'Stock UST'!$1:$1,0))))</f>
        <v>456000000</v>
      </c>
      <c r="AC8" s="9">
        <f>IF(IF(ISERROR(MATCH(Stock!AC$1,'Stock UST'!$1:$1,0)),AB8,INDEX('Stock UST'!8:8,1,MATCH(Stock!AC$1,'Stock UST'!$1:$1,0)))=0,"",IF(ISERROR(MATCH(Stock!AC$1,'Stock UST'!$1:$1,0)),AB8,INDEX('Stock UST'!8:8,1,MATCH(Stock!AC$1,'Stock UST'!$1:$1,0))))</f>
        <v>456000000</v>
      </c>
      <c r="AD8" s="9">
        <f>IF(IF(ISERROR(MATCH(Stock!AD$1,'Stock UST'!$1:$1,0)),AC8,INDEX('Stock UST'!8:8,1,MATCH(Stock!AD$1,'Stock UST'!$1:$1,0)))=0,"",IF(ISERROR(MATCH(Stock!AD$1,'Stock UST'!$1:$1,0)),AC8,INDEX('Stock UST'!8:8,1,MATCH(Stock!AD$1,'Stock UST'!$1:$1,0))))</f>
        <v>456000000</v>
      </c>
      <c r="AE8" s="9">
        <f>IF(IF(ISERROR(MATCH(Stock!AE$1,'Stock UST'!$1:$1,0)),AD8,INDEX('Stock UST'!8:8,1,MATCH(Stock!AE$1,'Stock UST'!$1:$1,0)))=0,"",IF(ISERROR(MATCH(Stock!AE$1,'Stock UST'!$1:$1,0)),AD8,INDEX('Stock UST'!8:8,1,MATCH(Stock!AE$1,'Stock UST'!$1:$1,0))))</f>
        <v>456000000</v>
      </c>
      <c r="AF8" s="9">
        <f>IF(IF(ISERROR(MATCH(Stock!AF$1,'Stock UST'!$1:$1,0)),AE8,INDEX('Stock UST'!8:8,1,MATCH(Stock!AF$1,'Stock UST'!$1:$1,0)))=0,"",IF(ISERROR(MATCH(Stock!AF$1,'Stock UST'!$1:$1,0)),AE8,INDEX('Stock UST'!8:8,1,MATCH(Stock!AF$1,'Stock UST'!$1:$1,0))))</f>
        <v>456000000</v>
      </c>
      <c r="AG8" s="9">
        <f>IF(IF(ISERROR(MATCH(Stock!AG$1,'Stock UST'!$1:$1,0)),AF8,INDEX('Stock UST'!8:8,1,MATCH(Stock!AG$1,'Stock UST'!$1:$1,0)))=0,"",IF(ISERROR(MATCH(Stock!AG$1,'Stock UST'!$1:$1,0)),AF8,INDEX('Stock UST'!8:8,1,MATCH(Stock!AG$1,'Stock UST'!$1:$1,0))))</f>
        <v>456000000</v>
      </c>
      <c r="AH8" s="9">
        <f>IF(IF(ISERROR(MATCH(Stock!AH$1,'Stock UST'!$1:$1,0)),AG8,INDEX('Stock UST'!8:8,1,MATCH(Stock!AH$1,'Stock UST'!$1:$1,0)))=0,"",IF(ISERROR(MATCH(Stock!AH$1,'Stock UST'!$1:$1,0)),AG8,INDEX('Stock UST'!8:8,1,MATCH(Stock!AH$1,'Stock UST'!$1:$1,0))))</f>
        <v>456000000</v>
      </c>
      <c r="AI8" s="9">
        <f>IF(IF(ISERROR(MATCH(Stock!AI$1,'Stock UST'!$1:$1,0)),AH8,INDEX('Stock UST'!8:8,1,MATCH(Stock!AI$1,'Stock UST'!$1:$1,0)))=0,"",IF(ISERROR(MATCH(Stock!AI$1,'Stock UST'!$1:$1,0)),AH8,INDEX('Stock UST'!8:8,1,MATCH(Stock!AI$1,'Stock UST'!$1:$1,0))))</f>
        <v>456000000</v>
      </c>
      <c r="AJ8" s="9">
        <f>IF(IF(ISERROR(MATCH(Stock!AJ$1,'Stock UST'!$1:$1,0)),AI8,INDEX('Stock UST'!8:8,1,MATCH(Stock!AJ$1,'Stock UST'!$1:$1,0)))=0,"",IF(ISERROR(MATCH(Stock!AJ$1,'Stock UST'!$1:$1,0)),AI8,INDEX('Stock UST'!8:8,1,MATCH(Stock!AJ$1,'Stock UST'!$1:$1,0))))</f>
        <v>456000000</v>
      </c>
      <c r="AK8" s="9">
        <f>IF(IF(ISERROR(MATCH(Stock!AK$1,'Stock UST'!$1:$1,0)),AJ8,INDEX('Stock UST'!8:8,1,MATCH(Stock!AK$1,'Stock UST'!$1:$1,0)))=0,"",IF(ISERROR(MATCH(Stock!AK$1,'Stock UST'!$1:$1,0)),AJ8,INDEX('Stock UST'!8:8,1,MATCH(Stock!AK$1,'Stock UST'!$1:$1,0))))</f>
        <v>456000000</v>
      </c>
      <c r="AL8" s="9">
        <f>IF(IF(ISERROR(MATCH(Stock!AL$1,'Stock UST'!$1:$1,0)),AK8,INDEX('Stock UST'!8:8,1,MATCH(Stock!AL$1,'Stock UST'!$1:$1,0)))=0,"",IF(ISERROR(MATCH(Stock!AL$1,'Stock UST'!$1:$1,0)),AK8,INDEX('Stock UST'!8:8,1,MATCH(Stock!AL$1,'Stock UST'!$1:$1,0))))</f>
        <v>456000000</v>
      </c>
      <c r="AM8" s="9">
        <f>IF(IF(ISERROR(MATCH(Stock!AM$1,'Stock UST'!$1:$1,0)),AL8,INDEX('Stock UST'!8:8,1,MATCH(Stock!AM$1,'Stock UST'!$1:$1,0)))=0,"",IF(ISERROR(MATCH(Stock!AM$1,'Stock UST'!$1:$1,0)),AL8,INDEX('Stock UST'!8:8,1,MATCH(Stock!AM$1,'Stock UST'!$1:$1,0))))</f>
        <v>456000000</v>
      </c>
      <c r="AN8" s="9">
        <f>IF(IF(ISERROR(MATCH(Stock!AN$1,'Stock UST'!$1:$1,0)),AM8,INDEX('Stock UST'!8:8,1,MATCH(Stock!AN$1,'Stock UST'!$1:$1,0)))=0,"",IF(ISERROR(MATCH(Stock!AN$1,'Stock UST'!$1:$1,0)),AM8,INDEX('Stock UST'!8:8,1,MATCH(Stock!AN$1,'Stock UST'!$1:$1,0))))</f>
        <v>456000000</v>
      </c>
      <c r="AO8" s="9">
        <f>IF(IF(ISERROR(MATCH(Stock!AO$1,'Stock UST'!$1:$1,0)),AN8,INDEX('Stock UST'!8:8,1,MATCH(Stock!AO$1,'Stock UST'!$1:$1,0)))=0,"",IF(ISERROR(MATCH(Stock!AO$1,'Stock UST'!$1:$1,0)),AN8,INDEX('Stock UST'!8:8,1,MATCH(Stock!AO$1,'Stock UST'!$1:$1,0))))</f>
        <v>456000000</v>
      </c>
      <c r="AP8" s="9">
        <f>IF(IF(ISERROR(MATCH(Stock!AP$1,'Stock UST'!$1:$1,0)),AO8,INDEX('Stock UST'!8:8,1,MATCH(Stock!AP$1,'Stock UST'!$1:$1,0)))=0,"",IF(ISERROR(MATCH(Stock!AP$1,'Stock UST'!$1:$1,0)),AO8,INDEX('Stock UST'!8:8,1,MATCH(Stock!AP$1,'Stock UST'!$1:$1,0))))</f>
        <v>456000000</v>
      </c>
      <c r="AQ8" s="9">
        <f>IF(IF(ISERROR(MATCH(Stock!AQ$1,'Stock UST'!$1:$1,0)),AP8,INDEX('Stock UST'!8:8,1,MATCH(Stock!AQ$1,'Stock UST'!$1:$1,0)))=0,"",IF(ISERROR(MATCH(Stock!AQ$1,'Stock UST'!$1:$1,0)),AP8,INDEX('Stock UST'!8:8,1,MATCH(Stock!AQ$1,'Stock UST'!$1:$1,0))))</f>
        <v>456000000</v>
      </c>
      <c r="AR8" s="9">
        <f>IF(IF(ISERROR(MATCH(Stock!AR$1,'Stock UST'!$1:$1,0)),AQ8,INDEX('Stock UST'!8:8,1,MATCH(Stock!AR$1,'Stock UST'!$1:$1,0)))=0,"",IF(ISERROR(MATCH(Stock!AR$1,'Stock UST'!$1:$1,0)),AQ8,INDEX('Stock UST'!8:8,1,MATCH(Stock!AR$1,'Stock UST'!$1:$1,0))))</f>
        <v>456000000</v>
      </c>
      <c r="AS8" s="9">
        <f>IF(IF(ISERROR(MATCH(Stock!AS$1,'Stock UST'!$1:$1,0)),AR8,INDEX('Stock UST'!8:8,1,MATCH(Stock!AS$1,'Stock UST'!$1:$1,0)))=0,"",IF(ISERROR(MATCH(Stock!AS$1,'Stock UST'!$1:$1,0)),AR8,INDEX('Stock UST'!8:8,1,MATCH(Stock!AS$1,'Stock UST'!$1:$1,0))))</f>
        <v>456000000</v>
      </c>
      <c r="AT8" s="9">
        <f>IF(IF(ISERROR(MATCH(Stock!AT$1,'Stock UST'!$1:$1,0)),AS8,INDEX('Stock UST'!8:8,1,MATCH(Stock!AT$1,'Stock UST'!$1:$1,0)))=0,"",IF(ISERROR(MATCH(Stock!AT$1,'Stock UST'!$1:$1,0)),AS8,INDEX('Stock UST'!8:8,1,MATCH(Stock!AT$1,'Stock UST'!$1:$1,0))))</f>
        <v>456000000</v>
      </c>
      <c r="AU8" s="9">
        <f>IF(IF(ISERROR(MATCH(Stock!AU$1,'Stock UST'!$1:$1,0)),AT8,INDEX('Stock UST'!8:8,1,MATCH(Stock!AU$1,'Stock UST'!$1:$1,0)))=0,"",IF(ISERROR(MATCH(Stock!AU$1,'Stock UST'!$1:$1,0)),AT8,INDEX('Stock UST'!8:8,1,MATCH(Stock!AU$1,'Stock UST'!$1:$1,0))))</f>
        <v>456000000</v>
      </c>
      <c r="AV8" s="9">
        <f>IF(IF(ISERROR(MATCH(Stock!AV$1,'Stock UST'!$1:$1,0)),AU8,INDEX('Stock UST'!8:8,1,MATCH(Stock!AV$1,'Stock UST'!$1:$1,0)))=0,"",IF(ISERROR(MATCH(Stock!AV$1,'Stock UST'!$1:$1,0)),AU8,INDEX('Stock UST'!8:8,1,MATCH(Stock!AV$1,'Stock UST'!$1:$1,0))))</f>
        <v>456000000</v>
      </c>
      <c r="AW8" s="9">
        <f>IF(IF(ISERROR(MATCH(Stock!AW$1,'Stock UST'!$1:$1,0)),AV8,INDEX('Stock UST'!8:8,1,MATCH(Stock!AW$1,'Stock UST'!$1:$1,0)))=0,"",IF(ISERROR(MATCH(Stock!AW$1,'Stock UST'!$1:$1,0)),AV8,INDEX('Stock UST'!8:8,1,MATCH(Stock!AW$1,'Stock UST'!$1:$1,0))))</f>
        <v>456000000</v>
      </c>
      <c r="AX8" s="9">
        <f>IF(IF(ISERROR(MATCH(Stock!AX$1,'Stock UST'!$1:$1,0)),AW8,INDEX('Stock UST'!8:8,1,MATCH(Stock!AX$1,'Stock UST'!$1:$1,0)))=0,"",IF(ISERROR(MATCH(Stock!AX$1,'Stock UST'!$1:$1,0)),AW8,INDEX('Stock UST'!8:8,1,MATCH(Stock!AX$1,'Stock UST'!$1:$1,0))))</f>
        <v>456000000</v>
      </c>
    </row>
    <row r="9" spans="1:91" x14ac:dyDescent="0.2">
      <c r="A9" s="9" t="str">
        <f>IF('Stock UST'!E9="","",'Stock UST'!E9)</f>
        <v/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 t="str">
        <f>IF('Stock UST'!E10="","",'Stock UST'!E10)</f>
        <v/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194000000</v>
      </c>
      <c r="C10" s="9">
        <f>IF(IF(ISERROR(MATCH(Stock!C$1,'Stock UST'!$1:$1,0)),B10,INDEX('Stock UST'!10:10,1,MATCH(Stock!C$1,'Stock UST'!$1:$1,0)))=0,"",IF(ISERROR(MATCH(Stock!C$1,'Stock UST'!$1:$1,0)),B10,INDEX('Stock UST'!10:10,1,MATCH(Stock!C$1,'Stock UST'!$1:$1,0))))</f>
        <v>194000000</v>
      </c>
      <c r="D10" s="9">
        <f>IF(IF(ISERROR(MATCH(Stock!D$1,'Stock UST'!$1:$1,0)),C10,INDEX('Stock UST'!10:10,1,MATCH(Stock!D$1,'Stock UST'!$1:$1,0)))=0,"",IF(ISERROR(MATCH(Stock!D$1,'Stock UST'!$1:$1,0)),C10,INDEX('Stock UST'!10:10,1,MATCH(Stock!D$1,'Stock UST'!$1:$1,0))))</f>
        <v>194000000</v>
      </c>
      <c r="E10" s="9">
        <f>IF(IF(ISERROR(MATCH(Stock!E$1,'Stock UST'!$1:$1,0)),D10,INDEX('Stock UST'!10:10,1,MATCH(Stock!E$1,'Stock UST'!$1:$1,0)))=0,"",IF(ISERROR(MATCH(Stock!E$1,'Stock UST'!$1:$1,0)),D10,INDEX('Stock UST'!10:10,1,MATCH(Stock!E$1,'Stock UST'!$1:$1,0))))</f>
        <v>194000000</v>
      </c>
      <c r="F10" s="9">
        <f>IF(IF(ISERROR(MATCH(Stock!F$1,'Stock UST'!$1:$1,0)),E10,INDEX('Stock UST'!10:10,1,MATCH(Stock!F$1,'Stock UST'!$1:$1,0)))=0,"",IF(ISERROR(MATCH(Stock!F$1,'Stock UST'!$1:$1,0)),E10,INDEX('Stock UST'!10:10,1,MATCH(Stock!F$1,'Stock UST'!$1:$1,0))))</f>
        <v>194000000</v>
      </c>
      <c r="G10" s="9">
        <f>IF(IF(ISERROR(MATCH(Stock!G$1,'Stock UST'!$1:$1,0)),F10,INDEX('Stock UST'!10:10,1,MATCH(Stock!G$1,'Stock UST'!$1:$1,0)))=0,"",IF(ISERROR(MATCH(Stock!G$1,'Stock UST'!$1:$1,0)),F10,INDEX('Stock UST'!10:10,1,MATCH(Stock!G$1,'Stock UST'!$1:$1,0))))</f>
        <v>194000000</v>
      </c>
      <c r="H10" s="9">
        <f>IF(IF(ISERROR(MATCH(Stock!H$1,'Stock UST'!$1:$1,0)),G10,INDEX('Stock UST'!10:10,1,MATCH(Stock!H$1,'Stock UST'!$1:$1,0)))=0,"",IF(ISERROR(MATCH(Stock!H$1,'Stock UST'!$1:$1,0)),G10,INDEX('Stock UST'!10:10,1,MATCH(Stock!H$1,'Stock UST'!$1:$1,0))))</f>
        <v>194000000</v>
      </c>
      <c r="I10" s="9">
        <f>IF(IF(ISERROR(MATCH(Stock!I$1,'Stock UST'!$1:$1,0)),H10,INDEX('Stock UST'!10:10,1,MATCH(Stock!I$1,'Stock UST'!$1:$1,0)))=0,"",IF(ISERROR(MATCH(Stock!I$1,'Stock UST'!$1:$1,0)),H10,INDEX('Stock UST'!10:10,1,MATCH(Stock!I$1,'Stock UST'!$1:$1,0))))</f>
        <v>194000000</v>
      </c>
      <c r="J10" s="9">
        <f>IF(IF(ISERROR(MATCH(Stock!J$1,'Stock UST'!$1:$1,0)),I10,INDEX('Stock UST'!10:10,1,MATCH(Stock!J$1,'Stock UST'!$1:$1,0)))=0,"",IF(ISERROR(MATCH(Stock!J$1,'Stock UST'!$1:$1,0)),I10,INDEX('Stock UST'!10:10,1,MATCH(Stock!J$1,'Stock UST'!$1:$1,0))))</f>
        <v>194000000</v>
      </c>
      <c r="K10" s="9">
        <f>IF(IF(ISERROR(MATCH(Stock!K$1,'Stock UST'!$1:$1,0)),J10,INDEX('Stock UST'!10:10,1,MATCH(Stock!K$1,'Stock UST'!$1:$1,0)))=0,"",IF(ISERROR(MATCH(Stock!K$1,'Stock UST'!$1:$1,0)),J10,INDEX('Stock UST'!10:10,1,MATCH(Stock!K$1,'Stock UST'!$1:$1,0))))</f>
        <v>194000000</v>
      </c>
      <c r="L10" s="9">
        <f>IF(IF(ISERROR(MATCH(Stock!L$1,'Stock UST'!$1:$1,0)),K10,INDEX('Stock UST'!10:10,1,MATCH(Stock!L$1,'Stock UST'!$1:$1,0)))=0,"",IF(ISERROR(MATCH(Stock!L$1,'Stock UST'!$1:$1,0)),K10,INDEX('Stock UST'!10:10,1,MATCH(Stock!L$1,'Stock UST'!$1:$1,0))))</f>
        <v>194000000</v>
      </c>
      <c r="M10" s="9">
        <f>IF(IF(ISERROR(MATCH(Stock!M$1,'Stock UST'!$1:$1,0)),L10,INDEX('Stock UST'!10:10,1,MATCH(Stock!M$1,'Stock UST'!$1:$1,0)))=0,"",IF(ISERROR(MATCH(Stock!M$1,'Stock UST'!$1:$1,0)),L10,INDEX('Stock UST'!10:10,1,MATCH(Stock!M$1,'Stock UST'!$1:$1,0))))</f>
        <v>194000000</v>
      </c>
      <c r="N10" s="9">
        <f>IF(IF(ISERROR(MATCH(Stock!N$1,'Stock UST'!$1:$1,0)),M10,INDEX('Stock UST'!10:10,1,MATCH(Stock!N$1,'Stock UST'!$1:$1,0)))=0,"",IF(ISERROR(MATCH(Stock!N$1,'Stock UST'!$1:$1,0)),M10,INDEX('Stock UST'!10:10,1,MATCH(Stock!N$1,'Stock UST'!$1:$1,0))))</f>
        <v>194000000</v>
      </c>
      <c r="O10" s="9">
        <f>IF(IF(ISERROR(MATCH(Stock!O$1,'Stock UST'!$1:$1,0)),N10,INDEX('Stock UST'!10:10,1,MATCH(Stock!O$1,'Stock UST'!$1:$1,0)))=0,"",IF(ISERROR(MATCH(Stock!O$1,'Stock UST'!$1:$1,0)),N10,INDEX('Stock UST'!10:10,1,MATCH(Stock!O$1,'Stock UST'!$1:$1,0))))</f>
        <v>194000000</v>
      </c>
      <c r="P10" s="9">
        <f>IF(IF(ISERROR(MATCH(Stock!P$1,'Stock UST'!$1:$1,0)),O10,INDEX('Stock UST'!10:10,1,MATCH(Stock!P$1,'Stock UST'!$1:$1,0)))=0,"",IF(ISERROR(MATCH(Stock!P$1,'Stock UST'!$1:$1,0)),O10,INDEX('Stock UST'!10:10,1,MATCH(Stock!P$1,'Stock UST'!$1:$1,0))))</f>
        <v>194000000</v>
      </c>
      <c r="Q10" s="9">
        <f>IF(IF(ISERROR(MATCH(Stock!Q$1,'Stock UST'!$1:$1,0)),P10,INDEX('Stock UST'!10:10,1,MATCH(Stock!Q$1,'Stock UST'!$1:$1,0)))=0,"",IF(ISERROR(MATCH(Stock!Q$1,'Stock UST'!$1:$1,0)),P10,INDEX('Stock UST'!10:10,1,MATCH(Stock!Q$1,'Stock UST'!$1:$1,0))))</f>
        <v>194000000</v>
      </c>
      <c r="R10" s="9">
        <f>IF(IF(ISERROR(MATCH(Stock!R$1,'Stock UST'!$1:$1,0)),Q10,INDEX('Stock UST'!10:10,1,MATCH(Stock!R$1,'Stock UST'!$1:$1,0)))=0,"",IF(ISERROR(MATCH(Stock!R$1,'Stock UST'!$1:$1,0)),Q10,INDEX('Stock UST'!10:10,1,MATCH(Stock!R$1,'Stock UST'!$1:$1,0))))</f>
        <v>194000000</v>
      </c>
      <c r="S10" s="9">
        <f>IF(IF(ISERROR(MATCH(Stock!S$1,'Stock UST'!$1:$1,0)),R10,INDEX('Stock UST'!10:10,1,MATCH(Stock!S$1,'Stock UST'!$1:$1,0)))=0,"",IF(ISERROR(MATCH(Stock!S$1,'Stock UST'!$1:$1,0)),R10,INDEX('Stock UST'!10:10,1,MATCH(Stock!S$1,'Stock UST'!$1:$1,0))))</f>
        <v>194000000</v>
      </c>
      <c r="T10" s="9">
        <f>IF(IF(ISERROR(MATCH(Stock!T$1,'Stock UST'!$1:$1,0)),S10,INDEX('Stock UST'!10:10,1,MATCH(Stock!T$1,'Stock UST'!$1:$1,0)))=0,"",IF(ISERROR(MATCH(Stock!T$1,'Stock UST'!$1:$1,0)),S10,INDEX('Stock UST'!10:10,1,MATCH(Stock!T$1,'Stock UST'!$1:$1,0))))</f>
        <v>194000000</v>
      </c>
      <c r="U10" s="9">
        <f>IF(IF(ISERROR(MATCH(Stock!U$1,'Stock UST'!$1:$1,0)),T10,INDEX('Stock UST'!10:10,1,MATCH(Stock!U$1,'Stock UST'!$1:$1,0)))=0,"",IF(ISERROR(MATCH(Stock!U$1,'Stock UST'!$1:$1,0)),T10,INDEX('Stock UST'!10:10,1,MATCH(Stock!U$1,'Stock UST'!$1:$1,0))))</f>
        <v>194000000</v>
      </c>
      <c r="V10" s="9">
        <f>IF(IF(ISERROR(MATCH(Stock!V$1,'Stock UST'!$1:$1,0)),U10,INDEX('Stock UST'!10:10,1,MATCH(Stock!V$1,'Stock UST'!$1:$1,0)))=0,"",IF(ISERROR(MATCH(Stock!V$1,'Stock UST'!$1:$1,0)),U10,INDEX('Stock UST'!10:10,1,MATCH(Stock!V$1,'Stock UST'!$1:$1,0))))</f>
        <v>194000000</v>
      </c>
      <c r="W10" s="9">
        <f>IF(IF(ISERROR(MATCH(Stock!W$1,'Stock UST'!$1:$1,0)),V10,INDEX('Stock UST'!10:10,1,MATCH(Stock!W$1,'Stock UST'!$1:$1,0)))=0,"",IF(ISERROR(MATCH(Stock!W$1,'Stock UST'!$1:$1,0)),V10,INDEX('Stock UST'!10:10,1,MATCH(Stock!W$1,'Stock UST'!$1:$1,0))))</f>
        <v>194000000</v>
      </c>
      <c r="X10" s="9">
        <f>IF(IF(ISERROR(MATCH(Stock!X$1,'Stock UST'!$1:$1,0)),W10,INDEX('Stock UST'!10:10,1,MATCH(Stock!X$1,'Stock UST'!$1:$1,0)))=0,"",IF(ISERROR(MATCH(Stock!X$1,'Stock UST'!$1:$1,0)),W10,INDEX('Stock UST'!10:10,1,MATCH(Stock!X$1,'Stock UST'!$1:$1,0))))</f>
        <v>194000000</v>
      </c>
      <c r="Y10" s="9">
        <f>IF(IF(ISERROR(MATCH(Stock!Y$1,'Stock UST'!$1:$1,0)),X10,INDEX('Stock UST'!10:10,1,MATCH(Stock!Y$1,'Stock UST'!$1:$1,0)))=0,"",IF(ISERROR(MATCH(Stock!Y$1,'Stock UST'!$1:$1,0)),X10,INDEX('Stock UST'!10:10,1,MATCH(Stock!Y$1,'Stock UST'!$1:$1,0))))</f>
        <v>194000000</v>
      </c>
      <c r="Z10" s="9">
        <f>IF(IF(ISERROR(MATCH(Stock!Z$1,'Stock UST'!$1:$1,0)),Y10,INDEX('Stock UST'!10:10,1,MATCH(Stock!Z$1,'Stock UST'!$1:$1,0)))=0,"",IF(ISERROR(MATCH(Stock!Z$1,'Stock UST'!$1:$1,0)),Y10,INDEX('Stock UST'!10:10,1,MATCH(Stock!Z$1,'Stock UST'!$1:$1,0))))</f>
        <v>194000000</v>
      </c>
      <c r="AA10" s="9">
        <f>IF(IF(ISERROR(MATCH(Stock!AA$1,'Stock UST'!$1:$1,0)),Z10,INDEX('Stock UST'!10:10,1,MATCH(Stock!AA$1,'Stock UST'!$1:$1,0)))=0,"",IF(ISERROR(MATCH(Stock!AA$1,'Stock UST'!$1:$1,0)),Z10,INDEX('Stock UST'!10:10,1,MATCH(Stock!AA$1,'Stock UST'!$1:$1,0))))</f>
        <v>194000000</v>
      </c>
      <c r="AB10" s="9">
        <f>IF(IF(ISERROR(MATCH(Stock!AB$1,'Stock UST'!$1:$1,0)),AA10,INDEX('Stock UST'!10:10,1,MATCH(Stock!AB$1,'Stock UST'!$1:$1,0)))=0,"",IF(ISERROR(MATCH(Stock!AB$1,'Stock UST'!$1:$1,0)),AA10,INDEX('Stock UST'!10:10,1,MATCH(Stock!AB$1,'Stock UST'!$1:$1,0))))</f>
        <v>194000000</v>
      </c>
      <c r="AC10" s="9">
        <f>IF(IF(ISERROR(MATCH(Stock!AC$1,'Stock UST'!$1:$1,0)),AB10,INDEX('Stock UST'!10:10,1,MATCH(Stock!AC$1,'Stock UST'!$1:$1,0)))=0,"",IF(ISERROR(MATCH(Stock!AC$1,'Stock UST'!$1:$1,0)),AB10,INDEX('Stock UST'!10:10,1,MATCH(Stock!AC$1,'Stock UST'!$1:$1,0))))</f>
        <v>194000000</v>
      </c>
      <c r="AD10" s="9">
        <f>IF(IF(ISERROR(MATCH(Stock!AD$1,'Stock UST'!$1:$1,0)),AC10,INDEX('Stock UST'!10:10,1,MATCH(Stock!AD$1,'Stock UST'!$1:$1,0)))=0,"",IF(ISERROR(MATCH(Stock!AD$1,'Stock UST'!$1:$1,0)),AC10,INDEX('Stock UST'!10:10,1,MATCH(Stock!AD$1,'Stock UST'!$1:$1,0))))</f>
        <v>194000000</v>
      </c>
      <c r="AE10" s="9">
        <f>IF(IF(ISERROR(MATCH(Stock!AE$1,'Stock UST'!$1:$1,0)),AD10,INDEX('Stock UST'!10:10,1,MATCH(Stock!AE$1,'Stock UST'!$1:$1,0)))=0,"",IF(ISERROR(MATCH(Stock!AE$1,'Stock UST'!$1:$1,0)),AD10,INDEX('Stock UST'!10:10,1,MATCH(Stock!AE$1,'Stock UST'!$1:$1,0))))</f>
        <v>194000000</v>
      </c>
      <c r="AF10" s="9">
        <f>IF(IF(ISERROR(MATCH(Stock!AF$1,'Stock UST'!$1:$1,0)),AE10,INDEX('Stock UST'!10:10,1,MATCH(Stock!AF$1,'Stock UST'!$1:$1,0)))=0,"",IF(ISERROR(MATCH(Stock!AF$1,'Stock UST'!$1:$1,0)),AE10,INDEX('Stock UST'!10:10,1,MATCH(Stock!AF$1,'Stock UST'!$1:$1,0))))</f>
        <v>194000000</v>
      </c>
      <c r="AG10" s="9">
        <f>IF(IF(ISERROR(MATCH(Stock!AG$1,'Stock UST'!$1:$1,0)),AF10,INDEX('Stock UST'!10:10,1,MATCH(Stock!AG$1,'Stock UST'!$1:$1,0)))=0,"",IF(ISERROR(MATCH(Stock!AG$1,'Stock UST'!$1:$1,0)),AF10,INDEX('Stock UST'!10:10,1,MATCH(Stock!AG$1,'Stock UST'!$1:$1,0))))</f>
        <v>194000000</v>
      </c>
      <c r="AH10" s="9">
        <f>IF(IF(ISERROR(MATCH(Stock!AH$1,'Stock UST'!$1:$1,0)),AG10,INDEX('Stock UST'!10:10,1,MATCH(Stock!AH$1,'Stock UST'!$1:$1,0)))=0,"",IF(ISERROR(MATCH(Stock!AH$1,'Stock UST'!$1:$1,0)),AG10,INDEX('Stock UST'!10:10,1,MATCH(Stock!AH$1,'Stock UST'!$1:$1,0))))</f>
        <v>194000000</v>
      </c>
      <c r="AI10" s="9">
        <f>IF(IF(ISERROR(MATCH(Stock!AI$1,'Stock UST'!$1:$1,0)),AH10,INDEX('Stock UST'!10:10,1,MATCH(Stock!AI$1,'Stock UST'!$1:$1,0)))=0,"",IF(ISERROR(MATCH(Stock!AI$1,'Stock UST'!$1:$1,0)),AH10,INDEX('Stock UST'!10:10,1,MATCH(Stock!AI$1,'Stock UST'!$1:$1,0))))</f>
        <v>194000000</v>
      </c>
      <c r="AJ10" s="9">
        <f>IF(IF(ISERROR(MATCH(Stock!AJ$1,'Stock UST'!$1:$1,0)),AI10,INDEX('Stock UST'!10:10,1,MATCH(Stock!AJ$1,'Stock UST'!$1:$1,0)))=0,"",IF(ISERROR(MATCH(Stock!AJ$1,'Stock UST'!$1:$1,0)),AI10,INDEX('Stock UST'!10:10,1,MATCH(Stock!AJ$1,'Stock UST'!$1:$1,0))))</f>
        <v>194000000</v>
      </c>
      <c r="AK10" s="9">
        <f>IF(IF(ISERROR(MATCH(Stock!AK$1,'Stock UST'!$1:$1,0)),AJ10,INDEX('Stock UST'!10:10,1,MATCH(Stock!AK$1,'Stock UST'!$1:$1,0)))=0,"",IF(ISERROR(MATCH(Stock!AK$1,'Stock UST'!$1:$1,0)),AJ10,INDEX('Stock UST'!10:10,1,MATCH(Stock!AK$1,'Stock UST'!$1:$1,0))))</f>
        <v>194000000</v>
      </c>
      <c r="AL10" s="9">
        <f>IF(IF(ISERROR(MATCH(Stock!AL$1,'Stock UST'!$1:$1,0)),AK10,INDEX('Stock UST'!10:10,1,MATCH(Stock!AL$1,'Stock UST'!$1:$1,0)))=0,"",IF(ISERROR(MATCH(Stock!AL$1,'Stock UST'!$1:$1,0)),AK10,INDEX('Stock UST'!10:10,1,MATCH(Stock!AL$1,'Stock UST'!$1:$1,0))))</f>
        <v>194000000</v>
      </c>
      <c r="AM10" s="9">
        <f>IF(IF(ISERROR(MATCH(Stock!AM$1,'Stock UST'!$1:$1,0)),AL10,INDEX('Stock UST'!10:10,1,MATCH(Stock!AM$1,'Stock UST'!$1:$1,0)))=0,"",IF(ISERROR(MATCH(Stock!AM$1,'Stock UST'!$1:$1,0)),AL10,INDEX('Stock UST'!10:10,1,MATCH(Stock!AM$1,'Stock UST'!$1:$1,0))))</f>
        <v>194000000</v>
      </c>
      <c r="AN10" s="9">
        <f>IF(IF(ISERROR(MATCH(Stock!AN$1,'Stock UST'!$1:$1,0)),AM10,INDEX('Stock UST'!10:10,1,MATCH(Stock!AN$1,'Stock UST'!$1:$1,0)))=0,"",IF(ISERROR(MATCH(Stock!AN$1,'Stock UST'!$1:$1,0)),AM10,INDEX('Stock UST'!10:10,1,MATCH(Stock!AN$1,'Stock UST'!$1:$1,0))))</f>
        <v>194000000</v>
      </c>
      <c r="AO10" s="9">
        <f>IF(IF(ISERROR(MATCH(Stock!AO$1,'Stock UST'!$1:$1,0)),AN10,INDEX('Stock UST'!10:10,1,MATCH(Stock!AO$1,'Stock UST'!$1:$1,0)))=0,"",IF(ISERROR(MATCH(Stock!AO$1,'Stock UST'!$1:$1,0)),AN10,INDEX('Stock UST'!10:10,1,MATCH(Stock!AO$1,'Stock UST'!$1:$1,0))))</f>
        <v>194000000</v>
      </c>
      <c r="AP10" s="9">
        <f>IF(IF(ISERROR(MATCH(Stock!AP$1,'Stock UST'!$1:$1,0)),AO10,INDEX('Stock UST'!10:10,1,MATCH(Stock!AP$1,'Stock UST'!$1:$1,0)))=0,"",IF(ISERROR(MATCH(Stock!AP$1,'Stock UST'!$1:$1,0)),AO10,INDEX('Stock UST'!10:10,1,MATCH(Stock!AP$1,'Stock UST'!$1:$1,0))))</f>
        <v>194000000</v>
      </c>
      <c r="AQ10" s="9">
        <f>IF(IF(ISERROR(MATCH(Stock!AQ$1,'Stock UST'!$1:$1,0)),AP10,INDEX('Stock UST'!10:10,1,MATCH(Stock!AQ$1,'Stock UST'!$1:$1,0)))=0,"",IF(ISERROR(MATCH(Stock!AQ$1,'Stock UST'!$1:$1,0)),AP10,INDEX('Stock UST'!10:10,1,MATCH(Stock!AQ$1,'Stock UST'!$1:$1,0))))</f>
        <v>194000000</v>
      </c>
      <c r="AR10" s="9">
        <f>IF(IF(ISERROR(MATCH(Stock!AR$1,'Stock UST'!$1:$1,0)),AQ10,INDEX('Stock UST'!10:10,1,MATCH(Stock!AR$1,'Stock UST'!$1:$1,0)))=0,"",IF(ISERROR(MATCH(Stock!AR$1,'Stock UST'!$1:$1,0)),AQ10,INDEX('Stock UST'!10:10,1,MATCH(Stock!AR$1,'Stock UST'!$1:$1,0))))</f>
        <v>194000000</v>
      </c>
      <c r="AS10" s="9">
        <f>IF(IF(ISERROR(MATCH(Stock!AS$1,'Stock UST'!$1:$1,0)),AR10,INDEX('Stock UST'!10:10,1,MATCH(Stock!AS$1,'Stock UST'!$1:$1,0)))=0,"",IF(ISERROR(MATCH(Stock!AS$1,'Stock UST'!$1:$1,0)),AR10,INDEX('Stock UST'!10:10,1,MATCH(Stock!AS$1,'Stock UST'!$1:$1,0))))</f>
        <v>194000000</v>
      </c>
      <c r="AT10" s="9">
        <f>IF(IF(ISERROR(MATCH(Stock!AT$1,'Stock UST'!$1:$1,0)),AS10,INDEX('Stock UST'!10:10,1,MATCH(Stock!AT$1,'Stock UST'!$1:$1,0)))=0,"",IF(ISERROR(MATCH(Stock!AT$1,'Stock UST'!$1:$1,0)),AS10,INDEX('Stock UST'!10:10,1,MATCH(Stock!AT$1,'Stock UST'!$1:$1,0))))</f>
        <v>194000000</v>
      </c>
      <c r="AU10" s="9">
        <f>IF(IF(ISERROR(MATCH(Stock!AU$1,'Stock UST'!$1:$1,0)),AT10,INDEX('Stock UST'!10:10,1,MATCH(Stock!AU$1,'Stock UST'!$1:$1,0)))=0,"",IF(ISERROR(MATCH(Stock!AU$1,'Stock UST'!$1:$1,0)),AT10,INDEX('Stock UST'!10:10,1,MATCH(Stock!AU$1,'Stock UST'!$1:$1,0))))</f>
        <v>194000000</v>
      </c>
      <c r="AV10" s="9">
        <f>IF(IF(ISERROR(MATCH(Stock!AV$1,'Stock UST'!$1:$1,0)),AU10,INDEX('Stock UST'!10:10,1,MATCH(Stock!AV$1,'Stock UST'!$1:$1,0)))=0,"",IF(ISERROR(MATCH(Stock!AV$1,'Stock UST'!$1:$1,0)),AU10,INDEX('Stock UST'!10:10,1,MATCH(Stock!AV$1,'Stock UST'!$1:$1,0))))</f>
        <v>194000000</v>
      </c>
      <c r="AW10" s="9">
        <f>IF(IF(ISERROR(MATCH(Stock!AW$1,'Stock UST'!$1:$1,0)),AV10,INDEX('Stock UST'!10:10,1,MATCH(Stock!AW$1,'Stock UST'!$1:$1,0)))=0,"",IF(ISERROR(MATCH(Stock!AW$1,'Stock UST'!$1:$1,0)),AV10,INDEX('Stock UST'!10:10,1,MATCH(Stock!AW$1,'Stock UST'!$1:$1,0))))</f>
        <v>194000000</v>
      </c>
      <c r="AX10" s="9">
        <f>IF(IF(ISERROR(MATCH(Stock!AX$1,'Stock UST'!$1:$1,0)),AW10,INDEX('Stock UST'!10:10,1,MATCH(Stock!AX$1,'Stock UST'!$1:$1,0)))=0,"",IF(ISERROR(MATCH(Stock!AX$1,'Stock UST'!$1:$1,0)),AW10,INDEX('Stock UST'!10:10,1,MATCH(Stock!AX$1,'Stock UST'!$1:$1,0))))</f>
        <v>194000000</v>
      </c>
    </row>
    <row r="11" spans="1:91" x14ac:dyDescent="0.2">
      <c r="A11" s="9" t="str">
        <f>IF('Stock UST'!E11="","",'Stock UST'!E11)</f>
        <v/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>
        <f>IF(IF(ISERROR(MATCH(Stock!L$1,'Stock UST'!$1:$1,0)),K11,INDEX('Stock UST'!11:11,1,MATCH(Stock!L$1,'Stock UST'!$1:$1,0)))=0,"",IF(ISERROR(MATCH(Stock!L$1,'Stock UST'!$1:$1,0)),K11,INDEX('Stock UST'!11:11,1,MATCH(Stock!L$1,'Stock UST'!$1:$1,0))))</f>
        <v>470000000</v>
      </c>
      <c r="M11" s="9">
        <f>IF(IF(ISERROR(MATCH(Stock!M$1,'Stock UST'!$1:$1,0)),L11,INDEX('Stock UST'!11:11,1,MATCH(Stock!M$1,'Stock UST'!$1:$1,0)))=0,"",IF(ISERROR(MATCH(Stock!M$1,'Stock UST'!$1:$1,0)),L11,INDEX('Stock UST'!11:11,1,MATCH(Stock!M$1,'Stock UST'!$1:$1,0))))</f>
        <v>470000000</v>
      </c>
      <c r="N11" s="9">
        <f>IF(IF(ISERROR(MATCH(Stock!N$1,'Stock UST'!$1:$1,0)),M11,INDEX('Stock UST'!11:11,1,MATCH(Stock!N$1,'Stock UST'!$1:$1,0)))=0,"",IF(ISERROR(MATCH(Stock!N$1,'Stock UST'!$1:$1,0)),M11,INDEX('Stock UST'!11:11,1,MATCH(Stock!N$1,'Stock UST'!$1:$1,0))))</f>
        <v>470000000</v>
      </c>
      <c r="O11" s="9">
        <f>IF(IF(ISERROR(MATCH(Stock!O$1,'Stock UST'!$1:$1,0)),N11,INDEX('Stock UST'!11:11,1,MATCH(Stock!O$1,'Stock UST'!$1:$1,0)))=0,"",IF(ISERROR(MATCH(Stock!O$1,'Stock UST'!$1:$1,0)),N11,INDEX('Stock UST'!11:11,1,MATCH(Stock!O$1,'Stock UST'!$1:$1,0))))</f>
        <v>470000000</v>
      </c>
      <c r="P11" s="9">
        <f>IF(IF(ISERROR(MATCH(Stock!P$1,'Stock UST'!$1:$1,0)),O11,INDEX('Stock UST'!11:11,1,MATCH(Stock!P$1,'Stock UST'!$1:$1,0)))=0,"",IF(ISERROR(MATCH(Stock!P$1,'Stock UST'!$1:$1,0)),O11,INDEX('Stock UST'!11:11,1,MATCH(Stock!P$1,'Stock UST'!$1:$1,0))))</f>
        <v>470000000</v>
      </c>
      <c r="Q11" s="9">
        <f>IF(IF(ISERROR(MATCH(Stock!Q$1,'Stock UST'!$1:$1,0)),P11,INDEX('Stock UST'!11:11,1,MATCH(Stock!Q$1,'Stock UST'!$1:$1,0)))=0,"",IF(ISERROR(MATCH(Stock!Q$1,'Stock UST'!$1:$1,0)),P11,INDEX('Stock UST'!11:11,1,MATCH(Stock!Q$1,'Stock UST'!$1:$1,0))))</f>
        <v>470000000</v>
      </c>
      <c r="R11" s="9">
        <f>IF(IF(ISERROR(MATCH(Stock!R$1,'Stock UST'!$1:$1,0)),Q11,INDEX('Stock UST'!11:11,1,MATCH(Stock!R$1,'Stock UST'!$1:$1,0)))=0,"",IF(ISERROR(MATCH(Stock!R$1,'Stock UST'!$1:$1,0)),Q11,INDEX('Stock UST'!11:11,1,MATCH(Stock!R$1,'Stock UST'!$1:$1,0))))</f>
        <v>470000000</v>
      </c>
      <c r="S11" s="9">
        <f>IF(IF(ISERROR(MATCH(Stock!S$1,'Stock UST'!$1:$1,0)),R11,INDEX('Stock UST'!11:11,1,MATCH(Stock!S$1,'Stock UST'!$1:$1,0)))=0,"",IF(ISERROR(MATCH(Stock!S$1,'Stock UST'!$1:$1,0)),R11,INDEX('Stock UST'!11:11,1,MATCH(Stock!S$1,'Stock UST'!$1:$1,0))))</f>
        <v>470000000</v>
      </c>
      <c r="T11" s="9">
        <f>IF(IF(ISERROR(MATCH(Stock!T$1,'Stock UST'!$1:$1,0)),S11,INDEX('Stock UST'!11:11,1,MATCH(Stock!T$1,'Stock UST'!$1:$1,0)))=0,"",IF(ISERROR(MATCH(Stock!T$1,'Stock UST'!$1:$1,0)),S11,INDEX('Stock UST'!11:11,1,MATCH(Stock!T$1,'Stock UST'!$1:$1,0))))</f>
        <v>470000000</v>
      </c>
      <c r="U11" s="9">
        <f>IF(IF(ISERROR(MATCH(Stock!U$1,'Stock UST'!$1:$1,0)),T11,INDEX('Stock UST'!11:11,1,MATCH(Stock!U$1,'Stock UST'!$1:$1,0)))=0,"",IF(ISERROR(MATCH(Stock!U$1,'Stock UST'!$1:$1,0)),T11,INDEX('Stock UST'!11:11,1,MATCH(Stock!U$1,'Stock UST'!$1:$1,0))))</f>
        <v>470000000</v>
      </c>
      <c r="V11" s="9">
        <f>IF(IF(ISERROR(MATCH(Stock!V$1,'Stock UST'!$1:$1,0)),U11,INDEX('Stock UST'!11:11,1,MATCH(Stock!V$1,'Stock UST'!$1:$1,0)))=0,"",IF(ISERROR(MATCH(Stock!V$1,'Stock UST'!$1:$1,0)),U11,INDEX('Stock UST'!11:11,1,MATCH(Stock!V$1,'Stock UST'!$1:$1,0))))</f>
        <v>470000000</v>
      </c>
      <c r="W11" s="9">
        <f>IF(IF(ISERROR(MATCH(Stock!W$1,'Stock UST'!$1:$1,0)),V11,INDEX('Stock UST'!11:11,1,MATCH(Stock!W$1,'Stock UST'!$1:$1,0)))=0,"",IF(ISERROR(MATCH(Stock!W$1,'Stock UST'!$1:$1,0)),V11,INDEX('Stock UST'!11:11,1,MATCH(Stock!W$1,'Stock UST'!$1:$1,0))))</f>
        <v>470000000</v>
      </c>
      <c r="X11" s="9">
        <f>IF(IF(ISERROR(MATCH(Stock!X$1,'Stock UST'!$1:$1,0)),W11,INDEX('Stock UST'!11:11,1,MATCH(Stock!X$1,'Stock UST'!$1:$1,0)))=0,"",IF(ISERROR(MATCH(Stock!X$1,'Stock UST'!$1:$1,0)),W11,INDEX('Stock UST'!11:11,1,MATCH(Stock!X$1,'Stock UST'!$1:$1,0))))</f>
        <v>470000000</v>
      </c>
      <c r="Y11" s="9">
        <f>IF(IF(ISERROR(MATCH(Stock!Y$1,'Stock UST'!$1:$1,0)),X11,INDEX('Stock UST'!11:11,1,MATCH(Stock!Y$1,'Stock UST'!$1:$1,0)))=0,"",IF(ISERROR(MATCH(Stock!Y$1,'Stock UST'!$1:$1,0)),X11,INDEX('Stock UST'!11:11,1,MATCH(Stock!Y$1,'Stock UST'!$1:$1,0))))</f>
        <v>470000000</v>
      </c>
      <c r="Z11" s="9">
        <f>IF(IF(ISERROR(MATCH(Stock!Z$1,'Stock UST'!$1:$1,0)),Y11,INDEX('Stock UST'!11:11,1,MATCH(Stock!Z$1,'Stock UST'!$1:$1,0)))=0,"",IF(ISERROR(MATCH(Stock!Z$1,'Stock UST'!$1:$1,0)),Y11,INDEX('Stock UST'!11:11,1,MATCH(Stock!Z$1,'Stock UST'!$1:$1,0))))</f>
        <v>470000000</v>
      </c>
      <c r="AA11" s="9">
        <f>IF(IF(ISERROR(MATCH(Stock!AA$1,'Stock UST'!$1:$1,0)),Z11,INDEX('Stock UST'!11:11,1,MATCH(Stock!AA$1,'Stock UST'!$1:$1,0)))=0,"",IF(ISERROR(MATCH(Stock!AA$1,'Stock UST'!$1:$1,0)),Z11,INDEX('Stock UST'!11:11,1,MATCH(Stock!AA$1,'Stock UST'!$1:$1,0))))</f>
        <v>470000000</v>
      </c>
      <c r="AB11" s="9">
        <f>IF(IF(ISERROR(MATCH(Stock!AB$1,'Stock UST'!$1:$1,0)),AA11,INDEX('Stock UST'!11:11,1,MATCH(Stock!AB$1,'Stock UST'!$1:$1,0)))=0,"",IF(ISERROR(MATCH(Stock!AB$1,'Stock UST'!$1:$1,0)),AA11,INDEX('Stock UST'!11:11,1,MATCH(Stock!AB$1,'Stock UST'!$1:$1,0))))</f>
        <v>470000000</v>
      </c>
      <c r="AC11" s="9">
        <f>IF(IF(ISERROR(MATCH(Stock!AC$1,'Stock UST'!$1:$1,0)),AB11,INDEX('Stock UST'!11:11,1,MATCH(Stock!AC$1,'Stock UST'!$1:$1,0)))=0,"",IF(ISERROR(MATCH(Stock!AC$1,'Stock UST'!$1:$1,0)),AB11,INDEX('Stock UST'!11:11,1,MATCH(Stock!AC$1,'Stock UST'!$1:$1,0))))</f>
        <v>470000000</v>
      </c>
      <c r="AD11" s="9">
        <f>IF(IF(ISERROR(MATCH(Stock!AD$1,'Stock UST'!$1:$1,0)),AC11,INDEX('Stock UST'!11:11,1,MATCH(Stock!AD$1,'Stock UST'!$1:$1,0)))=0,"",IF(ISERROR(MATCH(Stock!AD$1,'Stock UST'!$1:$1,0)),AC11,INDEX('Stock UST'!11:11,1,MATCH(Stock!AD$1,'Stock UST'!$1:$1,0))))</f>
        <v>470000000</v>
      </c>
      <c r="AE11" s="9">
        <f>IF(IF(ISERROR(MATCH(Stock!AE$1,'Stock UST'!$1:$1,0)),AD11,INDEX('Stock UST'!11:11,1,MATCH(Stock!AE$1,'Stock UST'!$1:$1,0)))=0,"",IF(ISERROR(MATCH(Stock!AE$1,'Stock UST'!$1:$1,0)),AD11,INDEX('Stock UST'!11:11,1,MATCH(Stock!AE$1,'Stock UST'!$1:$1,0))))</f>
        <v>470000000</v>
      </c>
      <c r="AF11" s="9">
        <f>IF(IF(ISERROR(MATCH(Stock!AF$1,'Stock UST'!$1:$1,0)),AE11,INDEX('Stock UST'!11:11,1,MATCH(Stock!AF$1,'Stock UST'!$1:$1,0)))=0,"",IF(ISERROR(MATCH(Stock!AF$1,'Stock UST'!$1:$1,0)),AE11,INDEX('Stock UST'!11:11,1,MATCH(Stock!AF$1,'Stock UST'!$1:$1,0))))</f>
        <v>470000000</v>
      </c>
      <c r="AG11" s="9">
        <f>IF(IF(ISERROR(MATCH(Stock!AG$1,'Stock UST'!$1:$1,0)),AF11,INDEX('Stock UST'!11:11,1,MATCH(Stock!AG$1,'Stock UST'!$1:$1,0)))=0,"",IF(ISERROR(MATCH(Stock!AG$1,'Stock UST'!$1:$1,0)),AF11,INDEX('Stock UST'!11:11,1,MATCH(Stock!AG$1,'Stock UST'!$1:$1,0))))</f>
        <v>470000000</v>
      </c>
      <c r="AH11" s="9">
        <f>IF(IF(ISERROR(MATCH(Stock!AH$1,'Stock UST'!$1:$1,0)),AG11,INDEX('Stock UST'!11:11,1,MATCH(Stock!AH$1,'Stock UST'!$1:$1,0)))=0,"",IF(ISERROR(MATCH(Stock!AH$1,'Stock UST'!$1:$1,0)),AG11,INDEX('Stock UST'!11:11,1,MATCH(Stock!AH$1,'Stock UST'!$1:$1,0))))</f>
        <v>470000000</v>
      </c>
      <c r="AI11" s="9">
        <f>IF(IF(ISERROR(MATCH(Stock!AI$1,'Stock UST'!$1:$1,0)),AH11,INDEX('Stock UST'!11:11,1,MATCH(Stock!AI$1,'Stock UST'!$1:$1,0)))=0,"",IF(ISERROR(MATCH(Stock!AI$1,'Stock UST'!$1:$1,0)),AH11,INDEX('Stock UST'!11:11,1,MATCH(Stock!AI$1,'Stock UST'!$1:$1,0))))</f>
        <v>470000000</v>
      </c>
      <c r="AJ11" s="9">
        <f>IF(IF(ISERROR(MATCH(Stock!AJ$1,'Stock UST'!$1:$1,0)),AI11,INDEX('Stock UST'!11:11,1,MATCH(Stock!AJ$1,'Stock UST'!$1:$1,0)))=0,"",IF(ISERROR(MATCH(Stock!AJ$1,'Stock UST'!$1:$1,0)),AI11,INDEX('Stock UST'!11:11,1,MATCH(Stock!AJ$1,'Stock UST'!$1:$1,0))))</f>
        <v>470000000</v>
      </c>
      <c r="AK11" s="9">
        <f>IF(IF(ISERROR(MATCH(Stock!AK$1,'Stock UST'!$1:$1,0)),AJ11,INDEX('Stock UST'!11:11,1,MATCH(Stock!AK$1,'Stock UST'!$1:$1,0)))=0,"",IF(ISERROR(MATCH(Stock!AK$1,'Stock UST'!$1:$1,0)),AJ11,INDEX('Stock UST'!11:11,1,MATCH(Stock!AK$1,'Stock UST'!$1:$1,0))))</f>
        <v>470000000</v>
      </c>
      <c r="AL11" s="9">
        <f>IF(IF(ISERROR(MATCH(Stock!AL$1,'Stock UST'!$1:$1,0)),AK11,INDEX('Stock UST'!11:11,1,MATCH(Stock!AL$1,'Stock UST'!$1:$1,0)))=0,"",IF(ISERROR(MATCH(Stock!AL$1,'Stock UST'!$1:$1,0)),AK11,INDEX('Stock UST'!11:11,1,MATCH(Stock!AL$1,'Stock UST'!$1:$1,0))))</f>
        <v>470000000</v>
      </c>
      <c r="AM11" s="9">
        <f>IF(IF(ISERROR(MATCH(Stock!AM$1,'Stock UST'!$1:$1,0)),AL11,INDEX('Stock UST'!11:11,1,MATCH(Stock!AM$1,'Stock UST'!$1:$1,0)))=0,"",IF(ISERROR(MATCH(Stock!AM$1,'Stock UST'!$1:$1,0)),AL11,INDEX('Stock UST'!11:11,1,MATCH(Stock!AM$1,'Stock UST'!$1:$1,0))))</f>
        <v>470000000</v>
      </c>
      <c r="AN11" s="9">
        <f>IF(IF(ISERROR(MATCH(Stock!AN$1,'Stock UST'!$1:$1,0)),AM11,INDEX('Stock UST'!11:11,1,MATCH(Stock!AN$1,'Stock UST'!$1:$1,0)))=0,"",IF(ISERROR(MATCH(Stock!AN$1,'Stock UST'!$1:$1,0)),AM11,INDEX('Stock UST'!11:11,1,MATCH(Stock!AN$1,'Stock UST'!$1:$1,0))))</f>
        <v>470000000</v>
      </c>
      <c r="AO11" s="9">
        <f>IF(IF(ISERROR(MATCH(Stock!AO$1,'Stock UST'!$1:$1,0)),AN11,INDEX('Stock UST'!11:11,1,MATCH(Stock!AO$1,'Stock UST'!$1:$1,0)))=0,"",IF(ISERROR(MATCH(Stock!AO$1,'Stock UST'!$1:$1,0)),AN11,INDEX('Stock UST'!11:11,1,MATCH(Stock!AO$1,'Stock UST'!$1:$1,0))))</f>
        <v>470000000</v>
      </c>
      <c r="AP11" s="9">
        <f>IF(IF(ISERROR(MATCH(Stock!AP$1,'Stock UST'!$1:$1,0)),AO11,INDEX('Stock UST'!11:11,1,MATCH(Stock!AP$1,'Stock UST'!$1:$1,0)))=0,"",IF(ISERROR(MATCH(Stock!AP$1,'Stock UST'!$1:$1,0)),AO11,INDEX('Stock UST'!11:11,1,MATCH(Stock!AP$1,'Stock UST'!$1:$1,0))))</f>
        <v>470000000</v>
      </c>
      <c r="AQ11" s="9">
        <f>IF(IF(ISERROR(MATCH(Stock!AQ$1,'Stock UST'!$1:$1,0)),AP11,INDEX('Stock UST'!11:11,1,MATCH(Stock!AQ$1,'Stock UST'!$1:$1,0)))=0,"",IF(ISERROR(MATCH(Stock!AQ$1,'Stock UST'!$1:$1,0)),AP11,INDEX('Stock UST'!11:11,1,MATCH(Stock!AQ$1,'Stock UST'!$1:$1,0))))</f>
        <v>470000000</v>
      </c>
      <c r="AR11" s="9">
        <f>IF(IF(ISERROR(MATCH(Stock!AR$1,'Stock UST'!$1:$1,0)),AQ11,INDEX('Stock UST'!11:11,1,MATCH(Stock!AR$1,'Stock UST'!$1:$1,0)))=0,"",IF(ISERROR(MATCH(Stock!AR$1,'Stock UST'!$1:$1,0)),AQ11,INDEX('Stock UST'!11:11,1,MATCH(Stock!AR$1,'Stock UST'!$1:$1,0))))</f>
        <v>470000000</v>
      </c>
      <c r="AS11" s="9">
        <f>IF(IF(ISERROR(MATCH(Stock!AS$1,'Stock UST'!$1:$1,0)),AR11,INDEX('Stock UST'!11:11,1,MATCH(Stock!AS$1,'Stock UST'!$1:$1,0)))=0,"",IF(ISERROR(MATCH(Stock!AS$1,'Stock UST'!$1:$1,0)),AR11,INDEX('Stock UST'!11:11,1,MATCH(Stock!AS$1,'Stock UST'!$1:$1,0))))</f>
        <v>470000000</v>
      </c>
      <c r="AT11" s="9">
        <f>IF(IF(ISERROR(MATCH(Stock!AT$1,'Stock UST'!$1:$1,0)),AS11,INDEX('Stock UST'!11:11,1,MATCH(Stock!AT$1,'Stock UST'!$1:$1,0)))=0,"",IF(ISERROR(MATCH(Stock!AT$1,'Stock UST'!$1:$1,0)),AS11,INDEX('Stock UST'!11:11,1,MATCH(Stock!AT$1,'Stock UST'!$1:$1,0))))</f>
        <v>470000000</v>
      </c>
      <c r="AU11" s="9">
        <f>IF(IF(ISERROR(MATCH(Stock!AU$1,'Stock UST'!$1:$1,0)),AT11,INDEX('Stock UST'!11:11,1,MATCH(Stock!AU$1,'Stock UST'!$1:$1,0)))=0,"",IF(ISERROR(MATCH(Stock!AU$1,'Stock UST'!$1:$1,0)),AT11,INDEX('Stock UST'!11:11,1,MATCH(Stock!AU$1,'Stock UST'!$1:$1,0))))</f>
        <v>470000000</v>
      </c>
      <c r="AV11" s="9">
        <f>IF(IF(ISERROR(MATCH(Stock!AV$1,'Stock UST'!$1:$1,0)),AU11,INDEX('Stock UST'!11:11,1,MATCH(Stock!AV$1,'Stock UST'!$1:$1,0)))=0,"",IF(ISERROR(MATCH(Stock!AV$1,'Stock UST'!$1:$1,0)),AU11,INDEX('Stock UST'!11:11,1,MATCH(Stock!AV$1,'Stock UST'!$1:$1,0))))</f>
        <v>470000000</v>
      </c>
      <c r="AW11" s="9">
        <f>IF(IF(ISERROR(MATCH(Stock!AW$1,'Stock UST'!$1:$1,0)),AV11,INDEX('Stock UST'!11:11,1,MATCH(Stock!AW$1,'Stock UST'!$1:$1,0)))=0,"",IF(ISERROR(MATCH(Stock!AW$1,'Stock UST'!$1:$1,0)),AV11,INDEX('Stock UST'!11:11,1,MATCH(Stock!AW$1,'Stock UST'!$1:$1,0))))</f>
        <v>470000000</v>
      </c>
      <c r="AX11" s="9">
        <f>IF(IF(ISERROR(MATCH(Stock!AX$1,'Stock UST'!$1:$1,0)),AW11,INDEX('Stock UST'!11:11,1,MATCH(Stock!AX$1,'Stock UST'!$1:$1,0)))=0,"",IF(ISERROR(MATCH(Stock!AX$1,'Stock UST'!$1:$1,0)),AW11,INDEX('Stock UST'!11:11,1,MATCH(Stock!AX$1,'Stock UST'!$1:$1,0))))</f>
        <v>470000000</v>
      </c>
    </row>
    <row r="12" spans="1:91" x14ac:dyDescent="0.2">
      <c r="A12" s="9">
        <f>IF('Stock UST'!E12="","",'Stock UST'!E12)</f>
        <v>505000000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505000000</v>
      </c>
      <c r="C12" s="9">
        <f>IF(IF(ISERROR(MATCH(Stock!C$1,'Stock UST'!$1:$1,0)),B12,INDEX('Stock UST'!12:12,1,MATCH(Stock!C$1,'Stock UST'!$1:$1,0)))=0,"",IF(ISERROR(MATCH(Stock!C$1,'Stock UST'!$1:$1,0)),B12,INDEX('Stock UST'!12:12,1,MATCH(Stock!C$1,'Stock UST'!$1:$1,0))))</f>
        <v>505000000</v>
      </c>
      <c r="D12" s="9">
        <f>IF(IF(ISERROR(MATCH(Stock!D$1,'Stock UST'!$1:$1,0)),C12,INDEX('Stock UST'!12:12,1,MATCH(Stock!D$1,'Stock UST'!$1:$1,0)))=0,"",IF(ISERROR(MATCH(Stock!D$1,'Stock UST'!$1:$1,0)),C12,INDEX('Stock UST'!12:12,1,MATCH(Stock!D$1,'Stock UST'!$1:$1,0))))</f>
        <v>505000000</v>
      </c>
      <c r="E12" s="9">
        <f>IF(IF(ISERROR(MATCH(Stock!E$1,'Stock UST'!$1:$1,0)),D12,INDEX('Stock UST'!12:12,1,MATCH(Stock!E$1,'Stock UST'!$1:$1,0)))=0,"",IF(ISERROR(MATCH(Stock!E$1,'Stock UST'!$1:$1,0)),D12,INDEX('Stock UST'!12:12,1,MATCH(Stock!E$1,'Stock UST'!$1:$1,0))))</f>
        <v>505000000</v>
      </c>
      <c r="F12" s="9">
        <f>IF(IF(ISERROR(MATCH(Stock!F$1,'Stock UST'!$1:$1,0)),E12,INDEX('Stock UST'!12:12,1,MATCH(Stock!F$1,'Stock UST'!$1:$1,0)))=0,"",IF(ISERROR(MATCH(Stock!F$1,'Stock UST'!$1:$1,0)),E12,INDEX('Stock UST'!12:12,1,MATCH(Stock!F$1,'Stock UST'!$1:$1,0))))</f>
        <v>505000000</v>
      </c>
      <c r="G12" s="9">
        <f>IF(IF(ISERROR(MATCH(Stock!G$1,'Stock UST'!$1:$1,0)),F12,INDEX('Stock UST'!12:12,1,MATCH(Stock!G$1,'Stock UST'!$1:$1,0)))=0,"",IF(ISERROR(MATCH(Stock!G$1,'Stock UST'!$1:$1,0)),F12,INDEX('Stock UST'!12:12,1,MATCH(Stock!G$1,'Stock UST'!$1:$1,0))))</f>
        <v>1505000000</v>
      </c>
      <c r="H12" s="9">
        <f>IF(IF(ISERROR(MATCH(Stock!H$1,'Stock UST'!$1:$1,0)),G12,INDEX('Stock UST'!12:12,1,MATCH(Stock!H$1,'Stock UST'!$1:$1,0)))=0,"",IF(ISERROR(MATCH(Stock!H$1,'Stock UST'!$1:$1,0)),G12,INDEX('Stock UST'!12:12,1,MATCH(Stock!H$1,'Stock UST'!$1:$1,0))))</f>
        <v>1505000000</v>
      </c>
      <c r="I12" s="9">
        <f>IF(IF(ISERROR(MATCH(Stock!I$1,'Stock UST'!$1:$1,0)),H12,INDEX('Stock UST'!12:12,1,MATCH(Stock!I$1,'Stock UST'!$1:$1,0)))=0,"",IF(ISERROR(MATCH(Stock!I$1,'Stock UST'!$1:$1,0)),H12,INDEX('Stock UST'!12:12,1,MATCH(Stock!I$1,'Stock UST'!$1:$1,0))))</f>
        <v>1505000000</v>
      </c>
      <c r="J12" s="9">
        <f>IF(IF(ISERROR(MATCH(Stock!J$1,'Stock UST'!$1:$1,0)),I12,INDEX('Stock UST'!12:12,1,MATCH(Stock!J$1,'Stock UST'!$1:$1,0)))=0,"",IF(ISERROR(MATCH(Stock!J$1,'Stock UST'!$1:$1,0)),I12,INDEX('Stock UST'!12:12,1,MATCH(Stock!J$1,'Stock UST'!$1:$1,0))))</f>
        <v>1505000000</v>
      </c>
      <c r="K12" s="9">
        <f>IF(IF(ISERROR(MATCH(Stock!K$1,'Stock UST'!$1:$1,0)),J12,INDEX('Stock UST'!12:12,1,MATCH(Stock!K$1,'Stock UST'!$1:$1,0)))=0,"",IF(ISERROR(MATCH(Stock!K$1,'Stock UST'!$1:$1,0)),J12,INDEX('Stock UST'!12:12,1,MATCH(Stock!K$1,'Stock UST'!$1:$1,0))))</f>
        <v>1505000000</v>
      </c>
      <c r="L12" s="9">
        <f>IF(IF(ISERROR(MATCH(Stock!L$1,'Stock UST'!$1:$1,0)),K12,INDEX('Stock UST'!12:12,1,MATCH(Stock!L$1,'Stock UST'!$1:$1,0)))=0,"",IF(ISERROR(MATCH(Stock!L$1,'Stock UST'!$1:$1,0)),K12,INDEX('Stock UST'!12:12,1,MATCH(Stock!L$1,'Stock UST'!$1:$1,0))))</f>
        <v>1505000000</v>
      </c>
      <c r="M12" s="9">
        <f>IF(IF(ISERROR(MATCH(Stock!M$1,'Stock UST'!$1:$1,0)),L12,INDEX('Stock UST'!12:12,1,MATCH(Stock!M$1,'Stock UST'!$1:$1,0)))=0,"",IF(ISERROR(MATCH(Stock!M$1,'Stock UST'!$1:$1,0)),L12,INDEX('Stock UST'!12:12,1,MATCH(Stock!M$1,'Stock UST'!$1:$1,0))))</f>
        <v>1505000000</v>
      </c>
      <c r="N12" s="9">
        <f>IF(IF(ISERROR(MATCH(Stock!N$1,'Stock UST'!$1:$1,0)),M12,INDEX('Stock UST'!12:12,1,MATCH(Stock!N$1,'Stock UST'!$1:$1,0)))=0,"",IF(ISERROR(MATCH(Stock!N$1,'Stock UST'!$1:$1,0)),M12,INDEX('Stock UST'!12:12,1,MATCH(Stock!N$1,'Stock UST'!$1:$1,0))))</f>
        <v>1505000000</v>
      </c>
      <c r="O12" s="9">
        <f>IF(IF(ISERROR(MATCH(Stock!O$1,'Stock UST'!$1:$1,0)),N12,INDEX('Stock UST'!12:12,1,MATCH(Stock!O$1,'Stock UST'!$1:$1,0)))=0,"",IF(ISERROR(MATCH(Stock!O$1,'Stock UST'!$1:$1,0)),N12,INDEX('Stock UST'!12:12,1,MATCH(Stock!O$1,'Stock UST'!$1:$1,0))))</f>
        <v>1505000000</v>
      </c>
      <c r="P12" s="9">
        <f>IF(IF(ISERROR(MATCH(Stock!P$1,'Stock UST'!$1:$1,0)),O12,INDEX('Stock UST'!12:12,1,MATCH(Stock!P$1,'Stock UST'!$1:$1,0)))=0,"",IF(ISERROR(MATCH(Stock!P$1,'Stock UST'!$1:$1,0)),O12,INDEX('Stock UST'!12:12,1,MATCH(Stock!P$1,'Stock UST'!$1:$1,0))))</f>
        <v>1505000000</v>
      </c>
      <c r="Q12" s="9">
        <f>IF(IF(ISERROR(MATCH(Stock!Q$1,'Stock UST'!$1:$1,0)),P12,INDEX('Stock UST'!12:12,1,MATCH(Stock!Q$1,'Stock UST'!$1:$1,0)))=0,"",IF(ISERROR(MATCH(Stock!Q$1,'Stock UST'!$1:$1,0)),P12,INDEX('Stock UST'!12:12,1,MATCH(Stock!Q$1,'Stock UST'!$1:$1,0))))</f>
        <v>1505000000</v>
      </c>
      <c r="R12" s="9">
        <f>IF(IF(ISERROR(MATCH(Stock!R$1,'Stock UST'!$1:$1,0)),Q12,INDEX('Stock UST'!12:12,1,MATCH(Stock!R$1,'Stock UST'!$1:$1,0)))=0,"",IF(ISERROR(MATCH(Stock!R$1,'Stock UST'!$1:$1,0)),Q12,INDEX('Stock UST'!12:12,1,MATCH(Stock!R$1,'Stock UST'!$1:$1,0))))</f>
        <v>1505000000</v>
      </c>
      <c r="S12" s="9">
        <f>IF(IF(ISERROR(MATCH(Stock!S$1,'Stock UST'!$1:$1,0)),R12,INDEX('Stock UST'!12:12,1,MATCH(Stock!S$1,'Stock UST'!$1:$1,0)))=0,"",IF(ISERROR(MATCH(Stock!S$1,'Stock UST'!$1:$1,0)),R12,INDEX('Stock UST'!12:12,1,MATCH(Stock!S$1,'Stock UST'!$1:$1,0))))</f>
        <v>1505000000</v>
      </c>
      <c r="T12" s="9">
        <f>IF(IF(ISERROR(MATCH(Stock!T$1,'Stock UST'!$1:$1,0)),S12,INDEX('Stock UST'!12:12,1,MATCH(Stock!T$1,'Stock UST'!$1:$1,0)))=0,"",IF(ISERROR(MATCH(Stock!T$1,'Stock UST'!$1:$1,0)),S12,INDEX('Stock UST'!12:12,1,MATCH(Stock!T$1,'Stock UST'!$1:$1,0))))</f>
        <v>1505000000</v>
      </c>
      <c r="U12" s="9">
        <f>IF(IF(ISERROR(MATCH(Stock!U$1,'Stock UST'!$1:$1,0)),T12,INDEX('Stock UST'!12:12,1,MATCH(Stock!U$1,'Stock UST'!$1:$1,0)))=0,"",IF(ISERROR(MATCH(Stock!U$1,'Stock UST'!$1:$1,0)),T12,INDEX('Stock UST'!12:12,1,MATCH(Stock!U$1,'Stock UST'!$1:$1,0))))</f>
        <v>1505000000</v>
      </c>
      <c r="V12" s="9">
        <f>IF(IF(ISERROR(MATCH(Stock!V$1,'Stock UST'!$1:$1,0)),U12,INDEX('Stock UST'!12:12,1,MATCH(Stock!V$1,'Stock UST'!$1:$1,0)))=0,"",IF(ISERROR(MATCH(Stock!V$1,'Stock UST'!$1:$1,0)),U12,INDEX('Stock UST'!12:12,1,MATCH(Stock!V$1,'Stock UST'!$1:$1,0))))</f>
        <v>1505000000</v>
      </c>
      <c r="W12" s="9">
        <f>IF(IF(ISERROR(MATCH(Stock!W$1,'Stock UST'!$1:$1,0)),V12,INDEX('Stock UST'!12:12,1,MATCH(Stock!W$1,'Stock UST'!$1:$1,0)))=0,"",IF(ISERROR(MATCH(Stock!W$1,'Stock UST'!$1:$1,0)),V12,INDEX('Stock UST'!12:12,1,MATCH(Stock!W$1,'Stock UST'!$1:$1,0))))</f>
        <v>1505000000</v>
      </c>
      <c r="X12" s="9">
        <f>IF(IF(ISERROR(MATCH(Stock!X$1,'Stock UST'!$1:$1,0)),W12,INDEX('Stock UST'!12:12,1,MATCH(Stock!X$1,'Stock UST'!$1:$1,0)))=0,"",IF(ISERROR(MATCH(Stock!X$1,'Stock UST'!$1:$1,0)),W12,INDEX('Stock UST'!12:12,1,MATCH(Stock!X$1,'Stock UST'!$1:$1,0))))</f>
        <v>1505000000</v>
      </c>
      <c r="Y12" s="9">
        <f>IF(IF(ISERROR(MATCH(Stock!Y$1,'Stock UST'!$1:$1,0)),X12,INDEX('Stock UST'!12:12,1,MATCH(Stock!Y$1,'Stock UST'!$1:$1,0)))=0,"",IF(ISERROR(MATCH(Stock!Y$1,'Stock UST'!$1:$1,0)),X12,INDEX('Stock UST'!12:12,1,MATCH(Stock!Y$1,'Stock UST'!$1:$1,0))))</f>
        <v>1505000000</v>
      </c>
      <c r="Z12" s="9">
        <f>IF(IF(ISERROR(MATCH(Stock!Z$1,'Stock UST'!$1:$1,0)),Y12,INDEX('Stock UST'!12:12,1,MATCH(Stock!Z$1,'Stock UST'!$1:$1,0)))=0,"",IF(ISERROR(MATCH(Stock!Z$1,'Stock UST'!$1:$1,0)),Y12,INDEX('Stock UST'!12:12,1,MATCH(Stock!Z$1,'Stock UST'!$1:$1,0))))</f>
        <v>1505000000</v>
      </c>
      <c r="AA12" s="9">
        <f>IF(IF(ISERROR(MATCH(Stock!AA$1,'Stock UST'!$1:$1,0)),Z12,INDEX('Stock UST'!12:12,1,MATCH(Stock!AA$1,'Stock UST'!$1:$1,0)))=0,"",IF(ISERROR(MATCH(Stock!AA$1,'Stock UST'!$1:$1,0)),Z12,INDEX('Stock UST'!12:12,1,MATCH(Stock!AA$1,'Stock UST'!$1:$1,0))))</f>
        <v>1505000000</v>
      </c>
      <c r="AB12" s="9">
        <f>IF(IF(ISERROR(MATCH(Stock!AB$1,'Stock UST'!$1:$1,0)),AA12,INDEX('Stock UST'!12:12,1,MATCH(Stock!AB$1,'Stock UST'!$1:$1,0)))=0,"",IF(ISERROR(MATCH(Stock!AB$1,'Stock UST'!$1:$1,0)),AA12,INDEX('Stock UST'!12:12,1,MATCH(Stock!AB$1,'Stock UST'!$1:$1,0))))</f>
        <v>1505000000</v>
      </c>
      <c r="AC12" s="9">
        <f>IF(IF(ISERROR(MATCH(Stock!AC$1,'Stock UST'!$1:$1,0)),AB12,INDEX('Stock UST'!12:12,1,MATCH(Stock!AC$1,'Stock UST'!$1:$1,0)))=0,"",IF(ISERROR(MATCH(Stock!AC$1,'Stock UST'!$1:$1,0)),AB12,INDEX('Stock UST'!12:12,1,MATCH(Stock!AC$1,'Stock UST'!$1:$1,0))))</f>
        <v>1505000000</v>
      </c>
      <c r="AD12" s="9">
        <f>IF(IF(ISERROR(MATCH(Stock!AD$1,'Stock UST'!$1:$1,0)),AC12,INDEX('Stock UST'!12:12,1,MATCH(Stock!AD$1,'Stock UST'!$1:$1,0)))=0,"",IF(ISERROR(MATCH(Stock!AD$1,'Stock UST'!$1:$1,0)),AC12,INDEX('Stock UST'!12:12,1,MATCH(Stock!AD$1,'Stock UST'!$1:$1,0))))</f>
        <v>1505000000</v>
      </c>
      <c r="AE12" s="9">
        <f>IF(IF(ISERROR(MATCH(Stock!AE$1,'Stock UST'!$1:$1,0)),AD12,INDEX('Stock UST'!12:12,1,MATCH(Stock!AE$1,'Stock UST'!$1:$1,0)))=0,"",IF(ISERROR(MATCH(Stock!AE$1,'Stock UST'!$1:$1,0)),AD12,INDEX('Stock UST'!12:12,1,MATCH(Stock!AE$1,'Stock UST'!$1:$1,0))))</f>
        <v>1505000000</v>
      </c>
      <c r="AF12" s="9">
        <f>IF(IF(ISERROR(MATCH(Stock!AF$1,'Stock UST'!$1:$1,0)),AE12,INDEX('Stock UST'!12:12,1,MATCH(Stock!AF$1,'Stock UST'!$1:$1,0)))=0,"",IF(ISERROR(MATCH(Stock!AF$1,'Stock UST'!$1:$1,0)),AE12,INDEX('Stock UST'!12:12,1,MATCH(Stock!AF$1,'Stock UST'!$1:$1,0))))</f>
        <v>1505000000</v>
      </c>
      <c r="AG12" s="9">
        <f>IF(IF(ISERROR(MATCH(Stock!AG$1,'Stock UST'!$1:$1,0)),AF12,INDEX('Stock UST'!12:12,1,MATCH(Stock!AG$1,'Stock UST'!$1:$1,0)))=0,"",IF(ISERROR(MATCH(Stock!AG$1,'Stock UST'!$1:$1,0)),AF12,INDEX('Stock UST'!12:12,1,MATCH(Stock!AG$1,'Stock UST'!$1:$1,0))))</f>
        <v>1505000000</v>
      </c>
      <c r="AH12" s="9">
        <f>IF(IF(ISERROR(MATCH(Stock!AH$1,'Stock UST'!$1:$1,0)),AG12,INDEX('Stock UST'!12:12,1,MATCH(Stock!AH$1,'Stock UST'!$1:$1,0)))=0,"",IF(ISERROR(MATCH(Stock!AH$1,'Stock UST'!$1:$1,0)),AG12,INDEX('Stock UST'!12:12,1,MATCH(Stock!AH$1,'Stock UST'!$1:$1,0))))</f>
        <v>1505000000</v>
      </c>
      <c r="AI12" s="9">
        <f>IF(IF(ISERROR(MATCH(Stock!AI$1,'Stock UST'!$1:$1,0)),AH12,INDEX('Stock UST'!12:12,1,MATCH(Stock!AI$1,'Stock UST'!$1:$1,0)))=0,"",IF(ISERROR(MATCH(Stock!AI$1,'Stock UST'!$1:$1,0)),AH12,INDEX('Stock UST'!12:12,1,MATCH(Stock!AI$1,'Stock UST'!$1:$1,0))))</f>
        <v>1505000000</v>
      </c>
      <c r="AJ12" s="9">
        <f>IF(IF(ISERROR(MATCH(Stock!AJ$1,'Stock UST'!$1:$1,0)),AI12,INDEX('Stock UST'!12:12,1,MATCH(Stock!AJ$1,'Stock UST'!$1:$1,0)))=0,"",IF(ISERROR(MATCH(Stock!AJ$1,'Stock UST'!$1:$1,0)),AI12,INDEX('Stock UST'!12:12,1,MATCH(Stock!AJ$1,'Stock UST'!$1:$1,0))))</f>
        <v>1505000000</v>
      </c>
      <c r="AK12" s="9">
        <f>IF(IF(ISERROR(MATCH(Stock!AK$1,'Stock UST'!$1:$1,0)),AJ12,INDEX('Stock UST'!12:12,1,MATCH(Stock!AK$1,'Stock UST'!$1:$1,0)))=0,"",IF(ISERROR(MATCH(Stock!AK$1,'Stock UST'!$1:$1,0)),AJ12,INDEX('Stock UST'!12:12,1,MATCH(Stock!AK$1,'Stock UST'!$1:$1,0))))</f>
        <v>1505000000</v>
      </c>
      <c r="AL12" s="9">
        <f>IF(IF(ISERROR(MATCH(Stock!AL$1,'Stock UST'!$1:$1,0)),AK12,INDEX('Stock UST'!12:12,1,MATCH(Stock!AL$1,'Stock UST'!$1:$1,0)))=0,"",IF(ISERROR(MATCH(Stock!AL$1,'Stock UST'!$1:$1,0)),AK12,INDEX('Stock UST'!12:12,1,MATCH(Stock!AL$1,'Stock UST'!$1:$1,0))))</f>
        <v>1505000000</v>
      </c>
      <c r="AM12" s="9">
        <f>IF(IF(ISERROR(MATCH(Stock!AM$1,'Stock UST'!$1:$1,0)),AL12,INDEX('Stock UST'!12:12,1,MATCH(Stock!AM$1,'Stock UST'!$1:$1,0)))=0,"",IF(ISERROR(MATCH(Stock!AM$1,'Stock UST'!$1:$1,0)),AL12,INDEX('Stock UST'!12:12,1,MATCH(Stock!AM$1,'Stock UST'!$1:$1,0))))</f>
        <v>1505000000</v>
      </c>
      <c r="AN12" s="9">
        <f>IF(IF(ISERROR(MATCH(Stock!AN$1,'Stock UST'!$1:$1,0)),AM12,INDEX('Stock UST'!12:12,1,MATCH(Stock!AN$1,'Stock UST'!$1:$1,0)))=0,"",IF(ISERROR(MATCH(Stock!AN$1,'Stock UST'!$1:$1,0)),AM12,INDEX('Stock UST'!12:12,1,MATCH(Stock!AN$1,'Stock UST'!$1:$1,0))))</f>
        <v>1505000000</v>
      </c>
      <c r="AO12" s="9">
        <f>IF(IF(ISERROR(MATCH(Stock!AO$1,'Stock UST'!$1:$1,0)),AN12,INDEX('Stock UST'!12:12,1,MATCH(Stock!AO$1,'Stock UST'!$1:$1,0)))=0,"",IF(ISERROR(MATCH(Stock!AO$1,'Stock UST'!$1:$1,0)),AN12,INDEX('Stock UST'!12:12,1,MATCH(Stock!AO$1,'Stock UST'!$1:$1,0))))</f>
        <v>1505000000</v>
      </c>
      <c r="AP12" s="9">
        <f>IF(IF(ISERROR(MATCH(Stock!AP$1,'Stock UST'!$1:$1,0)),AO12,INDEX('Stock UST'!12:12,1,MATCH(Stock!AP$1,'Stock UST'!$1:$1,0)))=0,"",IF(ISERROR(MATCH(Stock!AP$1,'Stock UST'!$1:$1,0)),AO12,INDEX('Stock UST'!12:12,1,MATCH(Stock!AP$1,'Stock UST'!$1:$1,0))))</f>
        <v>1505000000</v>
      </c>
      <c r="AQ12" s="9">
        <f>IF(IF(ISERROR(MATCH(Stock!AQ$1,'Stock UST'!$1:$1,0)),AP12,INDEX('Stock UST'!12:12,1,MATCH(Stock!AQ$1,'Stock UST'!$1:$1,0)))=0,"",IF(ISERROR(MATCH(Stock!AQ$1,'Stock UST'!$1:$1,0)),AP12,INDEX('Stock UST'!12:12,1,MATCH(Stock!AQ$1,'Stock UST'!$1:$1,0))))</f>
        <v>1505000000</v>
      </c>
      <c r="AR12" s="9">
        <f>IF(IF(ISERROR(MATCH(Stock!AR$1,'Stock UST'!$1:$1,0)),AQ12,INDEX('Stock UST'!12:12,1,MATCH(Stock!AR$1,'Stock UST'!$1:$1,0)))=0,"",IF(ISERROR(MATCH(Stock!AR$1,'Stock UST'!$1:$1,0)),AQ12,INDEX('Stock UST'!12:12,1,MATCH(Stock!AR$1,'Stock UST'!$1:$1,0))))</f>
        <v>1505000000</v>
      </c>
      <c r="AS12" s="9">
        <f>IF(IF(ISERROR(MATCH(Stock!AS$1,'Stock UST'!$1:$1,0)),AR12,INDEX('Stock UST'!12:12,1,MATCH(Stock!AS$1,'Stock UST'!$1:$1,0)))=0,"",IF(ISERROR(MATCH(Stock!AS$1,'Stock UST'!$1:$1,0)),AR12,INDEX('Stock UST'!12:12,1,MATCH(Stock!AS$1,'Stock UST'!$1:$1,0))))</f>
        <v>1505000000</v>
      </c>
      <c r="AT12" s="9">
        <f>IF(IF(ISERROR(MATCH(Stock!AT$1,'Stock UST'!$1:$1,0)),AS12,INDEX('Stock UST'!12:12,1,MATCH(Stock!AT$1,'Stock UST'!$1:$1,0)))=0,"",IF(ISERROR(MATCH(Stock!AT$1,'Stock UST'!$1:$1,0)),AS12,INDEX('Stock UST'!12:12,1,MATCH(Stock!AT$1,'Stock UST'!$1:$1,0))))</f>
        <v>1505000000</v>
      </c>
      <c r="AU12" s="9">
        <f>IF(IF(ISERROR(MATCH(Stock!AU$1,'Stock UST'!$1:$1,0)),AT12,INDEX('Stock UST'!12:12,1,MATCH(Stock!AU$1,'Stock UST'!$1:$1,0)))=0,"",IF(ISERROR(MATCH(Stock!AU$1,'Stock UST'!$1:$1,0)),AT12,INDEX('Stock UST'!12:12,1,MATCH(Stock!AU$1,'Stock UST'!$1:$1,0))))</f>
        <v>1505000000</v>
      </c>
      <c r="AV12" s="9">
        <f>IF(IF(ISERROR(MATCH(Stock!AV$1,'Stock UST'!$1:$1,0)),AU12,INDEX('Stock UST'!12:12,1,MATCH(Stock!AV$1,'Stock UST'!$1:$1,0)))=0,"",IF(ISERROR(MATCH(Stock!AV$1,'Stock UST'!$1:$1,0)),AU12,INDEX('Stock UST'!12:12,1,MATCH(Stock!AV$1,'Stock UST'!$1:$1,0))))</f>
        <v>1505000000</v>
      </c>
      <c r="AW12" s="9">
        <f>IF(IF(ISERROR(MATCH(Stock!AW$1,'Stock UST'!$1:$1,0)),AV12,INDEX('Stock UST'!12:12,1,MATCH(Stock!AW$1,'Stock UST'!$1:$1,0)))=0,"",IF(ISERROR(MATCH(Stock!AW$1,'Stock UST'!$1:$1,0)),AV12,INDEX('Stock UST'!12:12,1,MATCH(Stock!AW$1,'Stock UST'!$1:$1,0))))</f>
        <v>1505000000</v>
      </c>
      <c r="AX12" s="9">
        <f>IF(IF(ISERROR(MATCH(Stock!AX$1,'Stock UST'!$1:$1,0)),AW12,INDEX('Stock UST'!12:12,1,MATCH(Stock!AX$1,'Stock UST'!$1:$1,0)))=0,"",IF(ISERROR(MATCH(Stock!AX$1,'Stock UST'!$1:$1,0)),AW12,INDEX('Stock UST'!12:12,1,MATCH(Stock!AX$1,'Stock UST'!$1:$1,0))))</f>
        <v>1505000000</v>
      </c>
    </row>
    <row r="13" spans="1:91" x14ac:dyDescent="0.2">
      <c r="A13" s="9">
        <f>IF('Stock UST'!E13="","",'Stock UST'!E13)</f>
        <v>183000000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183000000</v>
      </c>
      <c r="C13" s="9">
        <f>IF(IF(ISERROR(MATCH(Stock!C$1,'Stock UST'!$1:$1,0)),B13,INDEX('Stock UST'!13:13,1,MATCH(Stock!C$1,'Stock UST'!$1:$1,0)))=0,"",IF(ISERROR(MATCH(Stock!C$1,'Stock UST'!$1:$1,0)),B13,INDEX('Stock UST'!13:13,1,MATCH(Stock!C$1,'Stock UST'!$1:$1,0))))</f>
        <v>183000000</v>
      </c>
      <c r="D13" s="9">
        <f>IF(IF(ISERROR(MATCH(Stock!D$1,'Stock UST'!$1:$1,0)),C13,INDEX('Stock UST'!13:13,1,MATCH(Stock!D$1,'Stock UST'!$1:$1,0)))=0,"",IF(ISERROR(MATCH(Stock!D$1,'Stock UST'!$1:$1,0)),C13,INDEX('Stock UST'!13:13,1,MATCH(Stock!D$1,'Stock UST'!$1:$1,0))))</f>
        <v>183000000</v>
      </c>
      <c r="E13" s="9">
        <f>IF(IF(ISERROR(MATCH(Stock!E$1,'Stock UST'!$1:$1,0)),D13,INDEX('Stock UST'!13:13,1,MATCH(Stock!E$1,'Stock UST'!$1:$1,0)))=0,"",IF(ISERROR(MATCH(Stock!E$1,'Stock UST'!$1:$1,0)),D13,INDEX('Stock UST'!13:13,1,MATCH(Stock!E$1,'Stock UST'!$1:$1,0))))</f>
        <v>183000000</v>
      </c>
      <c r="F13" s="9">
        <f>IF(IF(ISERROR(MATCH(Stock!F$1,'Stock UST'!$1:$1,0)),E13,INDEX('Stock UST'!13:13,1,MATCH(Stock!F$1,'Stock UST'!$1:$1,0)))=0,"",IF(ISERROR(MATCH(Stock!F$1,'Stock UST'!$1:$1,0)),E13,INDEX('Stock UST'!13:13,1,MATCH(Stock!F$1,'Stock UST'!$1:$1,0))))</f>
        <v>183000000</v>
      </c>
      <c r="G13" s="9">
        <f>IF(IF(ISERROR(MATCH(Stock!G$1,'Stock UST'!$1:$1,0)),F13,INDEX('Stock UST'!13:13,1,MATCH(Stock!G$1,'Stock UST'!$1:$1,0)))=0,"",IF(ISERROR(MATCH(Stock!G$1,'Stock UST'!$1:$1,0)),F13,INDEX('Stock UST'!13:13,1,MATCH(Stock!G$1,'Stock UST'!$1:$1,0))))</f>
        <v>433000000</v>
      </c>
      <c r="H13" s="9">
        <f>IF(IF(ISERROR(MATCH(Stock!H$1,'Stock UST'!$1:$1,0)),G13,INDEX('Stock UST'!13:13,1,MATCH(Stock!H$1,'Stock UST'!$1:$1,0)))=0,"",IF(ISERROR(MATCH(Stock!H$1,'Stock UST'!$1:$1,0)),G13,INDEX('Stock UST'!13:13,1,MATCH(Stock!H$1,'Stock UST'!$1:$1,0))))</f>
        <v>433000000</v>
      </c>
      <c r="I13" s="9">
        <f>IF(IF(ISERROR(MATCH(Stock!I$1,'Stock UST'!$1:$1,0)),H13,INDEX('Stock UST'!13:13,1,MATCH(Stock!I$1,'Stock UST'!$1:$1,0)))=0,"",IF(ISERROR(MATCH(Stock!I$1,'Stock UST'!$1:$1,0)),H13,INDEX('Stock UST'!13:13,1,MATCH(Stock!I$1,'Stock UST'!$1:$1,0))))</f>
        <v>433000000</v>
      </c>
      <c r="J13" s="9">
        <f>IF(IF(ISERROR(MATCH(Stock!J$1,'Stock UST'!$1:$1,0)),I13,INDEX('Stock UST'!13:13,1,MATCH(Stock!J$1,'Stock UST'!$1:$1,0)))=0,"",IF(ISERROR(MATCH(Stock!J$1,'Stock UST'!$1:$1,0)),I13,INDEX('Stock UST'!13:13,1,MATCH(Stock!J$1,'Stock UST'!$1:$1,0))))</f>
        <v>433000000</v>
      </c>
      <c r="K13" s="9">
        <f>IF(IF(ISERROR(MATCH(Stock!K$1,'Stock UST'!$1:$1,0)),J13,INDEX('Stock UST'!13:13,1,MATCH(Stock!K$1,'Stock UST'!$1:$1,0)))=0,"",IF(ISERROR(MATCH(Stock!K$1,'Stock UST'!$1:$1,0)),J13,INDEX('Stock UST'!13:13,1,MATCH(Stock!K$1,'Stock UST'!$1:$1,0))))</f>
        <v>433000000</v>
      </c>
      <c r="L13" s="9">
        <f>IF(IF(ISERROR(MATCH(Stock!L$1,'Stock UST'!$1:$1,0)),K13,INDEX('Stock UST'!13:13,1,MATCH(Stock!L$1,'Stock UST'!$1:$1,0)))=0,"",IF(ISERROR(MATCH(Stock!L$1,'Stock UST'!$1:$1,0)),K13,INDEX('Stock UST'!13:13,1,MATCH(Stock!L$1,'Stock UST'!$1:$1,0))))</f>
        <v>433000000</v>
      </c>
      <c r="M13" s="9">
        <f>IF(IF(ISERROR(MATCH(Stock!M$1,'Stock UST'!$1:$1,0)),L13,INDEX('Stock UST'!13:13,1,MATCH(Stock!M$1,'Stock UST'!$1:$1,0)))=0,"",IF(ISERROR(MATCH(Stock!M$1,'Stock UST'!$1:$1,0)),L13,INDEX('Stock UST'!13:13,1,MATCH(Stock!M$1,'Stock UST'!$1:$1,0))))</f>
        <v>433000000</v>
      </c>
      <c r="N13" s="9">
        <f>IF(IF(ISERROR(MATCH(Stock!N$1,'Stock UST'!$1:$1,0)),M13,INDEX('Stock UST'!13:13,1,MATCH(Stock!N$1,'Stock UST'!$1:$1,0)))=0,"",IF(ISERROR(MATCH(Stock!N$1,'Stock UST'!$1:$1,0)),M13,INDEX('Stock UST'!13:13,1,MATCH(Stock!N$1,'Stock UST'!$1:$1,0))))</f>
        <v>433000000</v>
      </c>
      <c r="O13" s="9">
        <f>IF(IF(ISERROR(MATCH(Stock!O$1,'Stock UST'!$1:$1,0)),N13,INDEX('Stock UST'!13:13,1,MATCH(Stock!O$1,'Stock UST'!$1:$1,0)))=0,"",IF(ISERROR(MATCH(Stock!O$1,'Stock UST'!$1:$1,0)),N13,INDEX('Stock UST'!13:13,1,MATCH(Stock!O$1,'Stock UST'!$1:$1,0))))</f>
        <v>433000000</v>
      </c>
      <c r="P13" s="9">
        <f>IF(IF(ISERROR(MATCH(Stock!P$1,'Stock UST'!$1:$1,0)),O13,INDEX('Stock UST'!13:13,1,MATCH(Stock!P$1,'Stock UST'!$1:$1,0)))=0,"",IF(ISERROR(MATCH(Stock!P$1,'Stock UST'!$1:$1,0)),O13,INDEX('Stock UST'!13:13,1,MATCH(Stock!P$1,'Stock UST'!$1:$1,0))))</f>
        <v>433000000</v>
      </c>
      <c r="Q13" s="9">
        <f>IF(IF(ISERROR(MATCH(Stock!Q$1,'Stock UST'!$1:$1,0)),P13,INDEX('Stock UST'!13:13,1,MATCH(Stock!Q$1,'Stock UST'!$1:$1,0)))=0,"",IF(ISERROR(MATCH(Stock!Q$1,'Stock UST'!$1:$1,0)),P13,INDEX('Stock UST'!13:13,1,MATCH(Stock!Q$1,'Stock UST'!$1:$1,0))))</f>
        <v>433000000</v>
      </c>
      <c r="R13" s="9">
        <f>IF(IF(ISERROR(MATCH(Stock!R$1,'Stock UST'!$1:$1,0)),Q13,INDEX('Stock UST'!13:13,1,MATCH(Stock!R$1,'Stock UST'!$1:$1,0)))=0,"",IF(ISERROR(MATCH(Stock!R$1,'Stock UST'!$1:$1,0)),Q13,INDEX('Stock UST'!13:13,1,MATCH(Stock!R$1,'Stock UST'!$1:$1,0))))</f>
        <v>433000000</v>
      </c>
      <c r="S13" s="9">
        <f>IF(IF(ISERROR(MATCH(Stock!S$1,'Stock UST'!$1:$1,0)),R13,INDEX('Stock UST'!13:13,1,MATCH(Stock!S$1,'Stock UST'!$1:$1,0)))=0,"",IF(ISERROR(MATCH(Stock!S$1,'Stock UST'!$1:$1,0)),R13,INDEX('Stock UST'!13:13,1,MATCH(Stock!S$1,'Stock UST'!$1:$1,0))))</f>
        <v>433000000</v>
      </c>
      <c r="T13" s="9">
        <f>IF(IF(ISERROR(MATCH(Stock!T$1,'Stock UST'!$1:$1,0)),S13,INDEX('Stock UST'!13:13,1,MATCH(Stock!T$1,'Stock UST'!$1:$1,0)))=0,"",IF(ISERROR(MATCH(Stock!T$1,'Stock UST'!$1:$1,0)),S13,INDEX('Stock UST'!13:13,1,MATCH(Stock!T$1,'Stock UST'!$1:$1,0))))</f>
        <v>433000000</v>
      </c>
      <c r="U13" s="9">
        <f>IF(IF(ISERROR(MATCH(Stock!U$1,'Stock UST'!$1:$1,0)),T13,INDEX('Stock UST'!13:13,1,MATCH(Stock!U$1,'Stock UST'!$1:$1,0)))=0,"",IF(ISERROR(MATCH(Stock!U$1,'Stock UST'!$1:$1,0)),T13,INDEX('Stock UST'!13:13,1,MATCH(Stock!U$1,'Stock UST'!$1:$1,0))))</f>
        <v>433000000</v>
      </c>
      <c r="V13" s="9">
        <f>IF(IF(ISERROR(MATCH(Stock!V$1,'Stock UST'!$1:$1,0)),U13,INDEX('Stock UST'!13:13,1,MATCH(Stock!V$1,'Stock UST'!$1:$1,0)))=0,"",IF(ISERROR(MATCH(Stock!V$1,'Stock UST'!$1:$1,0)),U13,INDEX('Stock UST'!13:13,1,MATCH(Stock!V$1,'Stock UST'!$1:$1,0))))</f>
        <v>433000000</v>
      </c>
      <c r="W13" s="9">
        <f>IF(IF(ISERROR(MATCH(Stock!W$1,'Stock UST'!$1:$1,0)),V13,INDEX('Stock UST'!13:13,1,MATCH(Stock!W$1,'Stock UST'!$1:$1,0)))=0,"",IF(ISERROR(MATCH(Stock!W$1,'Stock UST'!$1:$1,0)),V13,INDEX('Stock UST'!13:13,1,MATCH(Stock!W$1,'Stock UST'!$1:$1,0))))</f>
        <v>433000000</v>
      </c>
      <c r="X13" s="9">
        <f>IF(IF(ISERROR(MATCH(Stock!X$1,'Stock UST'!$1:$1,0)),W13,INDEX('Stock UST'!13:13,1,MATCH(Stock!X$1,'Stock UST'!$1:$1,0)))=0,"",IF(ISERROR(MATCH(Stock!X$1,'Stock UST'!$1:$1,0)),W13,INDEX('Stock UST'!13:13,1,MATCH(Stock!X$1,'Stock UST'!$1:$1,0))))</f>
        <v>433000000</v>
      </c>
      <c r="Y13" s="9">
        <f>IF(IF(ISERROR(MATCH(Stock!Y$1,'Stock UST'!$1:$1,0)),X13,INDEX('Stock UST'!13:13,1,MATCH(Stock!Y$1,'Stock UST'!$1:$1,0)))=0,"",IF(ISERROR(MATCH(Stock!Y$1,'Stock UST'!$1:$1,0)),X13,INDEX('Stock UST'!13:13,1,MATCH(Stock!Y$1,'Stock UST'!$1:$1,0))))</f>
        <v>433000000</v>
      </c>
      <c r="Z13" s="9">
        <f>IF(IF(ISERROR(MATCH(Stock!Z$1,'Stock UST'!$1:$1,0)),Y13,INDEX('Stock UST'!13:13,1,MATCH(Stock!Z$1,'Stock UST'!$1:$1,0)))=0,"",IF(ISERROR(MATCH(Stock!Z$1,'Stock UST'!$1:$1,0)),Y13,INDEX('Stock UST'!13:13,1,MATCH(Stock!Z$1,'Stock UST'!$1:$1,0))))</f>
        <v>433000000</v>
      </c>
      <c r="AA13" s="9">
        <f>IF(IF(ISERROR(MATCH(Stock!AA$1,'Stock UST'!$1:$1,0)),Z13,INDEX('Stock UST'!13:13,1,MATCH(Stock!AA$1,'Stock UST'!$1:$1,0)))=0,"",IF(ISERROR(MATCH(Stock!AA$1,'Stock UST'!$1:$1,0)),Z13,INDEX('Stock UST'!13:13,1,MATCH(Stock!AA$1,'Stock UST'!$1:$1,0))))</f>
        <v>433000000</v>
      </c>
      <c r="AB13" s="9">
        <f>IF(IF(ISERROR(MATCH(Stock!AB$1,'Stock UST'!$1:$1,0)),AA13,INDEX('Stock UST'!13:13,1,MATCH(Stock!AB$1,'Stock UST'!$1:$1,0)))=0,"",IF(ISERROR(MATCH(Stock!AB$1,'Stock UST'!$1:$1,0)),AA13,INDEX('Stock UST'!13:13,1,MATCH(Stock!AB$1,'Stock UST'!$1:$1,0))))</f>
        <v>433000000</v>
      </c>
      <c r="AC13" s="9">
        <f>IF(IF(ISERROR(MATCH(Stock!AC$1,'Stock UST'!$1:$1,0)),AB13,INDEX('Stock UST'!13:13,1,MATCH(Stock!AC$1,'Stock UST'!$1:$1,0)))=0,"",IF(ISERROR(MATCH(Stock!AC$1,'Stock UST'!$1:$1,0)),AB13,INDEX('Stock UST'!13:13,1,MATCH(Stock!AC$1,'Stock UST'!$1:$1,0))))</f>
        <v>433000000</v>
      </c>
      <c r="AD13" s="9">
        <f>IF(IF(ISERROR(MATCH(Stock!AD$1,'Stock UST'!$1:$1,0)),AC13,INDEX('Stock UST'!13:13,1,MATCH(Stock!AD$1,'Stock UST'!$1:$1,0)))=0,"",IF(ISERROR(MATCH(Stock!AD$1,'Stock UST'!$1:$1,0)),AC13,INDEX('Stock UST'!13:13,1,MATCH(Stock!AD$1,'Stock UST'!$1:$1,0))))</f>
        <v>433000000</v>
      </c>
      <c r="AE13" s="9">
        <f>IF(IF(ISERROR(MATCH(Stock!AE$1,'Stock UST'!$1:$1,0)),AD13,INDEX('Stock UST'!13:13,1,MATCH(Stock!AE$1,'Stock UST'!$1:$1,0)))=0,"",IF(ISERROR(MATCH(Stock!AE$1,'Stock UST'!$1:$1,0)),AD13,INDEX('Stock UST'!13:13,1,MATCH(Stock!AE$1,'Stock UST'!$1:$1,0))))</f>
        <v>433000000</v>
      </c>
      <c r="AF13" s="9">
        <f>IF(IF(ISERROR(MATCH(Stock!AF$1,'Stock UST'!$1:$1,0)),AE13,INDEX('Stock UST'!13:13,1,MATCH(Stock!AF$1,'Stock UST'!$1:$1,0)))=0,"",IF(ISERROR(MATCH(Stock!AF$1,'Stock UST'!$1:$1,0)),AE13,INDEX('Stock UST'!13:13,1,MATCH(Stock!AF$1,'Stock UST'!$1:$1,0))))</f>
        <v>433000000</v>
      </c>
      <c r="AG13" s="9">
        <f>IF(IF(ISERROR(MATCH(Stock!AG$1,'Stock UST'!$1:$1,0)),AF13,INDEX('Stock UST'!13:13,1,MATCH(Stock!AG$1,'Stock UST'!$1:$1,0)))=0,"",IF(ISERROR(MATCH(Stock!AG$1,'Stock UST'!$1:$1,0)),AF13,INDEX('Stock UST'!13:13,1,MATCH(Stock!AG$1,'Stock UST'!$1:$1,0))))</f>
        <v>433000000</v>
      </c>
      <c r="AH13" s="9">
        <f>IF(IF(ISERROR(MATCH(Stock!AH$1,'Stock UST'!$1:$1,0)),AG13,INDEX('Stock UST'!13:13,1,MATCH(Stock!AH$1,'Stock UST'!$1:$1,0)))=0,"",IF(ISERROR(MATCH(Stock!AH$1,'Stock UST'!$1:$1,0)),AG13,INDEX('Stock UST'!13:13,1,MATCH(Stock!AH$1,'Stock UST'!$1:$1,0))))</f>
        <v>433000000</v>
      </c>
      <c r="AI13" s="9">
        <f>IF(IF(ISERROR(MATCH(Stock!AI$1,'Stock UST'!$1:$1,0)),AH13,INDEX('Stock UST'!13:13,1,MATCH(Stock!AI$1,'Stock UST'!$1:$1,0)))=0,"",IF(ISERROR(MATCH(Stock!AI$1,'Stock UST'!$1:$1,0)),AH13,INDEX('Stock UST'!13:13,1,MATCH(Stock!AI$1,'Stock UST'!$1:$1,0))))</f>
        <v>433000000</v>
      </c>
      <c r="AJ13" s="9">
        <f>IF(IF(ISERROR(MATCH(Stock!AJ$1,'Stock UST'!$1:$1,0)),AI13,INDEX('Stock UST'!13:13,1,MATCH(Stock!AJ$1,'Stock UST'!$1:$1,0)))=0,"",IF(ISERROR(MATCH(Stock!AJ$1,'Stock UST'!$1:$1,0)),AI13,INDEX('Stock UST'!13:13,1,MATCH(Stock!AJ$1,'Stock UST'!$1:$1,0))))</f>
        <v>433000000</v>
      </c>
      <c r="AK13" s="9">
        <f>IF(IF(ISERROR(MATCH(Stock!AK$1,'Stock UST'!$1:$1,0)),AJ13,INDEX('Stock UST'!13:13,1,MATCH(Stock!AK$1,'Stock UST'!$1:$1,0)))=0,"",IF(ISERROR(MATCH(Stock!AK$1,'Stock UST'!$1:$1,0)),AJ13,INDEX('Stock UST'!13:13,1,MATCH(Stock!AK$1,'Stock UST'!$1:$1,0))))</f>
        <v>433000000</v>
      </c>
      <c r="AL13" s="9">
        <f>IF(IF(ISERROR(MATCH(Stock!AL$1,'Stock UST'!$1:$1,0)),AK13,INDEX('Stock UST'!13:13,1,MATCH(Stock!AL$1,'Stock UST'!$1:$1,0)))=0,"",IF(ISERROR(MATCH(Stock!AL$1,'Stock UST'!$1:$1,0)),AK13,INDEX('Stock UST'!13:13,1,MATCH(Stock!AL$1,'Stock UST'!$1:$1,0))))</f>
        <v>433000000</v>
      </c>
      <c r="AM13" s="9">
        <f>IF(IF(ISERROR(MATCH(Stock!AM$1,'Stock UST'!$1:$1,0)),AL13,INDEX('Stock UST'!13:13,1,MATCH(Stock!AM$1,'Stock UST'!$1:$1,0)))=0,"",IF(ISERROR(MATCH(Stock!AM$1,'Stock UST'!$1:$1,0)),AL13,INDEX('Stock UST'!13:13,1,MATCH(Stock!AM$1,'Stock UST'!$1:$1,0))))</f>
        <v>433000000</v>
      </c>
      <c r="AN13" s="9">
        <f>IF(IF(ISERROR(MATCH(Stock!AN$1,'Stock UST'!$1:$1,0)),AM13,INDEX('Stock UST'!13:13,1,MATCH(Stock!AN$1,'Stock UST'!$1:$1,0)))=0,"",IF(ISERROR(MATCH(Stock!AN$1,'Stock UST'!$1:$1,0)),AM13,INDEX('Stock UST'!13:13,1,MATCH(Stock!AN$1,'Stock UST'!$1:$1,0))))</f>
        <v>433000000</v>
      </c>
      <c r="AO13" s="9">
        <f>IF(IF(ISERROR(MATCH(Stock!AO$1,'Stock UST'!$1:$1,0)),AN13,INDEX('Stock UST'!13:13,1,MATCH(Stock!AO$1,'Stock UST'!$1:$1,0)))=0,"",IF(ISERROR(MATCH(Stock!AO$1,'Stock UST'!$1:$1,0)),AN13,INDEX('Stock UST'!13:13,1,MATCH(Stock!AO$1,'Stock UST'!$1:$1,0))))</f>
        <v>433000000</v>
      </c>
      <c r="AP13" s="9">
        <f>IF(IF(ISERROR(MATCH(Stock!AP$1,'Stock UST'!$1:$1,0)),AO13,INDEX('Stock UST'!13:13,1,MATCH(Stock!AP$1,'Stock UST'!$1:$1,0)))=0,"",IF(ISERROR(MATCH(Stock!AP$1,'Stock UST'!$1:$1,0)),AO13,INDEX('Stock UST'!13:13,1,MATCH(Stock!AP$1,'Stock UST'!$1:$1,0))))</f>
        <v>433000000</v>
      </c>
      <c r="AQ13" s="9">
        <f>IF(IF(ISERROR(MATCH(Stock!AQ$1,'Stock UST'!$1:$1,0)),AP13,INDEX('Stock UST'!13:13,1,MATCH(Stock!AQ$1,'Stock UST'!$1:$1,0)))=0,"",IF(ISERROR(MATCH(Stock!AQ$1,'Stock UST'!$1:$1,0)),AP13,INDEX('Stock UST'!13:13,1,MATCH(Stock!AQ$1,'Stock UST'!$1:$1,0))))</f>
        <v>433000000</v>
      </c>
      <c r="AR13" s="9">
        <f>IF(IF(ISERROR(MATCH(Stock!AR$1,'Stock UST'!$1:$1,0)),AQ13,INDEX('Stock UST'!13:13,1,MATCH(Stock!AR$1,'Stock UST'!$1:$1,0)))=0,"",IF(ISERROR(MATCH(Stock!AR$1,'Stock UST'!$1:$1,0)),AQ13,INDEX('Stock UST'!13:13,1,MATCH(Stock!AR$1,'Stock UST'!$1:$1,0))))</f>
        <v>433000000</v>
      </c>
      <c r="AS13" s="9">
        <f>IF(IF(ISERROR(MATCH(Stock!AS$1,'Stock UST'!$1:$1,0)),AR13,INDEX('Stock UST'!13:13,1,MATCH(Stock!AS$1,'Stock UST'!$1:$1,0)))=0,"",IF(ISERROR(MATCH(Stock!AS$1,'Stock UST'!$1:$1,0)),AR13,INDEX('Stock UST'!13:13,1,MATCH(Stock!AS$1,'Stock UST'!$1:$1,0))))</f>
        <v>433000000</v>
      </c>
      <c r="AT13" s="9">
        <f>IF(IF(ISERROR(MATCH(Stock!AT$1,'Stock UST'!$1:$1,0)),AS13,INDEX('Stock UST'!13:13,1,MATCH(Stock!AT$1,'Stock UST'!$1:$1,0)))=0,"",IF(ISERROR(MATCH(Stock!AT$1,'Stock UST'!$1:$1,0)),AS13,INDEX('Stock UST'!13:13,1,MATCH(Stock!AT$1,'Stock UST'!$1:$1,0))))</f>
        <v>433000000</v>
      </c>
      <c r="AU13" s="9">
        <f>IF(IF(ISERROR(MATCH(Stock!AU$1,'Stock UST'!$1:$1,0)),AT13,INDEX('Stock UST'!13:13,1,MATCH(Stock!AU$1,'Stock UST'!$1:$1,0)))=0,"",IF(ISERROR(MATCH(Stock!AU$1,'Stock UST'!$1:$1,0)),AT13,INDEX('Stock UST'!13:13,1,MATCH(Stock!AU$1,'Stock UST'!$1:$1,0))))</f>
        <v>433000000</v>
      </c>
      <c r="AV13" s="9">
        <f>IF(IF(ISERROR(MATCH(Stock!AV$1,'Stock UST'!$1:$1,0)),AU13,INDEX('Stock UST'!13:13,1,MATCH(Stock!AV$1,'Stock UST'!$1:$1,0)))=0,"",IF(ISERROR(MATCH(Stock!AV$1,'Stock UST'!$1:$1,0)),AU13,INDEX('Stock UST'!13:13,1,MATCH(Stock!AV$1,'Stock UST'!$1:$1,0))))</f>
        <v>433000000</v>
      </c>
      <c r="AW13" s="9">
        <f>IF(IF(ISERROR(MATCH(Stock!AW$1,'Stock UST'!$1:$1,0)),AV13,INDEX('Stock UST'!13:13,1,MATCH(Stock!AW$1,'Stock UST'!$1:$1,0)))=0,"",IF(ISERROR(MATCH(Stock!AW$1,'Stock UST'!$1:$1,0)),AV13,INDEX('Stock UST'!13:13,1,MATCH(Stock!AW$1,'Stock UST'!$1:$1,0))))</f>
        <v>433000000</v>
      </c>
      <c r="AX13" s="9">
        <f>IF(IF(ISERROR(MATCH(Stock!AX$1,'Stock UST'!$1:$1,0)),AW13,INDEX('Stock UST'!13:13,1,MATCH(Stock!AX$1,'Stock UST'!$1:$1,0)))=0,"",IF(ISERROR(MATCH(Stock!AX$1,'Stock UST'!$1:$1,0)),AW13,INDEX('Stock UST'!13:13,1,MATCH(Stock!AX$1,'Stock UST'!$1:$1,0))))</f>
        <v>433000000</v>
      </c>
    </row>
    <row r="14" spans="1:91" x14ac:dyDescent="0.2">
      <c r="A14" s="9" t="str">
        <f>IF('Stock UST'!E14="","",'Stock UST'!E14)</f>
        <v/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>
        <f>IF(IF(ISERROR(MATCH(Stock!F$1,'Stock UST'!$1:$1,0)),E14,INDEX('Stock UST'!14:14,1,MATCH(Stock!F$1,'Stock UST'!$1:$1,0)))=0,"",IF(ISERROR(MATCH(Stock!F$1,'Stock UST'!$1:$1,0)),E14,INDEX('Stock UST'!14:14,1,MATCH(Stock!F$1,'Stock UST'!$1:$1,0))))</f>
        <v>685000000</v>
      </c>
      <c r="G14" s="9">
        <f>IF(IF(ISERROR(MATCH(Stock!G$1,'Stock UST'!$1:$1,0)),F14,INDEX('Stock UST'!14:14,1,MATCH(Stock!G$1,'Stock UST'!$1:$1,0)))=0,"",IF(ISERROR(MATCH(Stock!G$1,'Stock UST'!$1:$1,0)),F14,INDEX('Stock UST'!14:14,1,MATCH(Stock!G$1,'Stock UST'!$1:$1,0))))</f>
        <v>685000000</v>
      </c>
      <c r="H14" s="9">
        <f>IF(IF(ISERROR(MATCH(Stock!H$1,'Stock UST'!$1:$1,0)),G14,INDEX('Stock UST'!14:14,1,MATCH(Stock!H$1,'Stock UST'!$1:$1,0)))=0,"",IF(ISERROR(MATCH(Stock!H$1,'Stock UST'!$1:$1,0)),G14,INDEX('Stock UST'!14:14,1,MATCH(Stock!H$1,'Stock UST'!$1:$1,0))))</f>
        <v>685000000</v>
      </c>
      <c r="I14" s="9">
        <f>IF(IF(ISERROR(MATCH(Stock!I$1,'Stock UST'!$1:$1,0)),H14,INDEX('Stock UST'!14:14,1,MATCH(Stock!I$1,'Stock UST'!$1:$1,0)))=0,"",IF(ISERROR(MATCH(Stock!I$1,'Stock UST'!$1:$1,0)),H14,INDEX('Stock UST'!14:14,1,MATCH(Stock!I$1,'Stock UST'!$1:$1,0))))</f>
        <v>685000000</v>
      </c>
      <c r="J14" s="9">
        <f>IF(IF(ISERROR(MATCH(Stock!J$1,'Stock UST'!$1:$1,0)),I14,INDEX('Stock UST'!14:14,1,MATCH(Stock!J$1,'Stock UST'!$1:$1,0)))=0,"",IF(ISERROR(MATCH(Stock!J$1,'Stock UST'!$1:$1,0)),I14,INDEX('Stock UST'!14:14,1,MATCH(Stock!J$1,'Stock UST'!$1:$1,0))))</f>
        <v>685000000</v>
      </c>
      <c r="K14" s="9">
        <f>IF(IF(ISERROR(MATCH(Stock!K$1,'Stock UST'!$1:$1,0)),J14,INDEX('Stock UST'!14:14,1,MATCH(Stock!K$1,'Stock UST'!$1:$1,0)))=0,"",IF(ISERROR(MATCH(Stock!K$1,'Stock UST'!$1:$1,0)),J14,INDEX('Stock UST'!14:14,1,MATCH(Stock!K$1,'Stock UST'!$1:$1,0))))</f>
        <v>685000000</v>
      </c>
      <c r="L14" s="9">
        <f>IF(IF(ISERROR(MATCH(Stock!L$1,'Stock UST'!$1:$1,0)),K14,INDEX('Stock UST'!14:14,1,MATCH(Stock!L$1,'Stock UST'!$1:$1,0)))=0,"",IF(ISERROR(MATCH(Stock!L$1,'Stock UST'!$1:$1,0)),K14,INDEX('Stock UST'!14:14,1,MATCH(Stock!L$1,'Stock UST'!$1:$1,0))))</f>
        <v>685000000</v>
      </c>
      <c r="M14" s="9">
        <f>IF(IF(ISERROR(MATCH(Stock!M$1,'Stock UST'!$1:$1,0)),L14,INDEX('Stock UST'!14:14,1,MATCH(Stock!M$1,'Stock UST'!$1:$1,0)))=0,"",IF(ISERROR(MATCH(Stock!M$1,'Stock UST'!$1:$1,0)),L14,INDEX('Stock UST'!14:14,1,MATCH(Stock!M$1,'Stock UST'!$1:$1,0))))</f>
        <v>685000000</v>
      </c>
      <c r="N14" s="9">
        <f>IF(IF(ISERROR(MATCH(Stock!N$1,'Stock UST'!$1:$1,0)),M14,INDEX('Stock UST'!14:14,1,MATCH(Stock!N$1,'Stock UST'!$1:$1,0)))=0,"",IF(ISERROR(MATCH(Stock!N$1,'Stock UST'!$1:$1,0)),M14,INDEX('Stock UST'!14:14,1,MATCH(Stock!N$1,'Stock UST'!$1:$1,0))))</f>
        <v>685000000</v>
      </c>
      <c r="O14" s="9">
        <f>IF(IF(ISERROR(MATCH(Stock!O$1,'Stock UST'!$1:$1,0)),N14,INDEX('Stock UST'!14:14,1,MATCH(Stock!O$1,'Stock UST'!$1:$1,0)))=0,"",IF(ISERROR(MATCH(Stock!O$1,'Stock UST'!$1:$1,0)),N14,INDEX('Stock UST'!14:14,1,MATCH(Stock!O$1,'Stock UST'!$1:$1,0))))</f>
        <v>685000000</v>
      </c>
      <c r="P14" s="9">
        <f>IF(IF(ISERROR(MATCH(Stock!P$1,'Stock UST'!$1:$1,0)),O14,INDEX('Stock UST'!14:14,1,MATCH(Stock!P$1,'Stock UST'!$1:$1,0)))=0,"",IF(ISERROR(MATCH(Stock!P$1,'Stock UST'!$1:$1,0)),O14,INDEX('Stock UST'!14:14,1,MATCH(Stock!P$1,'Stock UST'!$1:$1,0))))</f>
        <v>685000000</v>
      </c>
      <c r="Q14" s="9">
        <f>IF(IF(ISERROR(MATCH(Stock!Q$1,'Stock UST'!$1:$1,0)),P14,INDEX('Stock UST'!14:14,1,MATCH(Stock!Q$1,'Stock UST'!$1:$1,0)))=0,"",IF(ISERROR(MATCH(Stock!Q$1,'Stock UST'!$1:$1,0)),P14,INDEX('Stock UST'!14:14,1,MATCH(Stock!Q$1,'Stock UST'!$1:$1,0))))</f>
        <v>685000000</v>
      </c>
      <c r="R14" s="9">
        <f>IF(IF(ISERROR(MATCH(Stock!R$1,'Stock UST'!$1:$1,0)),Q14,INDEX('Stock UST'!14:14,1,MATCH(Stock!R$1,'Stock UST'!$1:$1,0)))=0,"",IF(ISERROR(MATCH(Stock!R$1,'Stock UST'!$1:$1,0)),Q14,INDEX('Stock UST'!14:14,1,MATCH(Stock!R$1,'Stock UST'!$1:$1,0))))</f>
        <v>685000000</v>
      </c>
      <c r="S14" s="9">
        <f>IF(IF(ISERROR(MATCH(Stock!S$1,'Stock UST'!$1:$1,0)),R14,INDEX('Stock UST'!14:14,1,MATCH(Stock!S$1,'Stock UST'!$1:$1,0)))=0,"",IF(ISERROR(MATCH(Stock!S$1,'Stock UST'!$1:$1,0)),R14,INDEX('Stock UST'!14:14,1,MATCH(Stock!S$1,'Stock UST'!$1:$1,0))))</f>
        <v>685000000</v>
      </c>
      <c r="T14" s="9">
        <f>IF(IF(ISERROR(MATCH(Stock!T$1,'Stock UST'!$1:$1,0)),S14,INDEX('Stock UST'!14:14,1,MATCH(Stock!T$1,'Stock UST'!$1:$1,0)))=0,"",IF(ISERROR(MATCH(Stock!T$1,'Stock UST'!$1:$1,0)),S14,INDEX('Stock UST'!14:14,1,MATCH(Stock!T$1,'Stock UST'!$1:$1,0))))</f>
        <v>685000000</v>
      </c>
      <c r="U14" s="9">
        <f>IF(IF(ISERROR(MATCH(Stock!U$1,'Stock UST'!$1:$1,0)),T14,INDEX('Stock UST'!14:14,1,MATCH(Stock!U$1,'Stock UST'!$1:$1,0)))=0,"",IF(ISERROR(MATCH(Stock!U$1,'Stock UST'!$1:$1,0)),T14,INDEX('Stock UST'!14:14,1,MATCH(Stock!U$1,'Stock UST'!$1:$1,0))))</f>
        <v>685000000</v>
      </c>
      <c r="V14" s="9">
        <f>IF(IF(ISERROR(MATCH(Stock!V$1,'Stock UST'!$1:$1,0)),U14,INDEX('Stock UST'!14:14,1,MATCH(Stock!V$1,'Stock UST'!$1:$1,0)))=0,"",IF(ISERROR(MATCH(Stock!V$1,'Stock UST'!$1:$1,0)),U14,INDEX('Stock UST'!14:14,1,MATCH(Stock!V$1,'Stock UST'!$1:$1,0))))</f>
        <v>685000000</v>
      </c>
      <c r="W14" s="9">
        <f>IF(IF(ISERROR(MATCH(Stock!W$1,'Stock UST'!$1:$1,0)),V14,INDEX('Stock UST'!14:14,1,MATCH(Stock!W$1,'Stock UST'!$1:$1,0)))=0,"",IF(ISERROR(MATCH(Stock!W$1,'Stock UST'!$1:$1,0)),V14,INDEX('Stock UST'!14:14,1,MATCH(Stock!W$1,'Stock UST'!$1:$1,0))))</f>
        <v>685000000</v>
      </c>
      <c r="X14" s="9">
        <f>IF(IF(ISERROR(MATCH(Stock!X$1,'Stock UST'!$1:$1,0)),W14,INDEX('Stock UST'!14:14,1,MATCH(Stock!X$1,'Stock UST'!$1:$1,0)))=0,"",IF(ISERROR(MATCH(Stock!X$1,'Stock UST'!$1:$1,0)),W14,INDEX('Stock UST'!14:14,1,MATCH(Stock!X$1,'Stock UST'!$1:$1,0))))</f>
        <v>685000000</v>
      </c>
      <c r="Y14" s="9">
        <f>IF(IF(ISERROR(MATCH(Stock!Y$1,'Stock UST'!$1:$1,0)),X14,INDEX('Stock UST'!14:14,1,MATCH(Stock!Y$1,'Stock UST'!$1:$1,0)))=0,"",IF(ISERROR(MATCH(Stock!Y$1,'Stock UST'!$1:$1,0)),X14,INDEX('Stock UST'!14:14,1,MATCH(Stock!Y$1,'Stock UST'!$1:$1,0))))</f>
        <v>685000000</v>
      </c>
      <c r="Z14" s="9">
        <f>IF(IF(ISERROR(MATCH(Stock!Z$1,'Stock UST'!$1:$1,0)),Y14,INDEX('Stock UST'!14:14,1,MATCH(Stock!Z$1,'Stock UST'!$1:$1,0)))=0,"",IF(ISERROR(MATCH(Stock!Z$1,'Stock UST'!$1:$1,0)),Y14,INDEX('Stock UST'!14:14,1,MATCH(Stock!Z$1,'Stock UST'!$1:$1,0))))</f>
        <v>685000000</v>
      </c>
      <c r="AA14" s="9">
        <f>IF(IF(ISERROR(MATCH(Stock!AA$1,'Stock UST'!$1:$1,0)),Z14,INDEX('Stock UST'!14:14,1,MATCH(Stock!AA$1,'Stock UST'!$1:$1,0)))=0,"",IF(ISERROR(MATCH(Stock!AA$1,'Stock UST'!$1:$1,0)),Z14,INDEX('Stock UST'!14:14,1,MATCH(Stock!AA$1,'Stock UST'!$1:$1,0))))</f>
        <v>685000000</v>
      </c>
      <c r="AB14" s="9">
        <f>IF(IF(ISERROR(MATCH(Stock!AB$1,'Stock UST'!$1:$1,0)),AA14,INDEX('Stock UST'!14:14,1,MATCH(Stock!AB$1,'Stock UST'!$1:$1,0)))=0,"",IF(ISERROR(MATCH(Stock!AB$1,'Stock UST'!$1:$1,0)),AA14,INDEX('Stock UST'!14:14,1,MATCH(Stock!AB$1,'Stock UST'!$1:$1,0))))</f>
        <v>685000000</v>
      </c>
      <c r="AC14" s="9">
        <f>IF(IF(ISERROR(MATCH(Stock!AC$1,'Stock UST'!$1:$1,0)),AB14,INDEX('Stock UST'!14:14,1,MATCH(Stock!AC$1,'Stock UST'!$1:$1,0)))=0,"",IF(ISERROR(MATCH(Stock!AC$1,'Stock UST'!$1:$1,0)),AB14,INDEX('Stock UST'!14:14,1,MATCH(Stock!AC$1,'Stock UST'!$1:$1,0))))</f>
        <v>685000000</v>
      </c>
      <c r="AD14" s="9">
        <f>IF(IF(ISERROR(MATCH(Stock!AD$1,'Stock UST'!$1:$1,0)),AC14,INDEX('Stock UST'!14:14,1,MATCH(Stock!AD$1,'Stock UST'!$1:$1,0)))=0,"",IF(ISERROR(MATCH(Stock!AD$1,'Stock UST'!$1:$1,0)),AC14,INDEX('Stock UST'!14:14,1,MATCH(Stock!AD$1,'Stock UST'!$1:$1,0))))</f>
        <v>685000000</v>
      </c>
      <c r="AE14" s="9">
        <f>IF(IF(ISERROR(MATCH(Stock!AE$1,'Stock UST'!$1:$1,0)),AD14,INDEX('Stock UST'!14:14,1,MATCH(Stock!AE$1,'Stock UST'!$1:$1,0)))=0,"",IF(ISERROR(MATCH(Stock!AE$1,'Stock UST'!$1:$1,0)),AD14,INDEX('Stock UST'!14:14,1,MATCH(Stock!AE$1,'Stock UST'!$1:$1,0))))</f>
        <v>685000000</v>
      </c>
      <c r="AF14" s="9">
        <f>IF(IF(ISERROR(MATCH(Stock!AF$1,'Stock UST'!$1:$1,0)),AE14,INDEX('Stock UST'!14:14,1,MATCH(Stock!AF$1,'Stock UST'!$1:$1,0)))=0,"",IF(ISERROR(MATCH(Stock!AF$1,'Stock UST'!$1:$1,0)),AE14,INDEX('Stock UST'!14:14,1,MATCH(Stock!AF$1,'Stock UST'!$1:$1,0))))</f>
        <v>685000000</v>
      </c>
      <c r="AG14" s="9">
        <f>IF(IF(ISERROR(MATCH(Stock!AG$1,'Stock UST'!$1:$1,0)),AF14,INDEX('Stock UST'!14:14,1,MATCH(Stock!AG$1,'Stock UST'!$1:$1,0)))=0,"",IF(ISERROR(MATCH(Stock!AG$1,'Stock UST'!$1:$1,0)),AF14,INDEX('Stock UST'!14:14,1,MATCH(Stock!AG$1,'Stock UST'!$1:$1,0))))</f>
        <v>685000000</v>
      </c>
      <c r="AH14" s="9">
        <f>IF(IF(ISERROR(MATCH(Stock!AH$1,'Stock UST'!$1:$1,0)),AG14,INDEX('Stock UST'!14:14,1,MATCH(Stock!AH$1,'Stock UST'!$1:$1,0)))=0,"",IF(ISERROR(MATCH(Stock!AH$1,'Stock UST'!$1:$1,0)),AG14,INDEX('Stock UST'!14:14,1,MATCH(Stock!AH$1,'Stock UST'!$1:$1,0))))</f>
        <v>685000000</v>
      </c>
      <c r="AI14" s="9">
        <f>IF(IF(ISERROR(MATCH(Stock!AI$1,'Stock UST'!$1:$1,0)),AH14,INDEX('Stock UST'!14:14,1,MATCH(Stock!AI$1,'Stock UST'!$1:$1,0)))=0,"",IF(ISERROR(MATCH(Stock!AI$1,'Stock UST'!$1:$1,0)),AH14,INDEX('Stock UST'!14:14,1,MATCH(Stock!AI$1,'Stock UST'!$1:$1,0))))</f>
        <v>685000000</v>
      </c>
      <c r="AJ14" s="9">
        <f>IF(IF(ISERROR(MATCH(Stock!AJ$1,'Stock UST'!$1:$1,0)),AI14,INDEX('Stock UST'!14:14,1,MATCH(Stock!AJ$1,'Stock UST'!$1:$1,0)))=0,"",IF(ISERROR(MATCH(Stock!AJ$1,'Stock UST'!$1:$1,0)),AI14,INDEX('Stock UST'!14:14,1,MATCH(Stock!AJ$1,'Stock UST'!$1:$1,0))))</f>
        <v>685000000</v>
      </c>
      <c r="AK14" s="9">
        <f>IF(IF(ISERROR(MATCH(Stock!AK$1,'Stock UST'!$1:$1,0)),AJ14,INDEX('Stock UST'!14:14,1,MATCH(Stock!AK$1,'Stock UST'!$1:$1,0)))=0,"",IF(ISERROR(MATCH(Stock!AK$1,'Stock UST'!$1:$1,0)),AJ14,INDEX('Stock UST'!14:14,1,MATCH(Stock!AK$1,'Stock UST'!$1:$1,0))))</f>
        <v>685000000</v>
      </c>
      <c r="AL14" s="9">
        <f>IF(IF(ISERROR(MATCH(Stock!AL$1,'Stock UST'!$1:$1,0)),AK14,INDEX('Stock UST'!14:14,1,MATCH(Stock!AL$1,'Stock UST'!$1:$1,0)))=0,"",IF(ISERROR(MATCH(Stock!AL$1,'Stock UST'!$1:$1,0)),AK14,INDEX('Stock UST'!14:14,1,MATCH(Stock!AL$1,'Stock UST'!$1:$1,0))))</f>
        <v>685000000</v>
      </c>
      <c r="AM14" s="9">
        <f>IF(IF(ISERROR(MATCH(Stock!AM$1,'Stock UST'!$1:$1,0)),AL14,INDEX('Stock UST'!14:14,1,MATCH(Stock!AM$1,'Stock UST'!$1:$1,0)))=0,"",IF(ISERROR(MATCH(Stock!AM$1,'Stock UST'!$1:$1,0)),AL14,INDEX('Stock UST'!14:14,1,MATCH(Stock!AM$1,'Stock UST'!$1:$1,0))))</f>
        <v>685000000</v>
      </c>
      <c r="AN14" s="9">
        <f>IF(IF(ISERROR(MATCH(Stock!AN$1,'Stock UST'!$1:$1,0)),AM14,INDEX('Stock UST'!14:14,1,MATCH(Stock!AN$1,'Stock UST'!$1:$1,0)))=0,"",IF(ISERROR(MATCH(Stock!AN$1,'Stock UST'!$1:$1,0)),AM14,INDEX('Stock UST'!14:14,1,MATCH(Stock!AN$1,'Stock UST'!$1:$1,0))))</f>
        <v>685000000</v>
      </c>
      <c r="AO14" s="9">
        <f>IF(IF(ISERROR(MATCH(Stock!AO$1,'Stock UST'!$1:$1,0)),AN14,INDEX('Stock UST'!14:14,1,MATCH(Stock!AO$1,'Stock UST'!$1:$1,0)))=0,"",IF(ISERROR(MATCH(Stock!AO$1,'Stock UST'!$1:$1,0)),AN14,INDEX('Stock UST'!14:14,1,MATCH(Stock!AO$1,'Stock UST'!$1:$1,0))))</f>
        <v>685000000</v>
      </c>
      <c r="AP14" s="9">
        <f>IF(IF(ISERROR(MATCH(Stock!AP$1,'Stock UST'!$1:$1,0)),AO14,INDEX('Stock UST'!14:14,1,MATCH(Stock!AP$1,'Stock UST'!$1:$1,0)))=0,"",IF(ISERROR(MATCH(Stock!AP$1,'Stock UST'!$1:$1,0)),AO14,INDEX('Stock UST'!14:14,1,MATCH(Stock!AP$1,'Stock UST'!$1:$1,0))))</f>
        <v>685000000</v>
      </c>
      <c r="AQ14" s="9">
        <f>IF(IF(ISERROR(MATCH(Stock!AQ$1,'Stock UST'!$1:$1,0)),AP14,INDEX('Stock UST'!14:14,1,MATCH(Stock!AQ$1,'Stock UST'!$1:$1,0)))=0,"",IF(ISERROR(MATCH(Stock!AQ$1,'Stock UST'!$1:$1,0)),AP14,INDEX('Stock UST'!14:14,1,MATCH(Stock!AQ$1,'Stock UST'!$1:$1,0))))</f>
        <v>685000000</v>
      </c>
      <c r="AR14" s="9">
        <f>IF(IF(ISERROR(MATCH(Stock!AR$1,'Stock UST'!$1:$1,0)),AQ14,INDEX('Stock UST'!14:14,1,MATCH(Stock!AR$1,'Stock UST'!$1:$1,0)))=0,"",IF(ISERROR(MATCH(Stock!AR$1,'Stock UST'!$1:$1,0)),AQ14,INDEX('Stock UST'!14:14,1,MATCH(Stock!AR$1,'Stock UST'!$1:$1,0))))</f>
        <v>685000000</v>
      </c>
      <c r="AS14" s="9">
        <f>IF(IF(ISERROR(MATCH(Stock!AS$1,'Stock UST'!$1:$1,0)),AR14,INDEX('Stock UST'!14:14,1,MATCH(Stock!AS$1,'Stock UST'!$1:$1,0)))=0,"",IF(ISERROR(MATCH(Stock!AS$1,'Stock UST'!$1:$1,0)),AR14,INDEX('Stock UST'!14:14,1,MATCH(Stock!AS$1,'Stock UST'!$1:$1,0))))</f>
        <v>685000000</v>
      </c>
      <c r="AT14" s="9">
        <f>IF(IF(ISERROR(MATCH(Stock!AT$1,'Stock UST'!$1:$1,0)),AS14,INDEX('Stock UST'!14:14,1,MATCH(Stock!AT$1,'Stock UST'!$1:$1,0)))=0,"",IF(ISERROR(MATCH(Stock!AT$1,'Stock UST'!$1:$1,0)),AS14,INDEX('Stock UST'!14:14,1,MATCH(Stock!AT$1,'Stock UST'!$1:$1,0))))</f>
        <v>685000000</v>
      </c>
      <c r="AU14" s="9">
        <f>IF(IF(ISERROR(MATCH(Stock!AU$1,'Stock UST'!$1:$1,0)),AT14,INDEX('Stock UST'!14:14,1,MATCH(Stock!AU$1,'Stock UST'!$1:$1,0)))=0,"",IF(ISERROR(MATCH(Stock!AU$1,'Stock UST'!$1:$1,0)),AT14,INDEX('Stock UST'!14:14,1,MATCH(Stock!AU$1,'Stock UST'!$1:$1,0))))</f>
        <v>685000000</v>
      </c>
      <c r="AV14" s="9">
        <f>IF(IF(ISERROR(MATCH(Stock!AV$1,'Stock UST'!$1:$1,0)),AU14,INDEX('Stock UST'!14:14,1,MATCH(Stock!AV$1,'Stock UST'!$1:$1,0)))=0,"",IF(ISERROR(MATCH(Stock!AV$1,'Stock UST'!$1:$1,0)),AU14,INDEX('Stock UST'!14:14,1,MATCH(Stock!AV$1,'Stock UST'!$1:$1,0))))</f>
        <v>685000000</v>
      </c>
      <c r="AW14" s="9">
        <f>IF(IF(ISERROR(MATCH(Stock!AW$1,'Stock UST'!$1:$1,0)),AV14,INDEX('Stock UST'!14:14,1,MATCH(Stock!AW$1,'Stock UST'!$1:$1,0)))=0,"",IF(ISERROR(MATCH(Stock!AW$1,'Stock UST'!$1:$1,0)),AV14,INDEX('Stock UST'!14:14,1,MATCH(Stock!AW$1,'Stock UST'!$1:$1,0))))</f>
        <v>685000000</v>
      </c>
      <c r="AX14" s="9">
        <f>IF(IF(ISERROR(MATCH(Stock!AX$1,'Stock UST'!$1:$1,0)),AW14,INDEX('Stock UST'!14:14,1,MATCH(Stock!AX$1,'Stock UST'!$1:$1,0)))=0,"",IF(ISERROR(MATCH(Stock!AX$1,'Stock UST'!$1:$1,0)),AW14,INDEX('Stock UST'!14:14,1,MATCH(Stock!AX$1,'Stock UST'!$1:$1,0))))</f>
        <v>685000000</v>
      </c>
    </row>
    <row r="15" spans="1:91" x14ac:dyDescent="0.2">
      <c r="A15" s="9">
        <f>IF('Stock UST'!E15="","",'Stock UST'!E15)</f>
        <v>637000000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637000000</v>
      </c>
      <c r="C15" s="9">
        <f>IF(IF(ISERROR(MATCH(Stock!C$1,'Stock UST'!$1:$1,0)),B15,INDEX('Stock UST'!15:15,1,MATCH(Stock!C$1,'Stock UST'!$1:$1,0)))=0,"",IF(ISERROR(MATCH(Stock!C$1,'Stock UST'!$1:$1,0)),B15,INDEX('Stock UST'!15:15,1,MATCH(Stock!C$1,'Stock UST'!$1:$1,0))))</f>
        <v>637000000</v>
      </c>
      <c r="D15" s="9">
        <f>IF(IF(ISERROR(MATCH(Stock!D$1,'Stock UST'!$1:$1,0)),C15,INDEX('Stock UST'!15:15,1,MATCH(Stock!D$1,'Stock UST'!$1:$1,0)))=0,"",IF(ISERROR(MATCH(Stock!D$1,'Stock UST'!$1:$1,0)),C15,INDEX('Stock UST'!15:15,1,MATCH(Stock!D$1,'Stock UST'!$1:$1,0))))</f>
        <v>637000000</v>
      </c>
      <c r="E15" s="9">
        <f>IF(IF(ISERROR(MATCH(Stock!E$1,'Stock UST'!$1:$1,0)),D15,INDEX('Stock UST'!15:15,1,MATCH(Stock!E$1,'Stock UST'!$1:$1,0)))=0,"",IF(ISERROR(MATCH(Stock!E$1,'Stock UST'!$1:$1,0)),D15,INDEX('Stock UST'!15:15,1,MATCH(Stock!E$1,'Stock UST'!$1:$1,0))))</f>
        <v>1137000000</v>
      </c>
      <c r="F15" s="9">
        <f>IF(IF(ISERROR(MATCH(Stock!F$1,'Stock UST'!$1:$1,0)),E15,INDEX('Stock UST'!15:15,1,MATCH(Stock!F$1,'Stock UST'!$1:$1,0)))=0,"",IF(ISERROR(MATCH(Stock!F$1,'Stock UST'!$1:$1,0)),E15,INDEX('Stock UST'!15:15,1,MATCH(Stock!F$1,'Stock UST'!$1:$1,0))))</f>
        <v>1137000000</v>
      </c>
      <c r="G15" s="9">
        <f>IF(IF(ISERROR(MATCH(Stock!G$1,'Stock UST'!$1:$1,0)),F15,INDEX('Stock UST'!15:15,1,MATCH(Stock!G$1,'Stock UST'!$1:$1,0)))=0,"",IF(ISERROR(MATCH(Stock!G$1,'Stock UST'!$1:$1,0)),F15,INDEX('Stock UST'!15:15,1,MATCH(Stock!G$1,'Stock UST'!$1:$1,0))))</f>
        <v>1137000000</v>
      </c>
      <c r="H15" s="9">
        <f>IF(IF(ISERROR(MATCH(Stock!H$1,'Stock UST'!$1:$1,0)),G15,INDEX('Stock UST'!15:15,1,MATCH(Stock!H$1,'Stock UST'!$1:$1,0)))=0,"",IF(ISERROR(MATCH(Stock!H$1,'Stock UST'!$1:$1,0)),G15,INDEX('Stock UST'!15:15,1,MATCH(Stock!H$1,'Stock UST'!$1:$1,0))))</f>
        <v>1137000000</v>
      </c>
      <c r="I15" s="9">
        <f>IF(IF(ISERROR(MATCH(Stock!I$1,'Stock UST'!$1:$1,0)),H15,INDEX('Stock UST'!15:15,1,MATCH(Stock!I$1,'Stock UST'!$1:$1,0)))=0,"",IF(ISERROR(MATCH(Stock!I$1,'Stock UST'!$1:$1,0)),H15,INDEX('Stock UST'!15:15,1,MATCH(Stock!I$1,'Stock UST'!$1:$1,0))))</f>
        <v>1137000000</v>
      </c>
      <c r="J15" s="9">
        <f>IF(IF(ISERROR(MATCH(Stock!J$1,'Stock UST'!$1:$1,0)),I15,INDEX('Stock UST'!15:15,1,MATCH(Stock!J$1,'Stock UST'!$1:$1,0)))=0,"",IF(ISERROR(MATCH(Stock!J$1,'Stock UST'!$1:$1,0)),I15,INDEX('Stock UST'!15:15,1,MATCH(Stock!J$1,'Stock UST'!$1:$1,0))))</f>
        <v>1137000000</v>
      </c>
      <c r="K15" s="9">
        <f>IF(IF(ISERROR(MATCH(Stock!K$1,'Stock UST'!$1:$1,0)),J15,INDEX('Stock UST'!15:15,1,MATCH(Stock!K$1,'Stock UST'!$1:$1,0)))=0,"",IF(ISERROR(MATCH(Stock!K$1,'Stock UST'!$1:$1,0)),J15,INDEX('Stock UST'!15:15,1,MATCH(Stock!K$1,'Stock UST'!$1:$1,0))))</f>
        <v>1137000000</v>
      </c>
      <c r="L15" s="9">
        <f>IF(IF(ISERROR(MATCH(Stock!L$1,'Stock UST'!$1:$1,0)),K15,INDEX('Stock UST'!15:15,1,MATCH(Stock!L$1,'Stock UST'!$1:$1,0)))=0,"",IF(ISERROR(MATCH(Stock!L$1,'Stock UST'!$1:$1,0)),K15,INDEX('Stock UST'!15:15,1,MATCH(Stock!L$1,'Stock UST'!$1:$1,0))))</f>
        <v>1137000000</v>
      </c>
      <c r="M15" s="9">
        <f>IF(IF(ISERROR(MATCH(Stock!M$1,'Stock UST'!$1:$1,0)),L15,INDEX('Stock UST'!15:15,1,MATCH(Stock!M$1,'Stock UST'!$1:$1,0)))=0,"",IF(ISERROR(MATCH(Stock!M$1,'Stock UST'!$1:$1,0)),L15,INDEX('Stock UST'!15:15,1,MATCH(Stock!M$1,'Stock UST'!$1:$1,0))))</f>
        <v>1137000000</v>
      </c>
      <c r="N15" s="9">
        <f>IF(IF(ISERROR(MATCH(Stock!N$1,'Stock UST'!$1:$1,0)),M15,INDEX('Stock UST'!15:15,1,MATCH(Stock!N$1,'Stock UST'!$1:$1,0)))=0,"",IF(ISERROR(MATCH(Stock!N$1,'Stock UST'!$1:$1,0)),M15,INDEX('Stock UST'!15:15,1,MATCH(Stock!N$1,'Stock UST'!$1:$1,0))))</f>
        <v>1137000000</v>
      </c>
      <c r="O15" s="9">
        <f>IF(IF(ISERROR(MATCH(Stock!O$1,'Stock UST'!$1:$1,0)),N15,INDEX('Stock UST'!15:15,1,MATCH(Stock!O$1,'Stock UST'!$1:$1,0)))=0,"",IF(ISERROR(MATCH(Stock!O$1,'Stock UST'!$1:$1,0)),N15,INDEX('Stock UST'!15:15,1,MATCH(Stock!O$1,'Stock UST'!$1:$1,0))))</f>
        <v>1137000000</v>
      </c>
      <c r="P15" s="9">
        <f>IF(IF(ISERROR(MATCH(Stock!P$1,'Stock UST'!$1:$1,0)),O15,INDEX('Stock UST'!15:15,1,MATCH(Stock!P$1,'Stock UST'!$1:$1,0)))=0,"",IF(ISERROR(MATCH(Stock!P$1,'Stock UST'!$1:$1,0)),O15,INDEX('Stock UST'!15:15,1,MATCH(Stock!P$1,'Stock UST'!$1:$1,0))))</f>
        <v>1137000000</v>
      </c>
      <c r="Q15" s="9">
        <f>IF(IF(ISERROR(MATCH(Stock!Q$1,'Stock UST'!$1:$1,0)),P15,INDEX('Stock UST'!15:15,1,MATCH(Stock!Q$1,'Stock UST'!$1:$1,0)))=0,"",IF(ISERROR(MATCH(Stock!Q$1,'Stock UST'!$1:$1,0)),P15,INDEX('Stock UST'!15:15,1,MATCH(Stock!Q$1,'Stock UST'!$1:$1,0))))</f>
        <v>1137000000</v>
      </c>
      <c r="R15" s="9">
        <f>IF(IF(ISERROR(MATCH(Stock!R$1,'Stock UST'!$1:$1,0)),Q15,INDEX('Stock UST'!15:15,1,MATCH(Stock!R$1,'Stock UST'!$1:$1,0)))=0,"",IF(ISERROR(MATCH(Stock!R$1,'Stock UST'!$1:$1,0)),Q15,INDEX('Stock UST'!15:15,1,MATCH(Stock!R$1,'Stock UST'!$1:$1,0))))</f>
        <v>1137000000</v>
      </c>
      <c r="S15" s="9">
        <f>IF(IF(ISERROR(MATCH(Stock!S$1,'Stock UST'!$1:$1,0)),R15,INDEX('Stock UST'!15:15,1,MATCH(Stock!S$1,'Stock UST'!$1:$1,0)))=0,"",IF(ISERROR(MATCH(Stock!S$1,'Stock UST'!$1:$1,0)),R15,INDEX('Stock UST'!15:15,1,MATCH(Stock!S$1,'Stock UST'!$1:$1,0))))</f>
        <v>1137000000</v>
      </c>
      <c r="T15" s="9">
        <f>IF(IF(ISERROR(MATCH(Stock!T$1,'Stock UST'!$1:$1,0)),S15,INDEX('Stock UST'!15:15,1,MATCH(Stock!T$1,'Stock UST'!$1:$1,0)))=0,"",IF(ISERROR(MATCH(Stock!T$1,'Stock UST'!$1:$1,0)),S15,INDEX('Stock UST'!15:15,1,MATCH(Stock!T$1,'Stock UST'!$1:$1,0))))</f>
        <v>1137000000</v>
      </c>
      <c r="U15" s="9">
        <f>IF(IF(ISERROR(MATCH(Stock!U$1,'Stock UST'!$1:$1,0)),T15,INDEX('Stock UST'!15:15,1,MATCH(Stock!U$1,'Stock UST'!$1:$1,0)))=0,"",IF(ISERROR(MATCH(Stock!U$1,'Stock UST'!$1:$1,0)),T15,INDEX('Stock UST'!15:15,1,MATCH(Stock!U$1,'Stock UST'!$1:$1,0))))</f>
        <v>1137000000</v>
      </c>
      <c r="V15" s="9">
        <f>IF(IF(ISERROR(MATCH(Stock!V$1,'Stock UST'!$1:$1,0)),U15,INDEX('Stock UST'!15:15,1,MATCH(Stock!V$1,'Stock UST'!$1:$1,0)))=0,"",IF(ISERROR(MATCH(Stock!V$1,'Stock UST'!$1:$1,0)),U15,INDEX('Stock UST'!15:15,1,MATCH(Stock!V$1,'Stock UST'!$1:$1,0))))</f>
        <v>1137000000</v>
      </c>
      <c r="W15" s="9">
        <f>IF(IF(ISERROR(MATCH(Stock!W$1,'Stock UST'!$1:$1,0)),V15,INDEX('Stock UST'!15:15,1,MATCH(Stock!W$1,'Stock UST'!$1:$1,0)))=0,"",IF(ISERROR(MATCH(Stock!W$1,'Stock UST'!$1:$1,0)),V15,INDEX('Stock UST'!15:15,1,MATCH(Stock!W$1,'Stock UST'!$1:$1,0))))</f>
        <v>1137000000</v>
      </c>
      <c r="X15" s="9">
        <f>IF(IF(ISERROR(MATCH(Stock!X$1,'Stock UST'!$1:$1,0)),W15,INDEX('Stock UST'!15:15,1,MATCH(Stock!X$1,'Stock UST'!$1:$1,0)))=0,"",IF(ISERROR(MATCH(Stock!X$1,'Stock UST'!$1:$1,0)),W15,INDEX('Stock UST'!15:15,1,MATCH(Stock!X$1,'Stock UST'!$1:$1,0))))</f>
        <v>1137000000</v>
      </c>
      <c r="Y15" s="9">
        <f>IF(IF(ISERROR(MATCH(Stock!Y$1,'Stock UST'!$1:$1,0)),X15,INDEX('Stock UST'!15:15,1,MATCH(Stock!Y$1,'Stock UST'!$1:$1,0)))=0,"",IF(ISERROR(MATCH(Stock!Y$1,'Stock UST'!$1:$1,0)),X15,INDEX('Stock UST'!15:15,1,MATCH(Stock!Y$1,'Stock UST'!$1:$1,0))))</f>
        <v>1137000000</v>
      </c>
      <c r="Z15" s="9">
        <f>IF(IF(ISERROR(MATCH(Stock!Z$1,'Stock UST'!$1:$1,0)),Y15,INDEX('Stock UST'!15:15,1,MATCH(Stock!Z$1,'Stock UST'!$1:$1,0)))=0,"",IF(ISERROR(MATCH(Stock!Z$1,'Stock UST'!$1:$1,0)),Y15,INDEX('Stock UST'!15:15,1,MATCH(Stock!Z$1,'Stock UST'!$1:$1,0))))</f>
        <v>1137000000</v>
      </c>
      <c r="AA15" s="9">
        <f>IF(IF(ISERROR(MATCH(Stock!AA$1,'Stock UST'!$1:$1,0)),Z15,INDEX('Stock UST'!15:15,1,MATCH(Stock!AA$1,'Stock UST'!$1:$1,0)))=0,"",IF(ISERROR(MATCH(Stock!AA$1,'Stock UST'!$1:$1,0)),Z15,INDEX('Stock UST'!15:15,1,MATCH(Stock!AA$1,'Stock UST'!$1:$1,0))))</f>
        <v>1137000000</v>
      </c>
      <c r="AB15" s="9">
        <f>IF(IF(ISERROR(MATCH(Stock!AB$1,'Stock UST'!$1:$1,0)),AA15,INDEX('Stock UST'!15:15,1,MATCH(Stock!AB$1,'Stock UST'!$1:$1,0)))=0,"",IF(ISERROR(MATCH(Stock!AB$1,'Stock UST'!$1:$1,0)),AA15,INDEX('Stock UST'!15:15,1,MATCH(Stock!AB$1,'Stock UST'!$1:$1,0))))</f>
        <v>1137000000</v>
      </c>
      <c r="AC15" s="9">
        <f>IF(IF(ISERROR(MATCH(Stock!AC$1,'Stock UST'!$1:$1,0)),AB15,INDEX('Stock UST'!15:15,1,MATCH(Stock!AC$1,'Stock UST'!$1:$1,0)))=0,"",IF(ISERROR(MATCH(Stock!AC$1,'Stock UST'!$1:$1,0)),AB15,INDEX('Stock UST'!15:15,1,MATCH(Stock!AC$1,'Stock UST'!$1:$1,0))))</f>
        <v>1137000000</v>
      </c>
      <c r="AD15" s="9">
        <f>IF(IF(ISERROR(MATCH(Stock!AD$1,'Stock UST'!$1:$1,0)),AC15,INDEX('Stock UST'!15:15,1,MATCH(Stock!AD$1,'Stock UST'!$1:$1,0)))=0,"",IF(ISERROR(MATCH(Stock!AD$1,'Stock UST'!$1:$1,0)),AC15,INDEX('Stock UST'!15:15,1,MATCH(Stock!AD$1,'Stock UST'!$1:$1,0))))</f>
        <v>1137000000</v>
      </c>
      <c r="AE15" s="9">
        <f>IF(IF(ISERROR(MATCH(Stock!AE$1,'Stock UST'!$1:$1,0)),AD15,INDEX('Stock UST'!15:15,1,MATCH(Stock!AE$1,'Stock UST'!$1:$1,0)))=0,"",IF(ISERROR(MATCH(Stock!AE$1,'Stock UST'!$1:$1,0)),AD15,INDEX('Stock UST'!15:15,1,MATCH(Stock!AE$1,'Stock UST'!$1:$1,0))))</f>
        <v>1137000000</v>
      </c>
      <c r="AF15" s="9">
        <f>IF(IF(ISERROR(MATCH(Stock!AF$1,'Stock UST'!$1:$1,0)),AE15,INDEX('Stock UST'!15:15,1,MATCH(Stock!AF$1,'Stock UST'!$1:$1,0)))=0,"",IF(ISERROR(MATCH(Stock!AF$1,'Stock UST'!$1:$1,0)),AE15,INDEX('Stock UST'!15:15,1,MATCH(Stock!AF$1,'Stock UST'!$1:$1,0))))</f>
        <v>1137000000</v>
      </c>
      <c r="AG15" s="9">
        <f>IF(IF(ISERROR(MATCH(Stock!AG$1,'Stock UST'!$1:$1,0)),AF15,INDEX('Stock UST'!15:15,1,MATCH(Stock!AG$1,'Stock UST'!$1:$1,0)))=0,"",IF(ISERROR(MATCH(Stock!AG$1,'Stock UST'!$1:$1,0)),AF15,INDEX('Stock UST'!15:15,1,MATCH(Stock!AG$1,'Stock UST'!$1:$1,0))))</f>
        <v>1137000000</v>
      </c>
      <c r="AH15" s="9">
        <f>IF(IF(ISERROR(MATCH(Stock!AH$1,'Stock UST'!$1:$1,0)),AG15,INDEX('Stock UST'!15:15,1,MATCH(Stock!AH$1,'Stock UST'!$1:$1,0)))=0,"",IF(ISERROR(MATCH(Stock!AH$1,'Stock UST'!$1:$1,0)),AG15,INDEX('Stock UST'!15:15,1,MATCH(Stock!AH$1,'Stock UST'!$1:$1,0))))</f>
        <v>1137000000</v>
      </c>
      <c r="AI15" s="9">
        <f>IF(IF(ISERROR(MATCH(Stock!AI$1,'Stock UST'!$1:$1,0)),AH15,INDEX('Stock UST'!15:15,1,MATCH(Stock!AI$1,'Stock UST'!$1:$1,0)))=0,"",IF(ISERROR(MATCH(Stock!AI$1,'Stock UST'!$1:$1,0)),AH15,INDEX('Stock UST'!15:15,1,MATCH(Stock!AI$1,'Stock UST'!$1:$1,0))))</f>
        <v>1137000000</v>
      </c>
      <c r="AJ15" s="9">
        <f>IF(IF(ISERROR(MATCH(Stock!AJ$1,'Stock UST'!$1:$1,0)),AI15,INDEX('Stock UST'!15:15,1,MATCH(Stock!AJ$1,'Stock UST'!$1:$1,0)))=0,"",IF(ISERROR(MATCH(Stock!AJ$1,'Stock UST'!$1:$1,0)),AI15,INDEX('Stock UST'!15:15,1,MATCH(Stock!AJ$1,'Stock UST'!$1:$1,0))))</f>
        <v>1137000000</v>
      </c>
      <c r="AK15" s="9">
        <f>IF(IF(ISERROR(MATCH(Stock!AK$1,'Stock UST'!$1:$1,0)),AJ15,INDEX('Stock UST'!15:15,1,MATCH(Stock!AK$1,'Stock UST'!$1:$1,0)))=0,"",IF(ISERROR(MATCH(Stock!AK$1,'Stock UST'!$1:$1,0)),AJ15,INDEX('Stock UST'!15:15,1,MATCH(Stock!AK$1,'Stock UST'!$1:$1,0))))</f>
        <v>1137000000</v>
      </c>
      <c r="AL15" s="9">
        <f>IF(IF(ISERROR(MATCH(Stock!AL$1,'Stock UST'!$1:$1,0)),AK15,INDEX('Stock UST'!15:15,1,MATCH(Stock!AL$1,'Stock UST'!$1:$1,0)))=0,"",IF(ISERROR(MATCH(Stock!AL$1,'Stock UST'!$1:$1,0)),AK15,INDEX('Stock UST'!15:15,1,MATCH(Stock!AL$1,'Stock UST'!$1:$1,0))))</f>
        <v>1137000000</v>
      </c>
      <c r="AM15" s="9">
        <f>IF(IF(ISERROR(MATCH(Stock!AM$1,'Stock UST'!$1:$1,0)),AL15,INDEX('Stock UST'!15:15,1,MATCH(Stock!AM$1,'Stock UST'!$1:$1,0)))=0,"",IF(ISERROR(MATCH(Stock!AM$1,'Stock UST'!$1:$1,0)),AL15,INDEX('Stock UST'!15:15,1,MATCH(Stock!AM$1,'Stock UST'!$1:$1,0))))</f>
        <v>1137000000</v>
      </c>
      <c r="AN15" s="9">
        <f>IF(IF(ISERROR(MATCH(Stock!AN$1,'Stock UST'!$1:$1,0)),AM15,INDEX('Stock UST'!15:15,1,MATCH(Stock!AN$1,'Stock UST'!$1:$1,0)))=0,"",IF(ISERROR(MATCH(Stock!AN$1,'Stock UST'!$1:$1,0)),AM15,INDEX('Stock UST'!15:15,1,MATCH(Stock!AN$1,'Stock UST'!$1:$1,0))))</f>
        <v>1137000000</v>
      </c>
      <c r="AO15" s="9">
        <f>IF(IF(ISERROR(MATCH(Stock!AO$1,'Stock UST'!$1:$1,0)),AN15,INDEX('Stock UST'!15:15,1,MATCH(Stock!AO$1,'Stock UST'!$1:$1,0)))=0,"",IF(ISERROR(MATCH(Stock!AO$1,'Stock UST'!$1:$1,0)),AN15,INDEX('Stock UST'!15:15,1,MATCH(Stock!AO$1,'Stock UST'!$1:$1,0))))</f>
        <v>1137000000</v>
      </c>
      <c r="AP15" s="9">
        <f>IF(IF(ISERROR(MATCH(Stock!AP$1,'Stock UST'!$1:$1,0)),AO15,INDEX('Stock UST'!15:15,1,MATCH(Stock!AP$1,'Stock UST'!$1:$1,0)))=0,"",IF(ISERROR(MATCH(Stock!AP$1,'Stock UST'!$1:$1,0)),AO15,INDEX('Stock UST'!15:15,1,MATCH(Stock!AP$1,'Stock UST'!$1:$1,0))))</f>
        <v>1137000000</v>
      </c>
      <c r="AQ15" s="9">
        <f>IF(IF(ISERROR(MATCH(Stock!AQ$1,'Stock UST'!$1:$1,0)),AP15,INDEX('Stock UST'!15:15,1,MATCH(Stock!AQ$1,'Stock UST'!$1:$1,0)))=0,"",IF(ISERROR(MATCH(Stock!AQ$1,'Stock UST'!$1:$1,0)),AP15,INDEX('Stock UST'!15:15,1,MATCH(Stock!AQ$1,'Stock UST'!$1:$1,0))))</f>
        <v>1137000000</v>
      </c>
      <c r="AR15" s="9">
        <f>IF(IF(ISERROR(MATCH(Stock!AR$1,'Stock UST'!$1:$1,0)),AQ15,INDEX('Stock UST'!15:15,1,MATCH(Stock!AR$1,'Stock UST'!$1:$1,0)))=0,"",IF(ISERROR(MATCH(Stock!AR$1,'Stock UST'!$1:$1,0)),AQ15,INDEX('Stock UST'!15:15,1,MATCH(Stock!AR$1,'Stock UST'!$1:$1,0))))</f>
        <v>1137000000</v>
      </c>
      <c r="AS15" s="9">
        <f>IF(IF(ISERROR(MATCH(Stock!AS$1,'Stock UST'!$1:$1,0)),AR15,INDEX('Stock UST'!15:15,1,MATCH(Stock!AS$1,'Stock UST'!$1:$1,0)))=0,"",IF(ISERROR(MATCH(Stock!AS$1,'Stock UST'!$1:$1,0)),AR15,INDEX('Stock UST'!15:15,1,MATCH(Stock!AS$1,'Stock UST'!$1:$1,0))))</f>
        <v>1137000000</v>
      </c>
      <c r="AT15" s="9">
        <f>IF(IF(ISERROR(MATCH(Stock!AT$1,'Stock UST'!$1:$1,0)),AS15,INDEX('Stock UST'!15:15,1,MATCH(Stock!AT$1,'Stock UST'!$1:$1,0)))=0,"",IF(ISERROR(MATCH(Stock!AT$1,'Stock UST'!$1:$1,0)),AS15,INDEX('Stock UST'!15:15,1,MATCH(Stock!AT$1,'Stock UST'!$1:$1,0))))</f>
        <v>1137000000</v>
      </c>
      <c r="AU15" s="9">
        <f>IF(IF(ISERROR(MATCH(Stock!AU$1,'Stock UST'!$1:$1,0)),AT15,INDEX('Stock UST'!15:15,1,MATCH(Stock!AU$1,'Stock UST'!$1:$1,0)))=0,"",IF(ISERROR(MATCH(Stock!AU$1,'Stock UST'!$1:$1,0)),AT15,INDEX('Stock UST'!15:15,1,MATCH(Stock!AU$1,'Stock UST'!$1:$1,0))))</f>
        <v>1137000000</v>
      </c>
      <c r="AV15" s="9">
        <f>IF(IF(ISERROR(MATCH(Stock!AV$1,'Stock UST'!$1:$1,0)),AU15,INDEX('Stock UST'!15:15,1,MATCH(Stock!AV$1,'Stock UST'!$1:$1,0)))=0,"",IF(ISERROR(MATCH(Stock!AV$1,'Stock UST'!$1:$1,0)),AU15,INDEX('Stock UST'!15:15,1,MATCH(Stock!AV$1,'Stock UST'!$1:$1,0))))</f>
        <v>1137000000</v>
      </c>
      <c r="AW15" s="9">
        <f>IF(IF(ISERROR(MATCH(Stock!AW$1,'Stock UST'!$1:$1,0)),AV15,INDEX('Stock UST'!15:15,1,MATCH(Stock!AW$1,'Stock UST'!$1:$1,0)))=0,"",IF(ISERROR(MATCH(Stock!AW$1,'Stock UST'!$1:$1,0)),AV15,INDEX('Stock UST'!15:15,1,MATCH(Stock!AW$1,'Stock UST'!$1:$1,0))))</f>
        <v>1137000000</v>
      </c>
      <c r="AX15" s="9">
        <f>IF(IF(ISERROR(MATCH(Stock!AX$1,'Stock UST'!$1:$1,0)),AW15,INDEX('Stock UST'!15:15,1,MATCH(Stock!AX$1,'Stock UST'!$1:$1,0)))=0,"",IF(ISERROR(MATCH(Stock!AX$1,'Stock UST'!$1:$1,0)),AW15,INDEX('Stock UST'!15:15,1,MATCH(Stock!AX$1,'Stock UST'!$1:$1,0))))</f>
        <v>1137000000</v>
      </c>
    </row>
    <row r="16" spans="1:91" x14ac:dyDescent="0.2">
      <c r="A16" s="9">
        <f>IF('Stock UST'!E16="","",'Stock UST'!E16)</f>
        <v>208000000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208000000</v>
      </c>
      <c r="C16" s="9">
        <f>IF(IF(ISERROR(MATCH(Stock!C$1,'Stock UST'!$1:$1,0)),B16,INDEX('Stock UST'!16:16,1,MATCH(Stock!C$1,'Stock UST'!$1:$1,0)))=0,"",IF(ISERROR(MATCH(Stock!C$1,'Stock UST'!$1:$1,0)),B16,INDEX('Stock UST'!16:16,1,MATCH(Stock!C$1,'Stock UST'!$1:$1,0))))</f>
        <v>208000000</v>
      </c>
      <c r="D16" s="9">
        <f>IF(IF(ISERROR(MATCH(Stock!D$1,'Stock UST'!$1:$1,0)),C16,INDEX('Stock UST'!16:16,1,MATCH(Stock!D$1,'Stock UST'!$1:$1,0)))=0,"",IF(ISERROR(MATCH(Stock!D$1,'Stock UST'!$1:$1,0)),C16,INDEX('Stock UST'!16:16,1,MATCH(Stock!D$1,'Stock UST'!$1:$1,0))))</f>
        <v>208000000</v>
      </c>
      <c r="E16" s="9">
        <f>IF(IF(ISERROR(MATCH(Stock!E$1,'Stock UST'!$1:$1,0)),D16,INDEX('Stock UST'!16:16,1,MATCH(Stock!E$1,'Stock UST'!$1:$1,0)))=0,"",IF(ISERROR(MATCH(Stock!E$1,'Stock UST'!$1:$1,0)),D16,INDEX('Stock UST'!16:16,1,MATCH(Stock!E$1,'Stock UST'!$1:$1,0))))</f>
        <v>208000000</v>
      </c>
      <c r="F16" s="9">
        <f>IF(IF(ISERROR(MATCH(Stock!F$1,'Stock UST'!$1:$1,0)),E16,INDEX('Stock UST'!16:16,1,MATCH(Stock!F$1,'Stock UST'!$1:$1,0)))=0,"",IF(ISERROR(MATCH(Stock!F$1,'Stock UST'!$1:$1,0)),E16,INDEX('Stock UST'!16:16,1,MATCH(Stock!F$1,'Stock UST'!$1:$1,0))))</f>
        <v>208000000</v>
      </c>
      <c r="G16" s="9">
        <f>IF(IF(ISERROR(MATCH(Stock!G$1,'Stock UST'!$1:$1,0)),F16,INDEX('Stock UST'!16:16,1,MATCH(Stock!G$1,'Stock UST'!$1:$1,0)))=0,"",IF(ISERROR(MATCH(Stock!G$1,'Stock UST'!$1:$1,0)),F16,INDEX('Stock UST'!16:16,1,MATCH(Stock!G$1,'Stock UST'!$1:$1,0))))</f>
        <v>208000000</v>
      </c>
      <c r="H16" s="9">
        <f>IF(IF(ISERROR(MATCH(Stock!H$1,'Stock UST'!$1:$1,0)),G16,INDEX('Stock UST'!16:16,1,MATCH(Stock!H$1,'Stock UST'!$1:$1,0)))=0,"",IF(ISERROR(MATCH(Stock!H$1,'Stock UST'!$1:$1,0)),G16,INDEX('Stock UST'!16:16,1,MATCH(Stock!H$1,'Stock UST'!$1:$1,0))))</f>
        <v>208000000</v>
      </c>
      <c r="I16" s="9">
        <f>IF(IF(ISERROR(MATCH(Stock!I$1,'Stock UST'!$1:$1,0)),H16,INDEX('Stock UST'!16:16,1,MATCH(Stock!I$1,'Stock UST'!$1:$1,0)))=0,"",IF(ISERROR(MATCH(Stock!I$1,'Stock UST'!$1:$1,0)),H16,INDEX('Stock UST'!16:16,1,MATCH(Stock!I$1,'Stock UST'!$1:$1,0))))</f>
        <v>208000000</v>
      </c>
      <c r="J16" s="9">
        <f>IF(IF(ISERROR(MATCH(Stock!J$1,'Stock UST'!$1:$1,0)),I16,INDEX('Stock UST'!16:16,1,MATCH(Stock!J$1,'Stock UST'!$1:$1,0)))=0,"",IF(ISERROR(MATCH(Stock!J$1,'Stock UST'!$1:$1,0)),I16,INDEX('Stock UST'!16:16,1,MATCH(Stock!J$1,'Stock UST'!$1:$1,0))))</f>
        <v>1046000000</v>
      </c>
      <c r="K16" s="9">
        <f>IF(IF(ISERROR(MATCH(Stock!K$1,'Stock UST'!$1:$1,0)),J16,INDEX('Stock UST'!16:16,1,MATCH(Stock!K$1,'Stock UST'!$1:$1,0)))=0,"",IF(ISERROR(MATCH(Stock!K$1,'Stock UST'!$1:$1,0)),J16,INDEX('Stock UST'!16:16,1,MATCH(Stock!K$1,'Stock UST'!$1:$1,0))))</f>
        <v>1046000000</v>
      </c>
      <c r="L16" s="9">
        <f>IF(IF(ISERROR(MATCH(Stock!L$1,'Stock UST'!$1:$1,0)),K16,INDEX('Stock UST'!16:16,1,MATCH(Stock!L$1,'Stock UST'!$1:$1,0)))=0,"",IF(ISERROR(MATCH(Stock!L$1,'Stock UST'!$1:$1,0)),K16,INDEX('Stock UST'!16:16,1,MATCH(Stock!L$1,'Stock UST'!$1:$1,0))))</f>
        <v>1046000000</v>
      </c>
      <c r="M16" s="9">
        <f>IF(IF(ISERROR(MATCH(Stock!M$1,'Stock UST'!$1:$1,0)),L16,INDEX('Stock UST'!16:16,1,MATCH(Stock!M$1,'Stock UST'!$1:$1,0)))=0,"",IF(ISERROR(MATCH(Stock!M$1,'Stock UST'!$1:$1,0)),L16,INDEX('Stock UST'!16:16,1,MATCH(Stock!M$1,'Stock UST'!$1:$1,0))))</f>
        <v>1046000000</v>
      </c>
      <c r="N16" s="9">
        <f>IF(IF(ISERROR(MATCH(Stock!N$1,'Stock UST'!$1:$1,0)),M16,INDEX('Stock UST'!16:16,1,MATCH(Stock!N$1,'Stock UST'!$1:$1,0)))=0,"",IF(ISERROR(MATCH(Stock!N$1,'Stock UST'!$1:$1,0)),M16,INDEX('Stock UST'!16:16,1,MATCH(Stock!N$1,'Stock UST'!$1:$1,0))))</f>
        <v>1046000000</v>
      </c>
      <c r="O16" s="9">
        <f>IF(IF(ISERROR(MATCH(Stock!O$1,'Stock UST'!$1:$1,0)),N16,INDEX('Stock UST'!16:16,1,MATCH(Stock!O$1,'Stock UST'!$1:$1,0)))=0,"",IF(ISERROR(MATCH(Stock!O$1,'Stock UST'!$1:$1,0)),N16,INDEX('Stock UST'!16:16,1,MATCH(Stock!O$1,'Stock UST'!$1:$1,0))))</f>
        <v>1046000000</v>
      </c>
      <c r="P16" s="9">
        <f>IF(IF(ISERROR(MATCH(Stock!P$1,'Stock UST'!$1:$1,0)),O16,INDEX('Stock UST'!16:16,1,MATCH(Stock!P$1,'Stock UST'!$1:$1,0)))=0,"",IF(ISERROR(MATCH(Stock!P$1,'Stock UST'!$1:$1,0)),O16,INDEX('Stock UST'!16:16,1,MATCH(Stock!P$1,'Stock UST'!$1:$1,0))))</f>
        <v>1046000000</v>
      </c>
      <c r="Q16" s="9">
        <f>IF(IF(ISERROR(MATCH(Stock!Q$1,'Stock UST'!$1:$1,0)),P16,INDEX('Stock UST'!16:16,1,MATCH(Stock!Q$1,'Stock UST'!$1:$1,0)))=0,"",IF(ISERROR(MATCH(Stock!Q$1,'Stock UST'!$1:$1,0)),P16,INDEX('Stock UST'!16:16,1,MATCH(Stock!Q$1,'Stock UST'!$1:$1,0))))</f>
        <v>1046000000</v>
      </c>
      <c r="R16" s="9">
        <f>IF(IF(ISERROR(MATCH(Stock!R$1,'Stock UST'!$1:$1,0)),Q16,INDEX('Stock UST'!16:16,1,MATCH(Stock!R$1,'Stock UST'!$1:$1,0)))=0,"",IF(ISERROR(MATCH(Stock!R$1,'Stock UST'!$1:$1,0)),Q16,INDEX('Stock UST'!16:16,1,MATCH(Stock!R$1,'Stock UST'!$1:$1,0))))</f>
        <v>1046000000</v>
      </c>
      <c r="S16" s="9">
        <f>IF(IF(ISERROR(MATCH(Stock!S$1,'Stock UST'!$1:$1,0)),R16,INDEX('Stock UST'!16:16,1,MATCH(Stock!S$1,'Stock UST'!$1:$1,0)))=0,"",IF(ISERROR(MATCH(Stock!S$1,'Stock UST'!$1:$1,0)),R16,INDEX('Stock UST'!16:16,1,MATCH(Stock!S$1,'Stock UST'!$1:$1,0))))</f>
        <v>1046000000</v>
      </c>
      <c r="T16" s="9">
        <f>IF(IF(ISERROR(MATCH(Stock!T$1,'Stock UST'!$1:$1,0)),S16,INDEX('Stock UST'!16:16,1,MATCH(Stock!T$1,'Stock UST'!$1:$1,0)))=0,"",IF(ISERROR(MATCH(Stock!T$1,'Stock UST'!$1:$1,0)),S16,INDEX('Stock UST'!16:16,1,MATCH(Stock!T$1,'Stock UST'!$1:$1,0))))</f>
        <v>1046000000</v>
      </c>
      <c r="U16" s="9">
        <f>IF(IF(ISERROR(MATCH(Stock!U$1,'Stock UST'!$1:$1,0)),T16,INDEX('Stock UST'!16:16,1,MATCH(Stock!U$1,'Stock UST'!$1:$1,0)))=0,"",IF(ISERROR(MATCH(Stock!U$1,'Stock UST'!$1:$1,0)),T16,INDEX('Stock UST'!16:16,1,MATCH(Stock!U$1,'Stock UST'!$1:$1,0))))</f>
        <v>1046000000</v>
      </c>
      <c r="V16" s="9">
        <f>IF(IF(ISERROR(MATCH(Stock!V$1,'Stock UST'!$1:$1,0)),U16,INDEX('Stock UST'!16:16,1,MATCH(Stock!V$1,'Stock UST'!$1:$1,0)))=0,"",IF(ISERROR(MATCH(Stock!V$1,'Stock UST'!$1:$1,0)),U16,INDEX('Stock UST'!16:16,1,MATCH(Stock!V$1,'Stock UST'!$1:$1,0))))</f>
        <v>1046000000</v>
      </c>
      <c r="W16" s="9">
        <f>IF(IF(ISERROR(MATCH(Stock!W$1,'Stock UST'!$1:$1,0)),V16,INDEX('Stock UST'!16:16,1,MATCH(Stock!W$1,'Stock UST'!$1:$1,0)))=0,"",IF(ISERROR(MATCH(Stock!W$1,'Stock UST'!$1:$1,0)),V16,INDEX('Stock UST'!16:16,1,MATCH(Stock!W$1,'Stock UST'!$1:$1,0))))</f>
        <v>1046000000</v>
      </c>
      <c r="X16" s="9">
        <f>IF(IF(ISERROR(MATCH(Stock!X$1,'Stock UST'!$1:$1,0)),W16,INDEX('Stock UST'!16:16,1,MATCH(Stock!X$1,'Stock UST'!$1:$1,0)))=0,"",IF(ISERROR(MATCH(Stock!X$1,'Stock UST'!$1:$1,0)),W16,INDEX('Stock UST'!16:16,1,MATCH(Stock!X$1,'Stock UST'!$1:$1,0))))</f>
        <v>1046000000</v>
      </c>
      <c r="Y16" s="9">
        <f>IF(IF(ISERROR(MATCH(Stock!Y$1,'Stock UST'!$1:$1,0)),X16,INDEX('Stock UST'!16:16,1,MATCH(Stock!Y$1,'Stock UST'!$1:$1,0)))=0,"",IF(ISERROR(MATCH(Stock!Y$1,'Stock UST'!$1:$1,0)),X16,INDEX('Stock UST'!16:16,1,MATCH(Stock!Y$1,'Stock UST'!$1:$1,0))))</f>
        <v>1046000000</v>
      </c>
      <c r="Z16" s="9">
        <f>IF(IF(ISERROR(MATCH(Stock!Z$1,'Stock UST'!$1:$1,0)),Y16,INDEX('Stock UST'!16:16,1,MATCH(Stock!Z$1,'Stock UST'!$1:$1,0)))=0,"",IF(ISERROR(MATCH(Stock!Z$1,'Stock UST'!$1:$1,0)),Y16,INDEX('Stock UST'!16:16,1,MATCH(Stock!Z$1,'Stock UST'!$1:$1,0))))</f>
        <v>1046000000</v>
      </c>
      <c r="AA16" s="9">
        <f>IF(IF(ISERROR(MATCH(Stock!AA$1,'Stock UST'!$1:$1,0)),Z16,INDEX('Stock UST'!16:16,1,MATCH(Stock!AA$1,'Stock UST'!$1:$1,0)))=0,"",IF(ISERROR(MATCH(Stock!AA$1,'Stock UST'!$1:$1,0)),Z16,INDEX('Stock UST'!16:16,1,MATCH(Stock!AA$1,'Stock UST'!$1:$1,0))))</f>
        <v>1046000000</v>
      </c>
      <c r="AB16" s="9">
        <f>IF(IF(ISERROR(MATCH(Stock!AB$1,'Stock UST'!$1:$1,0)),AA16,INDEX('Stock UST'!16:16,1,MATCH(Stock!AB$1,'Stock UST'!$1:$1,0)))=0,"",IF(ISERROR(MATCH(Stock!AB$1,'Stock UST'!$1:$1,0)),AA16,INDEX('Stock UST'!16:16,1,MATCH(Stock!AB$1,'Stock UST'!$1:$1,0))))</f>
        <v>1046000000</v>
      </c>
      <c r="AC16" s="9">
        <f>IF(IF(ISERROR(MATCH(Stock!AC$1,'Stock UST'!$1:$1,0)),AB16,INDEX('Stock UST'!16:16,1,MATCH(Stock!AC$1,'Stock UST'!$1:$1,0)))=0,"",IF(ISERROR(MATCH(Stock!AC$1,'Stock UST'!$1:$1,0)),AB16,INDEX('Stock UST'!16:16,1,MATCH(Stock!AC$1,'Stock UST'!$1:$1,0))))</f>
        <v>1046000000</v>
      </c>
      <c r="AD16" s="9">
        <f>IF(IF(ISERROR(MATCH(Stock!AD$1,'Stock UST'!$1:$1,0)),AC16,INDEX('Stock UST'!16:16,1,MATCH(Stock!AD$1,'Stock UST'!$1:$1,0)))=0,"",IF(ISERROR(MATCH(Stock!AD$1,'Stock UST'!$1:$1,0)),AC16,INDEX('Stock UST'!16:16,1,MATCH(Stock!AD$1,'Stock UST'!$1:$1,0))))</f>
        <v>1046000000</v>
      </c>
      <c r="AE16" s="9">
        <f>IF(IF(ISERROR(MATCH(Stock!AE$1,'Stock UST'!$1:$1,0)),AD16,INDEX('Stock UST'!16:16,1,MATCH(Stock!AE$1,'Stock UST'!$1:$1,0)))=0,"",IF(ISERROR(MATCH(Stock!AE$1,'Stock UST'!$1:$1,0)),AD16,INDEX('Stock UST'!16:16,1,MATCH(Stock!AE$1,'Stock UST'!$1:$1,0))))</f>
        <v>1046000000</v>
      </c>
      <c r="AF16" s="9">
        <f>IF(IF(ISERROR(MATCH(Stock!AF$1,'Stock UST'!$1:$1,0)),AE16,INDEX('Stock UST'!16:16,1,MATCH(Stock!AF$1,'Stock UST'!$1:$1,0)))=0,"",IF(ISERROR(MATCH(Stock!AF$1,'Stock UST'!$1:$1,0)),AE16,INDEX('Stock UST'!16:16,1,MATCH(Stock!AF$1,'Stock UST'!$1:$1,0))))</f>
        <v>1046000000</v>
      </c>
      <c r="AG16" s="9">
        <f>IF(IF(ISERROR(MATCH(Stock!AG$1,'Stock UST'!$1:$1,0)),AF16,INDEX('Stock UST'!16:16,1,MATCH(Stock!AG$1,'Stock UST'!$1:$1,0)))=0,"",IF(ISERROR(MATCH(Stock!AG$1,'Stock UST'!$1:$1,0)),AF16,INDEX('Stock UST'!16:16,1,MATCH(Stock!AG$1,'Stock UST'!$1:$1,0))))</f>
        <v>1046000000</v>
      </c>
      <c r="AH16" s="9">
        <f>IF(IF(ISERROR(MATCH(Stock!AH$1,'Stock UST'!$1:$1,0)),AG16,INDEX('Stock UST'!16:16,1,MATCH(Stock!AH$1,'Stock UST'!$1:$1,0)))=0,"",IF(ISERROR(MATCH(Stock!AH$1,'Stock UST'!$1:$1,0)),AG16,INDEX('Stock UST'!16:16,1,MATCH(Stock!AH$1,'Stock UST'!$1:$1,0))))</f>
        <v>1046000000</v>
      </c>
      <c r="AI16" s="9">
        <f>IF(IF(ISERROR(MATCH(Stock!AI$1,'Stock UST'!$1:$1,0)),AH16,INDEX('Stock UST'!16:16,1,MATCH(Stock!AI$1,'Stock UST'!$1:$1,0)))=0,"",IF(ISERROR(MATCH(Stock!AI$1,'Stock UST'!$1:$1,0)),AH16,INDEX('Stock UST'!16:16,1,MATCH(Stock!AI$1,'Stock UST'!$1:$1,0))))</f>
        <v>1046000000</v>
      </c>
      <c r="AJ16" s="9">
        <f>IF(IF(ISERROR(MATCH(Stock!AJ$1,'Stock UST'!$1:$1,0)),AI16,INDEX('Stock UST'!16:16,1,MATCH(Stock!AJ$1,'Stock UST'!$1:$1,0)))=0,"",IF(ISERROR(MATCH(Stock!AJ$1,'Stock UST'!$1:$1,0)),AI16,INDEX('Stock UST'!16:16,1,MATCH(Stock!AJ$1,'Stock UST'!$1:$1,0))))</f>
        <v>1046000000</v>
      </c>
      <c r="AK16" s="9">
        <f>IF(IF(ISERROR(MATCH(Stock!AK$1,'Stock UST'!$1:$1,0)),AJ16,INDEX('Stock UST'!16:16,1,MATCH(Stock!AK$1,'Stock UST'!$1:$1,0)))=0,"",IF(ISERROR(MATCH(Stock!AK$1,'Stock UST'!$1:$1,0)),AJ16,INDEX('Stock UST'!16:16,1,MATCH(Stock!AK$1,'Stock UST'!$1:$1,0))))</f>
        <v>1046000000</v>
      </c>
      <c r="AL16" s="9">
        <f>IF(IF(ISERROR(MATCH(Stock!AL$1,'Stock UST'!$1:$1,0)),AK16,INDEX('Stock UST'!16:16,1,MATCH(Stock!AL$1,'Stock UST'!$1:$1,0)))=0,"",IF(ISERROR(MATCH(Stock!AL$1,'Stock UST'!$1:$1,0)),AK16,INDEX('Stock UST'!16:16,1,MATCH(Stock!AL$1,'Stock UST'!$1:$1,0))))</f>
        <v>1046000000</v>
      </c>
      <c r="AM16" s="9">
        <f>IF(IF(ISERROR(MATCH(Stock!AM$1,'Stock UST'!$1:$1,0)),AL16,INDEX('Stock UST'!16:16,1,MATCH(Stock!AM$1,'Stock UST'!$1:$1,0)))=0,"",IF(ISERROR(MATCH(Stock!AM$1,'Stock UST'!$1:$1,0)),AL16,INDEX('Stock UST'!16:16,1,MATCH(Stock!AM$1,'Stock UST'!$1:$1,0))))</f>
        <v>1046000000</v>
      </c>
      <c r="AN16" s="9">
        <f>IF(IF(ISERROR(MATCH(Stock!AN$1,'Stock UST'!$1:$1,0)),AM16,INDEX('Stock UST'!16:16,1,MATCH(Stock!AN$1,'Stock UST'!$1:$1,0)))=0,"",IF(ISERROR(MATCH(Stock!AN$1,'Stock UST'!$1:$1,0)),AM16,INDEX('Stock UST'!16:16,1,MATCH(Stock!AN$1,'Stock UST'!$1:$1,0))))</f>
        <v>1046000000</v>
      </c>
      <c r="AO16" s="9">
        <f>IF(IF(ISERROR(MATCH(Stock!AO$1,'Stock UST'!$1:$1,0)),AN16,INDEX('Stock UST'!16:16,1,MATCH(Stock!AO$1,'Stock UST'!$1:$1,0)))=0,"",IF(ISERROR(MATCH(Stock!AO$1,'Stock UST'!$1:$1,0)),AN16,INDEX('Stock UST'!16:16,1,MATCH(Stock!AO$1,'Stock UST'!$1:$1,0))))</f>
        <v>1046000000</v>
      </c>
      <c r="AP16" s="9">
        <f>IF(IF(ISERROR(MATCH(Stock!AP$1,'Stock UST'!$1:$1,0)),AO16,INDEX('Stock UST'!16:16,1,MATCH(Stock!AP$1,'Stock UST'!$1:$1,0)))=0,"",IF(ISERROR(MATCH(Stock!AP$1,'Stock UST'!$1:$1,0)),AO16,INDEX('Stock UST'!16:16,1,MATCH(Stock!AP$1,'Stock UST'!$1:$1,0))))</f>
        <v>1046000000</v>
      </c>
      <c r="AQ16" s="9">
        <f>IF(IF(ISERROR(MATCH(Stock!AQ$1,'Stock UST'!$1:$1,0)),AP16,INDEX('Stock UST'!16:16,1,MATCH(Stock!AQ$1,'Stock UST'!$1:$1,0)))=0,"",IF(ISERROR(MATCH(Stock!AQ$1,'Stock UST'!$1:$1,0)),AP16,INDEX('Stock UST'!16:16,1,MATCH(Stock!AQ$1,'Stock UST'!$1:$1,0))))</f>
        <v>1046000000</v>
      </c>
      <c r="AR16" s="9">
        <f>IF(IF(ISERROR(MATCH(Stock!AR$1,'Stock UST'!$1:$1,0)),AQ16,INDEX('Stock UST'!16:16,1,MATCH(Stock!AR$1,'Stock UST'!$1:$1,0)))=0,"",IF(ISERROR(MATCH(Stock!AR$1,'Stock UST'!$1:$1,0)),AQ16,INDEX('Stock UST'!16:16,1,MATCH(Stock!AR$1,'Stock UST'!$1:$1,0))))</f>
        <v>1046000000</v>
      </c>
      <c r="AS16" s="9">
        <f>IF(IF(ISERROR(MATCH(Stock!AS$1,'Stock UST'!$1:$1,0)),AR16,INDEX('Stock UST'!16:16,1,MATCH(Stock!AS$1,'Stock UST'!$1:$1,0)))=0,"",IF(ISERROR(MATCH(Stock!AS$1,'Stock UST'!$1:$1,0)),AR16,INDEX('Stock UST'!16:16,1,MATCH(Stock!AS$1,'Stock UST'!$1:$1,0))))</f>
        <v>1046000000</v>
      </c>
      <c r="AT16" s="9">
        <f>IF(IF(ISERROR(MATCH(Stock!AT$1,'Stock UST'!$1:$1,0)),AS16,INDEX('Stock UST'!16:16,1,MATCH(Stock!AT$1,'Stock UST'!$1:$1,0)))=0,"",IF(ISERROR(MATCH(Stock!AT$1,'Stock UST'!$1:$1,0)),AS16,INDEX('Stock UST'!16:16,1,MATCH(Stock!AT$1,'Stock UST'!$1:$1,0))))</f>
        <v>1046000000</v>
      </c>
      <c r="AU16" s="9">
        <f>IF(IF(ISERROR(MATCH(Stock!AU$1,'Stock UST'!$1:$1,0)),AT16,INDEX('Stock UST'!16:16,1,MATCH(Stock!AU$1,'Stock UST'!$1:$1,0)))=0,"",IF(ISERROR(MATCH(Stock!AU$1,'Stock UST'!$1:$1,0)),AT16,INDEX('Stock UST'!16:16,1,MATCH(Stock!AU$1,'Stock UST'!$1:$1,0))))</f>
        <v>1046000000</v>
      </c>
      <c r="AV16" s="9">
        <f>IF(IF(ISERROR(MATCH(Stock!AV$1,'Stock UST'!$1:$1,0)),AU16,INDEX('Stock UST'!16:16,1,MATCH(Stock!AV$1,'Stock UST'!$1:$1,0)))=0,"",IF(ISERROR(MATCH(Stock!AV$1,'Stock UST'!$1:$1,0)),AU16,INDEX('Stock UST'!16:16,1,MATCH(Stock!AV$1,'Stock UST'!$1:$1,0))))</f>
        <v>1046000000</v>
      </c>
      <c r="AW16" s="9">
        <f>IF(IF(ISERROR(MATCH(Stock!AW$1,'Stock UST'!$1:$1,0)),AV16,INDEX('Stock UST'!16:16,1,MATCH(Stock!AW$1,'Stock UST'!$1:$1,0)))=0,"",IF(ISERROR(MATCH(Stock!AW$1,'Stock UST'!$1:$1,0)),AV16,INDEX('Stock UST'!16:16,1,MATCH(Stock!AW$1,'Stock UST'!$1:$1,0))))</f>
        <v>1046000000</v>
      </c>
      <c r="AX16" s="9">
        <f>IF(IF(ISERROR(MATCH(Stock!AX$1,'Stock UST'!$1:$1,0)),AW16,INDEX('Stock UST'!16:16,1,MATCH(Stock!AX$1,'Stock UST'!$1:$1,0)))=0,"",IF(ISERROR(MATCH(Stock!AX$1,'Stock UST'!$1:$1,0)),AW16,INDEX('Stock UST'!16:16,1,MATCH(Stock!AX$1,'Stock UST'!$1:$1,0))))</f>
        <v>1046000000</v>
      </c>
    </row>
    <row r="17" spans="1:50" x14ac:dyDescent="0.2">
      <c r="A17" s="9">
        <f>IF('Stock UST'!E17="","",'Stock UST'!E17)</f>
        <v>312000000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312000000</v>
      </c>
      <c r="C17" s="9">
        <f>IF(IF(ISERROR(MATCH(Stock!C$1,'Stock UST'!$1:$1,0)),B17,INDEX('Stock UST'!17:17,1,MATCH(Stock!C$1,'Stock UST'!$1:$1,0)))=0,"",IF(ISERROR(MATCH(Stock!C$1,'Stock UST'!$1:$1,0)),B17,INDEX('Stock UST'!17:17,1,MATCH(Stock!C$1,'Stock UST'!$1:$1,0))))</f>
        <v>312000000</v>
      </c>
      <c r="D17" s="9">
        <f>IF(IF(ISERROR(MATCH(Stock!D$1,'Stock UST'!$1:$1,0)),C17,INDEX('Stock UST'!17:17,1,MATCH(Stock!D$1,'Stock UST'!$1:$1,0)))=0,"",IF(ISERROR(MATCH(Stock!D$1,'Stock UST'!$1:$1,0)),C17,INDEX('Stock UST'!17:17,1,MATCH(Stock!D$1,'Stock UST'!$1:$1,0))))</f>
        <v>312000000</v>
      </c>
      <c r="E17" s="9">
        <f>IF(IF(ISERROR(MATCH(Stock!E$1,'Stock UST'!$1:$1,0)),D17,INDEX('Stock UST'!17:17,1,MATCH(Stock!E$1,'Stock UST'!$1:$1,0)))=0,"",IF(ISERROR(MATCH(Stock!E$1,'Stock UST'!$1:$1,0)),D17,INDEX('Stock UST'!17:17,1,MATCH(Stock!E$1,'Stock UST'!$1:$1,0))))</f>
        <v>312000000</v>
      </c>
      <c r="F17" s="9">
        <f>IF(IF(ISERROR(MATCH(Stock!F$1,'Stock UST'!$1:$1,0)),E17,INDEX('Stock UST'!17:17,1,MATCH(Stock!F$1,'Stock UST'!$1:$1,0)))=0,"",IF(ISERROR(MATCH(Stock!F$1,'Stock UST'!$1:$1,0)),E17,INDEX('Stock UST'!17:17,1,MATCH(Stock!F$1,'Stock UST'!$1:$1,0))))</f>
        <v>312000000</v>
      </c>
      <c r="G17" s="9">
        <f>IF(IF(ISERROR(MATCH(Stock!G$1,'Stock UST'!$1:$1,0)),F17,INDEX('Stock UST'!17:17,1,MATCH(Stock!G$1,'Stock UST'!$1:$1,0)))=0,"",IF(ISERROR(MATCH(Stock!G$1,'Stock UST'!$1:$1,0)),F17,INDEX('Stock UST'!17:17,1,MATCH(Stock!G$1,'Stock UST'!$1:$1,0))))</f>
        <v>312000000</v>
      </c>
      <c r="H17" s="9">
        <f>IF(IF(ISERROR(MATCH(Stock!H$1,'Stock UST'!$1:$1,0)),G17,INDEX('Stock UST'!17:17,1,MATCH(Stock!H$1,'Stock UST'!$1:$1,0)))=0,"",IF(ISERROR(MATCH(Stock!H$1,'Stock UST'!$1:$1,0)),G17,INDEX('Stock UST'!17:17,1,MATCH(Stock!H$1,'Stock UST'!$1:$1,0))))</f>
        <v>312000000</v>
      </c>
      <c r="I17" s="9">
        <f>IF(IF(ISERROR(MATCH(Stock!I$1,'Stock UST'!$1:$1,0)),H17,INDEX('Stock UST'!17:17,1,MATCH(Stock!I$1,'Stock UST'!$1:$1,0)))=0,"",IF(ISERROR(MATCH(Stock!I$1,'Stock UST'!$1:$1,0)),H17,INDEX('Stock UST'!17:17,1,MATCH(Stock!I$1,'Stock UST'!$1:$1,0))))</f>
        <v>312000000</v>
      </c>
      <c r="J17" s="9">
        <f>IF(IF(ISERROR(MATCH(Stock!J$1,'Stock UST'!$1:$1,0)),I17,INDEX('Stock UST'!17:17,1,MATCH(Stock!J$1,'Stock UST'!$1:$1,0)))=0,"",IF(ISERROR(MATCH(Stock!J$1,'Stock UST'!$1:$1,0)),I17,INDEX('Stock UST'!17:17,1,MATCH(Stock!J$1,'Stock UST'!$1:$1,0))))</f>
        <v>312000000</v>
      </c>
      <c r="K17" s="9">
        <f>IF(IF(ISERROR(MATCH(Stock!K$1,'Stock UST'!$1:$1,0)),J17,INDEX('Stock UST'!17:17,1,MATCH(Stock!K$1,'Stock UST'!$1:$1,0)))=0,"",IF(ISERROR(MATCH(Stock!K$1,'Stock UST'!$1:$1,0)),J17,INDEX('Stock UST'!17:17,1,MATCH(Stock!K$1,'Stock UST'!$1:$1,0))))</f>
        <v>312000000</v>
      </c>
      <c r="L17" s="9">
        <f>IF(IF(ISERROR(MATCH(Stock!L$1,'Stock UST'!$1:$1,0)),K17,INDEX('Stock UST'!17:17,1,MATCH(Stock!L$1,'Stock UST'!$1:$1,0)))=0,"",IF(ISERROR(MATCH(Stock!L$1,'Stock UST'!$1:$1,0)),K17,INDEX('Stock UST'!17:17,1,MATCH(Stock!L$1,'Stock UST'!$1:$1,0))))</f>
        <v>312000000</v>
      </c>
      <c r="M17" s="9">
        <f>IF(IF(ISERROR(MATCH(Stock!M$1,'Stock UST'!$1:$1,0)),L17,INDEX('Stock UST'!17:17,1,MATCH(Stock!M$1,'Stock UST'!$1:$1,0)))=0,"",IF(ISERROR(MATCH(Stock!M$1,'Stock UST'!$1:$1,0)),L17,INDEX('Stock UST'!17:17,1,MATCH(Stock!M$1,'Stock UST'!$1:$1,0))))</f>
        <v>312000000</v>
      </c>
      <c r="N17" s="9">
        <f>IF(IF(ISERROR(MATCH(Stock!N$1,'Stock UST'!$1:$1,0)),M17,INDEX('Stock UST'!17:17,1,MATCH(Stock!N$1,'Stock UST'!$1:$1,0)))=0,"",IF(ISERROR(MATCH(Stock!N$1,'Stock UST'!$1:$1,0)),M17,INDEX('Stock UST'!17:17,1,MATCH(Stock!N$1,'Stock UST'!$1:$1,0))))</f>
        <v>312000000</v>
      </c>
      <c r="O17" s="9">
        <f>IF(IF(ISERROR(MATCH(Stock!O$1,'Stock UST'!$1:$1,0)),N17,INDEX('Stock UST'!17:17,1,MATCH(Stock!O$1,'Stock UST'!$1:$1,0)))=0,"",IF(ISERROR(MATCH(Stock!O$1,'Stock UST'!$1:$1,0)),N17,INDEX('Stock UST'!17:17,1,MATCH(Stock!O$1,'Stock UST'!$1:$1,0))))</f>
        <v>312000000</v>
      </c>
      <c r="P17" s="9">
        <f>IF(IF(ISERROR(MATCH(Stock!P$1,'Stock UST'!$1:$1,0)),O17,INDEX('Stock UST'!17:17,1,MATCH(Stock!P$1,'Stock UST'!$1:$1,0)))=0,"",IF(ISERROR(MATCH(Stock!P$1,'Stock UST'!$1:$1,0)),O17,INDEX('Stock UST'!17:17,1,MATCH(Stock!P$1,'Stock UST'!$1:$1,0))))</f>
        <v>312000000</v>
      </c>
      <c r="Q17" s="9">
        <f>IF(IF(ISERROR(MATCH(Stock!Q$1,'Stock UST'!$1:$1,0)),P17,INDEX('Stock UST'!17:17,1,MATCH(Stock!Q$1,'Stock UST'!$1:$1,0)))=0,"",IF(ISERROR(MATCH(Stock!Q$1,'Stock UST'!$1:$1,0)),P17,INDEX('Stock UST'!17:17,1,MATCH(Stock!Q$1,'Stock UST'!$1:$1,0))))</f>
        <v>312000000</v>
      </c>
      <c r="R17" s="9">
        <f>IF(IF(ISERROR(MATCH(Stock!R$1,'Stock UST'!$1:$1,0)),Q17,INDEX('Stock UST'!17:17,1,MATCH(Stock!R$1,'Stock UST'!$1:$1,0)))=0,"",IF(ISERROR(MATCH(Stock!R$1,'Stock UST'!$1:$1,0)),Q17,INDEX('Stock UST'!17:17,1,MATCH(Stock!R$1,'Stock UST'!$1:$1,0))))</f>
        <v>312000000</v>
      </c>
      <c r="S17" s="9">
        <f>IF(IF(ISERROR(MATCH(Stock!S$1,'Stock UST'!$1:$1,0)),R17,INDEX('Stock UST'!17:17,1,MATCH(Stock!S$1,'Stock UST'!$1:$1,0)))=0,"",IF(ISERROR(MATCH(Stock!S$1,'Stock UST'!$1:$1,0)),R17,INDEX('Stock UST'!17:17,1,MATCH(Stock!S$1,'Stock UST'!$1:$1,0))))</f>
        <v>312000000</v>
      </c>
      <c r="T17" s="9">
        <f>IF(IF(ISERROR(MATCH(Stock!T$1,'Stock UST'!$1:$1,0)),S17,INDEX('Stock UST'!17:17,1,MATCH(Stock!T$1,'Stock UST'!$1:$1,0)))=0,"",IF(ISERROR(MATCH(Stock!T$1,'Stock UST'!$1:$1,0)),S17,INDEX('Stock UST'!17:17,1,MATCH(Stock!T$1,'Stock UST'!$1:$1,0))))</f>
        <v>312000000</v>
      </c>
      <c r="U17" s="9">
        <f>IF(IF(ISERROR(MATCH(Stock!U$1,'Stock UST'!$1:$1,0)),T17,INDEX('Stock UST'!17:17,1,MATCH(Stock!U$1,'Stock UST'!$1:$1,0)))=0,"",IF(ISERROR(MATCH(Stock!U$1,'Stock UST'!$1:$1,0)),T17,INDEX('Stock UST'!17:17,1,MATCH(Stock!U$1,'Stock UST'!$1:$1,0))))</f>
        <v>312000000</v>
      </c>
      <c r="V17" s="9">
        <f>IF(IF(ISERROR(MATCH(Stock!V$1,'Stock UST'!$1:$1,0)),U17,INDEX('Stock UST'!17:17,1,MATCH(Stock!V$1,'Stock UST'!$1:$1,0)))=0,"",IF(ISERROR(MATCH(Stock!V$1,'Stock UST'!$1:$1,0)),U17,INDEX('Stock UST'!17:17,1,MATCH(Stock!V$1,'Stock UST'!$1:$1,0))))</f>
        <v>312000000</v>
      </c>
      <c r="W17" s="9">
        <f>IF(IF(ISERROR(MATCH(Stock!W$1,'Stock UST'!$1:$1,0)),V17,INDEX('Stock UST'!17:17,1,MATCH(Stock!W$1,'Stock UST'!$1:$1,0)))=0,"",IF(ISERROR(MATCH(Stock!W$1,'Stock UST'!$1:$1,0)),V17,INDEX('Stock UST'!17:17,1,MATCH(Stock!W$1,'Stock UST'!$1:$1,0))))</f>
        <v>312000000</v>
      </c>
      <c r="X17" s="9">
        <f>IF(IF(ISERROR(MATCH(Stock!X$1,'Stock UST'!$1:$1,0)),W17,INDEX('Stock UST'!17:17,1,MATCH(Stock!X$1,'Stock UST'!$1:$1,0)))=0,"",IF(ISERROR(MATCH(Stock!X$1,'Stock UST'!$1:$1,0)),W17,INDEX('Stock UST'!17:17,1,MATCH(Stock!X$1,'Stock UST'!$1:$1,0))))</f>
        <v>312000000</v>
      </c>
      <c r="Y17" s="9">
        <f>IF(IF(ISERROR(MATCH(Stock!Y$1,'Stock UST'!$1:$1,0)),X17,INDEX('Stock UST'!17:17,1,MATCH(Stock!Y$1,'Stock UST'!$1:$1,0)))=0,"",IF(ISERROR(MATCH(Stock!Y$1,'Stock UST'!$1:$1,0)),X17,INDEX('Stock UST'!17:17,1,MATCH(Stock!Y$1,'Stock UST'!$1:$1,0))))</f>
        <v>312000000</v>
      </c>
      <c r="Z17" s="9">
        <f>IF(IF(ISERROR(MATCH(Stock!Z$1,'Stock UST'!$1:$1,0)),Y17,INDEX('Stock UST'!17:17,1,MATCH(Stock!Z$1,'Stock UST'!$1:$1,0)))=0,"",IF(ISERROR(MATCH(Stock!Z$1,'Stock UST'!$1:$1,0)),Y17,INDEX('Stock UST'!17:17,1,MATCH(Stock!Z$1,'Stock UST'!$1:$1,0))))</f>
        <v>312000000</v>
      </c>
      <c r="AA17" s="9">
        <f>IF(IF(ISERROR(MATCH(Stock!AA$1,'Stock UST'!$1:$1,0)),Z17,INDEX('Stock UST'!17:17,1,MATCH(Stock!AA$1,'Stock UST'!$1:$1,0)))=0,"",IF(ISERROR(MATCH(Stock!AA$1,'Stock UST'!$1:$1,0)),Z17,INDEX('Stock UST'!17:17,1,MATCH(Stock!AA$1,'Stock UST'!$1:$1,0))))</f>
        <v>312000000</v>
      </c>
      <c r="AB17" s="9">
        <f>IF(IF(ISERROR(MATCH(Stock!AB$1,'Stock UST'!$1:$1,0)),AA17,INDEX('Stock UST'!17:17,1,MATCH(Stock!AB$1,'Stock UST'!$1:$1,0)))=0,"",IF(ISERROR(MATCH(Stock!AB$1,'Stock UST'!$1:$1,0)),AA17,INDEX('Stock UST'!17:17,1,MATCH(Stock!AB$1,'Stock UST'!$1:$1,0))))</f>
        <v>312000000</v>
      </c>
      <c r="AC17" s="9">
        <f>IF(IF(ISERROR(MATCH(Stock!AC$1,'Stock UST'!$1:$1,0)),AB17,INDEX('Stock UST'!17:17,1,MATCH(Stock!AC$1,'Stock UST'!$1:$1,0)))=0,"",IF(ISERROR(MATCH(Stock!AC$1,'Stock UST'!$1:$1,0)),AB17,INDEX('Stock UST'!17:17,1,MATCH(Stock!AC$1,'Stock UST'!$1:$1,0))))</f>
        <v>312000000</v>
      </c>
      <c r="AD17" s="9">
        <f>IF(IF(ISERROR(MATCH(Stock!AD$1,'Stock UST'!$1:$1,0)),AC17,INDEX('Stock UST'!17:17,1,MATCH(Stock!AD$1,'Stock UST'!$1:$1,0)))=0,"",IF(ISERROR(MATCH(Stock!AD$1,'Stock UST'!$1:$1,0)),AC17,INDEX('Stock UST'!17:17,1,MATCH(Stock!AD$1,'Stock UST'!$1:$1,0))))</f>
        <v>312000000</v>
      </c>
      <c r="AE17" s="9">
        <f>IF(IF(ISERROR(MATCH(Stock!AE$1,'Stock UST'!$1:$1,0)),AD17,INDEX('Stock UST'!17:17,1,MATCH(Stock!AE$1,'Stock UST'!$1:$1,0)))=0,"",IF(ISERROR(MATCH(Stock!AE$1,'Stock UST'!$1:$1,0)),AD17,INDEX('Stock UST'!17:17,1,MATCH(Stock!AE$1,'Stock UST'!$1:$1,0))))</f>
        <v>312000000</v>
      </c>
      <c r="AF17" s="9">
        <f>IF(IF(ISERROR(MATCH(Stock!AF$1,'Stock UST'!$1:$1,0)),AE17,INDEX('Stock UST'!17:17,1,MATCH(Stock!AF$1,'Stock UST'!$1:$1,0)))=0,"",IF(ISERROR(MATCH(Stock!AF$1,'Stock UST'!$1:$1,0)),AE17,INDEX('Stock UST'!17:17,1,MATCH(Stock!AF$1,'Stock UST'!$1:$1,0))))</f>
        <v>312000000</v>
      </c>
      <c r="AG17" s="9">
        <f>IF(IF(ISERROR(MATCH(Stock!AG$1,'Stock UST'!$1:$1,0)),AF17,INDEX('Stock UST'!17:17,1,MATCH(Stock!AG$1,'Stock UST'!$1:$1,0)))=0,"",IF(ISERROR(MATCH(Stock!AG$1,'Stock UST'!$1:$1,0)),AF17,INDEX('Stock UST'!17:17,1,MATCH(Stock!AG$1,'Stock UST'!$1:$1,0))))</f>
        <v>312000000</v>
      </c>
      <c r="AH17" s="9">
        <f>IF(IF(ISERROR(MATCH(Stock!AH$1,'Stock UST'!$1:$1,0)),AG17,INDEX('Stock UST'!17:17,1,MATCH(Stock!AH$1,'Stock UST'!$1:$1,0)))=0,"",IF(ISERROR(MATCH(Stock!AH$1,'Stock UST'!$1:$1,0)),AG17,INDEX('Stock UST'!17:17,1,MATCH(Stock!AH$1,'Stock UST'!$1:$1,0))))</f>
        <v>312000000</v>
      </c>
      <c r="AI17" s="9">
        <f>IF(IF(ISERROR(MATCH(Stock!AI$1,'Stock UST'!$1:$1,0)),AH17,INDEX('Stock UST'!17:17,1,MATCH(Stock!AI$1,'Stock UST'!$1:$1,0)))=0,"",IF(ISERROR(MATCH(Stock!AI$1,'Stock UST'!$1:$1,0)),AH17,INDEX('Stock UST'!17:17,1,MATCH(Stock!AI$1,'Stock UST'!$1:$1,0))))</f>
        <v>312000000</v>
      </c>
      <c r="AJ17" s="9">
        <f>IF(IF(ISERROR(MATCH(Stock!AJ$1,'Stock UST'!$1:$1,0)),AI17,INDEX('Stock UST'!17:17,1,MATCH(Stock!AJ$1,'Stock UST'!$1:$1,0)))=0,"",IF(ISERROR(MATCH(Stock!AJ$1,'Stock UST'!$1:$1,0)),AI17,INDEX('Stock UST'!17:17,1,MATCH(Stock!AJ$1,'Stock UST'!$1:$1,0))))</f>
        <v>312000000</v>
      </c>
      <c r="AK17" s="9">
        <f>IF(IF(ISERROR(MATCH(Stock!AK$1,'Stock UST'!$1:$1,0)),AJ17,INDEX('Stock UST'!17:17,1,MATCH(Stock!AK$1,'Stock UST'!$1:$1,0)))=0,"",IF(ISERROR(MATCH(Stock!AK$1,'Stock UST'!$1:$1,0)),AJ17,INDEX('Stock UST'!17:17,1,MATCH(Stock!AK$1,'Stock UST'!$1:$1,0))))</f>
        <v>312000000</v>
      </c>
      <c r="AL17" s="9">
        <f>IF(IF(ISERROR(MATCH(Stock!AL$1,'Stock UST'!$1:$1,0)),AK17,INDEX('Stock UST'!17:17,1,MATCH(Stock!AL$1,'Stock UST'!$1:$1,0)))=0,"",IF(ISERROR(MATCH(Stock!AL$1,'Stock UST'!$1:$1,0)),AK17,INDEX('Stock UST'!17:17,1,MATCH(Stock!AL$1,'Stock UST'!$1:$1,0))))</f>
        <v>312000000</v>
      </c>
      <c r="AM17" s="9">
        <f>IF(IF(ISERROR(MATCH(Stock!AM$1,'Stock UST'!$1:$1,0)),AL17,INDEX('Stock UST'!17:17,1,MATCH(Stock!AM$1,'Stock UST'!$1:$1,0)))=0,"",IF(ISERROR(MATCH(Stock!AM$1,'Stock UST'!$1:$1,0)),AL17,INDEX('Stock UST'!17:17,1,MATCH(Stock!AM$1,'Stock UST'!$1:$1,0))))</f>
        <v>312000000</v>
      </c>
      <c r="AN17" s="9">
        <f>IF(IF(ISERROR(MATCH(Stock!AN$1,'Stock UST'!$1:$1,0)),AM17,INDEX('Stock UST'!17:17,1,MATCH(Stock!AN$1,'Stock UST'!$1:$1,0)))=0,"",IF(ISERROR(MATCH(Stock!AN$1,'Stock UST'!$1:$1,0)),AM17,INDEX('Stock UST'!17:17,1,MATCH(Stock!AN$1,'Stock UST'!$1:$1,0))))</f>
        <v>312000000</v>
      </c>
      <c r="AO17" s="9">
        <f>IF(IF(ISERROR(MATCH(Stock!AO$1,'Stock UST'!$1:$1,0)),AN17,INDEX('Stock UST'!17:17,1,MATCH(Stock!AO$1,'Stock UST'!$1:$1,0)))=0,"",IF(ISERROR(MATCH(Stock!AO$1,'Stock UST'!$1:$1,0)),AN17,INDEX('Stock UST'!17:17,1,MATCH(Stock!AO$1,'Stock UST'!$1:$1,0))))</f>
        <v>312000000</v>
      </c>
      <c r="AP17" s="9">
        <f>IF(IF(ISERROR(MATCH(Stock!AP$1,'Stock UST'!$1:$1,0)),AO17,INDEX('Stock UST'!17:17,1,MATCH(Stock!AP$1,'Stock UST'!$1:$1,0)))=0,"",IF(ISERROR(MATCH(Stock!AP$1,'Stock UST'!$1:$1,0)),AO17,INDEX('Stock UST'!17:17,1,MATCH(Stock!AP$1,'Stock UST'!$1:$1,0))))</f>
        <v>312000000</v>
      </c>
      <c r="AQ17" s="9">
        <f>IF(IF(ISERROR(MATCH(Stock!AQ$1,'Stock UST'!$1:$1,0)),AP17,INDEX('Stock UST'!17:17,1,MATCH(Stock!AQ$1,'Stock UST'!$1:$1,0)))=0,"",IF(ISERROR(MATCH(Stock!AQ$1,'Stock UST'!$1:$1,0)),AP17,INDEX('Stock UST'!17:17,1,MATCH(Stock!AQ$1,'Stock UST'!$1:$1,0))))</f>
        <v>312000000</v>
      </c>
      <c r="AR17" s="9">
        <f>IF(IF(ISERROR(MATCH(Stock!AR$1,'Stock UST'!$1:$1,0)),AQ17,INDEX('Stock UST'!17:17,1,MATCH(Stock!AR$1,'Stock UST'!$1:$1,0)))=0,"",IF(ISERROR(MATCH(Stock!AR$1,'Stock UST'!$1:$1,0)),AQ17,INDEX('Stock UST'!17:17,1,MATCH(Stock!AR$1,'Stock UST'!$1:$1,0))))</f>
        <v>312000000</v>
      </c>
      <c r="AS17" s="9">
        <f>IF(IF(ISERROR(MATCH(Stock!AS$1,'Stock UST'!$1:$1,0)),AR17,INDEX('Stock UST'!17:17,1,MATCH(Stock!AS$1,'Stock UST'!$1:$1,0)))=0,"",IF(ISERROR(MATCH(Stock!AS$1,'Stock UST'!$1:$1,0)),AR17,INDEX('Stock UST'!17:17,1,MATCH(Stock!AS$1,'Stock UST'!$1:$1,0))))</f>
        <v>312000000</v>
      </c>
      <c r="AT17" s="9">
        <f>IF(IF(ISERROR(MATCH(Stock!AT$1,'Stock UST'!$1:$1,0)),AS17,INDEX('Stock UST'!17:17,1,MATCH(Stock!AT$1,'Stock UST'!$1:$1,0)))=0,"",IF(ISERROR(MATCH(Stock!AT$1,'Stock UST'!$1:$1,0)),AS17,INDEX('Stock UST'!17:17,1,MATCH(Stock!AT$1,'Stock UST'!$1:$1,0))))</f>
        <v>312000000</v>
      </c>
      <c r="AU17" s="9">
        <f>IF(IF(ISERROR(MATCH(Stock!AU$1,'Stock UST'!$1:$1,0)),AT17,INDEX('Stock UST'!17:17,1,MATCH(Stock!AU$1,'Stock UST'!$1:$1,0)))=0,"",IF(ISERROR(MATCH(Stock!AU$1,'Stock UST'!$1:$1,0)),AT17,INDEX('Stock UST'!17:17,1,MATCH(Stock!AU$1,'Stock UST'!$1:$1,0))))</f>
        <v>312000000</v>
      </c>
      <c r="AV17" s="9">
        <f>IF(IF(ISERROR(MATCH(Stock!AV$1,'Stock UST'!$1:$1,0)),AU17,INDEX('Stock UST'!17:17,1,MATCH(Stock!AV$1,'Stock UST'!$1:$1,0)))=0,"",IF(ISERROR(MATCH(Stock!AV$1,'Stock UST'!$1:$1,0)),AU17,INDEX('Stock UST'!17:17,1,MATCH(Stock!AV$1,'Stock UST'!$1:$1,0))))</f>
        <v>312000000</v>
      </c>
      <c r="AW17" s="9">
        <f>IF(IF(ISERROR(MATCH(Stock!AW$1,'Stock UST'!$1:$1,0)),AV17,INDEX('Stock UST'!17:17,1,MATCH(Stock!AW$1,'Stock UST'!$1:$1,0)))=0,"",IF(ISERROR(MATCH(Stock!AW$1,'Stock UST'!$1:$1,0)),AV17,INDEX('Stock UST'!17:17,1,MATCH(Stock!AW$1,'Stock UST'!$1:$1,0))))</f>
        <v>312000000</v>
      </c>
      <c r="AX17" s="9">
        <f>IF(IF(ISERROR(MATCH(Stock!AX$1,'Stock UST'!$1:$1,0)),AW17,INDEX('Stock UST'!17:17,1,MATCH(Stock!AX$1,'Stock UST'!$1:$1,0)))=0,"",IF(ISERROR(MATCH(Stock!AX$1,'Stock UST'!$1:$1,0)),AW17,INDEX('Stock UST'!17:17,1,MATCH(Stock!AX$1,'Stock UST'!$1:$1,0))))</f>
        <v>312000000</v>
      </c>
    </row>
    <row r="18" spans="1:50" x14ac:dyDescent="0.2">
      <c r="A18" s="9" t="str">
        <f>IF('Stock UST'!E18="","",'Stock UST'!E18)</f>
        <v/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>
        <f>IF(IF(ISERROR(MATCH(Stock!C$1,'Stock UST'!$1:$1,0)),B18,INDEX('Stock UST'!18:18,1,MATCH(Stock!C$1,'Stock UST'!$1:$1,0)))=0,"",IF(ISERROR(MATCH(Stock!C$1,'Stock UST'!$1:$1,0)),B18,INDEX('Stock UST'!18:18,1,MATCH(Stock!C$1,'Stock UST'!$1:$1,0))))</f>
        <v>211000000</v>
      </c>
      <c r="D18" s="9">
        <f>IF(IF(ISERROR(MATCH(Stock!D$1,'Stock UST'!$1:$1,0)),C18,INDEX('Stock UST'!18:18,1,MATCH(Stock!D$1,'Stock UST'!$1:$1,0)))=0,"",IF(ISERROR(MATCH(Stock!D$1,'Stock UST'!$1:$1,0)),C18,INDEX('Stock UST'!18:18,1,MATCH(Stock!D$1,'Stock UST'!$1:$1,0))))</f>
        <v>211000000</v>
      </c>
      <c r="E18" s="9">
        <f>IF(IF(ISERROR(MATCH(Stock!E$1,'Stock UST'!$1:$1,0)),D18,INDEX('Stock UST'!18:18,1,MATCH(Stock!E$1,'Stock UST'!$1:$1,0)))=0,"",IF(ISERROR(MATCH(Stock!E$1,'Stock UST'!$1:$1,0)),D18,INDEX('Stock UST'!18:18,1,MATCH(Stock!E$1,'Stock UST'!$1:$1,0))))</f>
        <v>211000000</v>
      </c>
      <c r="F18" s="9">
        <f>IF(IF(ISERROR(MATCH(Stock!F$1,'Stock UST'!$1:$1,0)),E18,INDEX('Stock UST'!18:18,1,MATCH(Stock!F$1,'Stock UST'!$1:$1,0)))=0,"",IF(ISERROR(MATCH(Stock!F$1,'Stock UST'!$1:$1,0)),E18,INDEX('Stock UST'!18:18,1,MATCH(Stock!F$1,'Stock UST'!$1:$1,0))))</f>
        <v>211000000</v>
      </c>
      <c r="G18" s="9">
        <f>IF(IF(ISERROR(MATCH(Stock!G$1,'Stock UST'!$1:$1,0)),F18,INDEX('Stock UST'!18:18,1,MATCH(Stock!G$1,'Stock UST'!$1:$1,0)))=0,"",IF(ISERROR(MATCH(Stock!G$1,'Stock UST'!$1:$1,0)),F18,INDEX('Stock UST'!18:18,1,MATCH(Stock!G$1,'Stock UST'!$1:$1,0))))</f>
        <v>211000000</v>
      </c>
      <c r="H18" s="9">
        <f>IF(IF(ISERROR(MATCH(Stock!H$1,'Stock UST'!$1:$1,0)),G18,INDEX('Stock UST'!18:18,1,MATCH(Stock!H$1,'Stock UST'!$1:$1,0)))=0,"",IF(ISERROR(MATCH(Stock!H$1,'Stock UST'!$1:$1,0)),G18,INDEX('Stock UST'!18:18,1,MATCH(Stock!H$1,'Stock UST'!$1:$1,0))))</f>
        <v>211000000</v>
      </c>
      <c r="I18" s="9">
        <f>IF(IF(ISERROR(MATCH(Stock!I$1,'Stock UST'!$1:$1,0)),H18,INDEX('Stock UST'!18:18,1,MATCH(Stock!I$1,'Stock UST'!$1:$1,0)))=0,"",IF(ISERROR(MATCH(Stock!I$1,'Stock UST'!$1:$1,0)),H18,INDEX('Stock UST'!18:18,1,MATCH(Stock!I$1,'Stock UST'!$1:$1,0))))</f>
        <v>211000000</v>
      </c>
      <c r="J18" s="9">
        <f>IF(IF(ISERROR(MATCH(Stock!J$1,'Stock UST'!$1:$1,0)),I18,INDEX('Stock UST'!18:18,1,MATCH(Stock!J$1,'Stock UST'!$1:$1,0)))=0,"",IF(ISERROR(MATCH(Stock!J$1,'Stock UST'!$1:$1,0)),I18,INDEX('Stock UST'!18:18,1,MATCH(Stock!J$1,'Stock UST'!$1:$1,0))))</f>
        <v>211000000</v>
      </c>
      <c r="K18" s="9">
        <f>IF(IF(ISERROR(MATCH(Stock!K$1,'Stock UST'!$1:$1,0)),J18,INDEX('Stock UST'!18:18,1,MATCH(Stock!K$1,'Stock UST'!$1:$1,0)))=0,"",IF(ISERROR(MATCH(Stock!K$1,'Stock UST'!$1:$1,0)),J18,INDEX('Stock UST'!18:18,1,MATCH(Stock!K$1,'Stock UST'!$1:$1,0))))</f>
        <v>211000000</v>
      </c>
      <c r="L18" s="9">
        <f>IF(IF(ISERROR(MATCH(Stock!L$1,'Stock UST'!$1:$1,0)),K18,INDEX('Stock UST'!18:18,1,MATCH(Stock!L$1,'Stock UST'!$1:$1,0)))=0,"",IF(ISERROR(MATCH(Stock!L$1,'Stock UST'!$1:$1,0)),K18,INDEX('Stock UST'!18:18,1,MATCH(Stock!L$1,'Stock UST'!$1:$1,0))))</f>
        <v>211000000</v>
      </c>
      <c r="M18" s="9">
        <f>IF(IF(ISERROR(MATCH(Stock!M$1,'Stock UST'!$1:$1,0)),L18,INDEX('Stock UST'!18:18,1,MATCH(Stock!M$1,'Stock UST'!$1:$1,0)))=0,"",IF(ISERROR(MATCH(Stock!M$1,'Stock UST'!$1:$1,0)),L18,INDEX('Stock UST'!18:18,1,MATCH(Stock!M$1,'Stock UST'!$1:$1,0))))</f>
        <v>211000000</v>
      </c>
      <c r="N18" s="9">
        <f>IF(IF(ISERROR(MATCH(Stock!N$1,'Stock UST'!$1:$1,0)),M18,INDEX('Stock UST'!18:18,1,MATCH(Stock!N$1,'Stock UST'!$1:$1,0)))=0,"",IF(ISERROR(MATCH(Stock!N$1,'Stock UST'!$1:$1,0)),M18,INDEX('Stock UST'!18:18,1,MATCH(Stock!N$1,'Stock UST'!$1:$1,0))))</f>
        <v>211000000</v>
      </c>
      <c r="O18" s="9">
        <f>IF(IF(ISERROR(MATCH(Stock!O$1,'Stock UST'!$1:$1,0)),N18,INDEX('Stock UST'!18:18,1,MATCH(Stock!O$1,'Stock UST'!$1:$1,0)))=0,"",IF(ISERROR(MATCH(Stock!O$1,'Stock UST'!$1:$1,0)),N18,INDEX('Stock UST'!18:18,1,MATCH(Stock!O$1,'Stock UST'!$1:$1,0))))</f>
        <v>211000000</v>
      </c>
      <c r="P18" s="9">
        <f>IF(IF(ISERROR(MATCH(Stock!P$1,'Stock UST'!$1:$1,0)),O18,INDEX('Stock UST'!18:18,1,MATCH(Stock!P$1,'Stock UST'!$1:$1,0)))=0,"",IF(ISERROR(MATCH(Stock!P$1,'Stock UST'!$1:$1,0)),O18,INDEX('Stock UST'!18:18,1,MATCH(Stock!P$1,'Stock UST'!$1:$1,0))))</f>
        <v>211000000</v>
      </c>
      <c r="Q18" s="9">
        <f>IF(IF(ISERROR(MATCH(Stock!Q$1,'Stock UST'!$1:$1,0)),P18,INDEX('Stock UST'!18:18,1,MATCH(Stock!Q$1,'Stock UST'!$1:$1,0)))=0,"",IF(ISERROR(MATCH(Stock!Q$1,'Stock UST'!$1:$1,0)),P18,INDEX('Stock UST'!18:18,1,MATCH(Stock!Q$1,'Stock UST'!$1:$1,0))))</f>
        <v>211000000</v>
      </c>
      <c r="R18" s="9">
        <f>IF(IF(ISERROR(MATCH(Stock!R$1,'Stock UST'!$1:$1,0)),Q18,INDEX('Stock UST'!18:18,1,MATCH(Stock!R$1,'Stock UST'!$1:$1,0)))=0,"",IF(ISERROR(MATCH(Stock!R$1,'Stock UST'!$1:$1,0)),Q18,INDEX('Stock UST'!18:18,1,MATCH(Stock!R$1,'Stock UST'!$1:$1,0))))</f>
        <v>211000000</v>
      </c>
      <c r="S18" s="9">
        <f>IF(IF(ISERROR(MATCH(Stock!S$1,'Stock UST'!$1:$1,0)),R18,INDEX('Stock UST'!18:18,1,MATCH(Stock!S$1,'Stock UST'!$1:$1,0)))=0,"",IF(ISERROR(MATCH(Stock!S$1,'Stock UST'!$1:$1,0)),R18,INDEX('Stock UST'!18:18,1,MATCH(Stock!S$1,'Stock UST'!$1:$1,0))))</f>
        <v>211000000</v>
      </c>
      <c r="T18" s="9">
        <f>IF(IF(ISERROR(MATCH(Stock!T$1,'Stock UST'!$1:$1,0)),S18,INDEX('Stock UST'!18:18,1,MATCH(Stock!T$1,'Stock UST'!$1:$1,0)))=0,"",IF(ISERROR(MATCH(Stock!T$1,'Stock UST'!$1:$1,0)),S18,INDEX('Stock UST'!18:18,1,MATCH(Stock!T$1,'Stock UST'!$1:$1,0))))</f>
        <v>211000000</v>
      </c>
      <c r="U18" s="9">
        <f>IF(IF(ISERROR(MATCH(Stock!U$1,'Stock UST'!$1:$1,0)),T18,INDEX('Stock UST'!18:18,1,MATCH(Stock!U$1,'Stock UST'!$1:$1,0)))=0,"",IF(ISERROR(MATCH(Stock!U$1,'Stock UST'!$1:$1,0)),T18,INDEX('Stock UST'!18:18,1,MATCH(Stock!U$1,'Stock UST'!$1:$1,0))))</f>
        <v>211000000</v>
      </c>
      <c r="V18" s="9">
        <f>IF(IF(ISERROR(MATCH(Stock!V$1,'Stock UST'!$1:$1,0)),U18,INDEX('Stock UST'!18:18,1,MATCH(Stock!V$1,'Stock UST'!$1:$1,0)))=0,"",IF(ISERROR(MATCH(Stock!V$1,'Stock UST'!$1:$1,0)),U18,INDEX('Stock UST'!18:18,1,MATCH(Stock!V$1,'Stock UST'!$1:$1,0))))</f>
        <v>211000000</v>
      </c>
      <c r="W18" s="9">
        <f>IF(IF(ISERROR(MATCH(Stock!W$1,'Stock UST'!$1:$1,0)),V18,INDEX('Stock UST'!18:18,1,MATCH(Stock!W$1,'Stock UST'!$1:$1,0)))=0,"",IF(ISERROR(MATCH(Stock!W$1,'Stock UST'!$1:$1,0)),V18,INDEX('Stock UST'!18:18,1,MATCH(Stock!W$1,'Stock UST'!$1:$1,0))))</f>
        <v>211000000</v>
      </c>
      <c r="X18" s="9">
        <f>IF(IF(ISERROR(MATCH(Stock!X$1,'Stock UST'!$1:$1,0)),W18,INDEX('Stock UST'!18:18,1,MATCH(Stock!X$1,'Stock UST'!$1:$1,0)))=0,"",IF(ISERROR(MATCH(Stock!X$1,'Stock UST'!$1:$1,0)),W18,INDEX('Stock UST'!18:18,1,MATCH(Stock!X$1,'Stock UST'!$1:$1,0))))</f>
        <v>211000000</v>
      </c>
      <c r="Y18" s="9">
        <f>IF(IF(ISERROR(MATCH(Stock!Y$1,'Stock UST'!$1:$1,0)),X18,INDEX('Stock UST'!18:18,1,MATCH(Stock!Y$1,'Stock UST'!$1:$1,0)))=0,"",IF(ISERROR(MATCH(Stock!Y$1,'Stock UST'!$1:$1,0)),X18,INDEX('Stock UST'!18:18,1,MATCH(Stock!Y$1,'Stock UST'!$1:$1,0))))</f>
        <v>211000000</v>
      </c>
      <c r="Z18" s="9">
        <f>IF(IF(ISERROR(MATCH(Stock!Z$1,'Stock UST'!$1:$1,0)),Y18,INDEX('Stock UST'!18:18,1,MATCH(Stock!Z$1,'Stock UST'!$1:$1,0)))=0,"",IF(ISERROR(MATCH(Stock!Z$1,'Stock UST'!$1:$1,0)),Y18,INDEX('Stock UST'!18:18,1,MATCH(Stock!Z$1,'Stock UST'!$1:$1,0))))</f>
        <v>211000000</v>
      </c>
      <c r="AA18" s="9">
        <f>IF(IF(ISERROR(MATCH(Stock!AA$1,'Stock UST'!$1:$1,0)),Z18,INDEX('Stock UST'!18:18,1,MATCH(Stock!AA$1,'Stock UST'!$1:$1,0)))=0,"",IF(ISERROR(MATCH(Stock!AA$1,'Stock UST'!$1:$1,0)),Z18,INDEX('Stock UST'!18:18,1,MATCH(Stock!AA$1,'Stock UST'!$1:$1,0))))</f>
        <v>211000000</v>
      </c>
      <c r="AB18" s="9">
        <f>IF(IF(ISERROR(MATCH(Stock!AB$1,'Stock UST'!$1:$1,0)),AA18,INDEX('Stock UST'!18:18,1,MATCH(Stock!AB$1,'Stock UST'!$1:$1,0)))=0,"",IF(ISERROR(MATCH(Stock!AB$1,'Stock UST'!$1:$1,0)),AA18,INDEX('Stock UST'!18:18,1,MATCH(Stock!AB$1,'Stock UST'!$1:$1,0))))</f>
        <v>211000000</v>
      </c>
      <c r="AC18" s="9">
        <f>IF(IF(ISERROR(MATCH(Stock!AC$1,'Stock UST'!$1:$1,0)),AB18,INDEX('Stock UST'!18:18,1,MATCH(Stock!AC$1,'Stock UST'!$1:$1,0)))=0,"",IF(ISERROR(MATCH(Stock!AC$1,'Stock UST'!$1:$1,0)),AB18,INDEX('Stock UST'!18:18,1,MATCH(Stock!AC$1,'Stock UST'!$1:$1,0))))</f>
        <v>211000000</v>
      </c>
      <c r="AD18" s="9">
        <f>IF(IF(ISERROR(MATCH(Stock!AD$1,'Stock UST'!$1:$1,0)),AC18,INDEX('Stock UST'!18:18,1,MATCH(Stock!AD$1,'Stock UST'!$1:$1,0)))=0,"",IF(ISERROR(MATCH(Stock!AD$1,'Stock UST'!$1:$1,0)),AC18,INDEX('Stock UST'!18:18,1,MATCH(Stock!AD$1,'Stock UST'!$1:$1,0))))</f>
        <v>211000000</v>
      </c>
      <c r="AE18" s="9">
        <f>IF(IF(ISERROR(MATCH(Stock!AE$1,'Stock UST'!$1:$1,0)),AD18,INDEX('Stock UST'!18:18,1,MATCH(Stock!AE$1,'Stock UST'!$1:$1,0)))=0,"",IF(ISERROR(MATCH(Stock!AE$1,'Stock UST'!$1:$1,0)),AD18,INDEX('Stock UST'!18:18,1,MATCH(Stock!AE$1,'Stock UST'!$1:$1,0))))</f>
        <v>211000000</v>
      </c>
      <c r="AF18" s="9">
        <f>IF(IF(ISERROR(MATCH(Stock!AF$1,'Stock UST'!$1:$1,0)),AE18,INDEX('Stock UST'!18:18,1,MATCH(Stock!AF$1,'Stock UST'!$1:$1,0)))=0,"",IF(ISERROR(MATCH(Stock!AF$1,'Stock UST'!$1:$1,0)),AE18,INDEX('Stock UST'!18:18,1,MATCH(Stock!AF$1,'Stock UST'!$1:$1,0))))</f>
        <v>211000000</v>
      </c>
      <c r="AG18" s="9">
        <f>IF(IF(ISERROR(MATCH(Stock!AG$1,'Stock UST'!$1:$1,0)),AF18,INDEX('Stock UST'!18:18,1,MATCH(Stock!AG$1,'Stock UST'!$1:$1,0)))=0,"",IF(ISERROR(MATCH(Stock!AG$1,'Stock UST'!$1:$1,0)),AF18,INDEX('Stock UST'!18:18,1,MATCH(Stock!AG$1,'Stock UST'!$1:$1,0))))</f>
        <v>211000000</v>
      </c>
      <c r="AH18" s="9">
        <f>IF(IF(ISERROR(MATCH(Stock!AH$1,'Stock UST'!$1:$1,0)),AG18,INDEX('Stock UST'!18:18,1,MATCH(Stock!AH$1,'Stock UST'!$1:$1,0)))=0,"",IF(ISERROR(MATCH(Stock!AH$1,'Stock UST'!$1:$1,0)),AG18,INDEX('Stock UST'!18:18,1,MATCH(Stock!AH$1,'Stock UST'!$1:$1,0))))</f>
        <v>211000000</v>
      </c>
      <c r="AI18" s="9">
        <f>IF(IF(ISERROR(MATCH(Stock!AI$1,'Stock UST'!$1:$1,0)),AH18,INDEX('Stock UST'!18:18,1,MATCH(Stock!AI$1,'Stock UST'!$1:$1,0)))=0,"",IF(ISERROR(MATCH(Stock!AI$1,'Stock UST'!$1:$1,0)),AH18,INDEX('Stock UST'!18:18,1,MATCH(Stock!AI$1,'Stock UST'!$1:$1,0))))</f>
        <v>211000000</v>
      </c>
      <c r="AJ18" s="9">
        <f>IF(IF(ISERROR(MATCH(Stock!AJ$1,'Stock UST'!$1:$1,0)),AI18,INDEX('Stock UST'!18:18,1,MATCH(Stock!AJ$1,'Stock UST'!$1:$1,0)))=0,"",IF(ISERROR(MATCH(Stock!AJ$1,'Stock UST'!$1:$1,0)),AI18,INDEX('Stock UST'!18:18,1,MATCH(Stock!AJ$1,'Stock UST'!$1:$1,0))))</f>
        <v>211000000</v>
      </c>
      <c r="AK18" s="9">
        <f>IF(IF(ISERROR(MATCH(Stock!AK$1,'Stock UST'!$1:$1,0)),AJ18,INDEX('Stock UST'!18:18,1,MATCH(Stock!AK$1,'Stock UST'!$1:$1,0)))=0,"",IF(ISERROR(MATCH(Stock!AK$1,'Stock UST'!$1:$1,0)),AJ18,INDEX('Stock UST'!18:18,1,MATCH(Stock!AK$1,'Stock UST'!$1:$1,0))))</f>
        <v>211000000</v>
      </c>
      <c r="AL18" s="9">
        <f>IF(IF(ISERROR(MATCH(Stock!AL$1,'Stock UST'!$1:$1,0)),AK18,INDEX('Stock UST'!18:18,1,MATCH(Stock!AL$1,'Stock UST'!$1:$1,0)))=0,"",IF(ISERROR(MATCH(Stock!AL$1,'Stock UST'!$1:$1,0)),AK18,INDEX('Stock UST'!18:18,1,MATCH(Stock!AL$1,'Stock UST'!$1:$1,0))))</f>
        <v>211000000</v>
      </c>
      <c r="AM18" s="9">
        <f>IF(IF(ISERROR(MATCH(Stock!AM$1,'Stock UST'!$1:$1,0)),AL18,INDEX('Stock UST'!18:18,1,MATCH(Stock!AM$1,'Stock UST'!$1:$1,0)))=0,"",IF(ISERROR(MATCH(Stock!AM$1,'Stock UST'!$1:$1,0)),AL18,INDEX('Stock UST'!18:18,1,MATCH(Stock!AM$1,'Stock UST'!$1:$1,0))))</f>
        <v>211000000</v>
      </c>
      <c r="AN18" s="9">
        <f>IF(IF(ISERROR(MATCH(Stock!AN$1,'Stock UST'!$1:$1,0)),AM18,INDEX('Stock UST'!18:18,1,MATCH(Stock!AN$1,'Stock UST'!$1:$1,0)))=0,"",IF(ISERROR(MATCH(Stock!AN$1,'Stock UST'!$1:$1,0)),AM18,INDEX('Stock UST'!18:18,1,MATCH(Stock!AN$1,'Stock UST'!$1:$1,0))))</f>
        <v>211000000</v>
      </c>
      <c r="AO18" s="9">
        <f>IF(IF(ISERROR(MATCH(Stock!AO$1,'Stock UST'!$1:$1,0)),AN18,INDEX('Stock UST'!18:18,1,MATCH(Stock!AO$1,'Stock UST'!$1:$1,0)))=0,"",IF(ISERROR(MATCH(Stock!AO$1,'Stock UST'!$1:$1,0)),AN18,INDEX('Stock UST'!18:18,1,MATCH(Stock!AO$1,'Stock UST'!$1:$1,0))))</f>
        <v>211000000</v>
      </c>
      <c r="AP18" s="9">
        <f>IF(IF(ISERROR(MATCH(Stock!AP$1,'Stock UST'!$1:$1,0)),AO18,INDEX('Stock UST'!18:18,1,MATCH(Stock!AP$1,'Stock UST'!$1:$1,0)))=0,"",IF(ISERROR(MATCH(Stock!AP$1,'Stock UST'!$1:$1,0)),AO18,INDEX('Stock UST'!18:18,1,MATCH(Stock!AP$1,'Stock UST'!$1:$1,0))))</f>
        <v>211000000</v>
      </c>
      <c r="AQ18" s="9">
        <f>IF(IF(ISERROR(MATCH(Stock!AQ$1,'Stock UST'!$1:$1,0)),AP18,INDEX('Stock UST'!18:18,1,MATCH(Stock!AQ$1,'Stock UST'!$1:$1,0)))=0,"",IF(ISERROR(MATCH(Stock!AQ$1,'Stock UST'!$1:$1,0)),AP18,INDEX('Stock UST'!18:18,1,MATCH(Stock!AQ$1,'Stock UST'!$1:$1,0))))</f>
        <v>211000000</v>
      </c>
      <c r="AR18" s="9">
        <f>IF(IF(ISERROR(MATCH(Stock!AR$1,'Stock UST'!$1:$1,0)),AQ18,INDEX('Stock UST'!18:18,1,MATCH(Stock!AR$1,'Stock UST'!$1:$1,0)))=0,"",IF(ISERROR(MATCH(Stock!AR$1,'Stock UST'!$1:$1,0)),AQ18,INDEX('Stock UST'!18:18,1,MATCH(Stock!AR$1,'Stock UST'!$1:$1,0))))</f>
        <v>211000000</v>
      </c>
      <c r="AS18" s="9">
        <f>IF(IF(ISERROR(MATCH(Stock!AS$1,'Stock UST'!$1:$1,0)),AR18,INDEX('Stock UST'!18:18,1,MATCH(Stock!AS$1,'Stock UST'!$1:$1,0)))=0,"",IF(ISERROR(MATCH(Stock!AS$1,'Stock UST'!$1:$1,0)),AR18,INDEX('Stock UST'!18:18,1,MATCH(Stock!AS$1,'Stock UST'!$1:$1,0))))</f>
        <v>211000000</v>
      </c>
      <c r="AT18" s="9">
        <f>IF(IF(ISERROR(MATCH(Stock!AT$1,'Stock UST'!$1:$1,0)),AS18,INDEX('Stock UST'!18:18,1,MATCH(Stock!AT$1,'Stock UST'!$1:$1,0)))=0,"",IF(ISERROR(MATCH(Stock!AT$1,'Stock UST'!$1:$1,0)),AS18,INDEX('Stock UST'!18:18,1,MATCH(Stock!AT$1,'Stock UST'!$1:$1,0))))</f>
        <v>211000000</v>
      </c>
      <c r="AU18" s="9">
        <f>IF(IF(ISERROR(MATCH(Stock!AU$1,'Stock UST'!$1:$1,0)),AT18,INDEX('Stock UST'!18:18,1,MATCH(Stock!AU$1,'Stock UST'!$1:$1,0)))=0,"",IF(ISERROR(MATCH(Stock!AU$1,'Stock UST'!$1:$1,0)),AT18,INDEX('Stock UST'!18:18,1,MATCH(Stock!AU$1,'Stock UST'!$1:$1,0))))</f>
        <v>211000000</v>
      </c>
      <c r="AV18" s="9">
        <f>IF(IF(ISERROR(MATCH(Stock!AV$1,'Stock UST'!$1:$1,0)),AU18,INDEX('Stock UST'!18:18,1,MATCH(Stock!AV$1,'Stock UST'!$1:$1,0)))=0,"",IF(ISERROR(MATCH(Stock!AV$1,'Stock UST'!$1:$1,0)),AU18,INDEX('Stock UST'!18:18,1,MATCH(Stock!AV$1,'Stock UST'!$1:$1,0))))</f>
        <v>211000000</v>
      </c>
      <c r="AW18" s="9">
        <f>IF(IF(ISERROR(MATCH(Stock!AW$1,'Stock UST'!$1:$1,0)),AV18,INDEX('Stock UST'!18:18,1,MATCH(Stock!AW$1,'Stock UST'!$1:$1,0)))=0,"",IF(ISERROR(MATCH(Stock!AW$1,'Stock UST'!$1:$1,0)),AV18,INDEX('Stock UST'!18:18,1,MATCH(Stock!AW$1,'Stock UST'!$1:$1,0))))</f>
        <v>211000000</v>
      </c>
      <c r="AX18" s="9">
        <f>IF(IF(ISERROR(MATCH(Stock!AX$1,'Stock UST'!$1:$1,0)),AW18,INDEX('Stock UST'!18:18,1,MATCH(Stock!AX$1,'Stock UST'!$1:$1,0)))=0,"",IF(ISERROR(MATCH(Stock!AX$1,'Stock UST'!$1:$1,0)),AW18,INDEX('Stock UST'!18:18,1,MATCH(Stock!AX$1,'Stock UST'!$1:$1,0))))</f>
        <v>211000000</v>
      </c>
    </row>
    <row r="19" spans="1:50" x14ac:dyDescent="0.2">
      <c r="A19" s="9" t="str">
        <f>IF('Stock UST'!E19="","",'Stock UST'!E19)</f>
        <v/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 t="str">
        <f>IF('Stock UST'!E20="","",'Stock UST'!E20)</f>
        <v/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 t="str">
        <f>IF('Stock UST'!E21="","",'Stock UST'!E21)</f>
        <v/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 t="str">
        <f>IF('Stock UST'!E22="","",'Stock UST'!E22)</f>
        <v/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33000000</v>
      </c>
      <c r="C23" s="9">
        <f>IF(IF(ISERROR(MATCH(Stock!C$1,'Stock UST'!$1:$1,0)),B23,INDEX('Stock UST'!23:23,1,MATCH(Stock!C$1,'Stock UST'!$1:$1,0)))=0,"",IF(ISERROR(MATCH(Stock!C$1,'Stock UST'!$1:$1,0)),B23,INDEX('Stock UST'!23:23,1,MATCH(Stock!C$1,'Stock UST'!$1:$1,0))))</f>
        <v>33000000</v>
      </c>
      <c r="D23" s="9">
        <f>IF(IF(ISERROR(MATCH(Stock!D$1,'Stock UST'!$1:$1,0)),C23,INDEX('Stock UST'!23:23,1,MATCH(Stock!D$1,'Stock UST'!$1:$1,0)))=0,"",IF(ISERROR(MATCH(Stock!D$1,'Stock UST'!$1:$1,0)),C23,INDEX('Stock UST'!23:23,1,MATCH(Stock!D$1,'Stock UST'!$1:$1,0))))</f>
        <v>33000000</v>
      </c>
      <c r="E23" s="9">
        <f>IF(IF(ISERROR(MATCH(Stock!E$1,'Stock UST'!$1:$1,0)),D23,INDEX('Stock UST'!23:23,1,MATCH(Stock!E$1,'Stock UST'!$1:$1,0)))=0,"",IF(ISERROR(MATCH(Stock!E$1,'Stock UST'!$1:$1,0)),D23,INDEX('Stock UST'!23:23,1,MATCH(Stock!E$1,'Stock UST'!$1:$1,0))))</f>
        <v>33000000</v>
      </c>
      <c r="F23" s="9">
        <f>IF(IF(ISERROR(MATCH(Stock!F$1,'Stock UST'!$1:$1,0)),E23,INDEX('Stock UST'!23:23,1,MATCH(Stock!F$1,'Stock UST'!$1:$1,0)))=0,"",IF(ISERROR(MATCH(Stock!F$1,'Stock UST'!$1:$1,0)),E23,INDEX('Stock UST'!23:23,1,MATCH(Stock!F$1,'Stock UST'!$1:$1,0))))</f>
        <v>33000000</v>
      </c>
      <c r="G23" s="9">
        <f>IF(IF(ISERROR(MATCH(Stock!G$1,'Stock UST'!$1:$1,0)),F23,INDEX('Stock UST'!23:23,1,MATCH(Stock!G$1,'Stock UST'!$1:$1,0)))=0,"",IF(ISERROR(MATCH(Stock!G$1,'Stock UST'!$1:$1,0)),F23,INDEX('Stock UST'!23:23,1,MATCH(Stock!G$1,'Stock UST'!$1:$1,0))))</f>
        <v>33000000</v>
      </c>
      <c r="H23" s="9">
        <f>IF(IF(ISERROR(MATCH(Stock!H$1,'Stock UST'!$1:$1,0)),G23,INDEX('Stock UST'!23:23,1,MATCH(Stock!H$1,'Stock UST'!$1:$1,0)))=0,"",IF(ISERROR(MATCH(Stock!H$1,'Stock UST'!$1:$1,0)),G23,INDEX('Stock UST'!23:23,1,MATCH(Stock!H$1,'Stock UST'!$1:$1,0))))</f>
        <v>33000000</v>
      </c>
      <c r="I23" s="9">
        <f>IF(IF(ISERROR(MATCH(Stock!I$1,'Stock UST'!$1:$1,0)),H23,INDEX('Stock UST'!23:23,1,MATCH(Stock!I$1,'Stock UST'!$1:$1,0)))=0,"",IF(ISERROR(MATCH(Stock!I$1,'Stock UST'!$1:$1,0)),H23,INDEX('Stock UST'!23:23,1,MATCH(Stock!I$1,'Stock UST'!$1:$1,0))))</f>
        <v>33000000</v>
      </c>
      <c r="J23" s="9">
        <f>IF(IF(ISERROR(MATCH(Stock!J$1,'Stock UST'!$1:$1,0)),I23,INDEX('Stock UST'!23:23,1,MATCH(Stock!J$1,'Stock UST'!$1:$1,0)))=0,"",IF(ISERROR(MATCH(Stock!J$1,'Stock UST'!$1:$1,0)),I23,INDEX('Stock UST'!23:23,1,MATCH(Stock!J$1,'Stock UST'!$1:$1,0))))</f>
        <v>33000000</v>
      </c>
      <c r="K23" s="9">
        <f>IF(IF(ISERROR(MATCH(Stock!K$1,'Stock UST'!$1:$1,0)),J23,INDEX('Stock UST'!23:23,1,MATCH(Stock!K$1,'Stock UST'!$1:$1,0)))=0,"",IF(ISERROR(MATCH(Stock!K$1,'Stock UST'!$1:$1,0)),J23,INDEX('Stock UST'!23:23,1,MATCH(Stock!K$1,'Stock UST'!$1:$1,0))))</f>
        <v>33000000</v>
      </c>
      <c r="L23" s="9">
        <f>IF(IF(ISERROR(MATCH(Stock!L$1,'Stock UST'!$1:$1,0)),K23,INDEX('Stock UST'!23:23,1,MATCH(Stock!L$1,'Stock UST'!$1:$1,0)))=0,"",IF(ISERROR(MATCH(Stock!L$1,'Stock UST'!$1:$1,0)),K23,INDEX('Stock UST'!23:23,1,MATCH(Stock!L$1,'Stock UST'!$1:$1,0))))</f>
        <v>33000000</v>
      </c>
      <c r="M23" s="9">
        <f>IF(IF(ISERROR(MATCH(Stock!M$1,'Stock UST'!$1:$1,0)),L23,INDEX('Stock UST'!23:23,1,MATCH(Stock!M$1,'Stock UST'!$1:$1,0)))=0,"",IF(ISERROR(MATCH(Stock!M$1,'Stock UST'!$1:$1,0)),L23,INDEX('Stock UST'!23:23,1,MATCH(Stock!M$1,'Stock UST'!$1:$1,0))))</f>
        <v>33000000</v>
      </c>
      <c r="N23" s="9">
        <f>IF(IF(ISERROR(MATCH(Stock!N$1,'Stock UST'!$1:$1,0)),M23,INDEX('Stock UST'!23:23,1,MATCH(Stock!N$1,'Stock UST'!$1:$1,0)))=0,"",IF(ISERROR(MATCH(Stock!N$1,'Stock UST'!$1:$1,0)),M23,INDEX('Stock UST'!23:23,1,MATCH(Stock!N$1,'Stock UST'!$1:$1,0))))</f>
        <v>33000000</v>
      </c>
      <c r="O23" s="9">
        <f>IF(IF(ISERROR(MATCH(Stock!O$1,'Stock UST'!$1:$1,0)),N23,INDEX('Stock UST'!23:23,1,MATCH(Stock!O$1,'Stock UST'!$1:$1,0)))=0,"",IF(ISERROR(MATCH(Stock!O$1,'Stock UST'!$1:$1,0)),N23,INDEX('Stock UST'!23:23,1,MATCH(Stock!O$1,'Stock UST'!$1:$1,0))))</f>
        <v>33000000</v>
      </c>
      <c r="P23" s="9">
        <f>IF(IF(ISERROR(MATCH(Stock!P$1,'Stock UST'!$1:$1,0)),O23,INDEX('Stock UST'!23:23,1,MATCH(Stock!P$1,'Stock UST'!$1:$1,0)))=0,"",IF(ISERROR(MATCH(Stock!P$1,'Stock UST'!$1:$1,0)),O23,INDEX('Stock UST'!23:23,1,MATCH(Stock!P$1,'Stock UST'!$1:$1,0))))</f>
        <v>33000000</v>
      </c>
      <c r="Q23" s="9">
        <f>IF(IF(ISERROR(MATCH(Stock!Q$1,'Stock UST'!$1:$1,0)),P23,INDEX('Stock UST'!23:23,1,MATCH(Stock!Q$1,'Stock UST'!$1:$1,0)))=0,"",IF(ISERROR(MATCH(Stock!Q$1,'Stock UST'!$1:$1,0)),P23,INDEX('Stock UST'!23:23,1,MATCH(Stock!Q$1,'Stock UST'!$1:$1,0))))</f>
        <v>33000000</v>
      </c>
      <c r="R23" s="9">
        <f>IF(IF(ISERROR(MATCH(Stock!R$1,'Stock UST'!$1:$1,0)),Q23,INDEX('Stock UST'!23:23,1,MATCH(Stock!R$1,'Stock UST'!$1:$1,0)))=0,"",IF(ISERROR(MATCH(Stock!R$1,'Stock UST'!$1:$1,0)),Q23,INDEX('Stock UST'!23:23,1,MATCH(Stock!R$1,'Stock UST'!$1:$1,0))))</f>
        <v>33000000</v>
      </c>
      <c r="S23" s="9">
        <f>IF(IF(ISERROR(MATCH(Stock!S$1,'Stock UST'!$1:$1,0)),R23,INDEX('Stock UST'!23:23,1,MATCH(Stock!S$1,'Stock UST'!$1:$1,0)))=0,"",IF(ISERROR(MATCH(Stock!S$1,'Stock UST'!$1:$1,0)),R23,INDEX('Stock UST'!23:23,1,MATCH(Stock!S$1,'Stock UST'!$1:$1,0))))</f>
        <v>33000000</v>
      </c>
      <c r="T23" s="9">
        <f>IF(IF(ISERROR(MATCH(Stock!T$1,'Stock UST'!$1:$1,0)),S23,INDEX('Stock UST'!23:23,1,MATCH(Stock!T$1,'Stock UST'!$1:$1,0)))=0,"",IF(ISERROR(MATCH(Stock!T$1,'Stock UST'!$1:$1,0)),S23,INDEX('Stock UST'!23:23,1,MATCH(Stock!T$1,'Stock UST'!$1:$1,0))))</f>
        <v>33000000</v>
      </c>
      <c r="U23" s="9">
        <f>IF(IF(ISERROR(MATCH(Stock!U$1,'Stock UST'!$1:$1,0)),T23,INDEX('Stock UST'!23:23,1,MATCH(Stock!U$1,'Stock UST'!$1:$1,0)))=0,"",IF(ISERROR(MATCH(Stock!U$1,'Stock UST'!$1:$1,0)),T23,INDEX('Stock UST'!23:23,1,MATCH(Stock!U$1,'Stock UST'!$1:$1,0))))</f>
        <v>33000000</v>
      </c>
      <c r="V23" s="9">
        <f>IF(IF(ISERROR(MATCH(Stock!V$1,'Stock UST'!$1:$1,0)),U23,INDEX('Stock UST'!23:23,1,MATCH(Stock!V$1,'Stock UST'!$1:$1,0)))=0,"",IF(ISERROR(MATCH(Stock!V$1,'Stock UST'!$1:$1,0)),U23,INDEX('Stock UST'!23:23,1,MATCH(Stock!V$1,'Stock UST'!$1:$1,0))))</f>
        <v>33000000</v>
      </c>
      <c r="W23" s="9">
        <f>IF(IF(ISERROR(MATCH(Stock!W$1,'Stock UST'!$1:$1,0)),V23,INDEX('Stock UST'!23:23,1,MATCH(Stock!W$1,'Stock UST'!$1:$1,0)))=0,"",IF(ISERROR(MATCH(Stock!W$1,'Stock UST'!$1:$1,0)),V23,INDEX('Stock UST'!23:23,1,MATCH(Stock!W$1,'Stock UST'!$1:$1,0))))</f>
        <v>33000000</v>
      </c>
      <c r="X23" s="9">
        <f>IF(IF(ISERROR(MATCH(Stock!X$1,'Stock UST'!$1:$1,0)),W23,INDEX('Stock UST'!23:23,1,MATCH(Stock!X$1,'Stock UST'!$1:$1,0)))=0,"",IF(ISERROR(MATCH(Stock!X$1,'Stock UST'!$1:$1,0)),W23,INDEX('Stock UST'!23:23,1,MATCH(Stock!X$1,'Stock UST'!$1:$1,0))))</f>
        <v>33000000</v>
      </c>
      <c r="Y23" s="9">
        <f>IF(IF(ISERROR(MATCH(Stock!Y$1,'Stock UST'!$1:$1,0)),X23,INDEX('Stock UST'!23:23,1,MATCH(Stock!Y$1,'Stock UST'!$1:$1,0)))=0,"",IF(ISERROR(MATCH(Stock!Y$1,'Stock UST'!$1:$1,0)),X23,INDEX('Stock UST'!23:23,1,MATCH(Stock!Y$1,'Stock UST'!$1:$1,0))))</f>
        <v>33000000</v>
      </c>
      <c r="Z23" s="9">
        <f>IF(IF(ISERROR(MATCH(Stock!Z$1,'Stock UST'!$1:$1,0)),Y23,INDEX('Stock UST'!23:23,1,MATCH(Stock!Z$1,'Stock UST'!$1:$1,0)))=0,"",IF(ISERROR(MATCH(Stock!Z$1,'Stock UST'!$1:$1,0)),Y23,INDEX('Stock UST'!23:23,1,MATCH(Stock!Z$1,'Stock UST'!$1:$1,0))))</f>
        <v>33000000</v>
      </c>
      <c r="AA23" s="9">
        <f>IF(IF(ISERROR(MATCH(Stock!AA$1,'Stock UST'!$1:$1,0)),Z23,INDEX('Stock UST'!23:23,1,MATCH(Stock!AA$1,'Stock UST'!$1:$1,0)))=0,"",IF(ISERROR(MATCH(Stock!AA$1,'Stock UST'!$1:$1,0)),Z23,INDEX('Stock UST'!23:23,1,MATCH(Stock!AA$1,'Stock UST'!$1:$1,0))))</f>
        <v>33000000</v>
      </c>
      <c r="AB23" s="9">
        <f>IF(IF(ISERROR(MATCH(Stock!AB$1,'Stock UST'!$1:$1,0)),AA23,INDEX('Stock UST'!23:23,1,MATCH(Stock!AB$1,'Stock UST'!$1:$1,0)))=0,"",IF(ISERROR(MATCH(Stock!AB$1,'Stock UST'!$1:$1,0)),AA23,INDEX('Stock UST'!23:23,1,MATCH(Stock!AB$1,'Stock UST'!$1:$1,0))))</f>
        <v>33000000</v>
      </c>
      <c r="AC23" s="9">
        <f>IF(IF(ISERROR(MATCH(Stock!AC$1,'Stock UST'!$1:$1,0)),AB23,INDEX('Stock UST'!23:23,1,MATCH(Stock!AC$1,'Stock UST'!$1:$1,0)))=0,"",IF(ISERROR(MATCH(Stock!AC$1,'Stock UST'!$1:$1,0)),AB23,INDEX('Stock UST'!23:23,1,MATCH(Stock!AC$1,'Stock UST'!$1:$1,0))))</f>
        <v>33000000</v>
      </c>
      <c r="AD23" s="9">
        <f>IF(IF(ISERROR(MATCH(Stock!AD$1,'Stock UST'!$1:$1,0)),AC23,INDEX('Stock UST'!23:23,1,MATCH(Stock!AD$1,'Stock UST'!$1:$1,0)))=0,"",IF(ISERROR(MATCH(Stock!AD$1,'Stock UST'!$1:$1,0)),AC23,INDEX('Stock UST'!23:23,1,MATCH(Stock!AD$1,'Stock UST'!$1:$1,0))))</f>
        <v>33000000</v>
      </c>
      <c r="AE23" s="9">
        <f>IF(IF(ISERROR(MATCH(Stock!AE$1,'Stock UST'!$1:$1,0)),AD23,INDEX('Stock UST'!23:23,1,MATCH(Stock!AE$1,'Stock UST'!$1:$1,0)))=0,"",IF(ISERROR(MATCH(Stock!AE$1,'Stock UST'!$1:$1,0)),AD23,INDEX('Stock UST'!23:23,1,MATCH(Stock!AE$1,'Stock UST'!$1:$1,0))))</f>
        <v>33000000</v>
      </c>
      <c r="AF23" s="9">
        <f>IF(IF(ISERROR(MATCH(Stock!AF$1,'Stock UST'!$1:$1,0)),AE23,INDEX('Stock UST'!23:23,1,MATCH(Stock!AF$1,'Stock UST'!$1:$1,0)))=0,"",IF(ISERROR(MATCH(Stock!AF$1,'Stock UST'!$1:$1,0)),AE23,INDEX('Stock UST'!23:23,1,MATCH(Stock!AF$1,'Stock UST'!$1:$1,0))))</f>
        <v>33000000</v>
      </c>
      <c r="AG23" s="9">
        <f>IF(IF(ISERROR(MATCH(Stock!AG$1,'Stock UST'!$1:$1,0)),AF23,INDEX('Stock UST'!23:23,1,MATCH(Stock!AG$1,'Stock UST'!$1:$1,0)))=0,"",IF(ISERROR(MATCH(Stock!AG$1,'Stock UST'!$1:$1,0)),AF23,INDEX('Stock UST'!23:23,1,MATCH(Stock!AG$1,'Stock UST'!$1:$1,0))))</f>
        <v>33000000</v>
      </c>
      <c r="AH23" s="9">
        <f>IF(IF(ISERROR(MATCH(Stock!AH$1,'Stock UST'!$1:$1,0)),AG23,INDEX('Stock UST'!23:23,1,MATCH(Stock!AH$1,'Stock UST'!$1:$1,0)))=0,"",IF(ISERROR(MATCH(Stock!AH$1,'Stock UST'!$1:$1,0)),AG23,INDEX('Stock UST'!23:23,1,MATCH(Stock!AH$1,'Stock UST'!$1:$1,0))))</f>
        <v>33000000</v>
      </c>
      <c r="AI23" s="9">
        <f>IF(IF(ISERROR(MATCH(Stock!AI$1,'Stock UST'!$1:$1,0)),AH23,INDEX('Stock UST'!23:23,1,MATCH(Stock!AI$1,'Stock UST'!$1:$1,0)))=0,"",IF(ISERROR(MATCH(Stock!AI$1,'Stock UST'!$1:$1,0)),AH23,INDEX('Stock UST'!23:23,1,MATCH(Stock!AI$1,'Stock UST'!$1:$1,0))))</f>
        <v>33000000</v>
      </c>
      <c r="AJ23" s="9">
        <f>IF(IF(ISERROR(MATCH(Stock!AJ$1,'Stock UST'!$1:$1,0)),AI23,INDEX('Stock UST'!23:23,1,MATCH(Stock!AJ$1,'Stock UST'!$1:$1,0)))=0,"",IF(ISERROR(MATCH(Stock!AJ$1,'Stock UST'!$1:$1,0)),AI23,INDEX('Stock UST'!23:23,1,MATCH(Stock!AJ$1,'Stock UST'!$1:$1,0))))</f>
        <v>33000000</v>
      </c>
      <c r="AK23" s="9">
        <f>IF(IF(ISERROR(MATCH(Stock!AK$1,'Stock UST'!$1:$1,0)),AJ23,INDEX('Stock UST'!23:23,1,MATCH(Stock!AK$1,'Stock UST'!$1:$1,0)))=0,"",IF(ISERROR(MATCH(Stock!AK$1,'Stock UST'!$1:$1,0)),AJ23,INDEX('Stock UST'!23:23,1,MATCH(Stock!AK$1,'Stock UST'!$1:$1,0))))</f>
        <v>33000000</v>
      </c>
      <c r="AL23" s="9">
        <f>IF(IF(ISERROR(MATCH(Stock!AL$1,'Stock UST'!$1:$1,0)),AK23,INDEX('Stock UST'!23:23,1,MATCH(Stock!AL$1,'Stock UST'!$1:$1,0)))=0,"",IF(ISERROR(MATCH(Stock!AL$1,'Stock UST'!$1:$1,0)),AK23,INDEX('Stock UST'!23:23,1,MATCH(Stock!AL$1,'Stock UST'!$1:$1,0))))</f>
        <v>33000000</v>
      </c>
      <c r="AM23" s="9">
        <f>IF(IF(ISERROR(MATCH(Stock!AM$1,'Stock UST'!$1:$1,0)),AL23,INDEX('Stock UST'!23:23,1,MATCH(Stock!AM$1,'Stock UST'!$1:$1,0)))=0,"",IF(ISERROR(MATCH(Stock!AM$1,'Stock UST'!$1:$1,0)),AL23,INDEX('Stock UST'!23:23,1,MATCH(Stock!AM$1,'Stock UST'!$1:$1,0))))</f>
        <v>33000000</v>
      </c>
      <c r="AN23" s="9">
        <f>IF(IF(ISERROR(MATCH(Stock!AN$1,'Stock UST'!$1:$1,0)),AM23,INDEX('Stock UST'!23:23,1,MATCH(Stock!AN$1,'Stock UST'!$1:$1,0)))=0,"",IF(ISERROR(MATCH(Stock!AN$1,'Stock UST'!$1:$1,0)),AM23,INDEX('Stock UST'!23:23,1,MATCH(Stock!AN$1,'Stock UST'!$1:$1,0))))</f>
        <v>33000000</v>
      </c>
      <c r="AO23" s="9">
        <f>IF(IF(ISERROR(MATCH(Stock!AO$1,'Stock UST'!$1:$1,0)),AN23,INDEX('Stock UST'!23:23,1,MATCH(Stock!AO$1,'Stock UST'!$1:$1,0)))=0,"",IF(ISERROR(MATCH(Stock!AO$1,'Stock UST'!$1:$1,0)),AN23,INDEX('Stock UST'!23:23,1,MATCH(Stock!AO$1,'Stock UST'!$1:$1,0))))</f>
        <v>33000000</v>
      </c>
      <c r="AP23" s="9">
        <f>IF(IF(ISERROR(MATCH(Stock!AP$1,'Stock UST'!$1:$1,0)),AO23,INDEX('Stock UST'!23:23,1,MATCH(Stock!AP$1,'Stock UST'!$1:$1,0)))=0,"",IF(ISERROR(MATCH(Stock!AP$1,'Stock UST'!$1:$1,0)),AO23,INDEX('Stock UST'!23:23,1,MATCH(Stock!AP$1,'Stock UST'!$1:$1,0))))</f>
        <v>33000000</v>
      </c>
      <c r="AQ23" s="9">
        <f>IF(IF(ISERROR(MATCH(Stock!AQ$1,'Stock UST'!$1:$1,0)),AP23,INDEX('Stock UST'!23:23,1,MATCH(Stock!AQ$1,'Stock UST'!$1:$1,0)))=0,"",IF(ISERROR(MATCH(Stock!AQ$1,'Stock UST'!$1:$1,0)),AP23,INDEX('Stock UST'!23:23,1,MATCH(Stock!AQ$1,'Stock UST'!$1:$1,0))))</f>
        <v>33000000</v>
      </c>
      <c r="AR23" s="9">
        <f>IF(IF(ISERROR(MATCH(Stock!AR$1,'Stock UST'!$1:$1,0)),AQ23,INDEX('Stock UST'!23:23,1,MATCH(Stock!AR$1,'Stock UST'!$1:$1,0)))=0,"",IF(ISERROR(MATCH(Stock!AR$1,'Stock UST'!$1:$1,0)),AQ23,INDEX('Stock UST'!23:23,1,MATCH(Stock!AR$1,'Stock UST'!$1:$1,0))))</f>
        <v>33000000</v>
      </c>
      <c r="AS23" s="9">
        <f>IF(IF(ISERROR(MATCH(Stock!AS$1,'Stock UST'!$1:$1,0)),AR23,INDEX('Stock UST'!23:23,1,MATCH(Stock!AS$1,'Stock UST'!$1:$1,0)))=0,"",IF(ISERROR(MATCH(Stock!AS$1,'Stock UST'!$1:$1,0)),AR23,INDEX('Stock UST'!23:23,1,MATCH(Stock!AS$1,'Stock UST'!$1:$1,0))))</f>
        <v>33000000</v>
      </c>
      <c r="AT23" s="9">
        <f>IF(IF(ISERROR(MATCH(Stock!AT$1,'Stock UST'!$1:$1,0)),AS23,INDEX('Stock UST'!23:23,1,MATCH(Stock!AT$1,'Stock UST'!$1:$1,0)))=0,"",IF(ISERROR(MATCH(Stock!AT$1,'Stock UST'!$1:$1,0)),AS23,INDEX('Stock UST'!23:23,1,MATCH(Stock!AT$1,'Stock UST'!$1:$1,0))))</f>
        <v>33000000</v>
      </c>
      <c r="AU23" s="9">
        <f>IF(IF(ISERROR(MATCH(Stock!AU$1,'Stock UST'!$1:$1,0)),AT23,INDEX('Stock UST'!23:23,1,MATCH(Stock!AU$1,'Stock UST'!$1:$1,0)))=0,"",IF(ISERROR(MATCH(Stock!AU$1,'Stock UST'!$1:$1,0)),AT23,INDEX('Stock UST'!23:23,1,MATCH(Stock!AU$1,'Stock UST'!$1:$1,0))))</f>
        <v>33000000</v>
      </c>
      <c r="AV23" s="9">
        <f>IF(IF(ISERROR(MATCH(Stock!AV$1,'Stock UST'!$1:$1,0)),AU23,INDEX('Stock UST'!23:23,1,MATCH(Stock!AV$1,'Stock UST'!$1:$1,0)))=0,"",IF(ISERROR(MATCH(Stock!AV$1,'Stock UST'!$1:$1,0)),AU23,INDEX('Stock UST'!23:23,1,MATCH(Stock!AV$1,'Stock UST'!$1:$1,0))))</f>
        <v>33000000</v>
      </c>
      <c r="AW23" s="9">
        <f>IF(IF(ISERROR(MATCH(Stock!AW$1,'Stock UST'!$1:$1,0)),AV23,INDEX('Stock UST'!23:23,1,MATCH(Stock!AW$1,'Stock UST'!$1:$1,0)))=0,"",IF(ISERROR(MATCH(Stock!AW$1,'Stock UST'!$1:$1,0)),AV23,INDEX('Stock UST'!23:23,1,MATCH(Stock!AW$1,'Stock UST'!$1:$1,0))))</f>
        <v>33000000</v>
      </c>
      <c r="AX23" s="9">
        <f>IF(IF(ISERROR(MATCH(Stock!AX$1,'Stock UST'!$1:$1,0)),AW23,INDEX('Stock UST'!23:23,1,MATCH(Stock!AX$1,'Stock UST'!$1:$1,0)))=0,"",IF(ISERROR(MATCH(Stock!AX$1,'Stock UST'!$1:$1,0)),AW23,INDEX('Stock UST'!23:23,1,MATCH(Stock!AX$1,'Stock UST'!$1:$1,0))))</f>
        <v>33000000</v>
      </c>
    </row>
    <row r="24" spans="1:50" x14ac:dyDescent="0.2">
      <c r="A24" s="9">
        <f>IF('Stock UST'!E24="","",'Stock UST'!E24)</f>
        <v>477000000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477000000</v>
      </c>
      <c r="C24" s="9">
        <f>IF(IF(ISERROR(MATCH(Stock!C$1,'Stock UST'!$1:$1,0)),B24,INDEX('Stock UST'!24:24,1,MATCH(Stock!C$1,'Stock UST'!$1:$1,0)))=0,"",IF(ISERROR(MATCH(Stock!C$1,'Stock UST'!$1:$1,0)),B24,INDEX('Stock UST'!24:24,1,MATCH(Stock!C$1,'Stock UST'!$1:$1,0))))</f>
        <v>477000000</v>
      </c>
      <c r="D24" s="9">
        <f>IF(IF(ISERROR(MATCH(Stock!D$1,'Stock UST'!$1:$1,0)),C24,INDEX('Stock UST'!24:24,1,MATCH(Stock!D$1,'Stock UST'!$1:$1,0)))=0,"",IF(ISERROR(MATCH(Stock!D$1,'Stock UST'!$1:$1,0)),C24,INDEX('Stock UST'!24:24,1,MATCH(Stock!D$1,'Stock UST'!$1:$1,0))))</f>
        <v>477000000</v>
      </c>
      <c r="E24" s="9">
        <f>IF(IF(ISERROR(MATCH(Stock!E$1,'Stock UST'!$1:$1,0)),D24,INDEX('Stock UST'!24:24,1,MATCH(Stock!E$1,'Stock UST'!$1:$1,0)))=0,"",IF(ISERROR(MATCH(Stock!E$1,'Stock UST'!$1:$1,0)),D24,INDEX('Stock UST'!24:24,1,MATCH(Stock!E$1,'Stock UST'!$1:$1,0))))</f>
        <v>477000000</v>
      </c>
      <c r="F24" s="9">
        <f>IF(IF(ISERROR(MATCH(Stock!F$1,'Stock UST'!$1:$1,0)),E24,INDEX('Stock UST'!24:24,1,MATCH(Stock!F$1,'Stock UST'!$1:$1,0)))=0,"",IF(ISERROR(MATCH(Stock!F$1,'Stock UST'!$1:$1,0)),E24,INDEX('Stock UST'!24:24,1,MATCH(Stock!F$1,'Stock UST'!$1:$1,0))))</f>
        <v>477000000</v>
      </c>
      <c r="G24" s="9">
        <f>IF(IF(ISERROR(MATCH(Stock!G$1,'Stock UST'!$1:$1,0)),F24,INDEX('Stock UST'!24:24,1,MATCH(Stock!G$1,'Stock UST'!$1:$1,0)))=0,"",IF(ISERROR(MATCH(Stock!G$1,'Stock UST'!$1:$1,0)),F24,INDEX('Stock UST'!24:24,1,MATCH(Stock!G$1,'Stock UST'!$1:$1,0))))</f>
        <v>477000000</v>
      </c>
      <c r="H24" s="9">
        <f>IF(IF(ISERROR(MATCH(Stock!H$1,'Stock UST'!$1:$1,0)),G24,INDEX('Stock UST'!24:24,1,MATCH(Stock!H$1,'Stock UST'!$1:$1,0)))=0,"",IF(ISERROR(MATCH(Stock!H$1,'Stock UST'!$1:$1,0)),G24,INDEX('Stock UST'!24:24,1,MATCH(Stock!H$1,'Stock UST'!$1:$1,0))))</f>
        <v>477000000</v>
      </c>
      <c r="I24" s="9">
        <f>IF(IF(ISERROR(MATCH(Stock!I$1,'Stock UST'!$1:$1,0)),H24,INDEX('Stock UST'!24:24,1,MATCH(Stock!I$1,'Stock UST'!$1:$1,0)))=0,"",IF(ISERROR(MATCH(Stock!I$1,'Stock UST'!$1:$1,0)),H24,INDEX('Stock UST'!24:24,1,MATCH(Stock!I$1,'Stock UST'!$1:$1,0))))</f>
        <v>477000000</v>
      </c>
      <c r="J24" s="9">
        <f>IF(IF(ISERROR(MATCH(Stock!J$1,'Stock UST'!$1:$1,0)),I24,INDEX('Stock UST'!24:24,1,MATCH(Stock!J$1,'Stock UST'!$1:$1,0)))=0,"",IF(ISERROR(MATCH(Stock!J$1,'Stock UST'!$1:$1,0)),I24,INDEX('Stock UST'!24:24,1,MATCH(Stock!J$1,'Stock UST'!$1:$1,0))))</f>
        <v>477000000</v>
      </c>
      <c r="K24" s="9">
        <f>IF(IF(ISERROR(MATCH(Stock!K$1,'Stock UST'!$1:$1,0)),J24,INDEX('Stock UST'!24:24,1,MATCH(Stock!K$1,'Stock UST'!$1:$1,0)))=0,"",IF(ISERROR(MATCH(Stock!K$1,'Stock UST'!$1:$1,0)),J24,INDEX('Stock UST'!24:24,1,MATCH(Stock!K$1,'Stock UST'!$1:$1,0))))</f>
        <v>477000000</v>
      </c>
      <c r="L24" s="9">
        <f>IF(IF(ISERROR(MATCH(Stock!L$1,'Stock UST'!$1:$1,0)),K24,INDEX('Stock UST'!24:24,1,MATCH(Stock!L$1,'Stock UST'!$1:$1,0)))=0,"",IF(ISERROR(MATCH(Stock!L$1,'Stock UST'!$1:$1,0)),K24,INDEX('Stock UST'!24:24,1,MATCH(Stock!L$1,'Stock UST'!$1:$1,0))))</f>
        <v>477000000</v>
      </c>
      <c r="M24" s="9">
        <f>IF(IF(ISERROR(MATCH(Stock!M$1,'Stock UST'!$1:$1,0)),L24,INDEX('Stock UST'!24:24,1,MATCH(Stock!M$1,'Stock UST'!$1:$1,0)))=0,"",IF(ISERROR(MATCH(Stock!M$1,'Stock UST'!$1:$1,0)),L24,INDEX('Stock UST'!24:24,1,MATCH(Stock!M$1,'Stock UST'!$1:$1,0))))</f>
        <v>477000000</v>
      </c>
      <c r="N24" s="9">
        <f>IF(IF(ISERROR(MATCH(Stock!N$1,'Stock UST'!$1:$1,0)),M24,INDEX('Stock UST'!24:24,1,MATCH(Stock!N$1,'Stock UST'!$1:$1,0)))=0,"",IF(ISERROR(MATCH(Stock!N$1,'Stock UST'!$1:$1,0)),M24,INDEX('Stock UST'!24:24,1,MATCH(Stock!N$1,'Stock UST'!$1:$1,0))))</f>
        <v>477000000</v>
      </c>
      <c r="O24" s="9">
        <f>IF(IF(ISERROR(MATCH(Stock!O$1,'Stock UST'!$1:$1,0)),N24,INDEX('Stock UST'!24:24,1,MATCH(Stock!O$1,'Stock UST'!$1:$1,0)))=0,"",IF(ISERROR(MATCH(Stock!O$1,'Stock UST'!$1:$1,0)),N24,INDEX('Stock UST'!24:24,1,MATCH(Stock!O$1,'Stock UST'!$1:$1,0))))</f>
        <v>477000000</v>
      </c>
      <c r="P24" s="9">
        <f>IF(IF(ISERROR(MATCH(Stock!P$1,'Stock UST'!$1:$1,0)),O24,INDEX('Stock UST'!24:24,1,MATCH(Stock!P$1,'Stock UST'!$1:$1,0)))=0,"",IF(ISERROR(MATCH(Stock!P$1,'Stock UST'!$1:$1,0)),O24,INDEX('Stock UST'!24:24,1,MATCH(Stock!P$1,'Stock UST'!$1:$1,0))))</f>
        <v>477000000</v>
      </c>
      <c r="Q24" s="9">
        <f>IF(IF(ISERROR(MATCH(Stock!Q$1,'Stock UST'!$1:$1,0)),P24,INDEX('Stock UST'!24:24,1,MATCH(Stock!Q$1,'Stock UST'!$1:$1,0)))=0,"",IF(ISERROR(MATCH(Stock!Q$1,'Stock UST'!$1:$1,0)),P24,INDEX('Stock UST'!24:24,1,MATCH(Stock!Q$1,'Stock UST'!$1:$1,0))))</f>
        <v>477000000</v>
      </c>
      <c r="R24" s="9">
        <f>IF(IF(ISERROR(MATCH(Stock!R$1,'Stock UST'!$1:$1,0)),Q24,INDEX('Stock UST'!24:24,1,MATCH(Stock!R$1,'Stock UST'!$1:$1,0)))=0,"",IF(ISERROR(MATCH(Stock!R$1,'Stock UST'!$1:$1,0)),Q24,INDEX('Stock UST'!24:24,1,MATCH(Stock!R$1,'Stock UST'!$1:$1,0))))</f>
        <v>477000000</v>
      </c>
      <c r="S24" s="9">
        <f>IF(IF(ISERROR(MATCH(Stock!S$1,'Stock UST'!$1:$1,0)),R24,INDEX('Stock UST'!24:24,1,MATCH(Stock!S$1,'Stock UST'!$1:$1,0)))=0,"",IF(ISERROR(MATCH(Stock!S$1,'Stock UST'!$1:$1,0)),R24,INDEX('Stock UST'!24:24,1,MATCH(Stock!S$1,'Stock UST'!$1:$1,0))))</f>
        <v>477000000</v>
      </c>
      <c r="T24" s="9">
        <f>IF(IF(ISERROR(MATCH(Stock!T$1,'Stock UST'!$1:$1,0)),S24,INDEX('Stock UST'!24:24,1,MATCH(Stock!T$1,'Stock UST'!$1:$1,0)))=0,"",IF(ISERROR(MATCH(Stock!T$1,'Stock UST'!$1:$1,0)),S24,INDEX('Stock UST'!24:24,1,MATCH(Stock!T$1,'Stock UST'!$1:$1,0))))</f>
        <v>477000000</v>
      </c>
      <c r="U24" s="9">
        <f>IF(IF(ISERROR(MATCH(Stock!U$1,'Stock UST'!$1:$1,0)),T24,INDEX('Stock UST'!24:24,1,MATCH(Stock!U$1,'Stock UST'!$1:$1,0)))=0,"",IF(ISERROR(MATCH(Stock!U$1,'Stock UST'!$1:$1,0)),T24,INDEX('Stock UST'!24:24,1,MATCH(Stock!U$1,'Stock UST'!$1:$1,0))))</f>
        <v>477000000</v>
      </c>
      <c r="V24" s="9">
        <f>IF(IF(ISERROR(MATCH(Stock!V$1,'Stock UST'!$1:$1,0)),U24,INDEX('Stock UST'!24:24,1,MATCH(Stock!V$1,'Stock UST'!$1:$1,0)))=0,"",IF(ISERROR(MATCH(Stock!V$1,'Stock UST'!$1:$1,0)),U24,INDEX('Stock UST'!24:24,1,MATCH(Stock!V$1,'Stock UST'!$1:$1,0))))</f>
        <v>477000000</v>
      </c>
      <c r="W24" s="9">
        <f>IF(IF(ISERROR(MATCH(Stock!W$1,'Stock UST'!$1:$1,0)),V24,INDEX('Stock UST'!24:24,1,MATCH(Stock!W$1,'Stock UST'!$1:$1,0)))=0,"",IF(ISERROR(MATCH(Stock!W$1,'Stock UST'!$1:$1,0)),V24,INDEX('Stock UST'!24:24,1,MATCH(Stock!W$1,'Stock UST'!$1:$1,0))))</f>
        <v>477000000</v>
      </c>
      <c r="X24" s="9">
        <f>IF(IF(ISERROR(MATCH(Stock!X$1,'Stock UST'!$1:$1,0)),W24,INDEX('Stock UST'!24:24,1,MATCH(Stock!X$1,'Stock UST'!$1:$1,0)))=0,"",IF(ISERROR(MATCH(Stock!X$1,'Stock UST'!$1:$1,0)),W24,INDEX('Stock UST'!24:24,1,MATCH(Stock!X$1,'Stock UST'!$1:$1,0))))</f>
        <v>477000000</v>
      </c>
      <c r="Y24" s="9">
        <f>IF(IF(ISERROR(MATCH(Stock!Y$1,'Stock UST'!$1:$1,0)),X24,INDEX('Stock UST'!24:24,1,MATCH(Stock!Y$1,'Stock UST'!$1:$1,0)))=0,"",IF(ISERROR(MATCH(Stock!Y$1,'Stock UST'!$1:$1,0)),X24,INDEX('Stock UST'!24:24,1,MATCH(Stock!Y$1,'Stock UST'!$1:$1,0))))</f>
        <v>477000000</v>
      </c>
      <c r="Z24" s="9">
        <f>IF(IF(ISERROR(MATCH(Stock!Z$1,'Stock UST'!$1:$1,0)),Y24,INDEX('Stock UST'!24:24,1,MATCH(Stock!Z$1,'Stock UST'!$1:$1,0)))=0,"",IF(ISERROR(MATCH(Stock!Z$1,'Stock UST'!$1:$1,0)),Y24,INDEX('Stock UST'!24:24,1,MATCH(Stock!Z$1,'Stock UST'!$1:$1,0))))</f>
        <v>477000000</v>
      </c>
      <c r="AA24" s="9">
        <f>IF(IF(ISERROR(MATCH(Stock!AA$1,'Stock UST'!$1:$1,0)),Z24,INDEX('Stock UST'!24:24,1,MATCH(Stock!AA$1,'Stock UST'!$1:$1,0)))=0,"",IF(ISERROR(MATCH(Stock!AA$1,'Stock UST'!$1:$1,0)),Z24,INDEX('Stock UST'!24:24,1,MATCH(Stock!AA$1,'Stock UST'!$1:$1,0))))</f>
        <v>477000000</v>
      </c>
      <c r="AB24" s="9">
        <f>IF(IF(ISERROR(MATCH(Stock!AB$1,'Stock UST'!$1:$1,0)),AA24,INDEX('Stock UST'!24:24,1,MATCH(Stock!AB$1,'Stock UST'!$1:$1,0)))=0,"",IF(ISERROR(MATCH(Stock!AB$1,'Stock UST'!$1:$1,0)),AA24,INDEX('Stock UST'!24:24,1,MATCH(Stock!AB$1,'Stock UST'!$1:$1,0))))</f>
        <v>477000000</v>
      </c>
      <c r="AC24" s="9">
        <f>IF(IF(ISERROR(MATCH(Stock!AC$1,'Stock UST'!$1:$1,0)),AB24,INDEX('Stock UST'!24:24,1,MATCH(Stock!AC$1,'Stock UST'!$1:$1,0)))=0,"",IF(ISERROR(MATCH(Stock!AC$1,'Stock UST'!$1:$1,0)),AB24,INDEX('Stock UST'!24:24,1,MATCH(Stock!AC$1,'Stock UST'!$1:$1,0))))</f>
        <v>477000000</v>
      </c>
      <c r="AD24" s="9">
        <f>IF(IF(ISERROR(MATCH(Stock!AD$1,'Stock UST'!$1:$1,0)),AC24,INDEX('Stock UST'!24:24,1,MATCH(Stock!AD$1,'Stock UST'!$1:$1,0)))=0,"",IF(ISERROR(MATCH(Stock!AD$1,'Stock UST'!$1:$1,0)),AC24,INDEX('Stock UST'!24:24,1,MATCH(Stock!AD$1,'Stock UST'!$1:$1,0))))</f>
        <v>477000000</v>
      </c>
      <c r="AE24" s="9">
        <f>IF(IF(ISERROR(MATCH(Stock!AE$1,'Stock UST'!$1:$1,0)),AD24,INDEX('Stock UST'!24:24,1,MATCH(Stock!AE$1,'Stock UST'!$1:$1,0)))=0,"",IF(ISERROR(MATCH(Stock!AE$1,'Stock UST'!$1:$1,0)),AD24,INDEX('Stock UST'!24:24,1,MATCH(Stock!AE$1,'Stock UST'!$1:$1,0))))</f>
        <v>477000000</v>
      </c>
      <c r="AF24" s="9">
        <f>IF(IF(ISERROR(MATCH(Stock!AF$1,'Stock UST'!$1:$1,0)),AE24,INDEX('Stock UST'!24:24,1,MATCH(Stock!AF$1,'Stock UST'!$1:$1,0)))=0,"",IF(ISERROR(MATCH(Stock!AF$1,'Stock UST'!$1:$1,0)),AE24,INDEX('Stock UST'!24:24,1,MATCH(Stock!AF$1,'Stock UST'!$1:$1,0))))</f>
        <v>477000000</v>
      </c>
      <c r="AG24" s="9">
        <f>IF(IF(ISERROR(MATCH(Stock!AG$1,'Stock UST'!$1:$1,0)),AF24,INDEX('Stock UST'!24:24,1,MATCH(Stock!AG$1,'Stock UST'!$1:$1,0)))=0,"",IF(ISERROR(MATCH(Stock!AG$1,'Stock UST'!$1:$1,0)),AF24,INDEX('Stock UST'!24:24,1,MATCH(Stock!AG$1,'Stock UST'!$1:$1,0))))</f>
        <v>477000000</v>
      </c>
      <c r="AH24" s="9">
        <f>IF(IF(ISERROR(MATCH(Stock!AH$1,'Stock UST'!$1:$1,0)),AG24,INDEX('Stock UST'!24:24,1,MATCH(Stock!AH$1,'Stock UST'!$1:$1,0)))=0,"",IF(ISERROR(MATCH(Stock!AH$1,'Stock UST'!$1:$1,0)),AG24,INDEX('Stock UST'!24:24,1,MATCH(Stock!AH$1,'Stock UST'!$1:$1,0))))</f>
        <v>477000000</v>
      </c>
      <c r="AI24" s="9">
        <f>IF(IF(ISERROR(MATCH(Stock!AI$1,'Stock UST'!$1:$1,0)),AH24,INDEX('Stock UST'!24:24,1,MATCH(Stock!AI$1,'Stock UST'!$1:$1,0)))=0,"",IF(ISERROR(MATCH(Stock!AI$1,'Stock UST'!$1:$1,0)),AH24,INDEX('Stock UST'!24:24,1,MATCH(Stock!AI$1,'Stock UST'!$1:$1,0))))</f>
        <v>477000000</v>
      </c>
      <c r="AJ24" s="9">
        <f>IF(IF(ISERROR(MATCH(Stock!AJ$1,'Stock UST'!$1:$1,0)),AI24,INDEX('Stock UST'!24:24,1,MATCH(Stock!AJ$1,'Stock UST'!$1:$1,0)))=0,"",IF(ISERROR(MATCH(Stock!AJ$1,'Stock UST'!$1:$1,0)),AI24,INDEX('Stock UST'!24:24,1,MATCH(Stock!AJ$1,'Stock UST'!$1:$1,0))))</f>
        <v>477000000</v>
      </c>
      <c r="AK24" s="9">
        <f>IF(IF(ISERROR(MATCH(Stock!AK$1,'Stock UST'!$1:$1,0)),AJ24,INDEX('Stock UST'!24:24,1,MATCH(Stock!AK$1,'Stock UST'!$1:$1,0)))=0,"",IF(ISERROR(MATCH(Stock!AK$1,'Stock UST'!$1:$1,0)),AJ24,INDEX('Stock UST'!24:24,1,MATCH(Stock!AK$1,'Stock UST'!$1:$1,0))))</f>
        <v>477000000</v>
      </c>
      <c r="AL24" s="9">
        <f>IF(IF(ISERROR(MATCH(Stock!AL$1,'Stock UST'!$1:$1,0)),AK24,INDEX('Stock UST'!24:24,1,MATCH(Stock!AL$1,'Stock UST'!$1:$1,0)))=0,"",IF(ISERROR(MATCH(Stock!AL$1,'Stock UST'!$1:$1,0)),AK24,INDEX('Stock UST'!24:24,1,MATCH(Stock!AL$1,'Stock UST'!$1:$1,0))))</f>
        <v>477000000</v>
      </c>
      <c r="AM24" s="9">
        <f>IF(IF(ISERROR(MATCH(Stock!AM$1,'Stock UST'!$1:$1,0)),AL24,INDEX('Stock UST'!24:24,1,MATCH(Stock!AM$1,'Stock UST'!$1:$1,0)))=0,"",IF(ISERROR(MATCH(Stock!AM$1,'Stock UST'!$1:$1,0)),AL24,INDEX('Stock UST'!24:24,1,MATCH(Stock!AM$1,'Stock UST'!$1:$1,0))))</f>
        <v>477000000</v>
      </c>
      <c r="AN24" s="9">
        <f>IF(IF(ISERROR(MATCH(Stock!AN$1,'Stock UST'!$1:$1,0)),AM24,INDEX('Stock UST'!24:24,1,MATCH(Stock!AN$1,'Stock UST'!$1:$1,0)))=0,"",IF(ISERROR(MATCH(Stock!AN$1,'Stock UST'!$1:$1,0)),AM24,INDEX('Stock UST'!24:24,1,MATCH(Stock!AN$1,'Stock UST'!$1:$1,0))))</f>
        <v>477000000</v>
      </c>
      <c r="AO24" s="9">
        <f>IF(IF(ISERROR(MATCH(Stock!AO$1,'Stock UST'!$1:$1,0)),AN24,INDEX('Stock UST'!24:24,1,MATCH(Stock!AO$1,'Stock UST'!$1:$1,0)))=0,"",IF(ISERROR(MATCH(Stock!AO$1,'Stock UST'!$1:$1,0)),AN24,INDEX('Stock UST'!24:24,1,MATCH(Stock!AO$1,'Stock UST'!$1:$1,0))))</f>
        <v>477000000</v>
      </c>
      <c r="AP24" s="9">
        <f>IF(IF(ISERROR(MATCH(Stock!AP$1,'Stock UST'!$1:$1,0)),AO24,INDEX('Stock UST'!24:24,1,MATCH(Stock!AP$1,'Stock UST'!$1:$1,0)))=0,"",IF(ISERROR(MATCH(Stock!AP$1,'Stock UST'!$1:$1,0)),AO24,INDEX('Stock UST'!24:24,1,MATCH(Stock!AP$1,'Stock UST'!$1:$1,0))))</f>
        <v>477000000</v>
      </c>
      <c r="AQ24" s="9">
        <f>IF(IF(ISERROR(MATCH(Stock!AQ$1,'Stock UST'!$1:$1,0)),AP24,INDEX('Stock UST'!24:24,1,MATCH(Stock!AQ$1,'Stock UST'!$1:$1,0)))=0,"",IF(ISERROR(MATCH(Stock!AQ$1,'Stock UST'!$1:$1,0)),AP24,INDEX('Stock UST'!24:24,1,MATCH(Stock!AQ$1,'Stock UST'!$1:$1,0))))</f>
        <v>477000000</v>
      </c>
      <c r="AR24" s="9">
        <f>IF(IF(ISERROR(MATCH(Stock!AR$1,'Stock UST'!$1:$1,0)),AQ24,INDEX('Stock UST'!24:24,1,MATCH(Stock!AR$1,'Stock UST'!$1:$1,0)))=0,"",IF(ISERROR(MATCH(Stock!AR$1,'Stock UST'!$1:$1,0)),AQ24,INDEX('Stock UST'!24:24,1,MATCH(Stock!AR$1,'Stock UST'!$1:$1,0))))</f>
        <v>477000000</v>
      </c>
      <c r="AS24" s="9">
        <f>IF(IF(ISERROR(MATCH(Stock!AS$1,'Stock UST'!$1:$1,0)),AR24,INDEX('Stock UST'!24:24,1,MATCH(Stock!AS$1,'Stock UST'!$1:$1,0)))=0,"",IF(ISERROR(MATCH(Stock!AS$1,'Stock UST'!$1:$1,0)),AR24,INDEX('Stock UST'!24:24,1,MATCH(Stock!AS$1,'Stock UST'!$1:$1,0))))</f>
        <v>477000000</v>
      </c>
      <c r="AT24" s="9">
        <f>IF(IF(ISERROR(MATCH(Stock!AT$1,'Stock UST'!$1:$1,0)),AS24,INDEX('Stock UST'!24:24,1,MATCH(Stock!AT$1,'Stock UST'!$1:$1,0)))=0,"",IF(ISERROR(MATCH(Stock!AT$1,'Stock UST'!$1:$1,0)),AS24,INDEX('Stock UST'!24:24,1,MATCH(Stock!AT$1,'Stock UST'!$1:$1,0))))</f>
        <v>477000000</v>
      </c>
      <c r="AU24" s="9">
        <f>IF(IF(ISERROR(MATCH(Stock!AU$1,'Stock UST'!$1:$1,0)),AT24,INDEX('Stock UST'!24:24,1,MATCH(Stock!AU$1,'Stock UST'!$1:$1,0)))=0,"",IF(ISERROR(MATCH(Stock!AU$1,'Stock UST'!$1:$1,0)),AT24,INDEX('Stock UST'!24:24,1,MATCH(Stock!AU$1,'Stock UST'!$1:$1,0))))</f>
        <v>477000000</v>
      </c>
      <c r="AV24" s="9">
        <f>IF(IF(ISERROR(MATCH(Stock!AV$1,'Stock UST'!$1:$1,0)),AU24,INDEX('Stock UST'!24:24,1,MATCH(Stock!AV$1,'Stock UST'!$1:$1,0)))=0,"",IF(ISERROR(MATCH(Stock!AV$1,'Stock UST'!$1:$1,0)),AU24,INDEX('Stock UST'!24:24,1,MATCH(Stock!AV$1,'Stock UST'!$1:$1,0))))</f>
        <v>477000000</v>
      </c>
      <c r="AW24" s="9">
        <f>IF(IF(ISERROR(MATCH(Stock!AW$1,'Stock UST'!$1:$1,0)),AV24,INDEX('Stock UST'!24:24,1,MATCH(Stock!AW$1,'Stock UST'!$1:$1,0)))=0,"",IF(ISERROR(MATCH(Stock!AW$1,'Stock UST'!$1:$1,0)),AV24,INDEX('Stock UST'!24:24,1,MATCH(Stock!AW$1,'Stock UST'!$1:$1,0))))</f>
        <v>477000000</v>
      </c>
      <c r="AX24" s="9">
        <f>IF(IF(ISERROR(MATCH(Stock!AX$1,'Stock UST'!$1:$1,0)),AW24,INDEX('Stock UST'!24:24,1,MATCH(Stock!AX$1,'Stock UST'!$1:$1,0)))=0,"",IF(ISERROR(MATCH(Stock!AX$1,'Stock UST'!$1:$1,0)),AW24,INDEX('Stock UST'!24:24,1,MATCH(Stock!AX$1,'Stock UST'!$1:$1,0))))</f>
        <v>477000000</v>
      </c>
    </row>
    <row r="25" spans="1:50" x14ac:dyDescent="0.2">
      <c r="A25" s="9" t="str">
        <f>IF('Stock UST'!E25="","",'Stock UST'!E25)</f>
        <v/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>
        <f>IF(IF(ISERROR(MATCH(Stock!C$1,'Stock UST'!$1:$1,0)),B25,INDEX('Stock UST'!25:25,1,MATCH(Stock!C$1,'Stock UST'!$1:$1,0)))=0,"",IF(ISERROR(MATCH(Stock!C$1,'Stock UST'!$1:$1,0)),B25,INDEX('Stock UST'!25:25,1,MATCH(Stock!C$1,'Stock UST'!$1:$1,0))))</f>
        <v>346000000</v>
      </c>
      <c r="D25" s="9">
        <f>IF(IF(ISERROR(MATCH(Stock!D$1,'Stock UST'!$1:$1,0)),C25,INDEX('Stock UST'!25:25,1,MATCH(Stock!D$1,'Stock UST'!$1:$1,0)))=0,"",IF(ISERROR(MATCH(Stock!D$1,'Stock UST'!$1:$1,0)),C25,INDEX('Stock UST'!25:25,1,MATCH(Stock!D$1,'Stock UST'!$1:$1,0))))</f>
        <v>346000000</v>
      </c>
      <c r="E25" s="9">
        <f>IF(IF(ISERROR(MATCH(Stock!E$1,'Stock UST'!$1:$1,0)),D25,INDEX('Stock UST'!25:25,1,MATCH(Stock!E$1,'Stock UST'!$1:$1,0)))=0,"",IF(ISERROR(MATCH(Stock!E$1,'Stock UST'!$1:$1,0)),D25,INDEX('Stock UST'!25:25,1,MATCH(Stock!E$1,'Stock UST'!$1:$1,0))))</f>
        <v>346000000</v>
      </c>
      <c r="F25" s="9">
        <f>IF(IF(ISERROR(MATCH(Stock!F$1,'Stock UST'!$1:$1,0)),E25,INDEX('Stock UST'!25:25,1,MATCH(Stock!F$1,'Stock UST'!$1:$1,0)))=0,"",IF(ISERROR(MATCH(Stock!F$1,'Stock UST'!$1:$1,0)),E25,INDEX('Stock UST'!25:25,1,MATCH(Stock!F$1,'Stock UST'!$1:$1,0))))</f>
        <v>346000000</v>
      </c>
      <c r="G25" s="9">
        <f>IF(IF(ISERROR(MATCH(Stock!G$1,'Stock UST'!$1:$1,0)),F25,INDEX('Stock UST'!25:25,1,MATCH(Stock!G$1,'Stock UST'!$1:$1,0)))=0,"",IF(ISERROR(MATCH(Stock!G$1,'Stock UST'!$1:$1,0)),F25,INDEX('Stock UST'!25:25,1,MATCH(Stock!G$1,'Stock UST'!$1:$1,0))))</f>
        <v>346000000</v>
      </c>
      <c r="H25" s="9">
        <f>IF(IF(ISERROR(MATCH(Stock!H$1,'Stock UST'!$1:$1,0)),G25,INDEX('Stock UST'!25:25,1,MATCH(Stock!H$1,'Stock UST'!$1:$1,0)))=0,"",IF(ISERROR(MATCH(Stock!H$1,'Stock UST'!$1:$1,0)),G25,INDEX('Stock UST'!25:25,1,MATCH(Stock!H$1,'Stock UST'!$1:$1,0))))</f>
        <v>346000000</v>
      </c>
      <c r="I25" s="9">
        <f>IF(IF(ISERROR(MATCH(Stock!I$1,'Stock UST'!$1:$1,0)),H25,INDEX('Stock UST'!25:25,1,MATCH(Stock!I$1,'Stock UST'!$1:$1,0)))=0,"",IF(ISERROR(MATCH(Stock!I$1,'Stock UST'!$1:$1,0)),H25,INDEX('Stock UST'!25:25,1,MATCH(Stock!I$1,'Stock UST'!$1:$1,0))))</f>
        <v>346000000</v>
      </c>
      <c r="J25" s="9">
        <f>IF(IF(ISERROR(MATCH(Stock!J$1,'Stock UST'!$1:$1,0)),I25,INDEX('Stock UST'!25:25,1,MATCH(Stock!J$1,'Stock UST'!$1:$1,0)))=0,"",IF(ISERROR(MATCH(Stock!J$1,'Stock UST'!$1:$1,0)),I25,INDEX('Stock UST'!25:25,1,MATCH(Stock!J$1,'Stock UST'!$1:$1,0))))</f>
        <v>346000000</v>
      </c>
      <c r="K25" s="9">
        <f>IF(IF(ISERROR(MATCH(Stock!K$1,'Stock UST'!$1:$1,0)),J25,INDEX('Stock UST'!25:25,1,MATCH(Stock!K$1,'Stock UST'!$1:$1,0)))=0,"",IF(ISERROR(MATCH(Stock!K$1,'Stock UST'!$1:$1,0)),J25,INDEX('Stock UST'!25:25,1,MATCH(Stock!K$1,'Stock UST'!$1:$1,0))))</f>
        <v>346000000</v>
      </c>
      <c r="L25" s="9">
        <f>IF(IF(ISERROR(MATCH(Stock!L$1,'Stock UST'!$1:$1,0)),K25,INDEX('Stock UST'!25:25,1,MATCH(Stock!L$1,'Stock UST'!$1:$1,0)))=0,"",IF(ISERROR(MATCH(Stock!L$1,'Stock UST'!$1:$1,0)),K25,INDEX('Stock UST'!25:25,1,MATCH(Stock!L$1,'Stock UST'!$1:$1,0))))</f>
        <v>346000000</v>
      </c>
      <c r="M25" s="9">
        <f>IF(IF(ISERROR(MATCH(Stock!M$1,'Stock UST'!$1:$1,0)),L25,INDEX('Stock UST'!25:25,1,MATCH(Stock!M$1,'Stock UST'!$1:$1,0)))=0,"",IF(ISERROR(MATCH(Stock!M$1,'Stock UST'!$1:$1,0)),L25,INDEX('Stock UST'!25:25,1,MATCH(Stock!M$1,'Stock UST'!$1:$1,0))))</f>
        <v>346000000</v>
      </c>
      <c r="N25" s="9">
        <f>IF(IF(ISERROR(MATCH(Stock!N$1,'Stock UST'!$1:$1,0)),M25,INDEX('Stock UST'!25:25,1,MATCH(Stock!N$1,'Stock UST'!$1:$1,0)))=0,"",IF(ISERROR(MATCH(Stock!N$1,'Stock UST'!$1:$1,0)),M25,INDEX('Stock UST'!25:25,1,MATCH(Stock!N$1,'Stock UST'!$1:$1,0))))</f>
        <v>346000000</v>
      </c>
      <c r="O25" s="9">
        <f>IF(IF(ISERROR(MATCH(Stock!O$1,'Stock UST'!$1:$1,0)),N25,INDEX('Stock UST'!25:25,1,MATCH(Stock!O$1,'Stock UST'!$1:$1,0)))=0,"",IF(ISERROR(MATCH(Stock!O$1,'Stock UST'!$1:$1,0)),N25,INDEX('Stock UST'!25:25,1,MATCH(Stock!O$1,'Stock UST'!$1:$1,0))))</f>
        <v>346000000</v>
      </c>
      <c r="P25" s="9">
        <f>IF(IF(ISERROR(MATCH(Stock!P$1,'Stock UST'!$1:$1,0)),O25,INDEX('Stock UST'!25:25,1,MATCH(Stock!P$1,'Stock UST'!$1:$1,0)))=0,"",IF(ISERROR(MATCH(Stock!P$1,'Stock UST'!$1:$1,0)),O25,INDEX('Stock UST'!25:25,1,MATCH(Stock!P$1,'Stock UST'!$1:$1,0))))</f>
        <v>346000000</v>
      </c>
      <c r="Q25" s="9">
        <f>IF(IF(ISERROR(MATCH(Stock!Q$1,'Stock UST'!$1:$1,0)),P25,INDEX('Stock UST'!25:25,1,MATCH(Stock!Q$1,'Stock UST'!$1:$1,0)))=0,"",IF(ISERROR(MATCH(Stock!Q$1,'Stock UST'!$1:$1,0)),P25,INDEX('Stock UST'!25:25,1,MATCH(Stock!Q$1,'Stock UST'!$1:$1,0))))</f>
        <v>346000000</v>
      </c>
      <c r="R25" s="9">
        <f>IF(IF(ISERROR(MATCH(Stock!R$1,'Stock UST'!$1:$1,0)),Q25,INDEX('Stock UST'!25:25,1,MATCH(Stock!R$1,'Stock UST'!$1:$1,0)))=0,"",IF(ISERROR(MATCH(Stock!R$1,'Stock UST'!$1:$1,0)),Q25,INDEX('Stock UST'!25:25,1,MATCH(Stock!R$1,'Stock UST'!$1:$1,0))))</f>
        <v>346000000</v>
      </c>
      <c r="S25" s="9">
        <f>IF(IF(ISERROR(MATCH(Stock!S$1,'Stock UST'!$1:$1,0)),R25,INDEX('Stock UST'!25:25,1,MATCH(Stock!S$1,'Stock UST'!$1:$1,0)))=0,"",IF(ISERROR(MATCH(Stock!S$1,'Stock UST'!$1:$1,0)),R25,INDEX('Stock UST'!25:25,1,MATCH(Stock!S$1,'Stock UST'!$1:$1,0))))</f>
        <v>346000000</v>
      </c>
      <c r="T25" s="9">
        <f>IF(IF(ISERROR(MATCH(Stock!T$1,'Stock UST'!$1:$1,0)),S25,INDEX('Stock UST'!25:25,1,MATCH(Stock!T$1,'Stock UST'!$1:$1,0)))=0,"",IF(ISERROR(MATCH(Stock!T$1,'Stock UST'!$1:$1,0)),S25,INDEX('Stock UST'!25:25,1,MATCH(Stock!T$1,'Stock UST'!$1:$1,0))))</f>
        <v>346000000</v>
      </c>
      <c r="U25" s="9">
        <f>IF(IF(ISERROR(MATCH(Stock!U$1,'Stock UST'!$1:$1,0)),T25,INDEX('Stock UST'!25:25,1,MATCH(Stock!U$1,'Stock UST'!$1:$1,0)))=0,"",IF(ISERROR(MATCH(Stock!U$1,'Stock UST'!$1:$1,0)),T25,INDEX('Stock UST'!25:25,1,MATCH(Stock!U$1,'Stock UST'!$1:$1,0))))</f>
        <v>346000000</v>
      </c>
      <c r="V25" s="9">
        <f>IF(IF(ISERROR(MATCH(Stock!V$1,'Stock UST'!$1:$1,0)),U25,INDEX('Stock UST'!25:25,1,MATCH(Stock!V$1,'Stock UST'!$1:$1,0)))=0,"",IF(ISERROR(MATCH(Stock!V$1,'Stock UST'!$1:$1,0)),U25,INDEX('Stock UST'!25:25,1,MATCH(Stock!V$1,'Stock UST'!$1:$1,0))))</f>
        <v>346000000</v>
      </c>
      <c r="W25" s="9">
        <f>IF(IF(ISERROR(MATCH(Stock!W$1,'Stock UST'!$1:$1,0)),V25,INDEX('Stock UST'!25:25,1,MATCH(Stock!W$1,'Stock UST'!$1:$1,0)))=0,"",IF(ISERROR(MATCH(Stock!W$1,'Stock UST'!$1:$1,0)),V25,INDEX('Stock UST'!25:25,1,MATCH(Stock!W$1,'Stock UST'!$1:$1,0))))</f>
        <v>346000000</v>
      </c>
      <c r="X25" s="9">
        <f>IF(IF(ISERROR(MATCH(Stock!X$1,'Stock UST'!$1:$1,0)),W25,INDEX('Stock UST'!25:25,1,MATCH(Stock!X$1,'Stock UST'!$1:$1,0)))=0,"",IF(ISERROR(MATCH(Stock!X$1,'Stock UST'!$1:$1,0)),W25,INDEX('Stock UST'!25:25,1,MATCH(Stock!X$1,'Stock UST'!$1:$1,0))))</f>
        <v>346000000</v>
      </c>
      <c r="Y25" s="9">
        <f>IF(IF(ISERROR(MATCH(Stock!Y$1,'Stock UST'!$1:$1,0)),X25,INDEX('Stock UST'!25:25,1,MATCH(Stock!Y$1,'Stock UST'!$1:$1,0)))=0,"",IF(ISERROR(MATCH(Stock!Y$1,'Stock UST'!$1:$1,0)),X25,INDEX('Stock UST'!25:25,1,MATCH(Stock!Y$1,'Stock UST'!$1:$1,0))))</f>
        <v>346000000</v>
      </c>
      <c r="Z25" s="9">
        <f>IF(IF(ISERROR(MATCH(Stock!Z$1,'Stock UST'!$1:$1,0)),Y25,INDEX('Stock UST'!25:25,1,MATCH(Stock!Z$1,'Stock UST'!$1:$1,0)))=0,"",IF(ISERROR(MATCH(Stock!Z$1,'Stock UST'!$1:$1,0)),Y25,INDEX('Stock UST'!25:25,1,MATCH(Stock!Z$1,'Stock UST'!$1:$1,0))))</f>
        <v>346000000</v>
      </c>
      <c r="AA25" s="9">
        <f>IF(IF(ISERROR(MATCH(Stock!AA$1,'Stock UST'!$1:$1,0)),Z25,INDEX('Stock UST'!25:25,1,MATCH(Stock!AA$1,'Stock UST'!$1:$1,0)))=0,"",IF(ISERROR(MATCH(Stock!AA$1,'Stock UST'!$1:$1,0)),Z25,INDEX('Stock UST'!25:25,1,MATCH(Stock!AA$1,'Stock UST'!$1:$1,0))))</f>
        <v>346000000</v>
      </c>
      <c r="AB25" s="9">
        <f>IF(IF(ISERROR(MATCH(Stock!AB$1,'Stock UST'!$1:$1,0)),AA25,INDEX('Stock UST'!25:25,1,MATCH(Stock!AB$1,'Stock UST'!$1:$1,0)))=0,"",IF(ISERROR(MATCH(Stock!AB$1,'Stock UST'!$1:$1,0)),AA25,INDEX('Stock UST'!25:25,1,MATCH(Stock!AB$1,'Stock UST'!$1:$1,0))))</f>
        <v>346000000</v>
      </c>
      <c r="AC25" s="9">
        <f>IF(IF(ISERROR(MATCH(Stock!AC$1,'Stock UST'!$1:$1,0)),AB25,INDEX('Stock UST'!25:25,1,MATCH(Stock!AC$1,'Stock UST'!$1:$1,0)))=0,"",IF(ISERROR(MATCH(Stock!AC$1,'Stock UST'!$1:$1,0)),AB25,INDEX('Stock UST'!25:25,1,MATCH(Stock!AC$1,'Stock UST'!$1:$1,0))))</f>
        <v>346000000</v>
      </c>
      <c r="AD25" s="9">
        <f>IF(IF(ISERROR(MATCH(Stock!AD$1,'Stock UST'!$1:$1,0)),AC25,INDEX('Stock UST'!25:25,1,MATCH(Stock!AD$1,'Stock UST'!$1:$1,0)))=0,"",IF(ISERROR(MATCH(Stock!AD$1,'Stock UST'!$1:$1,0)),AC25,INDEX('Stock UST'!25:25,1,MATCH(Stock!AD$1,'Stock UST'!$1:$1,0))))</f>
        <v>346000000</v>
      </c>
      <c r="AE25" s="9">
        <f>IF(IF(ISERROR(MATCH(Stock!AE$1,'Stock UST'!$1:$1,0)),AD25,INDEX('Stock UST'!25:25,1,MATCH(Stock!AE$1,'Stock UST'!$1:$1,0)))=0,"",IF(ISERROR(MATCH(Stock!AE$1,'Stock UST'!$1:$1,0)),AD25,INDEX('Stock UST'!25:25,1,MATCH(Stock!AE$1,'Stock UST'!$1:$1,0))))</f>
        <v>346000000</v>
      </c>
      <c r="AF25" s="9">
        <f>IF(IF(ISERROR(MATCH(Stock!AF$1,'Stock UST'!$1:$1,0)),AE25,INDEX('Stock UST'!25:25,1,MATCH(Stock!AF$1,'Stock UST'!$1:$1,0)))=0,"",IF(ISERROR(MATCH(Stock!AF$1,'Stock UST'!$1:$1,0)),AE25,INDEX('Stock UST'!25:25,1,MATCH(Stock!AF$1,'Stock UST'!$1:$1,0))))</f>
        <v>346000000</v>
      </c>
      <c r="AG25" s="9">
        <f>IF(IF(ISERROR(MATCH(Stock!AG$1,'Stock UST'!$1:$1,0)),AF25,INDEX('Stock UST'!25:25,1,MATCH(Stock!AG$1,'Stock UST'!$1:$1,0)))=0,"",IF(ISERROR(MATCH(Stock!AG$1,'Stock UST'!$1:$1,0)),AF25,INDEX('Stock UST'!25:25,1,MATCH(Stock!AG$1,'Stock UST'!$1:$1,0))))</f>
        <v>346000000</v>
      </c>
      <c r="AH25" s="9">
        <f>IF(IF(ISERROR(MATCH(Stock!AH$1,'Stock UST'!$1:$1,0)),AG25,INDEX('Stock UST'!25:25,1,MATCH(Stock!AH$1,'Stock UST'!$1:$1,0)))=0,"",IF(ISERROR(MATCH(Stock!AH$1,'Stock UST'!$1:$1,0)),AG25,INDEX('Stock UST'!25:25,1,MATCH(Stock!AH$1,'Stock UST'!$1:$1,0))))</f>
        <v>346000000</v>
      </c>
      <c r="AI25" s="9">
        <f>IF(IF(ISERROR(MATCH(Stock!AI$1,'Stock UST'!$1:$1,0)),AH25,INDEX('Stock UST'!25:25,1,MATCH(Stock!AI$1,'Stock UST'!$1:$1,0)))=0,"",IF(ISERROR(MATCH(Stock!AI$1,'Stock UST'!$1:$1,0)),AH25,INDEX('Stock UST'!25:25,1,MATCH(Stock!AI$1,'Stock UST'!$1:$1,0))))</f>
        <v>346000000</v>
      </c>
      <c r="AJ25" s="9">
        <f>IF(IF(ISERROR(MATCH(Stock!AJ$1,'Stock UST'!$1:$1,0)),AI25,INDEX('Stock UST'!25:25,1,MATCH(Stock!AJ$1,'Stock UST'!$1:$1,0)))=0,"",IF(ISERROR(MATCH(Stock!AJ$1,'Stock UST'!$1:$1,0)),AI25,INDEX('Stock UST'!25:25,1,MATCH(Stock!AJ$1,'Stock UST'!$1:$1,0))))</f>
        <v>346000000</v>
      </c>
      <c r="AK25" s="9">
        <f>IF(IF(ISERROR(MATCH(Stock!AK$1,'Stock UST'!$1:$1,0)),AJ25,INDEX('Stock UST'!25:25,1,MATCH(Stock!AK$1,'Stock UST'!$1:$1,0)))=0,"",IF(ISERROR(MATCH(Stock!AK$1,'Stock UST'!$1:$1,0)),AJ25,INDEX('Stock UST'!25:25,1,MATCH(Stock!AK$1,'Stock UST'!$1:$1,0))))</f>
        <v>346000000</v>
      </c>
      <c r="AL25" s="9">
        <f>IF(IF(ISERROR(MATCH(Stock!AL$1,'Stock UST'!$1:$1,0)),AK25,INDEX('Stock UST'!25:25,1,MATCH(Stock!AL$1,'Stock UST'!$1:$1,0)))=0,"",IF(ISERROR(MATCH(Stock!AL$1,'Stock UST'!$1:$1,0)),AK25,INDEX('Stock UST'!25:25,1,MATCH(Stock!AL$1,'Stock UST'!$1:$1,0))))</f>
        <v>346000000</v>
      </c>
      <c r="AM25" s="9">
        <f>IF(IF(ISERROR(MATCH(Stock!AM$1,'Stock UST'!$1:$1,0)),AL25,INDEX('Stock UST'!25:25,1,MATCH(Stock!AM$1,'Stock UST'!$1:$1,0)))=0,"",IF(ISERROR(MATCH(Stock!AM$1,'Stock UST'!$1:$1,0)),AL25,INDEX('Stock UST'!25:25,1,MATCH(Stock!AM$1,'Stock UST'!$1:$1,0))))</f>
        <v>346000000</v>
      </c>
      <c r="AN25" s="9">
        <f>IF(IF(ISERROR(MATCH(Stock!AN$1,'Stock UST'!$1:$1,0)),AM25,INDEX('Stock UST'!25:25,1,MATCH(Stock!AN$1,'Stock UST'!$1:$1,0)))=0,"",IF(ISERROR(MATCH(Stock!AN$1,'Stock UST'!$1:$1,0)),AM25,INDEX('Stock UST'!25:25,1,MATCH(Stock!AN$1,'Stock UST'!$1:$1,0))))</f>
        <v>346000000</v>
      </c>
      <c r="AO25" s="9">
        <f>IF(IF(ISERROR(MATCH(Stock!AO$1,'Stock UST'!$1:$1,0)),AN25,INDEX('Stock UST'!25:25,1,MATCH(Stock!AO$1,'Stock UST'!$1:$1,0)))=0,"",IF(ISERROR(MATCH(Stock!AO$1,'Stock UST'!$1:$1,0)),AN25,INDEX('Stock UST'!25:25,1,MATCH(Stock!AO$1,'Stock UST'!$1:$1,0))))</f>
        <v>346000000</v>
      </c>
      <c r="AP25" s="9">
        <f>IF(IF(ISERROR(MATCH(Stock!AP$1,'Stock UST'!$1:$1,0)),AO25,INDEX('Stock UST'!25:25,1,MATCH(Stock!AP$1,'Stock UST'!$1:$1,0)))=0,"",IF(ISERROR(MATCH(Stock!AP$1,'Stock UST'!$1:$1,0)),AO25,INDEX('Stock UST'!25:25,1,MATCH(Stock!AP$1,'Stock UST'!$1:$1,0))))</f>
        <v>346000000</v>
      </c>
      <c r="AQ25" s="9">
        <f>IF(IF(ISERROR(MATCH(Stock!AQ$1,'Stock UST'!$1:$1,0)),AP25,INDEX('Stock UST'!25:25,1,MATCH(Stock!AQ$1,'Stock UST'!$1:$1,0)))=0,"",IF(ISERROR(MATCH(Stock!AQ$1,'Stock UST'!$1:$1,0)),AP25,INDEX('Stock UST'!25:25,1,MATCH(Stock!AQ$1,'Stock UST'!$1:$1,0))))</f>
        <v>346000000</v>
      </c>
      <c r="AR25" s="9">
        <f>IF(IF(ISERROR(MATCH(Stock!AR$1,'Stock UST'!$1:$1,0)),AQ25,INDEX('Stock UST'!25:25,1,MATCH(Stock!AR$1,'Stock UST'!$1:$1,0)))=0,"",IF(ISERROR(MATCH(Stock!AR$1,'Stock UST'!$1:$1,0)),AQ25,INDEX('Stock UST'!25:25,1,MATCH(Stock!AR$1,'Stock UST'!$1:$1,0))))</f>
        <v>346000000</v>
      </c>
      <c r="AS25" s="9">
        <f>IF(IF(ISERROR(MATCH(Stock!AS$1,'Stock UST'!$1:$1,0)),AR25,INDEX('Stock UST'!25:25,1,MATCH(Stock!AS$1,'Stock UST'!$1:$1,0)))=0,"",IF(ISERROR(MATCH(Stock!AS$1,'Stock UST'!$1:$1,0)),AR25,INDEX('Stock UST'!25:25,1,MATCH(Stock!AS$1,'Stock UST'!$1:$1,0))))</f>
        <v>346000000</v>
      </c>
      <c r="AT25" s="9">
        <f>IF(IF(ISERROR(MATCH(Stock!AT$1,'Stock UST'!$1:$1,0)),AS25,INDEX('Stock UST'!25:25,1,MATCH(Stock!AT$1,'Stock UST'!$1:$1,0)))=0,"",IF(ISERROR(MATCH(Stock!AT$1,'Stock UST'!$1:$1,0)),AS25,INDEX('Stock UST'!25:25,1,MATCH(Stock!AT$1,'Stock UST'!$1:$1,0))))</f>
        <v>346000000</v>
      </c>
      <c r="AU25" s="9">
        <f>IF(IF(ISERROR(MATCH(Stock!AU$1,'Stock UST'!$1:$1,0)),AT25,INDEX('Stock UST'!25:25,1,MATCH(Stock!AU$1,'Stock UST'!$1:$1,0)))=0,"",IF(ISERROR(MATCH(Stock!AU$1,'Stock UST'!$1:$1,0)),AT25,INDEX('Stock UST'!25:25,1,MATCH(Stock!AU$1,'Stock UST'!$1:$1,0))))</f>
        <v>346000000</v>
      </c>
      <c r="AV25" s="9">
        <f>IF(IF(ISERROR(MATCH(Stock!AV$1,'Stock UST'!$1:$1,0)),AU25,INDEX('Stock UST'!25:25,1,MATCH(Stock!AV$1,'Stock UST'!$1:$1,0)))=0,"",IF(ISERROR(MATCH(Stock!AV$1,'Stock UST'!$1:$1,0)),AU25,INDEX('Stock UST'!25:25,1,MATCH(Stock!AV$1,'Stock UST'!$1:$1,0))))</f>
        <v>346000000</v>
      </c>
      <c r="AW25" s="9">
        <f>IF(IF(ISERROR(MATCH(Stock!AW$1,'Stock UST'!$1:$1,0)),AV25,INDEX('Stock UST'!25:25,1,MATCH(Stock!AW$1,'Stock UST'!$1:$1,0)))=0,"",IF(ISERROR(MATCH(Stock!AW$1,'Stock UST'!$1:$1,0)),AV25,INDEX('Stock UST'!25:25,1,MATCH(Stock!AW$1,'Stock UST'!$1:$1,0))))</f>
        <v>346000000</v>
      </c>
      <c r="AX25" s="9">
        <f>IF(IF(ISERROR(MATCH(Stock!AX$1,'Stock UST'!$1:$1,0)),AW25,INDEX('Stock UST'!25:25,1,MATCH(Stock!AX$1,'Stock UST'!$1:$1,0)))=0,"",IF(ISERROR(MATCH(Stock!AX$1,'Stock UST'!$1:$1,0)),AW25,INDEX('Stock UST'!25:25,1,MATCH(Stock!AX$1,'Stock UST'!$1:$1,0))))</f>
        <v>346000000</v>
      </c>
    </row>
    <row r="26" spans="1:50" x14ac:dyDescent="0.2">
      <c r="A26" s="9" t="str">
        <f>IF('Stock UST'!E26="","",'Stock UST'!E26)</f>
        <v/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212000000</v>
      </c>
      <c r="C27" s="9">
        <f>IF(IF(ISERROR(MATCH(Stock!C$1,'Stock UST'!$1:$1,0)),B27,INDEX('Stock UST'!27:27,1,MATCH(Stock!C$1,'Stock UST'!$1:$1,0)))=0,"",IF(ISERROR(MATCH(Stock!C$1,'Stock UST'!$1:$1,0)),B27,INDEX('Stock UST'!27:27,1,MATCH(Stock!C$1,'Stock UST'!$1:$1,0))))</f>
        <v>212000000</v>
      </c>
      <c r="D27" s="9">
        <f>IF(IF(ISERROR(MATCH(Stock!D$1,'Stock UST'!$1:$1,0)),C27,INDEX('Stock UST'!27:27,1,MATCH(Stock!D$1,'Stock UST'!$1:$1,0)))=0,"",IF(ISERROR(MATCH(Stock!D$1,'Stock UST'!$1:$1,0)),C27,INDEX('Stock UST'!27:27,1,MATCH(Stock!D$1,'Stock UST'!$1:$1,0))))</f>
        <v>212000000</v>
      </c>
      <c r="E27" s="9">
        <f>IF(IF(ISERROR(MATCH(Stock!E$1,'Stock UST'!$1:$1,0)),D27,INDEX('Stock UST'!27:27,1,MATCH(Stock!E$1,'Stock UST'!$1:$1,0)))=0,"",IF(ISERROR(MATCH(Stock!E$1,'Stock UST'!$1:$1,0)),D27,INDEX('Stock UST'!27:27,1,MATCH(Stock!E$1,'Stock UST'!$1:$1,0))))</f>
        <v>212000000</v>
      </c>
      <c r="F27" s="9">
        <f>IF(IF(ISERROR(MATCH(Stock!F$1,'Stock UST'!$1:$1,0)),E27,INDEX('Stock UST'!27:27,1,MATCH(Stock!F$1,'Stock UST'!$1:$1,0)))=0,"",IF(ISERROR(MATCH(Stock!F$1,'Stock UST'!$1:$1,0)),E27,INDEX('Stock UST'!27:27,1,MATCH(Stock!F$1,'Stock UST'!$1:$1,0))))</f>
        <v>212000000</v>
      </c>
      <c r="G27" s="9">
        <f>IF(IF(ISERROR(MATCH(Stock!G$1,'Stock UST'!$1:$1,0)),F27,INDEX('Stock UST'!27:27,1,MATCH(Stock!G$1,'Stock UST'!$1:$1,0)))=0,"",IF(ISERROR(MATCH(Stock!G$1,'Stock UST'!$1:$1,0)),F27,INDEX('Stock UST'!27:27,1,MATCH(Stock!G$1,'Stock UST'!$1:$1,0))))</f>
        <v>212000000</v>
      </c>
      <c r="H27" s="9">
        <f>IF(IF(ISERROR(MATCH(Stock!H$1,'Stock UST'!$1:$1,0)),G27,INDEX('Stock UST'!27:27,1,MATCH(Stock!H$1,'Stock UST'!$1:$1,0)))=0,"",IF(ISERROR(MATCH(Stock!H$1,'Stock UST'!$1:$1,0)),G27,INDEX('Stock UST'!27:27,1,MATCH(Stock!H$1,'Stock UST'!$1:$1,0))))</f>
        <v>212000000</v>
      </c>
      <c r="I27" s="9">
        <f>IF(IF(ISERROR(MATCH(Stock!I$1,'Stock UST'!$1:$1,0)),H27,INDEX('Stock UST'!27:27,1,MATCH(Stock!I$1,'Stock UST'!$1:$1,0)))=0,"",IF(ISERROR(MATCH(Stock!I$1,'Stock UST'!$1:$1,0)),H27,INDEX('Stock UST'!27:27,1,MATCH(Stock!I$1,'Stock UST'!$1:$1,0))))</f>
        <v>212000000</v>
      </c>
      <c r="J27" s="9">
        <f>IF(IF(ISERROR(MATCH(Stock!J$1,'Stock UST'!$1:$1,0)),I27,INDEX('Stock UST'!27:27,1,MATCH(Stock!J$1,'Stock UST'!$1:$1,0)))=0,"",IF(ISERROR(MATCH(Stock!J$1,'Stock UST'!$1:$1,0)),I27,INDEX('Stock UST'!27:27,1,MATCH(Stock!J$1,'Stock UST'!$1:$1,0))))</f>
        <v>212000000</v>
      </c>
      <c r="K27" s="9">
        <f>IF(IF(ISERROR(MATCH(Stock!K$1,'Stock UST'!$1:$1,0)),J27,INDEX('Stock UST'!27:27,1,MATCH(Stock!K$1,'Stock UST'!$1:$1,0)))=0,"",IF(ISERROR(MATCH(Stock!K$1,'Stock UST'!$1:$1,0)),J27,INDEX('Stock UST'!27:27,1,MATCH(Stock!K$1,'Stock UST'!$1:$1,0))))</f>
        <v>212000000</v>
      </c>
      <c r="L27" s="9">
        <f>IF(IF(ISERROR(MATCH(Stock!L$1,'Stock UST'!$1:$1,0)),K27,INDEX('Stock UST'!27:27,1,MATCH(Stock!L$1,'Stock UST'!$1:$1,0)))=0,"",IF(ISERROR(MATCH(Stock!L$1,'Stock UST'!$1:$1,0)),K27,INDEX('Stock UST'!27:27,1,MATCH(Stock!L$1,'Stock UST'!$1:$1,0))))</f>
        <v>212000000</v>
      </c>
      <c r="M27" s="9">
        <f>IF(IF(ISERROR(MATCH(Stock!M$1,'Stock UST'!$1:$1,0)),L27,INDEX('Stock UST'!27:27,1,MATCH(Stock!M$1,'Stock UST'!$1:$1,0)))=0,"",IF(ISERROR(MATCH(Stock!M$1,'Stock UST'!$1:$1,0)),L27,INDEX('Stock UST'!27:27,1,MATCH(Stock!M$1,'Stock UST'!$1:$1,0))))</f>
        <v>212000000</v>
      </c>
      <c r="N27" s="9">
        <f>IF(IF(ISERROR(MATCH(Stock!N$1,'Stock UST'!$1:$1,0)),M27,INDEX('Stock UST'!27:27,1,MATCH(Stock!N$1,'Stock UST'!$1:$1,0)))=0,"",IF(ISERROR(MATCH(Stock!N$1,'Stock UST'!$1:$1,0)),M27,INDEX('Stock UST'!27:27,1,MATCH(Stock!N$1,'Stock UST'!$1:$1,0))))</f>
        <v>212000000</v>
      </c>
      <c r="O27" s="9">
        <f>IF(IF(ISERROR(MATCH(Stock!O$1,'Stock UST'!$1:$1,0)),N27,INDEX('Stock UST'!27:27,1,MATCH(Stock!O$1,'Stock UST'!$1:$1,0)))=0,"",IF(ISERROR(MATCH(Stock!O$1,'Stock UST'!$1:$1,0)),N27,INDEX('Stock UST'!27:27,1,MATCH(Stock!O$1,'Stock UST'!$1:$1,0))))</f>
        <v>212000000</v>
      </c>
      <c r="P27" s="9">
        <f>IF(IF(ISERROR(MATCH(Stock!P$1,'Stock UST'!$1:$1,0)),O27,INDEX('Stock UST'!27:27,1,MATCH(Stock!P$1,'Stock UST'!$1:$1,0)))=0,"",IF(ISERROR(MATCH(Stock!P$1,'Stock UST'!$1:$1,0)),O27,INDEX('Stock UST'!27:27,1,MATCH(Stock!P$1,'Stock UST'!$1:$1,0))))</f>
        <v>212000000</v>
      </c>
      <c r="Q27" s="9">
        <f>IF(IF(ISERROR(MATCH(Stock!Q$1,'Stock UST'!$1:$1,0)),P27,INDEX('Stock UST'!27:27,1,MATCH(Stock!Q$1,'Stock UST'!$1:$1,0)))=0,"",IF(ISERROR(MATCH(Stock!Q$1,'Stock UST'!$1:$1,0)),P27,INDEX('Stock UST'!27:27,1,MATCH(Stock!Q$1,'Stock UST'!$1:$1,0))))</f>
        <v>212000000</v>
      </c>
      <c r="R27" s="9">
        <f>IF(IF(ISERROR(MATCH(Stock!R$1,'Stock UST'!$1:$1,0)),Q27,INDEX('Stock UST'!27:27,1,MATCH(Stock!R$1,'Stock UST'!$1:$1,0)))=0,"",IF(ISERROR(MATCH(Stock!R$1,'Stock UST'!$1:$1,0)),Q27,INDEX('Stock UST'!27:27,1,MATCH(Stock!R$1,'Stock UST'!$1:$1,0))))</f>
        <v>212000000</v>
      </c>
      <c r="S27" s="9">
        <f>IF(IF(ISERROR(MATCH(Stock!S$1,'Stock UST'!$1:$1,0)),R27,INDEX('Stock UST'!27:27,1,MATCH(Stock!S$1,'Stock UST'!$1:$1,0)))=0,"",IF(ISERROR(MATCH(Stock!S$1,'Stock UST'!$1:$1,0)),R27,INDEX('Stock UST'!27:27,1,MATCH(Stock!S$1,'Stock UST'!$1:$1,0))))</f>
        <v>212000000</v>
      </c>
      <c r="T27" s="9">
        <f>IF(IF(ISERROR(MATCH(Stock!T$1,'Stock UST'!$1:$1,0)),S27,INDEX('Stock UST'!27:27,1,MATCH(Stock!T$1,'Stock UST'!$1:$1,0)))=0,"",IF(ISERROR(MATCH(Stock!T$1,'Stock UST'!$1:$1,0)),S27,INDEX('Stock UST'!27:27,1,MATCH(Stock!T$1,'Stock UST'!$1:$1,0))))</f>
        <v>212000000</v>
      </c>
      <c r="U27" s="9">
        <f>IF(IF(ISERROR(MATCH(Stock!U$1,'Stock UST'!$1:$1,0)),T27,INDEX('Stock UST'!27:27,1,MATCH(Stock!U$1,'Stock UST'!$1:$1,0)))=0,"",IF(ISERROR(MATCH(Stock!U$1,'Stock UST'!$1:$1,0)),T27,INDEX('Stock UST'!27:27,1,MATCH(Stock!U$1,'Stock UST'!$1:$1,0))))</f>
        <v>212000000</v>
      </c>
      <c r="V27" s="9">
        <f>IF(IF(ISERROR(MATCH(Stock!V$1,'Stock UST'!$1:$1,0)),U27,INDEX('Stock UST'!27:27,1,MATCH(Stock!V$1,'Stock UST'!$1:$1,0)))=0,"",IF(ISERROR(MATCH(Stock!V$1,'Stock UST'!$1:$1,0)),U27,INDEX('Stock UST'!27:27,1,MATCH(Stock!V$1,'Stock UST'!$1:$1,0))))</f>
        <v>212000000</v>
      </c>
      <c r="W27" s="9">
        <f>IF(IF(ISERROR(MATCH(Stock!W$1,'Stock UST'!$1:$1,0)),V27,INDEX('Stock UST'!27:27,1,MATCH(Stock!W$1,'Stock UST'!$1:$1,0)))=0,"",IF(ISERROR(MATCH(Stock!W$1,'Stock UST'!$1:$1,0)),V27,INDEX('Stock UST'!27:27,1,MATCH(Stock!W$1,'Stock UST'!$1:$1,0))))</f>
        <v>212000000</v>
      </c>
      <c r="X27" s="9">
        <f>IF(IF(ISERROR(MATCH(Stock!X$1,'Stock UST'!$1:$1,0)),W27,INDEX('Stock UST'!27:27,1,MATCH(Stock!X$1,'Stock UST'!$1:$1,0)))=0,"",IF(ISERROR(MATCH(Stock!X$1,'Stock UST'!$1:$1,0)),W27,INDEX('Stock UST'!27:27,1,MATCH(Stock!X$1,'Stock UST'!$1:$1,0))))</f>
        <v>212000000</v>
      </c>
      <c r="Y27" s="9">
        <f>IF(IF(ISERROR(MATCH(Stock!Y$1,'Stock UST'!$1:$1,0)),X27,INDEX('Stock UST'!27:27,1,MATCH(Stock!Y$1,'Stock UST'!$1:$1,0)))=0,"",IF(ISERROR(MATCH(Stock!Y$1,'Stock UST'!$1:$1,0)),X27,INDEX('Stock UST'!27:27,1,MATCH(Stock!Y$1,'Stock UST'!$1:$1,0))))</f>
        <v>212000000</v>
      </c>
      <c r="Z27" s="9">
        <f>IF(IF(ISERROR(MATCH(Stock!Z$1,'Stock UST'!$1:$1,0)),Y27,INDEX('Stock UST'!27:27,1,MATCH(Stock!Z$1,'Stock UST'!$1:$1,0)))=0,"",IF(ISERROR(MATCH(Stock!Z$1,'Stock UST'!$1:$1,0)),Y27,INDEX('Stock UST'!27:27,1,MATCH(Stock!Z$1,'Stock UST'!$1:$1,0))))</f>
        <v>212000000</v>
      </c>
      <c r="AA27" s="9">
        <f>IF(IF(ISERROR(MATCH(Stock!AA$1,'Stock UST'!$1:$1,0)),Z27,INDEX('Stock UST'!27:27,1,MATCH(Stock!AA$1,'Stock UST'!$1:$1,0)))=0,"",IF(ISERROR(MATCH(Stock!AA$1,'Stock UST'!$1:$1,0)),Z27,INDEX('Stock UST'!27:27,1,MATCH(Stock!AA$1,'Stock UST'!$1:$1,0))))</f>
        <v>212000000</v>
      </c>
      <c r="AB27" s="9">
        <f>IF(IF(ISERROR(MATCH(Stock!AB$1,'Stock UST'!$1:$1,0)),AA27,INDEX('Stock UST'!27:27,1,MATCH(Stock!AB$1,'Stock UST'!$1:$1,0)))=0,"",IF(ISERROR(MATCH(Stock!AB$1,'Stock UST'!$1:$1,0)),AA27,INDEX('Stock UST'!27:27,1,MATCH(Stock!AB$1,'Stock UST'!$1:$1,0))))</f>
        <v>212000000</v>
      </c>
      <c r="AC27" s="9">
        <f>IF(IF(ISERROR(MATCH(Stock!AC$1,'Stock UST'!$1:$1,0)),AB27,INDEX('Stock UST'!27:27,1,MATCH(Stock!AC$1,'Stock UST'!$1:$1,0)))=0,"",IF(ISERROR(MATCH(Stock!AC$1,'Stock UST'!$1:$1,0)),AB27,INDEX('Stock UST'!27:27,1,MATCH(Stock!AC$1,'Stock UST'!$1:$1,0))))</f>
        <v>212000000</v>
      </c>
      <c r="AD27" s="9">
        <f>IF(IF(ISERROR(MATCH(Stock!AD$1,'Stock UST'!$1:$1,0)),AC27,INDEX('Stock UST'!27:27,1,MATCH(Stock!AD$1,'Stock UST'!$1:$1,0)))=0,"",IF(ISERROR(MATCH(Stock!AD$1,'Stock UST'!$1:$1,0)),AC27,INDEX('Stock UST'!27:27,1,MATCH(Stock!AD$1,'Stock UST'!$1:$1,0))))</f>
        <v>212000000</v>
      </c>
      <c r="AE27" s="9">
        <f>IF(IF(ISERROR(MATCH(Stock!AE$1,'Stock UST'!$1:$1,0)),AD27,INDEX('Stock UST'!27:27,1,MATCH(Stock!AE$1,'Stock UST'!$1:$1,0)))=0,"",IF(ISERROR(MATCH(Stock!AE$1,'Stock UST'!$1:$1,0)),AD27,INDEX('Stock UST'!27:27,1,MATCH(Stock!AE$1,'Stock UST'!$1:$1,0))))</f>
        <v>212000000</v>
      </c>
      <c r="AF27" s="9">
        <f>IF(IF(ISERROR(MATCH(Stock!AF$1,'Stock UST'!$1:$1,0)),AE27,INDEX('Stock UST'!27:27,1,MATCH(Stock!AF$1,'Stock UST'!$1:$1,0)))=0,"",IF(ISERROR(MATCH(Stock!AF$1,'Stock UST'!$1:$1,0)),AE27,INDEX('Stock UST'!27:27,1,MATCH(Stock!AF$1,'Stock UST'!$1:$1,0))))</f>
        <v>212000000</v>
      </c>
      <c r="AG27" s="9">
        <f>IF(IF(ISERROR(MATCH(Stock!AG$1,'Stock UST'!$1:$1,0)),AF27,INDEX('Stock UST'!27:27,1,MATCH(Stock!AG$1,'Stock UST'!$1:$1,0)))=0,"",IF(ISERROR(MATCH(Stock!AG$1,'Stock UST'!$1:$1,0)),AF27,INDEX('Stock UST'!27:27,1,MATCH(Stock!AG$1,'Stock UST'!$1:$1,0))))</f>
        <v>212000000</v>
      </c>
      <c r="AH27" s="9">
        <f>IF(IF(ISERROR(MATCH(Stock!AH$1,'Stock UST'!$1:$1,0)),AG27,INDEX('Stock UST'!27:27,1,MATCH(Stock!AH$1,'Stock UST'!$1:$1,0)))=0,"",IF(ISERROR(MATCH(Stock!AH$1,'Stock UST'!$1:$1,0)),AG27,INDEX('Stock UST'!27:27,1,MATCH(Stock!AH$1,'Stock UST'!$1:$1,0))))</f>
        <v>212000000</v>
      </c>
      <c r="AI27" s="9">
        <f>IF(IF(ISERROR(MATCH(Stock!AI$1,'Stock UST'!$1:$1,0)),AH27,INDEX('Stock UST'!27:27,1,MATCH(Stock!AI$1,'Stock UST'!$1:$1,0)))=0,"",IF(ISERROR(MATCH(Stock!AI$1,'Stock UST'!$1:$1,0)),AH27,INDEX('Stock UST'!27:27,1,MATCH(Stock!AI$1,'Stock UST'!$1:$1,0))))</f>
        <v>212000000</v>
      </c>
      <c r="AJ27" s="9">
        <f>IF(IF(ISERROR(MATCH(Stock!AJ$1,'Stock UST'!$1:$1,0)),AI27,INDEX('Stock UST'!27:27,1,MATCH(Stock!AJ$1,'Stock UST'!$1:$1,0)))=0,"",IF(ISERROR(MATCH(Stock!AJ$1,'Stock UST'!$1:$1,0)),AI27,INDEX('Stock UST'!27:27,1,MATCH(Stock!AJ$1,'Stock UST'!$1:$1,0))))</f>
        <v>212000000</v>
      </c>
      <c r="AK27" s="9">
        <f>IF(IF(ISERROR(MATCH(Stock!AK$1,'Stock UST'!$1:$1,0)),AJ27,INDEX('Stock UST'!27:27,1,MATCH(Stock!AK$1,'Stock UST'!$1:$1,0)))=0,"",IF(ISERROR(MATCH(Stock!AK$1,'Stock UST'!$1:$1,0)),AJ27,INDEX('Stock UST'!27:27,1,MATCH(Stock!AK$1,'Stock UST'!$1:$1,0))))</f>
        <v>212000000</v>
      </c>
      <c r="AL27" s="9">
        <f>IF(IF(ISERROR(MATCH(Stock!AL$1,'Stock UST'!$1:$1,0)),AK27,INDEX('Stock UST'!27:27,1,MATCH(Stock!AL$1,'Stock UST'!$1:$1,0)))=0,"",IF(ISERROR(MATCH(Stock!AL$1,'Stock UST'!$1:$1,0)),AK27,INDEX('Stock UST'!27:27,1,MATCH(Stock!AL$1,'Stock UST'!$1:$1,0))))</f>
        <v>212000000</v>
      </c>
      <c r="AM27" s="9">
        <f>IF(IF(ISERROR(MATCH(Stock!AM$1,'Stock UST'!$1:$1,0)),AL27,INDEX('Stock UST'!27:27,1,MATCH(Stock!AM$1,'Stock UST'!$1:$1,0)))=0,"",IF(ISERROR(MATCH(Stock!AM$1,'Stock UST'!$1:$1,0)),AL27,INDEX('Stock UST'!27:27,1,MATCH(Stock!AM$1,'Stock UST'!$1:$1,0))))</f>
        <v>212000000</v>
      </c>
      <c r="AN27" s="9">
        <f>IF(IF(ISERROR(MATCH(Stock!AN$1,'Stock UST'!$1:$1,0)),AM27,INDEX('Stock UST'!27:27,1,MATCH(Stock!AN$1,'Stock UST'!$1:$1,0)))=0,"",IF(ISERROR(MATCH(Stock!AN$1,'Stock UST'!$1:$1,0)),AM27,INDEX('Stock UST'!27:27,1,MATCH(Stock!AN$1,'Stock UST'!$1:$1,0))))</f>
        <v>212000000</v>
      </c>
      <c r="AO27" s="9">
        <f>IF(IF(ISERROR(MATCH(Stock!AO$1,'Stock UST'!$1:$1,0)),AN27,INDEX('Stock UST'!27:27,1,MATCH(Stock!AO$1,'Stock UST'!$1:$1,0)))=0,"",IF(ISERROR(MATCH(Stock!AO$1,'Stock UST'!$1:$1,0)),AN27,INDEX('Stock UST'!27:27,1,MATCH(Stock!AO$1,'Stock UST'!$1:$1,0))))</f>
        <v>212000000</v>
      </c>
      <c r="AP27" s="9">
        <f>IF(IF(ISERROR(MATCH(Stock!AP$1,'Stock UST'!$1:$1,0)),AO27,INDEX('Stock UST'!27:27,1,MATCH(Stock!AP$1,'Stock UST'!$1:$1,0)))=0,"",IF(ISERROR(MATCH(Stock!AP$1,'Stock UST'!$1:$1,0)),AO27,INDEX('Stock UST'!27:27,1,MATCH(Stock!AP$1,'Stock UST'!$1:$1,0))))</f>
        <v>212000000</v>
      </c>
      <c r="AQ27" s="9">
        <f>IF(IF(ISERROR(MATCH(Stock!AQ$1,'Stock UST'!$1:$1,0)),AP27,INDEX('Stock UST'!27:27,1,MATCH(Stock!AQ$1,'Stock UST'!$1:$1,0)))=0,"",IF(ISERROR(MATCH(Stock!AQ$1,'Stock UST'!$1:$1,0)),AP27,INDEX('Stock UST'!27:27,1,MATCH(Stock!AQ$1,'Stock UST'!$1:$1,0))))</f>
        <v>212000000</v>
      </c>
      <c r="AR27" s="9">
        <f>IF(IF(ISERROR(MATCH(Stock!AR$1,'Stock UST'!$1:$1,0)),AQ27,INDEX('Stock UST'!27:27,1,MATCH(Stock!AR$1,'Stock UST'!$1:$1,0)))=0,"",IF(ISERROR(MATCH(Stock!AR$1,'Stock UST'!$1:$1,0)),AQ27,INDEX('Stock UST'!27:27,1,MATCH(Stock!AR$1,'Stock UST'!$1:$1,0))))</f>
        <v>212000000</v>
      </c>
      <c r="AS27" s="9">
        <f>IF(IF(ISERROR(MATCH(Stock!AS$1,'Stock UST'!$1:$1,0)),AR27,INDEX('Stock UST'!27:27,1,MATCH(Stock!AS$1,'Stock UST'!$1:$1,0)))=0,"",IF(ISERROR(MATCH(Stock!AS$1,'Stock UST'!$1:$1,0)),AR27,INDEX('Stock UST'!27:27,1,MATCH(Stock!AS$1,'Stock UST'!$1:$1,0))))</f>
        <v>212000000</v>
      </c>
      <c r="AT27" s="9">
        <f>IF(IF(ISERROR(MATCH(Stock!AT$1,'Stock UST'!$1:$1,0)),AS27,INDEX('Stock UST'!27:27,1,MATCH(Stock!AT$1,'Stock UST'!$1:$1,0)))=0,"",IF(ISERROR(MATCH(Stock!AT$1,'Stock UST'!$1:$1,0)),AS27,INDEX('Stock UST'!27:27,1,MATCH(Stock!AT$1,'Stock UST'!$1:$1,0))))</f>
        <v>212000000</v>
      </c>
      <c r="AU27" s="9">
        <f>IF(IF(ISERROR(MATCH(Stock!AU$1,'Stock UST'!$1:$1,0)),AT27,INDEX('Stock UST'!27:27,1,MATCH(Stock!AU$1,'Stock UST'!$1:$1,0)))=0,"",IF(ISERROR(MATCH(Stock!AU$1,'Stock UST'!$1:$1,0)),AT27,INDEX('Stock UST'!27:27,1,MATCH(Stock!AU$1,'Stock UST'!$1:$1,0))))</f>
        <v>212000000</v>
      </c>
      <c r="AV27" s="9">
        <f>IF(IF(ISERROR(MATCH(Stock!AV$1,'Stock UST'!$1:$1,0)),AU27,INDEX('Stock UST'!27:27,1,MATCH(Stock!AV$1,'Stock UST'!$1:$1,0)))=0,"",IF(ISERROR(MATCH(Stock!AV$1,'Stock UST'!$1:$1,0)),AU27,INDEX('Stock UST'!27:27,1,MATCH(Stock!AV$1,'Stock UST'!$1:$1,0))))</f>
        <v>212000000</v>
      </c>
      <c r="AW27" s="9">
        <f>IF(IF(ISERROR(MATCH(Stock!AW$1,'Stock UST'!$1:$1,0)),AV27,INDEX('Stock UST'!27:27,1,MATCH(Stock!AW$1,'Stock UST'!$1:$1,0)))=0,"",IF(ISERROR(MATCH(Stock!AW$1,'Stock UST'!$1:$1,0)),AV27,INDEX('Stock UST'!27:27,1,MATCH(Stock!AW$1,'Stock UST'!$1:$1,0))))</f>
        <v>212000000</v>
      </c>
      <c r="AX27" s="9">
        <f>IF(IF(ISERROR(MATCH(Stock!AX$1,'Stock UST'!$1:$1,0)),AW27,INDEX('Stock UST'!27:27,1,MATCH(Stock!AX$1,'Stock UST'!$1:$1,0)))=0,"",IF(ISERROR(MATCH(Stock!AX$1,'Stock UST'!$1:$1,0)),AW27,INDEX('Stock UST'!27:27,1,MATCH(Stock!AX$1,'Stock UST'!$1:$1,0))))</f>
        <v>212000000</v>
      </c>
    </row>
    <row r="28" spans="1:50" x14ac:dyDescent="0.2">
      <c r="A28" s="9">
        <f>IF('Stock UST'!E28="","",'Stock UST'!E28)</f>
        <v>153000000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268000000</v>
      </c>
      <c r="C28" s="9">
        <f>IF(IF(ISERROR(MATCH(Stock!C$1,'Stock UST'!$1:$1,0)),B28,INDEX('Stock UST'!28:28,1,MATCH(Stock!C$1,'Stock UST'!$1:$1,0)))=0,"",IF(ISERROR(MATCH(Stock!C$1,'Stock UST'!$1:$1,0)),B28,INDEX('Stock UST'!28:28,1,MATCH(Stock!C$1,'Stock UST'!$1:$1,0))))</f>
        <v>268000000</v>
      </c>
      <c r="D28" s="9">
        <f>IF(IF(ISERROR(MATCH(Stock!D$1,'Stock UST'!$1:$1,0)),C28,INDEX('Stock UST'!28:28,1,MATCH(Stock!D$1,'Stock UST'!$1:$1,0)))=0,"",IF(ISERROR(MATCH(Stock!D$1,'Stock UST'!$1:$1,0)),C28,INDEX('Stock UST'!28:28,1,MATCH(Stock!D$1,'Stock UST'!$1:$1,0))))</f>
        <v>268000000</v>
      </c>
      <c r="E28" s="9">
        <f>IF(IF(ISERROR(MATCH(Stock!E$1,'Stock UST'!$1:$1,0)),D28,INDEX('Stock UST'!28:28,1,MATCH(Stock!E$1,'Stock UST'!$1:$1,0)))=0,"",IF(ISERROR(MATCH(Stock!E$1,'Stock UST'!$1:$1,0)),D28,INDEX('Stock UST'!28:28,1,MATCH(Stock!E$1,'Stock UST'!$1:$1,0))))</f>
        <v>268000000</v>
      </c>
      <c r="F28" s="9">
        <f>IF(IF(ISERROR(MATCH(Stock!F$1,'Stock UST'!$1:$1,0)),E28,INDEX('Stock UST'!28:28,1,MATCH(Stock!F$1,'Stock UST'!$1:$1,0)))=0,"",IF(ISERROR(MATCH(Stock!F$1,'Stock UST'!$1:$1,0)),E28,INDEX('Stock UST'!28:28,1,MATCH(Stock!F$1,'Stock UST'!$1:$1,0))))</f>
        <v>268000000</v>
      </c>
      <c r="G28" s="9">
        <f>IF(IF(ISERROR(MATCH(Stock!G$1,'Stock UST'!$1:$1,0)),F28,INDEX('Stock UST'!28:28,1,MATCH(Stock!G$1,'Stock UST'!$1:$1,0)))=0,"",IF(ISERROR(MATCH(Stock!G$1,'Stock UST'!$1:$1,0)),F28,INDEX('Stock UST'!28:28,1,MATCH(Stock!G$1,'Stock UST'!$1:$1,0))))</f>
        <v>268000000</v>
      </c>
      <c r="H28" s="9">
        <f>IF(IF(ISERROR(MATCH(Stock!H$1,'Stock UST'!$1:$1,0)),G28,INDEX('Stock UST'!28:28,1,MATCH(Stock!H$1,'Stock UST'!$1:$1,0)))=0,"",IF(ISERROR(MATCH(Stock!H$1,'Stock UST'!$1:$1,0)),G28,INDEX('Stock UST'!28:28,1,MATCH(Stock!H$1,'Stock UST'!$1:$1,0))))</f>
        <v>268000000</v>
      </c>
      <c r="I28" s="9">
        <f>IF(IF(ISERROR(MATCH(Stock!I$1,'Stock UST'!$1:$1,0)),H28,INDEX('Stock UST'!28:28,1,MATCH(Stock!I$1,'Stock UST'!$1:$1,0)))=0,"",IF(ISERROR(MATCH(Stock!I$1,'Stock UST'!$1:$1,0)),H28,INDEX('Stock UST'!28:28,1,MATCH(Stock!I$1,'Stock UST'!$1:$1,0))))</f>
        <v>268000000</v>
      </c>
      <c r="J28" s="9">
        <f>IF(IF(ISERROR(MATCH(Stock!J$1,'Stock UST'!$1:$1,0)),I28,INDEX('Stock UST'!28:28,1,MATCH(Stock!J$1,'Stock UST'!$1:$1,0)))=0,"",IF(ISERROR(MATCH(Stock!J$1,'Stock UST'!$1:$1,0)),I28,INDEX('Stock UST'!28:28,1,MATCH(Stock!J$1,'Stock UST'!$1:$1,0))))</f>
        <v>268000000</v>
      </c>
      <c r="K28" s="9">
        <f>IF(IF(ISERROR(MATCH(Stock!K$1,'Stock UST'!$1:$1,0)),J28,INDEX('Stock UST'!28:28,1,MATCH(Stock!K$1,'Stock UST'!$1:$1,0)))=0,"",IF(ISERROR(MATCH(Stock!K$1,'Stock UST'!$1:$1,0)),J28,INDEX('Stock UST'!28:28,1,MATCH(Stock!K$1,'Stock UST'!$1:$1,0))))</f>
        <v>268000000</v>
      </c>
      <c r="L28" s="9">
        <f>IF(IF(ISERROR(MATCH(Stock!L$1,'Stock UST'!$1:$1,0)),K28,INDEX('Stock UST'!28:28,1,MATCH(Stock!L$1,'Stock UST'!$1:$1,0)))=0,"",IF(ISERROR(MATCH(Stock!L$1,'Stock UST'!$1:$1,0)),K28,INDEX('Stock UST'!28:28,1,MATCH(Stock!L$1,'Stock UST'!$1:$1,0))))</f>
        <v>268000000</v>
      </c>
      <c r="M28" s="9">
        <f>IF(IF(ISERROR(MATCH(Stock!M$1,'Stock UST'!$1:$1,0)),L28,INDEX('Stock UST'!28:28,1,MATCH(Stock!M$1,'Stock UST'!$1:$1,0)))=0,"",IF(ISERROR(MATCH(Stock!M$1,'Stock UST'!$1:$1,0)),L28,INDEX('Stock UST'!28:28,1,MATCH(Stock!M$1,'Stock UST'!$1:$1,0))))</f>
        <v>268000000</v>
      </c>
      <c r="N28" s="9">
        <f>IF(IF(ISERROR(MATCH(Stock!N$1,'Stock UST'!$1:$1,0)),M28,INDEX('Stock UST'!28:28,1,MATCH(Stock!N$1,'Stock UST'!$1:$1,0)))=0,"",IF(ISERROR(MATCH(Stock!N$1,'Stock UST'!$1:$1,0)),M28,INDEX('Stock UST'!28:28,1,MATCH(Stock!N$1,'Stock UST'!$1:$1,0))))</f>
        <v>268000000</v>
      </c>
      <c r="O28" s="9">
        <f>IF(IF(ISERROR(MATCH(Stock!O$1,'Stock UST'!$1:$1,0)),N28,INDEX('Stock UST'!28:28,1,MATCH(Stock!O$1,'Stock UST'!$1:$1,0)))=0,"",IF(ISERROR(MATCH(Stock!O$1,'Stock UST'!$1:$1,0)),N28,INDEX('Stock UST'!28:28,1,MATCH(Stock!O$1,'Stock UST'!$1:$1,0))))</f>
        <v>268000000</v>
      </c>
      <c r="P28" s="9">
        <f>IF(IF(ISERROR(MATCH(Stock!P$1,'Stock UST'!$1:$1,0)),O28,INDEX('Stock UST'!28:28,1,MATCH(Stock!P$1,'Stock UST'!$1:$1,0)))=0,"",IF(ISERROR(MATCH(Stock!P$1,'Stock UST'!$1:$1,0)),O28,INDEX('Stock UST'!28:28,1,MATCH(Stock!P$1,'Stock UST'!$1:$1,0))))</f>
        <v>268000000</v>
      </c>
      <c r="Q28" s="9">
        <f>IF(IF(ISERROR(MATCH(Stock!Q$1,'Stock UST'!$1:$1,0)),P28,INDEX('Stock UST'!28:28,1,MATCH(Stock!Q$1,'Stock UST'!$1:$1,0)))=0,"",IF(ISERROR(MATCH(Stock!Q$1,'Stock UST'!$1:$1,0)),P28,INDEX('Stock UST'!28:28,1,MATCH(Stock!Q$1,'Stock UST'!$1:$1,0))))</f>
        <v>268000000</v>
      </c>
      <c r="R28" s="9">
        <f>IF(IF(ISERROR(MATCH(Stock!R$1,'Stock UST'!$1:$1,0)),Q28,INDEX('Stock UST'!28:28,1,MATCH(Stock!R$1,'Stock UST'!$1:$1,0)))=0,"",IF(ISERROR(MATCH(Stock!R$1,'Stock UST'!$1:$1,0)),Q28,INDEX('Stock UST'!28:28,1,MATCH(Stock!R$1,'Stock UST'!$1:$1,0))))</f>
        <v>268000000</v>
      </c>
      <c r="S28" s="9">
        <f>IF(IF(ISERROR(MATCH(Stock!S$1,'Stock UST'!$1:$1,0)),R28,INDEX('Stock UST'!28:28,1,MATCH(Stock!S$1,'Stock UST'!$1:$1,0)))=0,"",IF(ISERROR(MATCH(Stock!S$1,'Stock UST'!$1:$1,0)),R28,INDEX('Stock UST'!28:28,1,MATCH(Stock!S$1,'Stock UST'!$1:$1,0))))</f>
        <v>268000000</v>
      </c>
      <c r="T28" s="9">
        <f>IF(IF(ISERROR(MATCH(Stock!T$1,'Stock UST'!$1:$1,0)),S28,INDEX('Stock UST'!28:28,1,MATCH(Stock!T$1,'Stock UST'!$1:$1,0)))=0,"",IF(ISERROR(MATCH(Stock!T$1,'Stock UST'!$1:$1,0)),S28,INDEX('Stock UST'!28:28,1,MATCH(Stock!T$1,'Stock UST'!$1:$1,0))))</f>
        <v>268000000</v>
      </c>
      <c r="U28" s="9">
        <f>IF(IF(ISERROR(MATCH(Stock!U$1,'Stock UST'!$1:$1,0)),T28,INDEX('Stock UST'!28:28,1,MATCH(Stock!U$1,'Stock UST'!$1:$1,0)))=0,"",IF(ISERROR(MATCH(Stock!U$1,'Stock UST'!$1:$1,0)),T28,INDEX('Stock UST'!28:28,1,MATCH(Stock!U$1,'Stock UST'!$1:$1,0))))</f>
        <v>268000000</v>
      </c>
      <c r="V28" s="9">
        <f>IF(IF(ISERROR(MATCH(Stock!V$1,'Stock UST'!$1:$1,0)),U28,INDEX('Stock UST'!28:28,1,MATCH(Stock!V$1,'Stock UST'!$1:$1,0)))=0,"",IF(ISERROR(MATCH(Stock!V$1,'Stock UST'!$1:$1,0)),U28,INDEX('Stock UST'!28:28,1,MATCH(Stock!V$1,'Stock UST'!$1:$1,0))))</f>
        <v>268000000</v>
      </c>
      <c r="W28" s="9">
        <f>IF(IF(ISERROR(MATCH(Stock!W$1,'Stock UST'!$1:$1,0)),V28,INDEX('Stock UST'!28:28,1,MATCH(Stock!W$1,'Stock UST'!$1:$1,0)))=0,"",IF(ISERROR(MATCH(Stock!W$1,'Stock UST'!$1:$1,0)),V28,INDEX('Stock UST'!28:28,1,MATCH(Stock!W$1,'Stock UST'!$1:$1,0))))</f>
        <v>268000000</v>
      </c>
      <c r="X28" s="9">
        <f>IF(IF(ISERROR(MATCH(Stock!X$1,'Stock UST'!$1:$1,0)),W28,INDEX('Stock UST'!28:28,1,MATCH(Stock!X$1,'Stock UST'!$1:$1,0)))=0,"",IF(ISERROR(MATCH(Stock!X$1,'Stock UST'!$1:$1,0)),W28,INDEX('Stock UST'!28:28,1,MATCH(Stock!X$1,'Stock UST'!$1:$1,0))))</f>
        <v>268000000</v>
      </c>
      <c r="Y28" s="9">
        <f>IF(IF(ISERROR(MATCH(Stock!Y$1,'Stock UST'!$1:$1,0)),X28,INDEX('Stock UST'!28:28,1,MATCH(Stock!Y$1,'Stock UST'!$1:$1,0)))=0,"",IF(ISERROR(MATCH(Stock!Y$1,'Stock UST'!$1:$1,0)),X28,INDEX('Stock UST'!28:28,1,MATCH(Stock!Y$1,'Stock UST'!$1:$1,0))))</f>
        <v>268000000</v>
      </c>
      <c r="Z28" s="9">
        <f>IF(IF(ISERROR(MATCH(Stock!Z$1,'Stock UST'!$1:$1,0)),Y28,INDEX('Stock UST'!28:28,1,MATCH(Stock!Z$1,'Stock UST'!$1:$1,0)))=0,"",IF(ISERROR(MATCH(Stock!Z$1,'Stock UST'!$1:$1,0)),Y28,INDEX('Stock UST'!28:28,1,MATCH(Stock!Z$1,'Stock UST'!$1:$1,0))))</f>
        <v>268000000</v>
      </c>
      <c r="AA28" s="9">
        <f>IF(IF(ISERROR(MATCH(Stock!AA$1,'Stock UST'!$1:$1,0)),Z28,INDEX('Stock UST'!28:28,1,MATCH(Stock!AA$1,'Stock UST'!$1:$1,0)))=0,"",IF(ISERROR(MATCH(Stock!AA$1,'Stock UST'!$1:$1,0)),Z28,INDEX('Stock UST'!28:28,1,MATCH(Stock!AA$1,'Stock UST'!$1:$1,0))))</f>
        <v>268000000</v>
      </c>
      <c r="AB28" s="9">
        <f>IF(IF(ISERROR(MATCH(Stock!AB$1,'Stock UST'!$1:$1,0)),AA28,INDEX('Stock UST'!28:28,1,MATCH(Stock!AB$1,'Stock UST'!$1:$1,0)))=0,"",IF(ISERROR(MATCH(Stock!AB$1,'Stock UST'!$1:$1,0)),AA28,INDEX('Stock UST'!28:28,1,MATCH(Stock!AB$1,'Stock UST'!$1:$1,0))))</f>
        <v>268000000</v>
      </c>
      <c r="AC28" s="9">
        <f>IF(IF(ISERROR(MATCH(Stock!AC$1,'Stock UST'!$1:$1,0)),AB28,INDEX('Stock UST'!28:28,1,MATCH(Stock!AC$1,'Stock UST'!$1:$1,0)))=0,"",IF(ISERROR(MATCH(Stock!AC$1,'Stock UST'!$1:$1,0)),AB28,INDEX('Stock UST'!28:28,1,MATCH(Stock!AC$1,'Stock UST'!$1:$1,0))))</f>
        <v>268000000</v>
      </c>
      <c r="AD28" s="9">
        <f>IF(IF(ISERROR(MATCH(Stock!AD$1,'Stock UST'!$1:$1,0)),AC28,INDEX('Stock UST'!28:28,1,MATCH(Stock!AD$1,'Stock UST'!$1:$1,0)))=0,"",IF(ISERROR(MATCH(Stock!AD$1,'Stock UST'!$1:$1,0)),AC28,INDEX('Stock UST'!28:28,1,MATCH(Stock!AD$1,'Stock UST'!$1:$1,0))))</f>
        <v>268000000</v>
      </c>
      <c r="AE28" s="9">
        <f>IF(IF(ISERROR(MATCH(Stock!AE$1,'Stock UST'!$1:$1,0)),AD28,INDEX('Stock UST'!28:28,1,MATCH(Stock!AE$1,'Stock UST'!$1:$1,0)))=0,"",IF(ISERROR(MATCH(Stock!AE$1,'Stock UST'!$1:$1,0)),AD28,INDEX('Stock UST'!28:28,1,MATCH(Stock!AE$1,'Stock UST'!$1:$1,0))))</f>
        <v>268000000</v>
      </c>
      <c r="AF28" s="9">
        <f>IF(IF(ISERROR(MATCH(Stock!AF$1,'Stock UST'!$1:$1,0)),AE28,INDEX('Stock UST'!28:28,1,MATCH(Stock!AF$1,'Stock UST'!$1:$1,0)))=0,"",IF(ISERROR(MATCH(Stock!AF$1,'Stock UST'!$1:$1,0)),AE28,INDEX('Stock UST'!28:28,1,MATCH(Stock!AF$1,'Stock UST'!$1:$1,0))))</f>
        <v>268000000</v>
      </c>
      <c r="AG28" s="9">
        <f>IF(IF(ISERROR(MATCH(Stock!AG$1,'Stock UST'!$1:$1,0)),AF28,INDEX('Stock UST'!28:28,1,MATCH(Stock!AG$1,'Stock UST'!$1:$1,0)))=0,"",IF(ISERROR(MATCH(Stock!AG$1,'Stock UST'!$1:$1,0)),AF28,INDEX('Stock UST'!28:28,1,MATCH(Stock!AG$1,'Stock UST'!$1:$1,0))))</f>
        <v>268000000</v>
      </c>
      <c r="AH28" s="9">
        <f>IF(IF(ISERROR(MATCH(Stock!AH$1,'Stock UST'!$1:$1,0)),AG28,INDEX('Stock UST'!28:28,1,MATCH(Stock!AH$1,'Stock UST'!$1:$1,0)))=0,"",IF(ISERROR(MATCH(Stock!AH$1,'Stock UST'!$1:$1,0)),AG28,INDEX('Stock UST'!28:28,1,MATCH(Stock!AH$1,'Stock UST'!$1:$1,0))))</f>
        <v>268000000</v>
      </c>
      <c r="AI28" s="9">
        <f>IF(IF(ISERROR(MATCH(Stock!AI$1,'Stock UST'!$1:$1,0)),AH28,INDEX('Stock UST'!28:28,1,MATCH(Stock!AI$1,'Stock UST'!$1:$1,0)))=0,"",IF(ISERROR(MATCH(Stock!AI$1,'Stock UST'!$1:$1,0)),AH28,INDEX('Stock UST'!28:28,1,MATCH(Stock!AI$1,'Stock UST'!$1:$1,0))))</f>
        <v>268000000</v>
      </c>
      <c r="AJ28" s="9">
        <f>IF(IF(ISERROR(MATCH(Stock!AJ$1,'Stock UST'!$1:$1,0)),AI28,INDEX('Stock UST'!28:28,1,MATCH(Stock!AJ$1,'Stock UST'!$1:$1,0)))=0,"",IF(ISERROR(MATCH(Stock!AJ$1,'Stock UST'!$1:$1,0)),AI28,INDEX('Stock UST'!28:28,1,MATCH(Stock!AJ$1,'Stock UST'!$1:$1,0))))</f>
        <v>268000000</v>
      </c>
      <c r="AK28" s="9">
        <f>IF(IF(ISERROR(MATCH(Stock!AK$1,'Stock UST'!$1:$1,0)),AJ28,INDEX('Stock UST'!28:28,1,MATCH(Stock!AK$1,'Stock UST'!$1:$1,0)))=0,"",IF(ISERROR(MATCH(Stock!AK$1,'Stock UST'!$1:$1,0)),AJ28,INDEX('Stock UST'!28:28,1,MATCH(Stock!AK$1,'Stock UST'!$1:$1,0))))</f>
        <v>268000000</v>
      </c>
      <c r="AL28" s="9">
        <f>IF(IF(ISERROR(MATCH(Stock!AL$1,'Stock UST'!$1:$1,0)),AK28,INDEX('Stock UST'!28:28,1,MATCH(Stock!AL$1,'Stock UST'!$1:$1,0)))=0,"",IF(ISERROR(MATCH(Stock!AL$1,'Stock UST'!$1:$1,0)),AK28,INDEX('Stock UST'!28:28,1,MATCH(Stock!AL$1,'Stock UST'!$1:$1,0))))</f>
        <v>268000000</v>
      </c>
      <c r="AM28" s="9">
        <f>IF(IF(ISERROR(MATCH(Stock!AM$1,'Stock UST'!$1:$1,0)),AL28,INDEX('Stock UST'!28:28,1,MATCH(Stock!AM$1,'Stock UST'!$1:$1,0)))=0,"",IF(ISERROR(MATCH(Stock!AM$1,'Stock UST'!$1:$1,0)),AL28,INDEX('Stock UST'!28:28,1,MATCH(Stock!AM$1,'Stock UST'!$1:$1,0))))</f>
        <v>268000000</v>
      </c>
      <c r="AN28" s="9">
        <f>IF(IF(ISERROR(MATCH(Stock!AN$1,'Stock UST'!$1:$1,0)),AM28,INDEX('Stock UST'!28:28,1,MATCH(Stock!AN$1,'Stock UST'!$1:$1,0)))=0,"",IF(ISERROR(MATCH(Stock!AN$1,'Stock UST'!$1:$1,0)),AM28,INDEX('Stock UST'!28:28,1,MATCH(Stock!AN$1,'Stock UST'!$1:$1,0))))</f>
        <v>268000000</v>
      </c>
      <c r="AO28" s="9">
        <f>IF(IF(ISERROR(MATCH(Stock!AO$1,'Stock UST'!$1:$1,0)),AN28,INDEX('Stock UST'!28:28,1,MATCH(Stock!AO$1,'Stock UST'!$1:$1,0)))=0,"",IF(ISERROR(MATCH(Stock!AO$1,'Stock UST'!$1:$1,0)),AN28,INDEX('Stock UST'!28:28,1,MATCH(Stock!AO$1,'Stock UST'!$1:$1,0))))</f>
        <v>268000000</v>
      </c>
      <c r="AP28" s="9">
        <f>IF(IF(ISERROR(MATCH(Stock!AP$1,'Stock UST'!$1:$1,0)),AO28,INDEX('Stock UST'!28:28,1,MATCH(Stock!AP$1,'Stock UST'!$1:$1,0)))=0,"",IF(ISERROR(MATCH(Stock!AP$1,'Stock UST'!$1:$1,0)),AO28,INDEX('Stock UST'!28:28,1,MATCH(Stock!AP$1,'Stock UST'!$1:$1,0))))</f>
        <v>268000000</v>
      </c>
      <c r="AQ28" s="9">
        <f>IF(IF(ISERROR(MATCH(Stock!AQ$1,'Stock UST'!$1:$1,0)),AP28,INDEX('Stock UST'!28:28,1,MATCH(Stock!AQ$1,'Stock UST'!$1:$1,0)))=0,"",IF(ISERROR(MATCH(Stock!AQ$1,'Stock UST'!$1:$1,0)),AP28,INDEX('Stock UST'!28:28,1,MATCH(Stock!AQ$1,'Stock UST'!$1:$1,0))))</f>
        <v>268000000</v>
      </c>
      <c r="AR28" s="9">
        <f>IF(IF(ISERROR(MATCH(Stock!AR$1,'Stock UST'!$1:$1,0)),AQ28,INDEX('Stock UST'!28:28,1,MATCH(Stock!AR$1,'Stock UST'!$1:$1,0)))=0,"",IF(ISERROR(MATCH(Stock!AR$1,'Stock UST'!$1:$1,0)),AQ28,INDEX('Stock UST'!28:28,1,MATCH(Stock!AR$1,'Stock UST'!$1:$1,0))))</f>
        <v>268000000</v>
      </c>
      <c r="AS28" s="9">
        <f>IF(IF(ISERROR(MATCH(Stock!AS$1,'Stock UST'!$1:$1,0)),AR28,INDEX('Stock UST'!28:28,1,MATCH(Stock!AS$1,'Stock UST'!$1:$1,0)))=0,"",IF(ISERROR(MATCH(Stock!AS$1,'Stock UST'!$1:$1,0)),AR28,INDEX('Stock UST'!28:28,1,MATCH(Stock!AS$1,'Stock UST'!$1:$1,0))))</f>
        <v>268000000</v>
      </c>
      <c r="AT28" s="9">
        <f>IF(IF(ISERROR(MATCH(Stock!AT$1,'Stock UST'!$1:$1,0)),AS28,INDEX('Stock UST'!28:28,1,MATCH(Stock!AT$1,'Stock UST'!$1:$1,0)))=0,"",IF(ISERROR(MATCH(Stock!AT$1,'Stock UST'!$1:$1,0)),AS28,INDEX('Stock UST'!28:28,1,MATCH(Stock!AT$1,'Stock UST'!$1:$1,0))))</f>
        <v>268000000</v>
      </c>
      <c r="AU28" s="9">
        <f>IF(IF(ISERROR(MATCH(Stock!AU$1,'Stock UST'!$1:$1,0)),AT28,INDEX('Stock UST'!28:28,1,MATCH(Stock!AU$1,'Stock UST'!$1:$1,0)))=0,"",IF(ISERROR(MATCH(Stock!AU$1,'Stock UST'!$1:$1,0)),AT28,INDEX('Stock UST'!28:28,1,MATCH(Stock!AU$1,'Stock UST'!$1:$1,0))))</f>
        <v>268000000</v>
      </c>
      <c r="AV28" s="9">
        <f>IF(IF(ISERROR(MATCH(Stock!AV$1,'Stock UST'!$1:$1,0)),AU28,INDEX('Stock UST'!28:28,1,MATCH(Stock!AV$1,'Stock UST'!$1:$1,0)))=0,"",IF(ISERROR(MATCH(Stock!AV$1,'Stock UST'!$1:$1,0)),AU28,INDEX('Stock UST'!28:28,1,MATCH(Stock!AV$1,'Stock UST'!$1:$1,0))))</f>
        <v>268000000</v>
      </c>
      <c r="AW28" s="9">
        <f>IF(IF(ISERROR(MATCH(Stock!AW$1,'Stock UST'!$1:$1,0)),AV28,INDEX('Stock UST'!28:28,1,MATCH(Stock!AW$1,'Stock UST'!$1:$1,0)))=0,"",IF(ISERROR(MATCH(Stock!AW$1,'Stock UST'!$1:$1,0)),AV28,INDEX('Stock UST'!28:28,1,MATCH(Stock!AW$1,'Stock UST'!$1:$1,0))))</f>
        <v>268000000</v>
      </c>
      <c r="AX28" s="9">
        <f>IF(IF(ISERROR(MATCH(Stock!AX$1,'Stock UST'!$1:$1,0)),AW28,INDEX('Stock UST'!28:28,1,MATCH(Stock!AX$1,'Stock UST'!$1:$1,0)))=0,"",IF(ISERROR(MATCH(Stock!AX$1,'Stock UST'!$1:$1,0)),AW28,INDEX('Stock UST'!28:28,1,MATCH(Stock!AX$1,'Stock UST'!$1:$1,0))))</f>
        <v>268000000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bench Comparison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2014-07-06T16:37:30Z</dcterms:modified>
</cp:coreProperties>
</file>