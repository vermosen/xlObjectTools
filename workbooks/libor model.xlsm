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3"/>
  </bookViews>
  <sheets>
    <sheet name="monitors" sheetId="20" r:id="rId1"/>
    <sheet name="controls" sheetId="1" r:id="rId2"/>
    <sheet name="curves" sheetId="10" r:id="rId3"/>
    <sheet name="swaptions" sheetId="21" r:id="rId4"/>
  </sheets>
  <definedNames>
    <definedName name="bidask_1">#REF!</definedName>
    <definedName name="bidask_2">#REF!</definedName>
    <definedName name="cAnnual">controls!$C$7</definedName>
    <definedName name="cContinuous">controls!$C$5</definedName>
    <definedName name="change">controls!#REF!</definedName>
    <definedName name="cMmkt">controls!$C$9</definedName>
    <definedName name="convAdj">curves!$G$37</definedName>
    <definedName name="cSemi">controls!$C$8</definedName>
    <definedName name="cSimple">controls!$C$6</definedName>
    <definedName name="cTreasuries">controls!$C$3</definedName>
    <definedName name="cTrueYield">controls!$C$4</definedName>
    <definedName name="duration1">#REF!</definedName>
    <definedName name="duration2">#REF!</definedName>
    <definedName name="fedFund">curves!$I$42</definedName>
    <definedName name="histoSpread1">#REF!</definedName>
    <definedName name="histoSpread2">#REF!</definedName>
    <definedName name="isin1">#REF!</definedName>
    <definedName name="isin2">#REF!</definedName>
    <definedName name="libor3M">curves!$B$42</definedName>
    <definedName name="meanRev">curves!$G$38</definedName>
    <definedName name="oisCurve">curves!$I$29</definedName>
    <definedName name="plageDateHistorique">#REF!</definedName>
    <definedName name="pricingDate">controls!$A$3</definedName>
    <definedName name="ratioPV">controls!$A$7</definedName>
    <definedName name="swapCurve">curves!$B$39</definedName>
    <definedName name="terminationDate">#REF!</definedName>
    <definedName name="titre2">#REF!</definedName>
    <definedName name="ustCurve">curves!#REF!</definedName>
    <definedName name="yield1">#REF!</definedName>
    <definedName name="yield2">#REF!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</workbook>
</file>

<file path=xl/calcChain.xml><?xml version="1.0" encoding="utf-8"?>
<calcChain xmlns="http://schemas.openxmlformats.org/spreadsheetml/2006/main">
  <c r="A26" i="21" l="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3" i="21"/>
  <c r="A4" i="21"/>
  <c r="A5" i="21"/>
  <c r="A6" i="21"/>
  <c r="A7" i="21"/>
  <c r="A8" i="21"/>
  <c r="A2" i="21"/>
  <c r="K44" i="10" l="1"/>
  <c r="F5" i="10"/>
  <c r="F7" i="10"/>
  <c r="F4" i="10"/>
  <c r="F3" i="10"/>
  <c r="F6" i="10"/>
  <c r="F8" i="10"/>
  <c r="C5" i="1"/>
  <c r="C7" i="1"/>
  <c r="C4" i="1"/>
  <c r="C8" i="1"/>
  <c r="A3" i="1"/>
  <c r="C9" i="1"/>
  <c r="C6" i="1"/>
  <c r="K10" i="10"/>
  <c r="K14" i="10"/>
  <c r="D34" i="10"/>
  <c r="D33" i="10"/>
  <c r="Q28" i="10"/>
  <c r="D25" i="10"/>
  <c r="B9" i="10"/>
  <c r="K18" i="10"/>
  <c r="K11" i="10"/>
  <c r="D32" i="10"/>
  <c r="Q31" i="10"/>
  <c r="K21" i="10"/>
  <c r="K23" i="10"/>
  <c r="Q35" i="10"/>
  <c r="K9" i="10"/>
  <c r="K7" i="10"/>
  <c r="C3" i="1"/>
  <c r="Q38" i="10"/>
  <c r="Q30" i="10"/>
  <c r="Q23" i="10"/>
  <c r="K12" i="10"/>
  <c r="K27" i="10"/>
  <c r="K24" i="10"/>
  <c r="D7" i="10"/>
  <c r="K19" i="10"/>
  <c r="K8" i="10"/>
  <c r="Q29" i="10"/>
  <c r="K25" i="10"/>
  <c r="D4" i="10"/>
  <c r="K4" i="10"/>
  <c r="D35" i="10"/>
  <c r="Q25" i="10"/>
  <c r="D21" i="10"/>
  <c r="D2" i="21"/>
  <c r="Q39" i="10"/>
  <c r="D24" i="10"/>
  <c r="D5" i="10"/>
  <c r="D22" i="10"/>
  <c r="Q36" i="10"/>
  <c r="Q33" i="10"/>
  <c r="K6" i="10"/>
  <c r="Q26" i="10"/>
  <c r="K5" i="10"/>
  <c r="Q37" i="10"/>
  <c r="D27" i="10"/>
  <c r="K26" i="10"/>
  <c r="K16" i="10"/>
  <c r="D26" i="10"/>
  <c r="K22" i="10"/>
  <c r="K17" i="10"/>
  <c r="D29" i="10"/>
  <c r="D23" i="10"/>
  <c r="D28" i="10"/>
  <c r="D30" i="10"/>
  <c r="K20" i="10"/>
  <c r="Q27" i="10"/>
  <c r="Q34" i="10"/>
  <c r="D3" i="10"/>
  <c r="K3" i="10"/>
  <c r="Q32" i="10"/>
  <c r="D31" i="10"/>
  <c r="D8" i="10"/>
  <c r="K15" i="10"/>
  <c r="K13" i="10"/>
  <c r="D6" i="10"/>
  <c r="Q24" i="10"/>
  <c r="E2" i="21"/>
  <c r="L2" i="21" s="1"/>
  <c r="D7" i="21"/>
  <c r="D5" i="21"/>
  <c r="D3" i="21"/>
  <c r="D8" i="21"/>
  <c r="D6" i="21"/>
  <c r="D4" i="21"/>
  <c r="E7" i="21"/>
  <c r="L7" i="21" s="1"/>
  <c r="E5" i="21"/>
  <c r="L5" i="21" s="1"/>
  <c r="E3" i="21"/>
  <c r="L3" i="21" s="1"/>
  <c r="E8" i="21"/>
  <c r="L8" i="21" s="1"/>
  <c r="E6" i="21"/>
  <c r="L6" i="21" s="1"/>
  <c r="E4" i="21"/>
  <c r="L4" i="21" s="1"/>
  <c r="D16" i="21"/>
  <c r="D14" i="21"/>
  <c r="D12" i="21"/>
  <c r="D10" i="21"/>
  <c r="D15" i="21"/>
  <c r="D13" i="21"/>
  <c r="D11" i="21"/>
  <c r="D9" i="21"/>
  <c r="E16" i="21"/>
  <c r="L16" i="21" s="1"/>
  <c r="E14" i="21"/>
  <c r="L14" i="21" s="1"/>
  <c r="E12" i="21"/>
  <c r="L12" i="21" s="1"/>
  <c r="E10" i="21"/>
  <c r="L10" i="21" s="1"/>
  <c r="E15" i="21"/>
  <c r="L15" i="21"/>
  <c r="E13" i="21"/>
  <c r="L13" i="21"/>
  <c r="E11" i="21"/>
  <c r="L11" i="21"/>
  <c r="E9" i="21"/>
  <c r="L9" i="21"/>
  <c r="D18" i="21"/>
  <c r="D72" i="21"/>
  <c r="D71" i="21"/>
  <c r="D70" i="21"/>
  <c r="D69" i="21"/>
  <c r="D68" i="21"/>
  <c r="D67" i="21"/>
  <c r="D19" i="21"/>
  <c r="D17" i="21"/>
  <c r="D66" i="21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E18" i="21"/>
  <c r="L18" i="21" s="1"/>
  <c r="E19" i="21"/>
  <c r="L19" i="21"/>
  <c r="E17" i="21"/>
  <c r="L17" i="21"/>
  <c r="E72" i="21"/>
  <c r="L72" i="21" s="1"/>
  <c r="E71" i="21"/>
  <c r="L71" i="21" s="1"/>
  <c r="E70" i="21"/>
  <c r="L70" i="21" s="1"/>
  <c r="E69" i="21"/>
  <c r="L69" i="21" s="1"/>
  <c r="E68" i="21"/>
  <c r="L68" i="21" s="1"/>
  <c r="E67" i="21"/>
  <c r="L67" i="21" s="1"/>
  <c r="E66" i="21"/>
  <c r="L66" i="21" s="1"/>
  <c r="E65" i="21"/>
  <c r="L65" i="21" s="1"/>
  <c r="E64" i="21"/>
  <c r="L64" i="21" s="1"/>
  <c r="E63" i="21"/>
  <c r="L63" i="21" s="1"/>
  <c r="E62" i="21"/>
  <c r="L62" i="21" s="1"/>
  <c r="E61" i="21"/>
  <c r="L61" i="21" s="1"/>
  <c r="E60" i="21"/>
  <c r="L60" i="21" s="1"/>
  <c r="E59" i="21"/>
  <c r="L59" i="21" s="1"/>
  <c r="E58" i="21"/>
  <c r="L58" i="21" s="1"/>
  <c r="E57" i="21"/>
  <c r="L57" i="21" s="1"/>
  <c r="E56" i="21"/>
  <c r="L56" i="21" s="1"/>
  <c r="E55" i="21"/>
  <c r="L55" i="21" s="1"/>
  <c r="E54" i="21"/>
  <c r="L54" i="21" s="1"/>
  <c r="E53" i="21"/>
  <c r="L53" i="21" s="1"/>
  <c r="E52" i="21"/>
  <c r="L52" i="21" s="1"/>
  <c r="E51" i="21"/>
  <c r="L51" i="21" s="1"/>
  <c r="E50" i="21"/>
  <c r="L50" i="21" s="1"/>
  <c r="E49" i="21"/>
  <c r="L49" i="21" s="1"/>
  <c r="E48" i="21"/>
  <c r="L48" i="21" s="1"/>
  <c r="E47" i="21"/>
  <c r="L47" i="21" s="1"/>
  <c r="E46" i="21"/>
  <c r="L46" i="21" s="1"/>
  <c r="E45" i="21"/>
  <c r="L45" i="21" s="1"/>
  <c r="E44" i="21"/>
  <c r="L44" i="21" s="1"/>
  <c r="E43" i="21"/>
  <c r="L43" i="21" s="1"/>
  <c r="E42" i="21"/>
  <c r="L42" i="21" s="1"/>
  <c r="E41" i="21"/>
  <c r="L41" i="21" s="1"/>
  <c r="E40" i="21"/>
  <c r="L40" i="21" s="1"/>
  <c r="E39" i="21"/>
  <c r="L39" i="21" s="1"/>
  <c r="E38" i="21"/>
  <c r="L38" i="21" s="1"/>
  <c r="E37" i="21"/>
  <c r="L37" i="21" s="1"/>
  <c r="E36" i="21"/>
  <c r="L36" i="21" s="1"/>
  <c r="E35" i="21"/>
  <c r="L35" i="21" s="1"/>
  <c r="E34" i="21"/>
  <c r="L34" i="21" s="1"/>
  <c r="E33" i="21"/>
  <c r="L33" i="21" s="1"/>
  <c r="E32" i="21"/>
  <c r="L32" i="21" s="1"/>
  <c r="E31" i="21"/>
  <c r="L31" i="21" s="1"/>
  <c r="E30" i="21"/>
  <c r="L30" i="21" s="1"/>
  <c r="E29" i="21"/>
  <c r="L29" i="21" s="1"/>
  <c r="E28" i="21"/>
  <c r="L28" i="21" s="1"/>
  <c r="E27" i="21"/>
  <c r="L27" i="21" s="1"/>
  <c r="E26" i="21"/>
  <c r="L26" i="21" s="1"/>
  <c r="E25" i="21"/>
  <c r="L25" i="21" s="1"/>
  <c r="E24" i="21"/>
  <c r="L24" i="21" s="1"/>
  <c r="E23" i="21"/>
  <c r="L23" i="21" s="1"/>
  <c r="E22" i="21"/>
  <c r="L22" i="21" s="1"/>
  <c r="E21" i="21"/>
  <c r="L21" i="21" s="1"/>
  <c r="E20" i="21"/>
  <c r="L20" i="21" s="1"/>
  <c r="C9" i="10" l="1"/>
  <c r="B10" i="10"/>
  <c r="D9" i="10"/>
  <c r="C10" i="10" l="1"/>
  <c r="B11" i="10"/>
  <c r="D10" i="10"/>
  <c r="C11" i="10" l="1"/>
  <c r="B12" i="10"/>
  <c r="D11" i="10"/>
  <c r="C12" i="10" l="1"/>
  <c r="D12" i="10"/>
  <c r="B13" i="10"/>
  <c r="C13" i="10" l="1"/>
  <c r="D13" i="10"/>
  <c r="B14" i="10"/>
  <c r="C14" i="10" l="1"/>
  <c r="D14" i="10"/>
  <c r="B15" i="10"/>
  <c r="C15" i="10" l="1"/>
  <c r="D15" i="10"/>
  <c r="B16" i="10"/>
  <c r="C16" i="10" l="1"/>
  <c r="B17" i="10"/>
  <c r="D16" i="10"/>
  <c r="C17" i="10" l="1"/>
  <c r="D17" i="10"/>
  <c r="B18" i="10"/>
  <c r="C18" i="10" l="1"/>
  <c r="D18" i="10"/>
  <c r="B19" i="10"/>
  <c r="C19" i="10" l="1"/>
  <c r="B20" i="10"/>
  <c r="D19" i="10"/>
  <c r="C20" i="10" l="1"/>
  <c r="D50" i="10"/>
  <c r="D20" i="10"/>
  <c r="K49" i="10" l="1"/>
  <c r="K48" i="10"/>
  <c r="K47" i="10"/>
  <c r="K46" i="10"/>
  <c r="K45" i="10"/>
  <c r="K43" i="10"/>
  <c r="D43" i="10" l="1"/>
  <c r="D49" i="10"/>
  <c r="C42" i="10"/>
  <c r="Q6" i="10"/>
  <c r="Q17" i="10"/>
  <c r="Q14" i="10"/>
  <c r="Q7" i="10"/>
  <c r="Q4" i="10"/>
  <c r="Q9" i="10"/>
  <c r="Q13" i="10"/>
  <c r="Q19" i="10"/>
  <c r="Q18" i="10"/>
  <c r="Q8" i="10"/>
  <c r="Q5" i="10"/>
  <c r="Q16" i="10"/>
  <c r="Q10" i="10"/>
  <c r="Q11" i="10"/>
  <c r="Q15" i="10"/>
  <c r="Q12" i="10"/>
  <c r="Q3" i="10"/>
  <c r="D48" i="10" l="1"/>
  <c r="D47" i="10"/>
  <c r="D46" i="10"/>
  <c r="D45" i="10"/>
  <c r="D44" i="10"/>
  <c r="J42" i="10"/>
  <c r="B42" i="10"/>
  <c r="F11" i="10"/>
  <c r="F17" i="10"/>
  <c r="F12" i="10"/>
  <c r="F14" i="10"/>
  <c r="F13" i="10"/>
  <c r="F19" i="10"/>
  <c r="I42" i="10"/>
  <c r="M17" i="10"/>
  <c r="M15" i="10"/>
  <c r="M19" i="10"/>
  <c r="M9" i="10"/>
  <c r="M23" i="10"/>
  <c r="M6" i="10"/>
  <c r="M16" i="10"/>
  <c r="M22" i="10"/>
  <c r="M26" i="10"/>
  <c r="M5" i="10"/>
  <c r="M13" i="10"/>
  <c r="M24" i="10"/>
  <c r="F10" i="10"/>
  <c r="F18" i="10"/>
  <c r="F20" i="10"/>
  <c r="F15" i="10"/>
  <c r="F9" i="10"/>
  <c r="F16" i="10"/>
  <c r="M7" i="10"/>
  <c r="M4" i="10"/>
  <c r="M8" i="10"/>
  <c r="M14" i="10"/>
  <c r="M11" i="10"/>
  <c r="M21" i="10"/>
  <c r="M25" i="10"/>
  <c r="M12" i="10"/>
  <c r="M27" i="10"/>
  <c r="M10" i="10"/>
  <c r="M20" i="10"/>
  <c r="M18" i="10"/>
  <c r="M3" i="10"/>
  <c r="I29" i="10"/>
  <c r="V34" i="10"/>
  <c r="U12" i="10"/>
  <c r="V32" i="10"/>
  <c r="U5" i="10"/>
  <c r="T27" i="10"/>
  <c r="V37" i="10"/>
  <c r="V27" i="10"/>
  <c r="V26" i="10"/>
  <c r="T26" i="10"/>
  <c r="T35" i="10"/>
  <c r="S12" i="10"/>
  <c r="R32" i="10"/>
  <c r="W32" i="10"/>
  <c r="T39" i="10"/>
  <c r="U7" i="10"/>
  <c r="W28" i="10"/>
  <c r="S33" i="10"/>
  <c r="S9" i="10"/>
  <c r="R29" i="10"/>
  <c r="W36" i="10"/>
  <c r="S17" i="10"/>
  <c r="R37" i="10"/>
  <c r="U3" i="10"/>
  <c r="U30" i="10"/>
  <c r="S4" i="10"/>
  <c r="R24" i="10"/>
  <c r="W24" i="10"/>
  <c r="V28" i="10"/>
  <c r="U19" i="10"/>
  <c r="S27" i="10"/>
  <c r="S16" i="10"/>
  <c r="R36" i="10"/>
  <c r="V36" i="10"/>
  <c r="V25" i="10"/>
  <c r="T37" i="10"/>
  <c r="S18" i="10"/>
  <c r="R38" i="10"/>
  <c r="S30" i="10"/>
  <c r="T28" i="10"/>
  <c r="S13" i="10"/>
  <c r="R33" i="10"/>
  <c r="U27" i="10"/>
  <c r="S11" i="10"/>
  <c r="R31" i="10"/>
  <c r="U15" i="10"/>
  <c r="U24" i="10"/>
  <c r="U9" i="10"/>
  <c r="U32" i="10"/>
  <c r="T32" i="10"/>
  <c r="U28" i="10"/>
  <c r="W25" i="10"/>
  <c r="T38" i="10"/>
  <c r="S37" i="10"/>
  <c r="N15" i="10"/>
  <c r="N24" i="10"/>
  <c r="N8" i="10"/>
  <c r="S23" i="10"/>
  <c r="N26" i="10"/>
  <c r="N6" i="10"/>
  <c r="V31" i="10"/>
  <c r="T29" i="10"/>
  <c r="U13" i="10"/>
  <c r="N19" i="10"/>
  <c r="N12" i="10"/>
  <c r="U29" i="10"/>
  <c r="N18" i="10"/>
  <c r="F33" i="10"/>
  <c r="W23" i="10"/>
  <c r="F26" i="10"/>
  <c r="S29" i="10"/>
  <c r="S31" i="10"/>
  <c r="U26" i="10"/>
  <c r="S35" i="10"/>
  <c r="T25" i="10"/>
  <c r="S36" i="10"/>
  <c r="S5" i="10"/>
  <c r="R25" i="10"/>
  <c r="U36" i="10"/>
  <c r="V35" i="10"/>
  <c r="V33" i="10"/>
  <c r="W39" i="10"/>
  <c r="F23" i="10"/>
  <c r="F31" i="10"/>
  <c r="T36" i="10"/>
  <c r="W37" i="10"/>
  <c r="S3" i="10"/>
  <c r="R23" i="10"/>
  <c r="T30" i="10"/>
  <c r="S24" i="10"/>
  <c r="V39" i="10"/>
  <c r="S7" i="10"/>
  <c r="R27" i="10"/>
  <c r="U37" i="10"/>
  <c r="F28" i="10"/>
  <c r="U6" i="10"/>
  <c r="S6" i="10"/>
  <c r="R26" i="10"/>
  <c r="U11" i="10"/>
  <c r="F34" i="10"/>
  <c r="S14" i="10"/>
  <c r="R34" i="10"/>
  <c r="U10" i="10"/>
  <c r="W35" i="10"/>
  <c r="S26" i="10"/>
  <c r="S19" i="10"/>
  <c r="R39" i="10"/>
  <c r="U35" i="10"/>
  <c r="V24" i="10"/>
  <c r="U39" i="10"/>
  <c r="V29" i="10"/>
  <c r="F25" i="10"/>
  <c r="W34" i="10"/>
  <c r="T33" i="10"/>
  <c r="T24" i="10"/>
  <c r="U16" i="10"/>
  <c r="U18" i="10"/>
  <c r="U8" i="10"/>
  <c r="S34" i="10"/>
  <c r="W38" i="10"/>
  <c r="S25" i="10"/>
  <c r="S28" i="10"/>
  <c r="W29" i="10"/>
  <c r="N23" i="10"/>
  <c r="N7" i="10"/>
  <c r="N16" i="10"/>
  <c r="W26" i="10"/>
  <c r="U25" i="10"/>
  <c r="N17" i="10"/>
  <c r="N10" i="10"/>
  <c r="T31" i="10"/>
  <c r="S10" i="10"/>
  <c r="R30" i="10"/>
  <c r="S39" i="10"/>
  <c r="U4" i="10"/>
  <c r="S38" i="10"/>
  <c r="N3" i="10"/>
  <c r="W27" i="10"/>
  <c r="N25" i="10"/>
  <c r="U31" i="10"/>
  <c r="W31" i="10"/>
  <c r="U23" i="10"/>
  <c r="N13" i="10"/>
  <c r="N14" i="10"/>
  <c r="U17" i="10"/>
  <c r="U38" i="10"/>
  <c r="U33" i="10"/>
  <c r="N27" i="10"/>
  <c r="N20" i="10"/>
  <c r="U14" i="10"/>
  <c r="N4" i="10"/>
  <c r="V30" i="10"/>
  <c r="S32" i="10"/>
  <c r="N5" i="10"/>
  <c r="V23" i="10"/>
  <c r="U34" i="10"/>
  <c r="N22" i="10"/>
  <c r="N21" i="10"/>
  <c r="T23" i="10"/>
  <c r="W33" i="10"/>
  <c r="T34" i="10"/>
  <c r="S15" i="10"/>
  <c r="R35" i="10"/>
  <c r="W30" i="10"/>
  <c r="N11" i="10"/>
  <c r="S8" i="10"/>
  <c r="R28" i="10"/>
  <c r="N9" i="10"/>
  <c r="V38" i="10"/>
  <c r="F29" i="10"/>
  <c r="F21" i="10"/>
  <c r="F35" i="10"/>
  <c r="F32" i="10"/>
  <c r="F24" i="10"/>
  <c r="F27" i="10"/>
  <c r="F30" i="10"/>
  <c r="F22" i="10"/>
  <c r="B39" i="10"/>
  <c r="G35" i="10"/>
  <c r="T11" i="10"/>
  <c r="R5" i="10"/>
  <c r="T18" i="10"/>
  <c r="R15" i="10"/>
  <c r="G33" i="10"/>
  <c r="R12" i="10"/>
  <c r="G26" i="10"/>
  <c r="G31" i="10"/>
  <c r="T19" i="10"/>
  <c r="T8" i="10"/>
  <c r="G32" i="10"/>
  <c r="G25" i="10"/>
  <c r="R19" i="10"/>
  <c r="T12" i="10"/>
  <c r="T17" i="10"/>
  <c r="G13" i="10"/>
  <c r="G11" i="10"/>
  <c r="R14" i="10"/>
  <c r="G21" i="10"/>
  <c r="G10" i="10"/>
  <c r="T7" i="10"/>
  <c r="T9" i="10"/>
  <c r="T14" i="10"/>
  <c r="R17" i="10"/>
  <c r="R18" i="10"/>
  <c r="G4" i="10"/>
  <c r="R7" i="10"/>
  <c r="G8" i="10"/>
  <c r="G12" i="10"/>
  <c r="T15" i="10"/>
  <c r="T16" i="10"/>
  <c r="R10" i="10"/>
  <c r="T3" i="10"/>
  <c r="G24" i="10"/>
  <c r="G5" i="10"/>
  <c r="G28" i="10"/>
  <c r="G34" i="10"/>
  <c r="G30" i="10"/>
  <c r="G9" i="10"/>
  <c r="G29" i="10"/>
  <c r="T6" i="10"/>
  <c r="T5" i="10"/>
  <c r="G15" i="10"/>
  <c r="R9" i="10"/>
  <c r="T4" i="10"/>
  <c r="G27" i="10"/>
  <c r="G7" i="10"/>
  <c r="G16" i="10"/>
  <c r="R3" i="10"/>
  <c r="R11" i="10"/>
  <c r="G18" i="10"/>
  <c r="G6" i="10"/>
  <c r="R8" i="10"/>
  <c r="G14" i="10"/>
  <c r="G20" i="10"/>
  <c r="R4" i="10"/>
  <c r="T13" i="10"/>
  <c r="R13" i="10"/>
  <c r="R16" i="10"/>
  <c r="G23" i="10"/>
  <c r="G17" i="10"/>
  <c r="G22" i="10"/>
  <c r="G19" i="10"/>
  <c r="T10" i="10"/>
  <c r="R6" i="10"/>
  <c r="G3" i="10"/>
</calcChain>
</file>

<file path=xl/comments1.xml><?xml version="1.0" encoding="utf-8"?>
<comments xmlns="http://schemas.openxmlformats.org/spreadsheetml/2006/main">
  <authors>
    <author>vermosen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</commentList>
</comments>
</file>

<file path=xl/comments2.xml><?xml version="1.0" encoding="utf-8"?>
<comments xmlns="http://schemas.openxmlformats.org/spreadsheetml/2006/main">
  <authors>
    <author>vermosen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sharedStrings.xml><?xml version="1.0" encoding="utf-8"?>
<sst xmlns="http://schemas.openxmlformats.org/spreadsheetml/2006/main" count="667" uniqueCount="117">
  <si>
    <t>2W</t>
  </si>
  <si>
    <t>3M</t>
  </si>
  <si>
    <t>6M</t>
  </si>
  <si>
    <t>Pricing date</t>
  </si>
  <si>
    <t>Rate</t>
  </si>
  <si>
    <t>maturities</t>
  </si>
  <si>
    <t>Spot rates</t>
  </si>
  <si>
    <t>1W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</si>
  <si>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</si>
  <si>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</si>
  <si>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</si>
  <si>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</si>
  <si>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</si>
  <si>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</si>
  <si>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</si>
  <si>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</si>
  <si>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</si>
  <si>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</si>
  <si>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</si>
  <si>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</si>
  <si>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</si>
  <si>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</si>
  <si>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</si>
  <si>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</si>
  <si>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</si>
  <si>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</si>
  <si>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</si>
  <si>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</si>
  <si>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</si>
  <si>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</si>
  <si>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</si>
  <si>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</si>
  <si>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</si>
  <si>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</si>
  <si>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</si>
  <si>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</si>
  <si>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</si>
  <si>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</si>
  <si>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</si>
  <si>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</si>
  <si>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</si>
  <si>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</si>
  <si>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</si>
  <si>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</si>
  <si>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</si>
  <si>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</si>
  <si>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</si>
  <si>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</si>
  <si>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11Y</t>
  </si>
  <si>
    <t>40Y</t>
  </si>
  <si>
    <t>50Y</t>
  </si>
  <si>
    <t>date</t>
  </si>
  <si>
    <t>zero rate</t>
  </si>
  <si>
    <t>rate conventions</t>
  </si>
  <si>
    <t>3W</t>
  </si>
  <si>
    <t>9M</t>
  </si>
  <si>
    <t>1Y</t>
  </si>
  <si>
    <t>spot Swap</t>
  </si>
  <si>
    <t>objects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</si>
  <si>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</si>
  <si>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</si>
  <si>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</si>
  <si>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</si>
  <si>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</si>
  <si>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</si>
  <si>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</si>
  <si>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</si>
  <si>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</si>
  <si>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</si>
  <si>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</si>
  <si>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</si>
  <si>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</si>
  <si>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</si>
  <si>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</si>
  <si>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</si>
  <si>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</si>
  <si>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</si>
  <si>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</si>
  <si>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</si>
  <si>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</si>
  <si>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</si>
  <si>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</si>
  <si>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</si>
  <si>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</si>
  <si>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</si>
  <si>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</si>
  <si>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</si>
  <si>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</si>
  <si>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</si>
  <si>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</si>
  <si>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USSO15 Curncy</t>
  </si>
  <si>
    <t>USSO20 Curncy</t>
  </si>
  <si>
    <t>USSO25 Curncy</t>
  </si>
  <si>
    <t>spot</t>
  </si>
  <si>
    <t>Swap Curve USD (Spot)</t>
  </si>
  <si>
    <t>OIS Curve USD (Spot)</t>
  </si>
  <si>
    <t>fixing history</t>
  </si>
  <si>
    <t>1M Swap fwd</t>
  </si>
  <si>
    <t>15M</t>
  </si>
  <si>
    <t>OIS</t>
  </si>
  <si>
    <t>forward curves</t>
  </si>
  <si>
    <t>name</t>
  </si>
  <si>
    <t>maturity</t>
  </si>
  <si>
    <t>exercice</t>
  </si>
  <si>
    <t>index</t>
  </si>
  <si>
    <t>fixed leg tenor</t>
  </si>
  <si>
    <t>fixed leg d/C</t>
  </si>
  <si>
    <t>float leg d/C</t>
  </si>
  <si>
    <t>instance</t>
  </si>
  <si>
    <t>volatility (bps)</t>
  </si>
  <si>
    <t>US0003M</t>
  </si>
  <si>
    <t>ACT/ACT</t>
  </si>
  <si>
    <t>ACT/360</t>
  </si>
  <si>
    <t>SWAP_CURVE</t>
  </si>
  <si>
    <t>exercice date</t>
  </si>
  <si>
    <t>maturity date</t>
  </si>
  <si>
    <t>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</si>
</sst>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dd/mm/yy;@"/>
    <numFmt numFmtId="167" formatCode="0.000"/>
    <numFmt numFmtId="168" formatCode="0.0000"/>
    <numFmt numFmtId="169" formatCode="_-* #,##0.00\ [$€-1]_-;\-* #,##0.00\ [$€-1]_-;_-* &quot;-&quot;??\ [$€-1]_-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u/>
      <sz val="8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0"/>
      </bottom>
      <diagonal/>
    </border>
  </borders>
  <cellStyleXfs count="164">
    <xf numFmtId="0" fontId="0" fillId="0" borderId="0"/>
    <xf numFmtId="165" fontId="10" fillId="2" borderId="0"/>
    <xf numFmtId="0" fontId="11" fillId="4" borderId="1" applyNumberFormat="0" applyFont="0" applyBorder="0" applyAlignment="0" applyProtection="0"/>
    <xf numFmtId="15" fontId="12" fillId="5" borderId="0">
      <alignment horizontal="right"/>
    </xf>
    <xf numFmtId="0" fontId="13" fillId="6" borderId="0" applyNumberFormat="0" applyBorder="0" applyAlignment="0">
      <alignment horizontal="center"/>
    </xf>
    <xf numFmtId="0" fontId="14" fillId="7" borderId="0" applyNumberFormat="0" applyBorder="0" applyAlignment="0"/>
    <xf numFmtId="0" fontId="15" fillId="7" borderId="0">
      <alignment horizontal="centerContinuous"/>
    </xf>
    <xf numFmtId="0" fontId="6" fillId="8" borderId="2">
      <alignment horizontal="center"/>
      <protection locked="0"/>
    </xf>
    <xf numFmtId="0" fontId="9" fillId="9" borderId="3">
      <alignment horizontal="left"/>
    </xf>
    <xf numFmtId="0" fontId="8" fillId="10" borderId="4">
      <protection locked="0"/>
    </xf>
    <xf numFmtId="0" fontId="16" fillId="5" borderId="0"/>
    <xf numFmtId="0" fontId="17" fillId="10" borderId="4">
      <alignment vertical="center"/>
    </xf>
    <xf numFmtId="10" fontId="11" fillId="11" borderId="1" applyBorder="0">
      <alignment horizontal="center"/>
      <protection locked="0"/>
    </xf>
    <xf numFmtId="0" fontId="19" fillId="2" borderId="0"/>
    <xf numFmtId="0" fontId="18" fillId="2" borderId="0"/>
    <xf numFmtId="0" fontId="19" fillId="2" borderId="0"/>
    <xf numFmtId="0" fontId="20" fillId="12" borderId="0">
      <alignment horizontal="centerContinuous"/>
    </xf>
    <xf numFmtId="0" fontId="21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19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3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3" borderId="16" applyNumberFormat="0" applyAlignment="0" applyProtection="0"/>
    <xf numFmtId="0" fontId="29" fillId="0" borderId="17" applyNumberFormat="0" applyFill="0" applyAlignment="0" applyProtection="0"/>
    <xf numFmtId="0" fontId="4" fillId="34" borderId="18" applyNumberFormat="0" applyFont="0" applyAlignment="0" applyProtection="0"/>
    <xf numFmtId="0" fontId="30" fillId="21" borderId="16" applyNumberFormat="0" applyAlignment="0" applyProtection="0"/>
    <xf numFmtId="169" fontId="4" fillId="0" borderId="0" applyFont="0" applyFill="0" applyBorder="0" applyAlignment="0" applyProtection="0"/>
    <xf numFmtId="0" fontId="31" fillId="1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2" fillId="3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4" fillId="3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2" applyNumberFormat="0" applyFill="0" applyAlignment="0" applyProtection="0"/>
    <xf numFmtId="0" fontId="41" fillId="36" borderId="23" applyNumberFormat="0" applyAlignment="0" applyProtection="0"/>
    <xf numFmtId="0" fontId="2" fillId="0" borderId="0"/>
    <xf numFmtId="0" fontId="43" fillId="0" borderId="0" applyNumberFormat="0" applyFill="0" applyBorder="0" applyAlignment="0" applyProtection="0"/>
    <xf numFmtId="0" fontId="44" fillId="0" borderId="28" applyNumberFormat="0" applyFill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46" fillId="0" borderId="0" applyNumberFormat="0" applyFill="0" applyBorder="0" applyAlignment="0" applyProtection="0"/>
    <xf numFmtId="0" fontId="47" fillId="37" borderId="0" applyNumberFormat="0" applyBorder="0" applyAlignment="0" applyProtection="0"/>
    <xf numFmtId="0" fontId="48" fillId="38" borderId="0" applyNumberFormat="0" applyBorder="0" applyAlignment="0" applyProtection="0"/>
    <xf numFmtId="0" fontId="49" fillId="39" borderId="0" applyNumberFormat="0" applyBorder="0" applyAlignment="0" applyProtection="0"/>
    <xf numFmtId="0" fontId="50" fillId="40" borderId="31" applyNumberFormat="0" applyAlignment="0" applyProtection="0"/>
    <xf numFmtId="0" fontId="51" fillId="41" borderId="32" applyNumberFormat="0" applyAlignment="0" applyProtection="0"/>
    <xf numFmtId="0" fontId="52" fillId="41" borderId="31" applyNumberFormat="0" applyAlignment="0" applyProtection="0"/>
    <xf numFmtId="0" fontId="53" fillId="0" borderId="33" applyNumberFormat="0" applyFill="0" applyAlignment="0" applyProtection="0"/>
    <xf numFmtId="0" fontId="54" fillId="42" borderId="3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42" fillId="0" borderId="36" applyNumberFormat="0" applyFill="0" applyAlignment="0" applyProtection="0"/>
    <xf numFmtId="0" fontId="57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7" fillId="47" borderId="0" applyNumberFormat="0" applyBorder="0" applyAlignment="0" applyProtection="0"/>
    <xf numFmtId="0" fontId="57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7" fillId="51" borderId="0" applyNumberFormat="0" applyBorder="0" applyAlignment="0" applyProtection="0"/>
    <xf numFmtId="0" fontId="57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57" fillId="59" borderId="0" applyNumberFormat="0" applyBorder="0" applyAlignment="0" applyProtection="0"/>
    <xf numFmtId="0" fontId="57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57" fillId="63" borderId="0" applyNumberFormat="0" applyBorder="0" applyAlignment="0" applyProtection="0"/>
    <xf numFmtId="0" fontId="57" fillId="64" borderId="0" applyNumberFormat="0" applyBorder="0" applyAlignment="0" applyProtection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57" fillId="67" borderId="0" applyNumberFormat="0" applyBorder="0" applyAlignment="0" applyProtection="0"/>
    <xf numFmtId="0" fontId="1" fillId="0" borderId="0" applyNumberFormat="0" applyFont="0" applyFill="0" applyBorder="0" applyProtection="0"/>
    <xf numFmtId="0" fontId="1" fillId="43" borderId="35" applyNumberFormat="0" applyFont="0" applyAlignment="0" applyProtection="0"/>
  </cellStyleXfs>
  <cellXfs count="64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5" fillId="13" borderId="0" xfId="0" applyFont="1" applyFill="1" applyProtection="1">
      <protection locked="0"/>
    </xf>
    <xf numFmtId="0" fontId="5" fillId="13" borderId="6" xfId="0" applyFont="1" applyFill="1" applyBorder="1" applyProtection="1">
      <protection locked="0"/>
    </xf>
    <xf numFmtId="0" fontId="22" fillId="13" borderId="0" xfId="0" applyFont="1" applyFill="1" applyProtection="1">
      <protection locked="0"/>
    </xf>
    <xf numFmtId="14" fontId="5" fillId="13" borderId="0" xfId="0" applyNumberFormat="1" applyFont="1" applyFill="1" applyProtection="1">
      <protection locked="0"/>
    </xf>
    <xf numFmtId="0" fontId="24" fillId="15" borderId="11" xfId="0" applyFont="1" applyFill="1" applyBorder="1"/>
    <xf numFmtId="0" fontId="24" fillId="15" borderId="0" xfId="0" applyFont="1" applyFill="1" applyBorder="1"/>
    <xf numFmtId="165" fontId="24" fillId="15" borderId="0" xfId="0" applyNumberFormat="1" applyFont="1" applyFill="1" applyBorder="1"/>
    <xf numFmtId="165" fontId="24" fillId="15" borderId="7" xfId="0" applyNumberFormat="1" applyFont="1" applyFill="1" applyBorder="1"/>
    <xf numFmtId="167" fontId="24" fillId="15" borderId="0" xfId="0" applyNumberFormat="1" applyFont="1" applyFill="1" applyBorder="1"/>
    <xf numFmtId="0" fontId="24" fillId="15" borderId="6" xfId="0" applyFont="1" applyFill="1" applyBorder="1" applyAlignment="1">
      <alignment horizontal="right"/>
    </xf>
    <xf numFmtId="0" fontId="24" fillId="15" borderId="8" xfId="0" applyFont="1" applyFill="1" applyBorder="1" applyAlignment="1">
      <alignment horizontal="right"/>
    </xf>
    <xf numFmtId="0" fontId="24" fillId="0" borderId="0" xfId="0" applyFont="1"/>
    <xf numFmtId="14" fontId="24" fillId="0" borderId="0" xfId="0" applyNumberFormat="1" applyFont="1"/>
    <xf numFmtId="10" fontId="24" fillId="0" borderId="0" xfId="0" applyNumberFormat="1" applyFont="1"/>
    <xf numFmtId="166" fontId="24" fillId="15" borderId="0" xfId="0" applyNumberFormat="1" applyFont="1" applyFill="1" applyBorder="1"/>
    <xf numFmtId="165" fontId="5" fillId="14" borderId="7" xfId="0" applyNumberFormat="1" applyFont="1" applyFill="1" applyBorder="1"/>
    <xf numFmtId="165" fontId="24" fillId="0" borderId="0" xfId="0" applyNumberFormat="1" applyFont="1" applyBorder="1"/>
    <xf numFmtId="168" fontId="5" fillId="13" borderId="0" xfId="0" applyNumberFormat="1" applyFont="1" applyFill="1" applyAlignment="1" applyProtection="1">
      <alignment horizontal="left"/>
      <protection locked="0"/>
    </xf>
    <xf numFmtId="165" fontId="5" fillId="0" borderId="0" xfId="0" applyNumberFormat="1" applyFont="1"/>
    <xf numFmtId="0" fontId="24" fillId="0" borderId="0" xfId="162" applyFont="1"/>
    <xf numFmtId="1" fontId="5" fillId="13" borderId="0" xfId="0" applyNumberFormat="1" applyFont="1" applyFill="1" applyProtection="1">
      <protection locked="0"/>
    </xf>
    <xf numFmtId="14" fontId="5" fillId="14" borderId="0" xfId="0" applyNumberFormat="1" applyFont="1" applyFill="1" applyProtection="1">
      <protection locked="0"/>
    </xf>
    <xf numFmtId="0" fontId="24" fillId="68" borderId="1" xfId="0" applyFont="1" applyFill="1" applyBorder="1"/>
    <xf numFmtId="0" fontId="24" fillId="68" borderId="9" xfId="0" applyFont="1" applyFill="1" applyBorder="1"/>
    <xf numFmtId="0" fontId="24" fillId="68" borderId="10" xfId="0" applyFont="1" applyFill="1" applyBorder="1"/>
    <xf numFmtId="14" fontId="24" fillId="68" borderId="11" xfId="0" applyNumberFormat="1" applyFont="1" applyFill="1" applyBorder="1"/>
    <xf numFmtId="0" fontId="24" fillId="68" borderId="0" xfId="0" applyFont="1" applyFill="1" applyBorder="1"/>
    <xf numFmtId="10" fontId="24" fillId="68" borderId="7" xfId="0" applyNumberFormat="1" applyFont="1" applyFill="1" applyBorder="1"/>
    <xf numFmtId="14" fontId="24" fillId="68" borderId="12" xfId="0" applyNumberFormat="1" applyFont="1" applyFill="1" applyBorder="1"/>
    <xf numFmtId="0" fontId="24" fillId="68" borderId="6" xfId="0" applyFont="1" applyFill="1" applyBorder="1"/>
    <xf numFmtId="10" fontId="24" fillId="68" borderId="8" xfId="0" applyNumberFormat="1" applyFont="1" applyFill="1" applyBorder="1"/>
    <xf numFmtId="14" fontId="24" fillId="0" borderId="24" xfId="0" applyNumberFormat="1" applyFont="1" applyBorder="1" applyAlignment="1">
      <alignment horizontal="right"/>
    </xf>
    <xf numFmtId="14" fontId="24" fillId="0" borderId="25" xfId="0" applyNumberFormat="1" applyFont="1" applyBorder="1" applyAlignment="1">
      <alignment horizontal="right"/>
    </xf>
    <xf numFmtId="165" fontId="23" fillId="0" borderId="25" xfId="0" applyNumberFormat="1" applyFont="1" applyBorder="1"/>
    <xf numFmtId="14" fontId="24" fillId="0" borderId="15" xfId="0" applyNumberFormat="1" applyFont="1" applyBorder="1" applyAlignment="1">
      <alignment horizontal="right"/>
    </xf>
    <xf numFmtId="14" fontId="24" fillId="0" borderId="0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14" fontId="24" fillId="0" borderId="5" xfId="0" applyNumberFormat="1" applyFont="1" applyBorder="1" applyAlignment="1">
      <alignment horizontal="right"/>
    </xf>
    <xf numFmtId="165" fontId="24" fillId="0" borderId="5" xfId="0" applyNumberFormat="1" applyFont="1" applyBorder="1"/>
    <xf numFmtId="0" fontId="7" fillId="0" borderId="25" xfId="0" applyFont="1" applyBorder="1"/>
    <xf numFmtId="0" fontId="7" fillId="0" borderId="26" xfId="0" applyFont="1" applyBorder="1"/>
    <xf numFmtId="165" fontId="24" fillId="0" borderId="13" xfId="0" applyNumberFormat="1" applyFont="1" applyBorder="1"/>
    <xf numFmtId="165" fontId="24" fillId="0" borderId="14" xfId="0" applyNumberFormat="1" applyFont="1" applyBorder="1"/>
    <xf numFmtId="14" fontId="23" fillId="0" borderId="25" xfId="0" applyNumberFormat="1" applyFont="1" applyBorder="1" applyAlignment="1">
      <alignment horizontal="left"/>
    </xf>
    <xf numFmtId="0" fontId="60" fillId="0" borderId="0" xfId="0" applyFont="1"/>
    <xf numFmtId="165" fontId="23" fillId="0" borderId="26" xfId="0" applyNumberFormat="1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24" fillId="69" borderId="12" xfId="0" quotePrefix="1" applyFont="1" applyFill="1" applyBorder="1" applyAlignment="1"/>
    <xf numFmtId="0" fontId="7" fillId="0" borderId="6" xfId="0" applyFont="1" applyBorder="1" applyAlignment="1">
      <alignment horizontal="center"/>
    </xf>
    <xf numFmtId="0" fontId="7" fillId="0" borderId="0" xfId="0" applyFont="1"/>
    <xf numFmtId="167" fontId="5" fillId="0" borderId="0" xfId="0" applyNumberFormat="1" applyFont="1"/>
    <xf numFmtId="0" fontId="5" fillId="0" borderId="0" xfId="0" applyFont="1" applyAlignment="1">
      <alignment textRotation="45"/>
    </xf>
    <xf numFmtId="14" fontId="5" fillId="0" borderId="0" xfId="0" applyNumberFormat="1" applyFont="1" applyAlignment="1">
      <alignment textRotation="45"/>
    </xf>
    <xf numFmtId="167" fontId="5" fillId="0" borderId="0" xfId="0" applyNumberFormat="1" applyFont="1" applyAlignment="1">
      <alignment textRotation="45"/>
    </xf>
    <xf numFmtId="0" fontId="23" fillId="15" borderId="0" xfId="0" applyFont="1" applyFill="1" applyBorder="1"/>
    <xf numFmtId="0" fontId="23" fillId="15" borderId="0" xfId="0" applyFont="1" applyFill="1" applyBorder="1" applyAlignment="1">
      <alignment horizontal="right"/>
    </xf>
    <xf numFmtId="0" fontId="24" fillId="15" borderId="37" xfId="0" applyFont="1" applyFill="1" applyBorder="1"/>
    <xf numFmtId="166" fontId="24" fillId="15" borderId="37" xfId="0" applyNumberFormat="1" applyFont="1" applyFill="1" applyBorder="1"/>
    <xf numFmtId="165" fontId="24" fillId="15" borderId="37" xfId="0" applyNumberFormat="1" applyFont="1" applyFill="1" applyBorder="1"/>
    <xf numFmtId="0" fontId="23" fillId="15" borderId="11" xfId="0" applyFont="1" applyFill="1" applyBorder="1"/>
  </cellXfs>
  <cellStyles count="164">
    <cellStyle name="20 % - Accent1" xfId="139" builtinId="30" customBuiltin="1"/>
    <cellStyle name="20 % - Accent1 2" xfId="20"/>
    <cellStyle name="20 % - Accent2" xfId="143" builtinId="34" customBuiltin="1"/>
    <cellStyle name="20 % - Accent2 2" xfId="21"/>
    <cellStyle name="20 % - Accent3" xfId="147" builtinId="38" customBuiltin="1"/>
    <cellStyle name="20 % - Accent3 2" xfId="22"/>
    <cellStyle name="20 % - Accent4" xfId="151" builtinId="42" customBuiltin="1"/>
    <cellStyle name="20 % - Accent4 2" xfId="23"/>
    <cellStyle name="20 % - Accent5" xfId="155" builtinId="46" customBuiltin="1"/>
    <cellStyle name="20 % - Accent5 2" xfId="24"/>
    <cellStyle name="20 % - Accent6" xfId="159" builtinId="50" customBuiltin="1"/>
    <cellStyle name="20 % - Accent6 2" xfId="25"/>
    <cellStyle name="40 % - Accent1" xfId="140" builtinId="31" customBuiltin="1"/>
    <cellStyle name="40 % - Accent1 2" xfId="26"/>
    <cellStyle name="40 % - Accent2" xfId="144" builtinId="35" customBuiltin="1"/>
    <cellStyle name="40 % - Accent2 2" xfId="27"/>
    <cellStyle name="40 % - Accent3" xfId="148" builtinId="39" customBuiltin="1"/>
    <cellStyle name="40 % - Accent3 2" xfId="28"/>
    <cellStyle name="40 % - Accent4" xfId="152" builtinId="43" customBuiltin="1"/>
    <cellStyle name="40 % - Accent4 2" xfId="29"/>
    <cellStyle name="40 % - Accent5" xfId="156" builtinId="47" customBuiltin="1"/>
    <cellStyle name="40 % - Accent5 2" xfId="30"/>
    <cellStyle name="40 % - Accent6" xfId="160" builtinId="51" customBuiltin="1"/>
    <cellStyle name="40 % - Accent6 2" xfId="31"/>
    <cellStyle name="60 % - Accent1" xfId="141" builtinId="32" customBuiltin="1"/>
    <cellStyle name="60 % - Accent1 2" xfId="32"/>
    <cellStyle name="60 % - Accent2" xfId="145" builtinId="36" customBuiltin="1"/>
    <cellStyle name="60 % - Accent2 2" xfId="33"/>
    <cellStyle name="60 % - Accent3" xfId="149" builtinId="40" customBuiltin="1"/>
    <cellStyle name="60 % - Accent3 2" xfId="34"/>
    <cellStyle name="60 % - Accent4" xfId="153" builtinId="44" customBuiltin="1"/>
    <cellStyle name="60 % - Accent4 2" xfId="35"/>
    <cellStyle name="60 % - Accent5" xfId="157" builtinId="48" customBuiltin="1"/>
    <cellStyle name="60 % - Accent5 2" xfId="36"/>
    <cellStyle name="60 % - Accent6" xfId="161" builtinId="52" customBuiltin="1"/>
    <cellStyle name="60 % - Accent6 2" xfId="37"/>
    <cellStyle name="Accent1" xfId="138" builtinId="29" customBuiltin="1"/>
    <cellStyle name="Accent1 2" xfId="38"/>
    <cellStyle name="Accent2" xfId="142" builtinId="33" customBuiltin="1"/>
    <cellStyle name="Accent2 2" xfId="39"/>
    <cellStyle name="Accent3" xfId="146" builtinId="37" customBuiltin="1"/>
    <cellStyle name="Accent3 2" xfId="40"/>
    <cellStyle name="Accent4" xfId="150" builtinId="41" customBuiltin="1"/>
    <cellStyle name="Accent4 2" xfId="41"/>
    <cellStyle name="Accent5" xfId="154" builtinId="45" customBuiltin="1"/>
    <cellStyle name="Accent5 2" xfId="42"/>
    <cellStyle name="Accent6" xfId="158" builtinId="49" customBuiltin="1"/>
    <cellStyle name="Accent6 2" xfId="43"/>
    <cellStyle name="Avertissement" xfId="135" builtinId="11" customBuiltin="1"/>
    <cellStyle name="Avertissement 2" xfId="44"/>
    <cellStyle name="calc" xfId="1"/>
    <cellStyle name="Calcul" xfId="132" builtinId="22" customBuiltin="1"/>
    <cellStyle name="Calcul 2" xfId="45"/>
    <cellStyle name="Cellule liée" xfId="133" builtinId="24" customBuiltin="1"/>
    <cellStyle name="Cellule liée 2" xfId="46"/>
    <cellStyle name="Commentaire 2" xfId="47"/>
    <cellStyle name="Commentaire 3" xfId="163"/>
    <cellStyle name="Data" xfId="2"/>
    <cellStyle name="Data1" xfId="3"/>
    <cellStyle name="Data2" xfId="4"/>
    <cellStyle name="Data3" xfId="5"/>
    <cellStyle name="Data4" xfId="6"/>
    <cellStyle name="Data5" xfId="7"/>
    <cellStyle name="Entrée" xfId="130" builtinId="20" customBuiltin="1"/>
    <cellStyle name="Entrée 2" xfId="48"/>
    <cellStyle name="Euro" xfId="49"/>
    <cellStyle name="Header" xfId="8"/>
    <cellStyle name="input" xfId="9"/>
    <cellStyle name="Insatisfaisant" xfId="128" builtinId="27" customBuiltin="1"/>
    <cellStyle name="Insatisfaisant 2" xfId="50"/>
    <cellStyle name="label" xfId="10"/>
    <cellStyle name="main_input" xfId="11"/>
    <cellStyle name="Milliers 2" xfId="51"/>
    <cellStyle name="Milliers 3" xfId="52"/>
    <cellStyle name="Milliers 4" xfId="53"/>
    <cellStyle name="Milliers 5" xfId="54"/>
    <cellStyle name="Modifiable" xfId="12"/>
    <cellStyle name="Neutre" xfId="129" builtinId="28" customBuiltin="1"/>
    <cellStyle name="Neutre 2" xfId="55"/>
    <cellStyle name="Normal" xfId="0" builtinId="0"/>
    <cellStyle name="Normal 10" xfId="121"/>
    <cellStyle name="Normal 11" xfId="162"/>
    <cellStyle name="Normal 2" xfId="18"/>
    <cellStyle name="Normal 3" xfId="56"/>
    <cellStyle name="Normal 3 2" xfId="57"/>
    <cellStyle name="Normal 3 2 2" xfId="58"/>
    <cellStyle name="Normal 3 2 2 2" xfId="59"/>
    <cellStyle name="Normal 3 2 2 2 2" xfId="60"/>
    <cellStyle name="Normal 3 2 2 2 2 2" xfId="61"/>
    <cellStyle name="Normal 3 2 2 2 3" xfId="62"/>
    <cellStyle name="Normal 3 2 2 3" xfId="63"/>
    <cellStyle name="Normal 3 2 2 3 2" xfId="64"/>
    <cellStyle name="Normal 3 2 2 4" xfId="65"/>
    <cellStyle name="Normal 3 2 3" xfId="66"/>
    <cellStyle name="Normal 3 2 3 2" xfId="67"/>
    <cellStyle name="Normal 3 2 3 2 2" xfId="68"/>
    <cellStyle name="Normal 3 2 3 3" xfId="69"/>
    <cellStyle name="Normal 3 2 4" xfId="70"/>
    <cellStyle name="Normal 3 2 4 2" xfId="71"/>
    <cellStyle name="Normal 3 2 5" xfId="72"/>
    <cellStyle name="Normal 3 2 6" xfId="73"/>
    <cellStyle name="Normal 3 3" xfId="74"/>
    <cellStyle name="Normal 3 3 2" xfId="75"/>
    <cellStyle name="Normal 3 3 2 2" xfId="76"/>
    <cellStyle name="Normal 3 3 2 2 2" xfId="77"/>
    <cellStyle name="Normal 3 3 2 3" xfId="78"/>
    <cellStyle name="Normal 3 3 3" xfId="79"/>
    <cellStyle name="Normal 3 3 3 2" xfId="80"/>
    <cellStyle name="Normal 3 3 4" xfId="81"/>
    <cellStyle name="Normal 3 4" xfId="82"/>
    <cellStyle name="Normal 3 4 2" xfId="83"/>
    <cellStyle name="Normal 3 4 2 2" xfId="84"/>
    <cellStyle name="Normal 3 4 3" xfId="85"/>
    <cellStyle name="Normal 3 5" xfId="86"/>
    <cellStyle name="Normal 3 5 2" xfId="87"/>
    <cellStyle name="Normal 3 6" xfId="88"/>
    <cellStyle name="Normal 3 7" xfId="89"/>
    <cellStyle name="Normal 4" xfId="90"/>
    <cellStyle name="Normal 5" xfId="91"/>
    <cellStyle name="Normal 5 2" xfId="92"/>
    <cellStyle name="Normal 5 2 2" xfId="93"/>
    <cellStyle name="Normal 5 2 2 2" xfId="94"/>
    <cellStyle name="Normal 5 2 3" xfId="95"/>
    <cellStyle name="Normal 5 3" xfId="96"/>
    <cellStyle name="Normal 5 3 2" xfId="97"/>
    <cellStyle name="Normal 5 4" xfId="98"/>
    <cellStyle name="Normal 6" xfId="99"/>
    <cellStyle name="Normal 6 2" xfId="100"/>
    <cellStyle name="Normal 7" xfId="101"/>
    <cellStyle name="Normal 7 2" xfId="102"/>
    <cellStyle name="Normal 7 2 2" xfId="103"/>
    <cellStyle name="Normal 7 3" xfId="104"/>
    <cellStyle name="Normal 8" xfId="105"/>
    <cellStyle name="Normal 9" xfId="106"/>
    <cellStyle name="Normal 9 2" xfId="107"/>
    <cellStyle name="Pourcentage 2" xfId="19"/>
    <cellStyle name="Pourcentage 3" xfId="108"/>
    <cellStyle name="Pourcentage 4" xfId="109"/>
    <cellStyle name="Pourcentage 5" xfId="110"/>
    <cellStyle name="rt" xfId="13"/>
    <cellStyle name="Satisfaisant" xfId="127" builtinId="26" customBuiltin="1"/>
    <cellStyle name="Satisfaisant 2" xfId="111"/>
    <cellStyle name="Sortie" xfId="131" builtinId="21" customBuiltin="1"/>
    <cellStyle name="Sortie 2" xfId="112"/>
    <cellStyle name="static" xfId="14"/>
    <cellStyle name="text" xfId="15"/>
    <cellStyle name="Texte explicatif" xfId="136" builtinId="53" customBuiltin="1"/>
    <cellStyle name="Texte explicatif 2" xfId="113"/>
    <cellStyle name="Titre" xfId="122" builtinId="15" customBuiltin="1"/>
    <cellStyle name="Titre 2" xfId="114"/>
    <cellStyle name="Titre 1" xfId="123" builtinId="16" customBuiltin="1"/>
    <cellStyle name="Titre 1 2" xfId="115"/>
    <cellStyle name="Titre 2" xfId="124" builtinId="17" customBuiltin="1"/>
    <cellStyle name="Titre 2 2" xfId="116"/>
    <cellStyle name="Titre 3" xfId="125" builtinId="18" customBuiltin="1"/>
    <cellStyle name="Titre 3 2" xfId="117"/>
    <cellStyle name="Titre 4" xfId="126" builtinId="19" customBuiltin="1"/>
    <cellStyle name="Titre 4 2" xfId="118"/>
    <cellStyle name="TitreRub" xfId="16"/>
    <cellStyle name="TitreTab" xfId="17"/>
    <cellStyle name="Total" xfId="137" builtinId="25" customBuiltin="1"/>
    <cellStyle name="Total 2" xfId="119"/>
    <cellStyle name="Vérification" xfId="134" builtinId="23" customBuiltin="1"/>
    <cellStyle name="Vérification 2" xfId="120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00%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00%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00%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dd/mm/yy;@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00%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00%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00%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dd/mm/yy;@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4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bottom" textRotation="4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curves!$R$22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curves!$S$23:$S$39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curves!$S$22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curves!$T$23:$T$39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curves!$T$22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curves!$U$23:$U$39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curves!$U$22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curves!$V$23:$V$39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curves!$V$22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curves!$W$23:$W$39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curves!$W$22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curves!$X$23:$X$39</c:f>
              <c:numCache>
                <c:formatCode>General</c:formatCode>
                <c:ptCount val="17"/>
              </c:numCache>
            </c:numRef>
          </c:val>
          <c:smooth val="0"/>
        </c:ser>
        <c:ser>
          <c:idx val="6"/>
          <c:order val="6"/>
          <c:tx>
            <c:strRef>
              <c:f>curves!$U$2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curves!$U$3:$U$19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208944"/>
        <c:axId val="532209336"/>
      </c:lineChart>
      <c:dateAx>
        <c:axId val="5322089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532209336"/>
        <c:crosses val="autoZero"/>
        <c:auto val="1"/>
        <c:lblOffset val="100"/>
        <c:baseTimeUnit val="months"/>
      </c:dateAx>
      <c:valAx>
        <c:axId val="53220933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5322089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au2" displayName="Tableau2" ref="B2:G35" totalsRowShown="0" headerRowDxfId="9" dataDxfId="10" tableBorderDxfId="17">
  <autoFilter ref="B2:G35"/>
  <tableColumns count="6">
    <tableColumn id="1" name="Rate" dataDxfId="16"/>
    <tableColumn id="2" name="maturities" dataDxfId="15"/>
    <tableColumn id="3" name="date" dataDxfId="14">
      <calculatedColumnFormula>_xll.CALENDAR.GAP(pricingDate,C3,"USD","Unadjusted",FALSE)</calculatedColumnFormula>
    </tableColumn>
    <tableColumn id="4" name="Spot rates" dataDxfId="13"/>
    <tableColumn id="5" name="objects" dataDxfId="12">
      <calculatedColumnFormula>_xll.OBJECT.CURVE.HELPER.SWAP(B3,C3,"USD",2,"Semi-Annual","ACT/ACT",E3,"Quarterly","ACT/360",libor3M,oisCurve)</calculatedColumnFormula>
    </tableColumn>
    <tableColumn id="6" name="zero rate" dataDxfId="11">
      <calculatedColumnFormula>_xll.CURVE.ZERO.RATE(swapCurve,D3,cTreasuries)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I2:N27" totalsRowShown="0" headerRowDxfId="0" dataDxfId="1" tableBorderDxfId="8">
  <autoFilter ref="I2:N27"/>
  <tableColumns count="6">
    <tableColumn id="1" name="Rate" dataDxfId="7"/>
    <tableColumn id="2" name="maturities" dataDxfId="6"/>
    <tableColumn id="3" name="date" dataDxfId="5">
      <calculatedColumnFormula>_xll.CALENDAR.GAP(pricingDate,J3,"USD","Following",FALSE)</calculatedColumnFormula>
    </tableColumn>
    <tableColumn id="4" name="Spot rates" dataDxfId="4"/>
    <tableColumn id="5" name="objects" dataDxfId="3">
      <calculatedColumnFormula>_xll.OBJECT.CURVE.HELPER.OVERNIGHT.SWAP(LEFT(I3,LEN(I3)-6),fedFund,K3,L3,TODAY())</calculatedColumnFormula>
    </tableColumn>
    <tableColumn id="6" name="zero rate" dataDxfId="2">
      <calculatedColumnFormula>_xll.CURVE.ZERO.RATE(oisCurve,K3,cTreasuries)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Tableau1" displayName="Tableau1" ref="A1:L1048576" totalsRowShown="0" headerRowDxfId="18" dataDxfId="19">
  <autoFilter ref="A1:L1048576"/>
  <tableColumns count="12">
    <tableColumn id="1" name="name" dataDxfId="31"/>
    <tableColumn id="2" name="exercice" dataDxfId="30"/>
    <tableColumn id="3" name="maturity" dataDxfId="29"/>
    <tableColumn id="4" name="exercice date" dataDxfId="28"/>
    <tableColumn id="5" name="maturity date" dataDxfId="27"/>
    <tableColumn id="6" name="volatility (bps)" dataDxfId="26"/>
    <tableColumn id="7" name="index" dataDxfId="25"/>
    <tableColumn id="8" name="fixed leg tenor" dataDxfId="24"/>
    <tableColumn id="9" name="fixed leg d/C" dataDxfId="23"/>
    <tableColumn id="10" name="float leg d/C" dataDxfId="22"/>
    <tableColumn id="11" name="curve" dataDxfId="21"/>
    <tableColumn id="12" name="instance" dataDxfId="2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"/>
  <sheetViews>
    <sheetView workbookViewId="0">
      <selection activeCell="F32" sqref="F32"/>
    </sheetView>
  </sheetViews>
  <sheetFormatPr baseColWidth="10" defaultRowHeight="12.85" x14ac:dyDescent="0.35"/>
  <cols>
    <col min="1" max="1" width="2.3984375" customWidth="1"/>
  </cols>
  <sheetData>
    <row r="2" spans="2:2" ht="13.2" x14ac:dyDescent="0.4">
      <c r="B2" s="47" t="s"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A2:I221"/>
  <sheetViews>
    <sheetView workbookViewId="0">
      <selection activeCell="A4" sqref="A4"/>
    </sheetView>
  </sheetViews>
  <sheetFormatPr baseColWidth="10" defaultColWidth="11.3984375" defaultRowHeight="10.199999999999999" x14ac:dyDescent="0.3"/>
  <cols>
    <col min="1" max="1" width="11.265625" style="3" customWidth="1"/>
    <col min="2" max="2" width="2.73046875" style="3" customWidth="1"/>
    <col min="3" max="5" width="8.3984375" style="3" customWidth="1"/>
    <col min="6" max="16384" width="11.3984375" style="3"/>
  </cols>
  <sheetData>
    <row r="2" spans="1:9" x14ac:dyDescent="0.3">
      <c r="A2" s="5" t="s">
        <v>3</v>
      </c>
      <c r="C2" s="5" t="s">
        <v>53</v>
      </c>
    </row>
    <row r="3" spans="1:9" x14ac:dyDescent="0.3">
      <c r="A3" s="6">
        <f ca="1">IF(A4="",_xll.ADDIN.PRICING.DATE(_xll.CALENDAR.BUSINESS.DAYS(TODAY(),"USD",0)),_xll.ADDIN.PRICING.DATE(A4))</f>
        <v>41088</v>
      </c>
      <c r="C3" s="3" t="str">
        <f ca="1">_xll.INSTANCE.CONVENTION.TAUX("US_CONV","ACT/ACT","SimpleThenCompounded","Semi-Annual","Unadjusted",TODAY())</f>
        <v>US_CONV#0023</v>
      </c>
    </row>
    <row r="4" spans="1:9" x14ac:dyDescent="0.3">
      <c r="A4" s="24">
        <v>41088</v>
      </c>
      <c r="C4" s="3" t="str">
        <f ca="1">_xll.INSTANCE.CONVENTION.TAUX("TRUE_YIELD","ACT/ACT","SimpleThenCompounded","Semi-Annual","Following",TODAY())</f>
        <v>TRUE_YIELD#0023</v>
      </c>
    </row>
    <row r="5" spans="1:9" x14ac:dyDescent="0.3">
      <c r="A5" s="5"/>
      <c r="C5" s="3" t="str">
        <f ca="1">_xll.INSTANCE.CONVENTION.TAUX("CONT_CONV","ACT/ACT","Continuous","Annual","Following",TODAY())</f>
        <v>CONT_CONV#0023</v>
      </c>
    </row>
    <row r="6" spans="1:9" x14ac:dyDescent="0.3">
      <c r="A6" s="5"/>
      <c r="C6" s="3" t="str">
        <f ca="1">_xll.INSTANCE.CONVENTION.TAUX("SIMPLE_CONV","ACT/ACT","Simple","Annual","Unadjusted",TODAY())</f>
        <v>SIMPLE_CONV#0023</v>
      </c>
    </row>
    <row r="7" spans="1:9" x14ac:dyDescent="0.3">
      <c r="A7" s="20"/>
      <c r="C7" s="3" t="str">
        <f ca="1">_xll.INSTANCE.CONVENTION.TAUX("ANN_CONV","ACT/ACT","Compounded","Annual","Unadjusted",TODAY())</f>
        <v>ANN_CONV#0023</v>
      </c>
    </row>
    <row r="8" spans="1:9" x14ac:dyDescent="0.3">
      <c r="C8" s="3" t="str">
        <f ca="1">_xll.INSTANCE.CONVENTION.TAUX("SEMI_CONV","ACT/ACT","Compounded","Semi-Annual","Unadjusted",TODAY())</f>
        <v>SEMI_CONV#0023</v>
      </c>
    </row>
    <row r="9" spans="1:9" x14ac:dyDescent="0.3">
      <c r="C9" s="3" t="str">
        <f ca="1">_xll.INSTANCE.CONVENTION.TAUX("MMKT_CONV","ACT/360","Simple","Annual","Unadjusted",TODAY())</f>
        <v>MMKT_CONV#0023</v>
      </c>
    </row>
    <row r="11" spans="1:9" x14ac:dyDescent="0.3">
      <c r="E11" s="23"/>
    </row>
    <row r="13" spans="1:9" x14ac:dyDescent="0.3">
      <c r="B13" s="5"/>
    </row>
    <row r="15" spans="1:9" ht="10.55" x14ac:dyDescent="0.35">
      <c r="F15" s="22"/>
      <c r="G15" s="22"/>
      <c r="H15" s="22"/>
      <c r="I15" s="22"/>
    </row>
    <row r="22" s="4" customFormat="1" x14ac:dyDescent="0.3"/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A12" unlockedFormula="1"/>
  </ignoredError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W321"/>
  <sheetViews>
    <sheetView workbookViewId="0">
      <selection activeCell="L36" sqref="L36"/>
    </sheetView>
  </sheetViews>
  <sheetFormatPr baseColWidth="10" defaultColWidth="11.3984375" defaultRowHeight="10.199999999999999" x14ac:dyDescent="0.3"/>
  <cols>
    <col min="1" max="1" width="3" style="1" customWidth="1"/>
    <col min="2" max="2" width="14" style="1" customWidth="1"/>
    <col min="3" max="3" width="8.46484375" style="1" customWidth="1"/>
    <col min="4" max="4" width="7" style="1" customWidth="1"/>
    <col min="5" max="5" width="8.3984375" style="1" customWidth="1"/>
    <col min="6" max="6" width="8.1328125" style="1" customWidth="1"/>
    <col min="7" max="7" width="7.73046875" style="1" customWidth="1"/>
    <col min="8" max="8" width="4" style="1" customWidth="1"/>
    <col min="9" max="9" width="14" style="1" customWidth="1"/>
    <col min="10" max="10" width="8.46484375" style="1" customWidth="1"/>
    <col min="11" max="11" width="7" style="1" customWidth="1"/>
    <col min="12" max="12" width="8.3984375" style="1" customWidth="1"/>
    <col min="13" max="13" width="7.265625" style="1" bestFit="1" customWidth="1"/>
    <col min="14" max="14" width="7.73046875" style="1" customWidth="1"/>
    <col min="15" max="15" width="4" style="1" customWidth="1"/>
    <col min="16" max="16" width="3.265625" style="1" bestFit="1" customWidth="1"/>
    <col min="17" max="17" width="7.53125" style="1" bestFit="1" customWidth="1"/>
    <col min="18" max="18" width="6.53125" style="1" bestFit="1" customWidth="1"/>
    <col min="19" max="23" width="7.59765625" style="1" customWidth="1"/>
    <col min="24" max="25" width="9.1328125" style="1" customWidth="1"/>
    <col min="26" max="26" width="1.3984375" style="1" customWidth="1"/>
    <col min="27" max="16384" width="11.3984375" style="1"/>
  </cols>
  <sheetData>
    <row r="1" spans="2:21" ht="10.5" customHeight="1" thickBot="1" x14ac:dyDescent="0.35">
      <c r="B1" s="52" t="s">
        <v>94</v>
      </c>
      <c r="C1" s="52"/>
      <c r="D1" s="52"/>
      <c r="E1" s="52"/>
      <c r="F1" s="52"/>
      <c r="G1" s="52"/>
      <c r="H1" s="50"/>
      <c r="I1" s="52" t="s">
        <v>95</v>
      </c>
      <c r="J1" s="52"/>
      <c r="K1" s="52"/>
      <c r="L1" s="52"/>
      <c r="M1" s="52"/>
      <c r="N1" s="52"/>
      <c r="O1" s="50"/>
      <c r="P1" s="49"/>
    </row>
    <row r="2" spans="2:21" ht="10.55" x14ac:dyDescent="0.35">
      <c r="B2" s="58" t="s">
        <v>4</v>
      </c>
      <c r="C2" s="59" t="s">
        <v>5</v>
      </c>
      <c r="D2" s="59" t="s">
        <v>51</v>
      </c>
      <c r="E2" s="58" t="s">
        <v>6</v>
      </c>
      <c r="F2" s="58" t="s">
        <v>58</v>
      </c>
      <c r="G2" s="58" t="s">
        <v>52</v>
      </c>
      <c r="I2" s="58" t="s">
        <v>4</v>
      </c>
      <c r="J2" s="59" t="s">
        <v>5</v>
      </c>
      <c r="K2" s="59" t="s">
        <v>51</v>
      </c>
      <c r="L2" s="58" t="s">
        <v>6</v>
      </c>
      <c r="M2" s="58" t="s">
        <v>58</v>
      </c>
      <c r="N2" s="58" t="s">
        <v>52</v>
      </c>
      <c r="P2" s="34"/>
      <c r="Q2" s="35"/>
      <c r="R2" s="36" t="s">
        <v>57</v>
      </c>
      <c r="S2" s="36" t="s">
        <v>63</v>
      </c>
      <c r="T2" s="36" t="s">
        <v>97</v>
      </c>
      <c r="U2" s="48" t="s">
        <v>89</v>
      </c>
    </row>
    <row r="3" spans="2:21" ht="10.55" x14ac:dyDescent="0.35">
      <c r="B3" s="8" t="s">
        <v>28</v>
      </c>
      <c r="C3" s="8" t="s">
        <v>26</v>
      </c>
      <c r="D3" s="17">
        <f ca="1">_xll.CALENDAR.GAP(pricingDate,C3,"USD","Unadjusted",FALSE)</f>
        <v>41089</v>
      </c>
      <c r="E3" s="9">
        <v>1.6750000000000001E-3</v>
      </c>
      <c r="F3" s="9" t="str">
        <f>_xll.OBJECT.CURVE.DEPOSIT.HELPER2(B3,C3,"USD",0,E3,"ACT/360")</f>
        <v>US00O/N Index#0001</v>
      </c>
      <c r="G3" s="9">
        <f ca="1">_xll.CURVE.ZERO.RATE(swapCurve,D3,cTreasuries)</f>
        <v>1.7029166667286136E-3</v>
      </c>
      <c r="I3" s="8" t="s">
        <v>65</v>
      </c>
      <c r="J3" s="8" t="s">
        <v>7</v>
      </c>
      <c r="K3" s="17">
        <f ca="1">_xll.CALENDAR.GAP(pricingDate,J3,"USD","Following",FALSE)</f>
        <v>41095</v>
      </c>
      <c r="L3" s="9">
        <v>1.6900000000000001E-3</v>
      </c>
      <c r="M3" s="9" t="str">
        <f ca="1">_xll.OBJECT.CURVE.HELPER.OVERNIGHT.SWAP(LEFT(I3,LEN(I3)-6),fedFund,K3,L3,TODAY())</f>
        <v>USSO1Z #0023</v>
      </c>
      <c r="N3" s="9">
        <f ca="1">_xll.CURVE.ZERO.RATE(oisCurve,K3,cTreasuries)</f>
        <v>1.7464096188263417E-3</v>
      </c>
      <c r="P3" s="37" t="s">
        <v>8</v>
      </c>
      <c r="Q3" s="38">
        <f ca="1">_xll.CALENDAR.GAP(pricingDate,P3,"USD","Following",FALSE)</f>
        <v>41120</v>
      </c>
      <c r="R3" s="19">
        <f ca="1">_xll.CURVE.ZERO.RATE(swapCurve,_xll.CALENDAR.GAP(pricingDate,P3,"USD","Following",FALSE),cTreasuries)</f>
        <v>2.3574672400955847E-3</v>
      </c>
      <c r="S3" s="19">
        <f ca="1">_xll.CURVE.ZERO.RATE(oisCurve,_xll.CALENDAR.GAP(pricingDate,P3,"USD","Following",FALSE),cTreasuries)</f>
        <v>1.724346493690618E-3</v>
      </c>
      <c r="T3" s="19">
        <f ca="1">_xll.CURVE.FORWARD.RATE(swapCurve,Q3,_xll.CALENDAR.GAP(Q3,"1M","USD","unadjusted",FALSE),cTreasuries)</f>
        <v>4.0028738271396047E-3</v>
      </c>
      <c r="U3" s="44">
        <f ca="1">_xll.CURVE.FORWARD.RATE(oisCurve,Q3,_xll.CALENDAR.GAP(Q3,"1M","USD","unadjusted",FALSE),cTreasuries)</f>
        <v>1.8197891653189506E-3</v>
      </c>
    </row>
    <row r="4" spans="2:21" ht="10.55" x14ac:dyDescent="0.35">
      <c r="B4" s="8" t="s">
        <v>27</v>
      </c>
      <c r="C4" s="8" t="s">
        <v>7</v>
      </c>
      <c r="D4" s="17">
        <f ca="1">_xll.CALENDAR.GAP(pricingDate,C4,"USD","Unadjusted",FALSE)</f>
        <v>41095</v>
      </c>
      <c r="E4" s="9">
        <v>1.951E-3</v>
      </c>
      <c r="F4" s="9" t="str">
        <f>_xll.OBJECT.CURVE.DEPOSIT.HELPER2(B4,C4,"USD",2,E4,"ACT/360")</f>
        <v>US0001W Index#0001</v>
      </c>
      <c r="G4" s="9">
        <f ca="1">_xll.CURVE.ZERO.RATE(swapCurve,D4,cTreasuries)</f>
        <v>1.7862550246089859E-3</v>
      </c>
      <c r="I4" s="8" t="s">
        <v>66</v>
      </c>
      <c r="J4" s="8" t="s">
        <v>0</v>
      </c>
      <c r="K4" s="17">
        <f ca="1">_xll.CALENDAR.GAP(pricingDate,J4,"USD","Following",FALSE)</f>
        <v>41102</v>
      </c>
      <c r="L4" s="9">
        <v>1.6900000000000001E-3</v>
      </c>
      <c r="M4" s="9" t="str">
        <f ca="1">_xll.OBJECT.CURVE.HELPER.OVERNIGHT.SWAP(LEFT(I4,LEN(I4)-6),fedFund,K4,L4,TODAY())</f>
        <v>USSO2Z #0023</v>
      </c>
      <c r="N4" s="9">
        <f ca="1">_xll.CURVE.ZERO.RATE(oisCurve,K4,cTreasuries)</f>
        <v>1.7322885936174811E-3</v>
      </c>
      <c r="P4" s="37" t="s">
        <v>9</v>
      </c>
      <c r="Q4" s="38">
        <f ca="1">_xll.CALENDAR.GAP(pricingDate,P4,"USD","Following",FALSE)</f>
        <v>41149</v>
      </c>
      <c r="R4" s="19">
        <f ca="1">_xll.CURVE.ZERO.RATE(swapCurve,_xll.CALENDAR.GAP(pricingDate,P4,"USD","Following",FALSE),cTreasuries)</f>
        <v>3.0891752822701521E-3</v>
      </c>
      <c r="S4" s="19">
        <f ca="1">_xll.CURVE.ZERO.RATE(oisCurve,_xll.CALENDAR.GAP(pricingDate,P4,"USD","Following",FALSE),cTreasuries)</f>
        <v>1.772242052909601E-3</v>
      </c>
      <c r="T4" s="19">
        <f ca="1">_xll.CURVE.FORWARD.RATE(swapCurve,Q4,_xll.CALENDAR.GAP(Q4,"1M","USD","unadjusted",FALSE),cTreasuries)</f>
        <v>7.1033938991868634E-3</v>
      </c>
      <c r="U4" s="44">
        <f ca="1">_xll.CURVE.FORWARD.RATE(oisCurve,Q4,_xll.CALENDAR.GAP(Q4,"1M","USD","unadjusted",FALSE),cTreasuries)</f>
        <v>1.7986417429527522E-3</v>
      </c>
    </row>
    <row r="5" spans="2:21" ht="10.55" x14ac:dyDescent="0.35">
      <c r="B5" s="8" t="s">
        <v>29</v>
      </c>
      <c r="C5" s="8" t="s">
        <v>0</v>
      </c>
      <c r="D5" s="17">
        <f ca="1">_xll.CALENDAR.GAP(pricingDate,C5,"USD","Unadjusted",FALSE)</f>
        <v>41102</v>
      </c>
      <c r="E5" s="9">
        <v>2.1825E-3</v>
      </c>
      <c r="F5" s="9" t="str">
        <f>_xll.OBJECT.CURVE.DEPOSIT.HELPER2(B5,C5,"USD",2,E5,"ACT/360")</f>
        <v>US0002W Index#0001</v>
      </c>
      <c r="G5" s="9">
        <f ca="1">_xll.CURVE.ZERO.RATE(swapCurve,D5,cTreasuries)</f>
        <v>1.9918397685820483E-3</v>
      </c>
      <c r="I5" s="8" t="s">
        <v>67</v>
      </c>
      <c r="J5" s="8" t="s">
        <v>54</v>
      </c>
      <c r="K5" s="17">
        <f ca="1">_xll.CALENDAR.GAP(pricingDate,J5,"USD","Following",FALSE)</f>
        <v>41109</v>
      </c>
      <c r="L5" s="9">
        <v>1.58E-3</v>
      </c>
      <c r="M5" s="9" t="str">
        <f ca="1">_xll.OBJECT.CURVE.HELPER.OVERNIGHT.SWAP(LEFT(I5,LEN(I5)-6),fedFund,K5,L5,TODAY())</f>
        <v>USSO3Z #0023</v>
      </c>
      <c r="N5" s="9">
        <f ca="1">_xll.CURVE.ZERO.RATE(oisCurve,K5,cTreasuries)</f>
        <v>1.6157490174441471E-3</v>
      </c>
      <c r="P5" s="37" t="s">
        <v>1</v>
      </c>
      <c r="Q5" s="38">
        <f ca="1">_xll.CALENDAR.GAP(pricingDate,P5,"USD","Following",FALSE)</f>
        <v>41180</v>
      </c>
      <c r="R5" s="19">
        <f ca="1">_xll.CURVE.ZERO.RATE(swapCurve,_xll.CALENDAR.GAP(pricingDate,P5,"USD","Following",FALSE),cTreasuries)</f>
        <v>4.4430247664030229E-3</v>
      </c>
      <c r="S5" s="19">
        <f ca="1">_xll.CURVE.ZERO.RATE(oisCurve,_xll.CALENDAR.GAP(pricingDate,P5,"USD","Following",FALSE),cTreasuries)</f>
        <v>1.7813166160123774E-3</v>
      </c>
      <c r="T5" s="19">
        <f ca="1">_xll.CURVE.FORWARD.RATE(swapCurve,Q5,_xll.CALENDAR.GAP(Q5,"1M","USD","unadjusted",FALSE),cTreasuries)</f>
        <v>5.8650469505298298E-3</v>
      </c>
      <c r="U5" s="44">
        <f ca="1">_xll.CURVE.FORWARD.RATE(oisCurve,Q5,_xll.CALENDAR.GAP(Q5,"1M","USD","unadjusted",FALSE),cTreasuries)</f>
        <v>1.8587143656956689E-3</v>
      </c>
    </row>
    <row r="6" spans="2:21" ht="10.55" x14ac:dyDescent="0.35">
      <c r="B6" s="8" t="s">
        <v>30</v>
      </c>
      <c r="C6" s="8" t="s">
        <v>8</v>
      </c>
      <c r="D6" s="17">
        <f ca="1">_xll.CALENDAR.GAP(pricingDate,C6,"USD","Unadjusted",FALSE)</f>
        <v>41118</v>
      </c>
      <c r="E6" s="9">
        <v>2.4524999999999998E-3</v>
      </c>
      <c r="F6" s="9" t="str">
        <f>_xll.OBJECT.CURVE.DEPOSIT.HELPER2(B6,C6,"USD",2,E6,"ACT/360")</f>
        <v>US0001M Index#0001</v>
      </c>
      <c r="G6" s="9">
        <f ca="1">_xll.CURVE.ZERO.RATE(swapCurve,D6,cTreasuries)</f>
        <v>2.3260587449176035E-3</v>
      </c>
      <c r="I6" s="8" t="s">
        <v>68</v>
      </c>
      <c r="J6" s="8" t="s">
        <v>8</v>
      </c>
      <c r="K6" s="17">
        <f ca="1">_xll.CALENDAR.GAP(pricingDate,J6,"USD","Following",FALSE)</f>
        <v>41120</v>
      </c>
      <c r="L6" s="9">
        <v>1.6900000000000001E-3</v>
      </c>
      <c r="M6" s="9" t="str">
        <f ca="1">_xll.OBJECT.CURVE.HELPER.OVERNIGHT.SWAP(LEFT(I6,LEN(I6)-6),fedFund,K6,L6,TODAY())</f>
        <v>USSOA #0023</v>
      </c>
      <c r="N6" s="9">
        <f ca="1">_xll.CURVE.ZERO.RATE(oisCurve,K6,cTreasuries)</f>
        <v>1.724346493690618E-3</v>
      </c>
      <c r="P6" s="37" t="s">
        <v>2</v>
      </c>
      <c r="Q6" s="38">
        <f ca="1">_xll.CALENDAR.GAP(pricingDate,P6,"USD","Following",FALSE)</f>
        <v>41271</v>
      </c>
      <c r="R6" s="19">
        <f ca="1">_xll.CURVE.ZERO.RATE(swapCurve,_xll.CALENDAR.GAP(pricingDate,P6,"USD","Following",FALSE),cTreasuries)</f>
        <v>4.4573660264251025E-3</v>
      </c>
      <c r="S6" s="19">
        <f ca="1">_xll.CURVE.ZERO.RATE(oisCurve,_xll.CALENDAR.GAP(pricingDate,P6,"USD","Following",FALSE),cTreasuries)</f>
        <v>1.8107480099236462E-3</v>
      </c>
      <c r="T6" s="19">
        <f ca="1">_xll.CURVE.FORWARD.RATE(swapCurve,Q6,_xll.CALENDAR.GAP(Q6,"1M","USD","unadjusted",FALSE),cTreasuries)</f>
        <v>4.7490405324330486E-3</v>
      </c>
      <c r="U6" s="44">
        <f ca="1">_xll.CURVE.FORWARD.RATE(oisCurve,Q6,_xll.CALENDAR.GAP(Q6,"1M","USD","unadjusted",FALSE),cTreasuries)</f>
        <v>1.8736790522969693E-3</v>
      </c>
    </row>
    <row r="7" spans="2:21" ht="10.55" x14ac:dyDescent="0.35">
      <c r="B7" s="8" t="s">
        <v>31</v>
      </c>
      <c r="C7" s="8" t="s">
        <v>9</v>
      </c>
      <c r="D7" s="17">
        <f ca="1">_xll.CALENDAR.GAP(pricingDate,C7,"USD","Unadjusted",FALSE)</f>
        <v>41149</v>
      </c>
      <c r="E7" s="9">
        <v>3.4275E-3</v>
      </c>
      <c r="F7" s="9" t="str">
        <f>_xll.OBJECT.CURVE.DEPOSIT.HELPER2(B7,C7,"USD",2,E7,"ACT/360")</f>
        <v>US0002M Index#0001</v>
      </c>
      <c r="G7" s="9">
        <f ca="1">_xll.CURVE.ZERO.RATE(swapCurve,D7,cTreasuries)</f>
        <v>3.0891752822701521E-3</v>
      </c>
      <c r="I7" s="8" t="s">
        <v>69</v>
      </c>
      <c r="J7" s="8" t="s">
        <v>9</v>
      </c>
      <c r="K7" s="17">
        <f ca="1">_xll.CALENDAR.GAP(pricingDate,J7,"USD","Following",FALSE)</f>
        <v>41149</v>
      </c>
      <c r="L7" s="9">
        <v>1.7399999999999998E-3</v>
      </c>
      <c r="M7" s="9" t="str">
        <f ca="1">_xll.OBJECT.CURVE.HELPER.OVERNIGHT.SWAP(LEFT(I7,LEN(I7)-6),fedFund,K7,L7,TODAY())</f>
        <v>USSOB #0023</v>
      </c>
      <c r="N7" s="9">
        <f ca="1">_xll.CURVE.ZERO.RATE(oisCurve,K7,cTreasuries)</f>
        <v>1.772242052909601E-3</v>
      </c>
      <c r="P7" s="37" t="s">
        <v>55</v>
      </c>
      <c r="Q7" s="38">
        <f ca="1">_xll.CALENDAR.GAP(pricingDate,P7,"USD","Following",FALSE)</f>
        <v>41361</v>
      </c>
      <c r="R7" s="19">
        <f ca="1">_xll.CURVE.ZERO.RATE(swapCurve,_xll.CALENDAR.GAP(pricingDate,P7,"USD","Following",FALSE),cTreasuries)</f>
        <v>4.698097782903865E-3</v>
      </c>
      <c r="S7" s="19">
        <f ca="1">_xll.CURVE.ZERO.RATE(oisCurve,_xll.CALENDAR.GAP(pricingDate,P7,"USD","Following",FALSE),cTreasuries)</f>
        <v>1.8185809848061396E-3</v>
      </c>
      <c r="T7" s="19">
        <f ca="1">_xll.CURVE.FORWARD.RATE(swapCurve,Q7,_xll.CALENDAR.GAP(Q7,"1M","USD","unadjusted",FALSE),cTreasuries)</f>
        <v>5.2569626069093513E-3</v>
      </c>
      <c r="U7" s="44">
        <f ca="1">_xll.CURVE.FORWARD.RATE(oisCurve,Q7,_xll.CALENDAR.GAP(Q7,"1M","USD","unadjusted",FALSE),cTreasuries)</f>
        <v>1.9079280440449343E-3</v>
      </c>
    </row>
    <row r="8" spans="2:21" ht="10.55" x14ac:dyDescent="0.35">
      <c r="B8" s="8" t="s">
        <v>32</v>
      </c>
      <c r="C8" s="8" t="s">
        <v>1</v>
      </c>
      <c r="D8" s="17">
        <f ca="1">_xll.CALENDAR.GAP(pricingDate,C8,"USD","Unadjusted",FALSE)</f>
        <v>41180</v>
      </c>
      <c r="E8" s="9">
        <v>4.6059999999999999E-3</v>
      </c>
      <c r="F8" s="9" t="str">
        <f>_xll.OBJECT.CURVE.DEPOSIT.HELPER2(B8,C8,"USD",2,E8,"ACT/360")</f>
        <v>US0003M Index#0001</v>
      </c>
      <c r="G8" s="9">
        <f ca="1">_xll.CURVE.ZERO.RATE(swapCurve,D8,cTreasuries)</f>
        <v>4.4430247664030229E-3</v>
      </c>
      <c r="I8" s="8" t="s">
        <v>70</v>
      </c>
      <c r="J8" s="8" t="s">
        <v>1</v>
      </c>
      <c r="K8" s="17">
        <f ca="1">_xll.CALENDAR.GAP(pricingDate,J8,"USD","Following",FALSE)</f>
        <v>41180</v>
      </c>
      <c r="L8" s="9">
        <v>1.7499999999999998E-3</v>
      </c>
      <c r="M8" s="9" t="str">
        <f ca="1">_xll.OBJECT.CURVE.HELPER.OVERNIGHT.SWAP(LEFT(I8,LEN(I8)-6),fedFund,K8,L8,TODAY())</f>
        <v>USSOC #0023</v>
      </c>
      <c r="N8" s="9">
        <f ca="1">_xll.CURVE.ZERO.RATE(oisCurve,K8,cTreasuries)</f>
        <v>1.7813166160123774E-3</v>
      </c>
      <c r="P8" s="37" t="s">
        <v>56</v>
      </c>
      <c r="Q8" s="38">
        <f ca="1">_xll.CALENDAR.GAP(pricingDate,P8,"USD","Following",FALSE)</f>
        <v>41453</v>
      </c>
      <c r="R8" s="19">
        <f ca="1">_xll.CURVE.ZERO.RATE(swapCurve,_xll.CALENDAR.GAP(pricingDate,P8,"USD","Following",FALSE),cTreasuries)</f>
        <v>4.8328997706552634E-3</v>
      </c>
      <c r="S8" s="19">
        <f ca="1">_xll.CURVE.ZERO.RATE(oisCurve,_xll.CALENDAR.GAP(pricingDate,P8,"USD","Following",FALSE),cTreasuries)</f>
        <v>1.8475553911780906E-3</v>
      </c>
      <c r="T8" s="19">
        <f ca="1">_xll.CURVE.FORWARD.RATE(swapCurve,Q8,_xll.CALENDAR.GAP(Q8,"1M","USD","unadjusted",FALSE),cTreasuries)</f>
        <v>5.4001392464780862E-3</v>
      </c>
      <c r="U8" s="44">
        <f ca="1">_xll.CURVE.FORWARD.RATE(oisCurve,Q8,_xll.CALENDAR.GAP(Q8,"1M","USD","unadjusted",FALSE),cTreasuries)</f>
        <v>1.9389368879061029E-3</v>
      </c>
    </row>
    <row r="9" spans="2:21" ht="10.55" x14ac:dyDescent="0.35">
      <c r="B9" s="8" t="str">
        <f ca="1">"ED"&amp; _xll.CALENDAR.NEXT.IMM.CODE(pricingDate) &amp; " Comdty"</f>
        <v>EDU2 Comdty</v>
      </c>
      <c r="C9" s="8" t="str">
        <f t="shared" ref="C9:C20" ca="1" si="0">LEFT(B9,4)</f>
        <v>EDU2</v>
      </c>
      <c r="D9" s="17">
        <f ca="1">_xll.CALENDAR.IMM.DATE(pricingDate,RIGHT(C9,2))</f>
        <v>41171</v>
      </c>
      <c r="E9" s="11">
        <v>99.525000000000006</v>
      </c>
      <c r="F9" s="11" t="str">
        <f ca="1">_xll.OBJECT.CURVE.HELPER.FUTURE(C9,RIGHT(C9,2),libor3M,E9,convAdj,meanRev)</f>
        <v>EDU2#0023</v>
      </c>
      <c r="G9" s="9">
        <f ca="1">_xll.CURVE.ZERO.RATE(swapCurve,D9,cTreasuries)</f>
        <v>4.0924578495096248E-3</v>
      </c>
      <c r="I9" s="8" t="s">
        <v>71</v>
      </c>
      <c r="J9" s="8" t="s">
        <v>59</v>
      </c>
      <c r="K9" s="17">
        <f ca="1">_xll.CALENDAR.GAP(pricingDate,J9,"USD","Following",FALSE)</f>
        <v>41211</v>
      </c>
      <c r="L9" s="9">
        <v>1.7699999999999999E-3</v>
      </c>
      <c r="M9" s="9" t="str">
        <f ca="1">_xll.OBJECT.CURVE.HELPER.OVERNIGHT.SWAP(LEFT(I9,LEN(I9)-6),fedFund,K9,L9,TODAY())</f>
        <v>USSOD #0023</v>
      </c>
      <c r="N9" s="9">
        <f ca="1">_xll.CURVE.ZERO.RATE(oisCurve,K9,cTreasuries)</f>
        <v>1.8011083454345599E-3</v>
      </c>
      <c r="P9" s="37" t="s">
        <v>98</v>
      </c>
      <c r="Q9" s="38">
        <f ca="1">_xll.CALENDAR.GAP(pricingDate,P9,"USD","Following",FALSE)</f>
        <v>41547</v>
      </c>
      <c r="R9" s="19">
        <f ca="1">_xll.CURVE.ZERO.RATE(swapCurve,_xll.CALENDAR.GAP(pricingDate,P9,"USD","Following",FALSE),cTreasuries)</f>
        <v>4.9692951602762214E-3</v>
      </c>
      <c r="S9" s="19">
        <f ca="1">_xll.CURVE.ZERO.RATE(oisCurve,_xll.CALENDAR.GAP(pricingDate,P9,"USD","Following",FALSE),cTreasuries)</f>
        <v>1.8709139921013751E-3</v>
      </c>
      <c r="T9" s="19">
        <f ca="1">_xll.CURVE.FORWARD.RATE(swapCurve,Q9,_xll.CALENDAR.GAP(Q9,"1M","USD","unadjusted",FALSE),cTreasuries)</f>
        <v>5.5874598731556393E-3</v>
      </c>
      <c r="U9" s="44">
        <f ca="1">_xll.CURVE.FORWARD.RATE(oisCurve,Q9,_xll.CALENDAR.GAP(Q9,"1M","USD","unadjusted",FALSE),cTreasuries)</f>
        <v>2.0556433413744988E-3</v>
      </c>
    </row>
    <row r="10" spans="2:21" ht="10.55" x14ac:dyDescent="0.35">
      <c r="B10" s="8" t="str">
        <f ca="1">"ED"&amp; _xll.CALENDAR.NEXT.IMM.CODE(_xll.CALENDAR.IMM.DATE(,MID(B9,3,2))) &amp;" Comdty"</f>
        <v>EDZ2 Comdty</v>
      </c>
      <c r="C10" s="8" t="str">
        <f t="shared" ca="1" si="0"/>
        <v>EDZ2</v>
      </c>
      <c r="D10" s="17">
        <f ca="1">_xll.CALENDAR.IMM.DATE(pricingDate,RIGHT(C10,2))</f>
        <v>41262</v>
      </c>
      <c r="E10" s="11">
        <v>99.5</v>
      </c>
      <c r="F10" s="11" t="str">
        <f ca="1">_xll.OBJECT.CURVE.HELPER.FUTURE(C10,RIGHT(C10,2),libor3M,E10,convAdj,meanRev)</f>
        <v>EDZ2#0023</v>
      </c>
      <c r="G10" s="9">
        <f ca="1">_xll.CURVE.ZERO.RATE(swapCurve,D10,cTreasuries)</f>
        <v>4.4764939308439356E-3</v>
      </c>
      <c r="I10" s="8" t="s">
        <v>72</v>
      </c>
      <c r="J10" s="8" t="s">
        <v>60</v>
      </c>
      <c r="K10" s="17">
        <f ca="1">_xll.CALENDAR.GAP(pricingDate,J10,"USD","Following",FALSE)</f>
        <v>41241</v>
      </c>
      <c r="L10" s="9">
        <v>1.7799999999999999E-3</v>
      </c>
      <c r="M10" s="9" t="str">
        <f ca="1">_xll.OBJECT.CURVE.HELPER.OVERNIGHT.SWAP(LEFT(I10,LEN(I10)-6),fedFund,K10,L10,TODAY())</f>
        <v>USSOE #0023</v>
      </c>
      <c r="N10" s="9">
        <f ca="1">_xll.CURVE.ZERO.RATE(oisCurve,K10,cTreasuries)</f>
        <v>1.810959846335596E-3</v>
      </c>
      <c r="P10" s="37" t="s">
        <v>62</v>
      </c>
      <c r="Q10" s="38">
        <f ca="1">_xll.CALENDAR.GAP(pricingDate,P10,"USD","Following",FALSE)</f>
        <v>41638</v>
      </c>
      <c r="R10" s="19">
        <f ca="1">_xll.CURVE.ZERO.RATE(swapCurve,_xll.CALENDAR.GAP(pricingDate,P10,"USD","Following",FALSE),cTreasuries)</f>
        <v>5.0871013458704262E-3</v>
      </c>
      <c r="S10" s="19">
        <f ca="1">_xll.CURVE.ZERO.RATE(oisCurve,_xll.CALENDAR.GAP(pricingDate,P10,"USD","Following",FALSE),cTreasuries)</f>
        <v>1.9178686169314396E-3</v>
      </c>
      <c r="T10" s="19">
        <f ca="1">_xll.CURVE.FORWARD.RATE(swapCurve,Q10,_xll.CALENDAR.GAP(Q10,"1M","USD","unadjusted",FALSE),cTreasuries)</f>
        <v>5.9099364383963229E-3</v>
      </c>
      <c r="U10" s="44">
        <f ca="1">_xll.CURVE.FORWARD.RATE(oisCurve,Q10,_xll.CALENDAR.GAP(Q10,"1M","USD","unadjusted",FALSE),cTreasuries)</f>
        <v>2.3905816748001178E-3</v>
      </c>
    </row>
    <row r="11" spans="2:21" ht="10.55" x14ac:dyDescent="0.35">
      <c r="B11" s="8" t="str">
        <f ca="1">"ED"&amp; _xll.CALENDAR.NEXT.IMM.CODE(_xll.CALENDAR.IMM.DATE(,MID(B10,3,2))) &amp;" Comdty"</f>
        <v>EDH3 Comdty</v>
      </c>
      <c r="C11" s="8" t="str">
        <f t="shared" ca="1" si="0"/>
        <v>EDH3</v>
      </c>
      <c r="D11" s="17">
        <f ca="1">_xll.CALENDAR.IMM.DATE(pricingDate,RIGHT(C11,2))</f>
        <v>41353</v>
      </c>
      <c r="E11" s="11">
        <v>99.48</v>
      </c>
      <c r="F11" s="11" t="str">
        <f ca="1">_xll.OBJECT.CURVE.HELPER.FUTURE(C11,RIGHT(C11,2),libor3M,E11,convAdj,meanRev)</f>
        <v>EDH3#0023</v>
      </c>
      <c r="G11" s="9">
        <f ca="1">_xll.CURVE.ZERO.RATE(swapCurve,D11,cTreasuries)</f>
        <v>4.6772144883862055E-3</v>
      </c>
      <c r="I11" s="8" t="s">
        <v>73</v>
      </c>
      <c r="J11" s="8" t="s">
        <v>2</v>
      </c>
      <c r="K11" s="17">
        <f ca="1">_xll.CALENDAR.GAP(pricingDate,J11,"USD","Following",FALSE)</f>
        <v>41271</v>
      </c>
      <c r="L11" s="9">
        <v>1.7799999999999999E-3</v>
      </c>
      <c r="M11" s="9" t="str">
        <f ca="1">_xll.OBJECT.CURVE.HELPER.OVERNIGHT.SWAP(LEFT(I11,LEN(I11)-6),fedFund,K11,L11,TODAY())</f>
        <v>USSOF #0023</v>
      </c>
      <c r="N11" s="9">
        <f ca="1">_xll.CURVE.ZERO.RATE(oisCurve,K11,cTreasuries)</f>
        <v>1.8107480099236462E-3</v>
      </c>
      <c r="P11" s="37" t="s">
        <v>10</v>
      </c>
      <c r="Q11" s="38">
        <f ca="1">_xll.CALENDAR.GAP(pricingDate,P11,"USD","Following",FALSE)</f>
        <v>41820</v>
      </c>
      <c r="R11" s="19">
        <f ca="1">_xll.CURVE.ZERO.RATE(swapCurve,_xll.CALENDAR.GAP(pricingDate,P11,"USD","Following",FALSE),cTreasuries)</f>
        <v>5.3506233358091571E-3</v>
      </c>
      <c r="S11" s="19">
        <f ca="1">_xll.CURVE.ZERO.RATE(oisCurve,_xll.CALENDAR.GAP(pricingDate,P11,"USD","Following",FALSE),cTreasuries)</f>
        <v>2.0793506488350211E-3</v>
      </c>
      <c r="T11" s="19">
        <f ca="1">_xll.CURVE.FORWARD.RATE(swapCurve,Q11,_xll.CALENDAR.GAP(Q11,"1M","USD","unadjusted",FALSE),cTreasuries)</f>
        <v>6.5462195089199078E-3</v>
      </c>
      <c r="U11" s="44">
        <f ca="1">_xll.CURVE.FORWARD.RATE(oisCurve,Q11,_xll.CALENDAR.GAP(Q11,"1M","USD","unadjusted",FALSE),cTreasuries)</f>
        <v>2.6204115582760443E-3</v>
      </c>
    </row>
    <row r="12" spans="2:21" ht="10.55" x14ac:dyDescent="0.35">
      <c r="B12" s="8" t="str">
        <f ca="1">"ED"&amp; _xll.CALENDAR.NEXT.IMM.CODE(_xll.CALENDAR.IMM.DATE(,MID(B11,3,2))) &amp;" Comdty"</f>
        <v>EDM3 Comdty</v>
      </c>
      <c r="C12" s="8" t="str">
        <f t="shared" ca="1" si="0"/>
        <v>EDM3</v>
      </c>
      <c r="D12" s="17">
        <f ca="1">_xll.CALENDAR.IMM.DATE(pricingDate,RIGHT(C12,2))</f>
        <v>41444</v>
      </c>
      <c r="E12" s="11">
        <v>99.454999999999998</v>
      </c>
      <c r="F12" s="11" t="str">
        <f ca="1">_xll.OBJECT.CURVE.HELPER.FUTURE(C12,RIGHT(C12,2),libor3M,E12,convAdj,meanRev)</f>
        <v>EDM3#0023</v>
      </c>
      <c r="G12" s="9">
        <f ca="1">_xll.CURVE.ZERO.RATE(swapCurve,D12,cTreasuries)</f>
        <v>4.8208978480261955E-3</v>
      </c>
      <c r="I12" s="8" t="s">
        <v>84</v>
      </c>
      <c r="J12" s="8" t="s">
        <v>83</v>
      </c>
      <c r="K12" s="17">
        <f ca="1">_xll.CALENDAR.GAP(pricingDate,J12,"USD","Following",FALSE)</f>
        <v>41302</v>
      </c>
      <c r="L12" s="9">
        <v>1.7899999999999999E-3</v>
      </c>
      <c r="M12" s="9" t="str">
        <f ca="1">_xll.OBJECT.CURVE.HELPER.OVERNIGHT.SWAP(LEFT(I12,LEN(I12)-6),fedFund,K12,L12,TODAY())</f>
        <v>USSOG #0023</v>
      </c>
      <c r="N12" s="9">
        <f ca="1">_xll.CURVE.ZERO.RATE(oisCurve,K12,cTreasuries)</f>
        <v>1.8199884463285798E-3</v>
      </c>
      <c r="P12" s="37" t="s">
        <v>11</v>
      </c>
      <c r="Q12" s="38">
        <f ca="1">_xll.CALENDAR.GAP(pricingDate,P12,"USD","Following",FALSE)</f>
        <v>42184</v>
      </c>
      <c r="R12" s="19">
        <f ca="1">_xll.CURVE.ZERO.RATE(swapCurve,_xll.CALENDAR.GAP(pricingDate,P12,"USD","Following",FALSE),cTreasuries)</f>
        <v>6.1540327416471641E-3</v>
      </c>
      <c r="S12" s="19">
        <f ca="1">_xll.CURVE.ZERO.RATE(oisCurve,_xll.CALENDAR.GAP(pricingDate,P12,"USD","Following",FALSE),cTreasuries)</f>
        <v>2.6069752352713138E-3</v>
      </c>
      <c r="T12" s="19">
        <f ca="1">_xll.CURVE.FORWARD.RATE(swapCurve,Q12,_xll.CALENDAR.GAP(Q12,"1M","USD","unadjusted",FALSE),cTreasuries)</f>
        <v>9.4892131040376082E-3</v>
      </c>
      <c r="U12" s="44">
        <f ca="1">_xll.CURVE.FORWARD.RATE(oisCurve,Q12,_xll.CALENDAR.GAP(Q12,"1M","USD","unadjusted",FALSE),cTreasuries)</f>
        <v>6.2472022511822489E-3</v>
      </c>
    </row>
    <row r="13" spans="2:21" ht="10.55" x14ac:dyDescent="0.35">
      <c r="B13" s="8" t="str">
        <f ca="1">"ED"&amp; _xll.CALENDAR.NEXT.IMM.CODE(_xll.CALENDAR.IMM.DATE(,MID(B12,3,2))) &amp;" Comdty"</f>
        <v>EDU3 Comdty</v>
      </c>
      <c r="C13" s="8" t="str">
        <f t="shared" ca="1" si="0"/>
        <v>EDU3</v>
      </c>
      <c r="D13" s="17">
        <f ca="1">_xll.CALENDAR.IMM.DATE(pricingDate,RIGHT(C13,2))</f>
        <v>41535</v>
      </c>
      <c r="E13" s="11">
        <v>99.435000000000002</v>
      </c>
      <c r="F13" s="11" t="str">
        <f ca="1">_xll.OBJECT.CURVE.HELPER.FUTURE(C13,RIGHT(C13,2),libor3M,E13,convAdj,meanRev)</f>
        <v>EDU3#0023</v>
      </c>
      <c r="G13" s="9">
        <f ca="1">_xll.CURVE.ZERO.RATE(swapCurve,D13,cTreasuries)</f>
        <v>4.9531064270800229E-3</v>
      </c>
      <c r="I13" s="8" t="s">
        <v>86</v>
      </c>
      <c r="J13" s="8" t="s">
        <v>85</v>
      </c>
      <c r="K13" s="17">
        <f ca="1">_xll.CALENDAR.GAP(pricingDate,J13,"USD","Following",FALSE)</f>
        <v>41333</v>
      </c>
      <c r="L13" s="9">
        <v>1.7899999999999999E-3</v>
      </c>
      <c r="M13" s="9" t="str">
        <f ca="1">_xll.OBJECT.CURVE.HELPER.OVERNIGHT.SWAP(LEFT(I13,LEN(I13)-6),fedFund,K13,L13,TODAY())</f>
        <v>USSOH #0023</v>
      </c>
      <c r="N13" s="9">
        <f ca="1">_xll.CURVE.ZERO.RATE(oisCurve,K13,cTreasuries)</f>
        <v>1.8191802343827668E-3</v>
      </c>
      <c r="P13" s="37" t="s">
        <v>12</v>
      </c>
      <c r="Q13" s="38">
        <f ca="1">_xll.CALENDAR.GAP(pricingDate,P13,"USD","Following",FALSE)</f>
        <v>42549</v>
      </c>
      <c r="R13" s="19">
        <f ca="1">_xll.CURVE.ZERO.RATE(swapCurve,_xll.CALENDAR.GAP(pricingDate,P13,"USD","Following",FALSE),cTreasuries)</f>
        <v>7.7019904270425599E-3</v>
      </c>
      <c r="S13" s="19">
        <f ca="1">_xll.CURVE.ZERO.RATE(oisCurve,_xll.CALENDAR.GAP(pricingDate,P13,"USD","Following",FALSE),cTreasuries)</f>
        <v>4.2183264062036763E-3</v>
      </c>
      <c r="T13" s="19">
        <f ca="1">_xll.CURVE.FORWARD.RATE(swapCurve,Q13,_xll.CALENDAR.GAP(Q13,"1M","USD","unadjusted",FALSE),cTreasuries)</f>
        <v>1.5279405043208709E-2</v>
      </c>
      <c r="U13" s="44">
        <f ca="1">_xll.CURVE.FORWARD.RATE(oisCurve,Q13,_xll.CALENDAR.GAP(Q13,"1M","USD","unadjusted",FALSE),cTreasuries)</f>
        <v>1.1849320816688904E-2</v>
      </c>
    </row>
    <row r="14" spans="2:21" ht="10.55" x14ac:dyDescent="0.35">
      <c r="B14" s="8" t="str">
        <f ca="1">"ED"&amp; _xll.CALENDAR.NEXT.IMM.CODE(_xll.CALENDAR.IMM.DATE(,MID(B13,3,2))) &amp;" Comdty"</f>
        <v>EDZ3 Comdty</v>
      </c>
      <c r="C14" s="8" t="str">
        <f t="shared" ca="1" si="0"/>
        <v>EDZ3</v>
      </c>
      <c r="D14" s="17">
        <f ca="1">_xll.CALENDAR.IMM.DATE(pricingDate,RIGHT(C14,2))</f>
        <v>41626</v>
      </c>
      <c r="E14" s="11">
        <v>99.4</v>
      </c>
      <c r="F14" s="11" t="str">
        <f ca="1">_xll.OBJECT.CURVE.HELPER.FUTURE(C14,RIGHT(C14,2),libor3M,E14,convAdj,meanRev)</f>
        <v>EDZ3#0023</v>
      </c>
      <c r="G14" s="9">
        <f ca="1">_xll.CURVE.ZERO.RATE(swapCurve,D14,cTreasuries)</f>
        <v>5.0706207745161436E-3</v>
      </c>
      <c r="I14" s="8" t="s">
        <v>74</v>
      </c>
      <c r="J14" s="8" t="s">
        <v>55</v>
      </c>
      <c r="K14" s="17">
        <f ca="1">_xll.CALENDAR.GAP(pricingDate,J14,"USD","Following",FALSE)</f>
        <v>41361</v>
      </c>
      <c r="L14" s="9">
        <v>1.7899999999999999E-3</v>
      </c>
      <c r="M14" s="9" t="str">
        <f ca="1">_xll.OBJECT.CURVE.HELPER.OVERNIGHT.SWAP(LEFT(I14,LEN(I14)-6),fedFund,K14,L14,TODAY())</f>
        <v>USSOI #0023</v>
      </c>
      <c r="N14" s="9">
        <f ca="1">_xll.CURVE.ZERO.RATE(oisCurve,K14,cTreasuries)</f>
        <v>1.8185809848061396E-3</v>
      </c>
      <c r="P14" s="37" t="s">
        <v>13</v>
      </c>
      <c r="Q14" s="38">
        <f ca="1">_xll.CALENDAR.GAP(pricingDate,P14,"USD","Following",FALSE)</f>
        <v>42914</v>
      </c>
      <c r="R14" s="19">
        <f ca="1">_xll.CURVE.ZERO.RATE(swapCurve,_xll.CALENDAR.GAP(pricingDate,P14,"USD","Following",FALSE),cTreasuries)</f>
        <v>9.5670234593048242E-3</v>
      </c>
      <c r="S14" s="19">
        <f ca="1">_xll.CURVE.ZERO.RATE(oisCurve,_xll.CALENDAR.GAP(pricingDate,P14,"USD","Following",FALSE),cTreasuries)</f>
        <v>6.1369814482219454E-3</v>
      </c>
      <c r="T14" s="19">
        <f ca="1">_xll.CURVE.FORWARD.RATE(swapCurve,Q14,_xll.CALENDAR.GAP(Q14,"1M","USD","unadjusted",FALSE),cTreasuries)</f>
        <v>1.8783911072721038E-2</v>
      </c>
      <c r="U14" s="44">
        <f ca="1">_xll.CURVE.FORWARD.RATE(oisCurve,Q14,_xll.CALENDAR.GAP(Q14,"1M","USD","unadjusted",FALSE),cTreasuries)</f>
        <v>1.6114513033990252E-2</v>
      </c>
    </row>
    <row r="15" spans="2:21" ht="10.55" x14ac:dyDescent="0.35">
      <c r="B15" s="8" t="str">
        <f ca="1">"ED"&amp; _xll.CALENDAR.NEXT.IMM.CODE(_xll.CALENDAR.IMM.DATE(,MID(B14,3,2))) &amp;" Comdty"</f>
        <v>EDH4 Comdty</v>
      </c>
      <c r="C15" s="8" t="str">
        <f t="shared" ca="1" si="0"/>
        <v>EDH4</v>
      </c>
      <c r="D15" s="17">
        <f ca="1">_xll.CALENDAR.IMM.DATE(pricingDate,RIGHT(C15,2))</f>
        <v>41717</v>
      </c>
      <c r="E15" s="11">
        <v>99.37</v>
      </c>
      <c r="F15" s="11" t="str">
        <f ca="1">_xll.OBJECT.CURVE.HELPER.FUTURE(C15,RIGHT(C15,2),libor3M,E15,convAdj,meanRev)</f>
        <v>EDH4#0023</v>
      </c>
      <c r="G15" s="9">
        <f ca="1">_xll.CURVE.ZERO.RATE(swapCurve,D15,cTreasuries)</f>
        <v>5.2012712716917875E-3</v>
      </c>
      <c r="I15" s="8" t="s">
        <v>87</v>
      </c>
      <c r="J15" s="8" t="s">
        <v>88</v>
      </c>
      <c r="K15" s="17">
        <f ca="1">_xll.CALENDAR.GAP(pricingDate,J15,"USD","Following",FALSE)</f>
        <v>41393</v>
      </c>
      <c r="L15" s="9">
        <v>1.8E-3</v>
      </c>
      <c r="M15" s="9" t="str">
        <f ca="1">_xll.OBJECT.CURVE.HELPER.OVERNIGHT.SWAP(LEFT(I15,LEN(I15)-6),fedFund,K15,L15,TODAY())</f>
        <v>USSOJ #0023</v>
      </c>
      <c r="N15" s="9">
        <f ca="1">_xll.CURVE.ZERO.RATE(oisCurve,K15,cTreasuries)</f>
        <v>1.8281524051930731E-3</v>
      </c>
      <c r="P15" s="37" t="s">
        <v>14</v>
      </c>
      <c r="Q15" s="38">
        <f ca="1">_xll.CALENDAR.GAP(pricingDate,P15,"USD","Following",FALSE)</f>
        <v>43279</v>
      </c>
      <c r="R15" s="19">
        <f ca="1">_xll.CURVE.ZERO.RATE(swapCurve,_xll.CALENDAR.GAP(pricingDate,P15,"USD","Following",FALSE),cTreasuries)</f>
        <v>1.1437312924580834E-2</v>
      </c>
      <c r="S15" s="19">
        <f ca="1">_xll.CURVE.ZERO.RATE(oisCurve,_xll.CALENDAR.GAP(pricingDate,P15,"USD","Following",FALSE),cTreasuries)</f>
        <v>8.1108551805431084E-3</v>
      </c>
      <c r="T15" s="19">
        <f ca="1">_xll.CURVE.FORWARD.RATE(swapCurve,Q15,_xll.CALENDAR.GAP(Q15,"1M","USD","unadjusted",FALSE),cTreasuries)</f>
        <v>2.3687923793155763E-2</v>
      </c>
      <c r="U15" s="44">
        <f ca="1">_xll.CURVE.FORWARD.RATE(oisCurve,Q15,_xll.CALENDAR.GAP(Q15,"1M","USD","unadjusted",FALSE),cTreasuries)</f>
        <v>1.990742744986566E-2</v>
      </c>
    </row>
    <row r="16" spans="2:21" ht="10.55" x14ac:dyDescent="0.35">
      <c r="B16" s="8" t="str">
        <f ca="1">"ED"&amp; _xll.CALENDAR.NEXT.IMM.CODE(_xll.CALENDAR.IMM.DATE(,MID(B15,3,2))) &amp;" Comdty"</f>
        <v>EDM4 Comdty</v>
      </c>
      <c r="C16" s="8" t="str">
        <f t="shared" ca="1" si="0"/>
        <v>EDM4</v>
      </c>
      <c r="D16" s="17">
        <f ca="1">_xll.CALENDAR.IMM.DATE(pricingDate,RIGHT(C16,2))</f>
        <v>41808</v>
      </c>
      <c r="E16" s="11">
        <v>99.325000000000003</v>
      </c>
      <c r="F16" s="11" t="str">
        <f ca="1">_xll.OBJECT.CURVE.HELPER.FUTURE(C16,RIGHT(C16,2),libor3M,E16,convAdj,meanRev)</f>
        <v>EDM4#0023</v>
      </c>
      <c r="G16" s="9">
        <f ca="1">_xll.CURVE.ZERO.RATE(swapCurve,D16,cTreasuries)</f>
        <v>5.3323276404126929E-3</v>
      </c>
      <c r="I16" s="8" t="s">
        <v>75</v>
      </c>
      <c r="J16" s="8" t="s">
        <v>61</v>
      </c>
      <c r="K16" s="17">
        <f ca="1">_xll.CALENDAR.GAP(pricingDate,J16,"USD","Following",FALSE)</f>
        <v>41453</v>
      </c>
      <c r="L16" s="9">
        <v>1.82E-3</v>
      </c>
      <c r="M16" s="9" t="str">
        <f ca="1">_xll.OBJECT.CURVE.HELPER.OVERNIGHT.SWAP(LEFT(I16,LEN(I16)-6),fedFund,K16,L16,TODAY())</f>
        <v>USSO1 #0023</v>
      </c>
      <c r="N16" s="9">
        <f ca="1">_xll.CURVE.ZERO.RATE(oisCurve,K16,cTreasuries)</f>
        <v>1.8475553911780906E-3</v>
      </c>
      <c r="P16" s="37" t="s">
        <v>15</v>
      </c>
      <c r="Q16" s="38">
        <f ca="1">_xll.CALENDAR.GAP(pricingDate,P16,"USD","Following",FALSE)</f>
        <v>43644</v>
      </c>
      <c r="R16" s="19">
        <f ca="1">_xll.CURVE.ZERO.RATE(swapCurve,_xll.CALENDAR.GAP(pricingDate,P16,"USD","Following",FALSE),cTreasuries)</f>
        <v>1.3470041651591824E-2</v>
      </c>
      <c r="S16" s="19">
        <f ca="1">_xll.CURVE.ZERO.RATE(oisCurve,_xll.CALENDAR.GAP(pricingDate,P16,"USD","Following",FALSE),cTreasuries)</f>
        <v>9.9986228435735569E-3</v>
      </c>
      <c r="T16" s="19">
        <f ca="1">_xll.CURVE.FORWARD.RATE(swapCurve,Q16,_xll.CALENDAR.GAP(Q16,"1M","USD","unadjusted",FALSE),cTreasuries)</f>
        <v>2.6407238859065079E-2</v>
      </c>
      <c r="U16" s="44">
        <f ca="1">_xll.CURVE.FORWARD.RATE(oisCurve,Q16,_xll.CALENDAR.GAP(Q16,"1M","USD","unadjusted",FALSE),cTreasuries)</f>
        <v>2.2683336041125084E-2</v>
      </c>
    </row>
    <row r="17" spans="2:23" ht="10.55" x14ac:dyDescent="0.35">
      <c r="B17" s="8" t="str">
        <f ca="1">"ED"&amp; _xll.CALENDAR.NEXT.IMM.CODE(_xll.CALENDAR.IMM.DATE(,MID(B16,3,2))) &amp;" Comdty"</f>
        <v>EDU4 Comdty</v>
      </c>
      <c r="C17" s="8" t="str">
        <f t="shared" ca="1" si="0"/>
        <v>EDU4</v>
      </c>
      <c r="D17" s="17">
        <f ca="1">_xll.CALENDAR.IMM.DATE(pricingDate,RIGHT(C17,2))</f>
        <v>41899</v>
      </c>
      <c r="E17" s="11">
        <v>99.265000000000001</v>
      </c>
      <c r="F17" s="11" t="str">
        <f ca="1">_xll.OBJECT.CURVE.HELPER.FUTURE(C17,RIGHT(C17,2),libor3M,E17,convAdj,meanRev)</f>
        <v>EDU4#0023</v>
      </c>
      <c r="G17" s="9">
        <f ca="1">_xll.CURVE.ZERO.RATE(swapCurve,D17,cTreasuries)</f>
        <v>5.4806435102978668E-3</v>
      </c>
      <c r="I17" s="8" t="s">
        <v>76</v>
      </c>
      <c r="J17" s="8" t="s">
        <v>62</v>
      </c>
      <c r="K17" s="17">
        <f ca="1">_xll.CALENDAR.GAP(pricingDate,J17,"USD","Following",FALSE)</f>
        <v>41638</v>
      </c>
      <c r="L17" s="9">
        <v>1.89E-3</v>
      </c>
      <c r="M17" s="9" t="str">
        <f ca="1">_xll.OBJECT.CURVE.HELPER.OVERNIGHT.SWAP(LEFT(I17,LEN(I17)-6),fedFund,K17,L17,TODAY())</f>
        <v>USSO1F #0023</v>
      </c>
      <c r="N17" s="9">
        <f ca="1">_xll.CURVE.ZERO.RATE(oisCurve,K17,cTreasuries)</f>
        <v>1.9178686169314396E-3</v>
      </c>
      <c r="P17" s="37" t="s">
        <v>16</v>
      </c>
      <c r="Q17" s="38">
        <f ca="1">_xll.CALENDAR.GAP(pricingDate,P17,"USD","Following",FALSE)</f>
        <v>44011</v>
      </c>
      <c r="R17" s="19">
        <f ca="1">_xll.CURVE.ZERO.RATE(swapCurve,_xll.CALENDAR.GAP(pricingDate,P17,"USD","Following",FALSE),cTreasuries)</f>
        <v>1.5121601376548721E-2</v>
      </c>
      <c r="S17" s="19">
        <f ca="1">_xll.CURVE.ZERO.RATE(oisCurve,_xll.CALENDAR.GAP(pricingDate,P17,"USD","Following",FALSE),cTreasuries)</f>
        <v>1.1730184835308854E-2</v>
      </c>
      <c r="T17" s="19">
        <f ca="1">_xll.CURVE.FORWARD.RATE(swapCurve,Q17,_xll.CALENDAR.GAP(Q17,"1M","USD","unadjusted",FALSE),cTreasuries)</f>
        <v>2.7257778666392746E-2</v>
      </c>
      <c r="U17" s="44">
        <f ca="1">_xll.CURVE.FORWARD.RATE(oisCurve,Q17,_xll.CALENDAR.GAP(Q17,"1M","USD","unadjusted",FALSE),cTreasuries)</f>
        <v>2.4882004345866588E-2</v>
      </c>
    </row>
    <row r="18" spans="2:23" ht="10.55" x14ac:dyDescent="0.35">
      <c r="B18" s="8" t="str">
        <f ca="1">"ED"&amp; _xll.CALENDAR.NEXT.IMM.CODE(_xll.CALENDAR.IMM.DATE(,MID(B17,3,2))) &amp;" Comdty"</f>
        <v>EDZ4 Comdty</v>
      </c>
      <c r="C18" s="8" t="str">
        <f t="shared" ca="1" si="0"/>
        <v>EDZ4</v>
      </c>
      <c r="D18" s="17">
        <f ca="1">_xll.CALENDAR.IMM.DATE(pricingDate,RIGHT(C18,2))</f>
        <v>41990</v>
      </c>
      <c r="E18" s="11">
        <v>99.18</v>
      </c>
      <c r="F18" s="11" t="str">
        <f ca="1">_xll.OBJECT.CURVE.HELPER.FUTURE(C18,RIGHT(C18,2),libor3M,E18,convAdj,meanRev)</f>
        <v>EDZ4#0023</v>
      </c>
      <c r="G18" s="9">
        <f ca="1">_xll.CURVE.ZERO.RATE(swapCurve,D18,cTreasuries)</f>
        <v>5.6563249623757805E-3</v>
      </c>
      <c r="I18" s="8" t="s">
        <v>77</v>
      </c>
      <c r="J18" s="8" t="s">
        <v>10</v>
      </c>
      <c r="K18" s="17">
        <f ca="1">_xll.CALENDAR.GAP(pricingDate,J18,"USD","Following",FALSE)</f>
        <v>41820</v>
      </c>
      <c r="L18" s="9">
        <v>2.0499999999999997E-3</v>
      </c>
      <c r="M18" s="9" t="str">
        <f ca="1">_xll.OBJECT.CURVE.HELPER.OVERNIGHT.SWAP(LEFT(I18,LEN(I18)-6),fedFund,K18,L18,TODAY())</f>
        <v>USSO2 #0023</v>
      </c>
      <c r="N18" s="9">
        <f ca="1">_xll.CURVE.ZERO.RATE(oisCurve,K18,cTreasuries)</f>
        <v>2.0793506488350211E-3</v>
      </c>
      <c r="P18" s="37" t="s">
        <v>17</v>
      </c>
      <c r="Q18" s="38">
        <f ca="1">_xll.CALENDAR.GAP(pricingDate,P18,"USD","Following",FALSE)</f>
        <v>44375</v>
      </c>
      <c r="R18" s="19">
        <f ca="1">_xll.CURVE.ZERO.RATE(swapCurve,_xll.CALENDAR.GAP(pricingDate,P18,"USD","Following",FALSE),cTreasuries)</f>
        <v>1.6593209037842449E-2</v>
      </c>
      <c r="S18" s="19">
        <f ca="1">_xll.CURVE.ZERO.RATE(oisCurve,_xll.CALENDAR.GAP(pricingDate,P18,"USD","Following",FALSE),cTreasuries)</f>
        <v>1.3285450444618707E-2</v>
      </c>
      <c r="T18" s="19">
        <f ca="1">_xll.CURVE.FORWARD.RATE(swapCurve,Q18,_xll.CALENDAR.GAP(Q18,"1M","USD","unadjusted",FALSE),cTreasuries)</f>
        <v>2.9491841588106398E-2</v>
      </c>
      <c r="U18" s="44">
        <f ca="1">_xll.CURVE.FORWARD.RATE(oisCurve,Q18,_xll.CALENDAR.GAP(Q18,"1M","USD","unadjusted",FALSE),cTreasuries)</f>
        <v>2.6580480264196571E-2</v>
      </c>
    </row>
    <row r="19" spans="2:23" ht="10.95" thickBot="1" x14ac:dyDescent="0.4">
      <c r="B19" s="8" t="str">
        <f ca="1">"ED"&amp; _xll.CALENDAR.NEXT.IMM.CODE(_xll.CALENDAR.IMM.DATE(,MID(B18,3,2))) &amp;" Comdty"</f>
        <v>EDH5 Comdty</v>
      </c>
      <c r="C19" s="8" t="str">
        <f t="shared" ca="1" si="0"/>
        <v>EDH5</v>
      </c>
      <c r="D19" s="17">
        <f ca="1">_xll.CALENDAR.IMM.DATE(pricingDate,RIGHT(C19,2))</f>
        <v>42081</v>
      </c>
      <c r="E19" s="11">
        <v>99.1</v>
      </c>
      <c r="F19" s="11" t="str">
        <f ca="1">_xll.OBJECT.CURVE.HELPER.FUTURE(C19,RIGHT(C19,2),libor3M,E19,convAdj,meanRev)</f>
        <v>EDH5#0023</v>
      </c>
      <c r="G19" s="9">
        <f ca="1">_xll.CURVE.ZERO.RATE(swapCurve,D19,cTreasuries)</f>
        <v>5.8748702960653709E-3</v>
      </c>
      <c r="I19" s="8" t="s">
        <v>78</v>
      </c>
      <c r="J19" s="8" t="s">
        <v>11</v>
      </c>
      <c r="K19" s="17">
        <f ca="1">_xll.CALENDAR.GAP(pricingDate,J19,"USD","Following",FALSE)</f>
        <v>42184</v>
      </c>
      <c r="L19" s="9">
        <v>2.5700000000000002E-3</v>
      </c>
      <c r="M19" s="9" t="str">
        <f ca="1">_xll.OBJECT.CURVE.HELPER.OVERNIGHT.SWAP(LEFT(I19,LEN(I19)-6),fedFund,K19,L19,TODAY())</f>
        <v>USSO3 #0023</v>
      </c>
      <c r="N19" s="9">
        <f ca="1">_xll.CURVE.ZERO.RATE(oisCurve,K19,cTreasuries)</f>
        <v>2.6069752352713138E-3</v>
      </c>
      <c r="P19" s="39" t="s">
        <v>18</v>
      </c>
      <c r="Q19" s="40">
        <f ca="1">_xll.CALENDAR.GAP(pricingDate,P19,"USD","Following",FALSE)</f>
        <v>44740</v>
      </c>
      <c r="R19" s="41">
        <f ca="1">_xll.CURVE.ZERO.RATE(swapCurve,_xll.CALENDAR.GAP(pricingDate,P19,"USD","Following",FALSE),cTreasuries)</f>
        <v>1.7953820958399813E-2</v>
      </c>
      <c r="S19" s="41">
        <f ca="1">_xll.CURVE.ZERO.RATE(oisCurve,_xll.CALENDAR.GAP(pricingDate,P19,"USD","Following",FALSE),cTreasuries)</f>
        <v>1.4694520058514904E-2</v>
      </c>
      <c r="T19" s="41">
        <f ca="1">_xll.CURVE.FORWARD.RATE(swapCurve,Q19,_xll.CALENDAR.GAP(Q19,"1M","USD","unadjusted",FALSE),cTreasuries)</f>
        <v>3.0148798232503826E-2</v>
      </c>
      <c r="U19" s="45">
        <f ca="1">_xll.CURVE.FORWARD.RATE(oisCurve,Q19,_xll.CALENDAR.GAP(Q19,"1M","USD","unadjusted",FALSE),cTreasuries)</f>
        <v>2.8004765036280837E-2</v>
      </c>
    </row>
    <row r="20" spans="2:23" ht="10.55" x14ac:dyDescent="0.35">
      <c r="B20" s="8" t="str">
        <f ca="1">"ED"&amp; _xll.CALENDAR.NEXT.IMM.CODE(_xll.CALENDAR.IMM.DATE(,MID(B19,3,2))) &amp;" Comdty"</f>
        <v>EDM5 Comdty</v>
      </c>
      <c r="C20" s="8" t="str">
        <f t="shared" ca="1" si="0"/>
        <v>EDM5</v>
      </c>
      <c r="D20" s="17">
        <f ca="1">_xll.CALENDAR.IMM.DATE(pricingDate,RIGHT(C20,2))</f>
        <v>42172</v>
      </c>
      <c r="E20" s="11">
        <v>98.995000000000005</v>
      </c>
      <c r="F20" s="11" t="str">
        <f ca="1">_xll.OBJECT.CURVE.HELPER.FUTURE(C20,RIGHT(C20,2),libor3M,E20,convAdj,meanRev)</f>
        <v>EDM5#0023</v>
      </c>
      <c r="G20" s="9">
        <f ca="1">_xll.CURVE.ZERO.RATE(swapCurve,D20,cTreasuries)</f>
        <v>6.1196434239265685E-3</v>
      </c>
      <c r="I20" s="8" t="s">
        <v>79</v>
      </c>
      <c r="J20" s="8" t="s">
        <v>12</v>
      </c>
      <c r="K20" s="17">
        <f ca="1">_xll.CALENDAR.GAP(pricingDate,J20,"USD","Following",FALSE)</f>
        <v>42549</v>
      </c>
      <c r="L20" s="9">
        <v>4.15E-3</v>
      </c>
      <c r="M20" s="9" t="str">
        <f ca="1">_xll.OBJECT.CURVE.HELPER.OVERNIGHT.SWAP(LEFT(I20,LEN(I20)-6),fedFund,K20,L20,TODAY())</f>
        <v>USSO4 #0023</v>
      </c>
      <c r="N20" s="9">
        <f ca="1">_xll.CURVE.ZERO.RATE(oisCurve,K20,cTreasuries)</f>
        <v>4.2183264062036763E-3</v>
      </c>
    </row>
    <row r="21" spans="2:23" ht="10.95" thickBot="1" x14ac:dyDescent="0.4">
      <c r="B21" s="8" t="s">
        <v>33</v>
      </c>
      <c r="C21" s="8" t="s">
        <v>12</v>
      </c>
      <c r="D21" s="17">
        <f ca="1">_xll.CALENDAR.GAP(pricingDate,C21,"USD","Unadjusted",FALSE)</f>
        <v>42549</v>
      </c>
      <c r="E21" s="9">
        <v>7.7499999999999999E-3</v>
      </c>
      <c r="F21" s="9" t="str">
        <f ca="1">_xll.OBJECT.CURVE.HELPER.SWAP(B21,C21,"USD",2,"Semi-Annual","ACT/ACT",E21,"Quarterly","ACT/360",libor3M,oisCurve)</f>
        <v>USSWAP4  Curncy#0023</v>
      </c>
      <c r="G21" s="9">
        <f ca="1">_xll.CURVE.ZERO.RATE(swapCurve,D21,cTreasuries)</f>
        <v>7.7019904270425599E-3</v>
      </c>
      <c r="I21" s="8" t="s">
        <v>80</v>
      </c>
      <c r="J21" s="8" t="s">
        <v>13</v>
      </c>
      <c r="K21" s="17">
        <f ca="1">_xll.CALENDAR.GAP(pricingDate,J21,"USD","Following",FALSE)</f>
        <v>42914</v>
      </c>
      <c r="L21" s="9">
        <v>6.0200000000000002E-3</v>
      </c>
      <c r="M21" s="9" t="str">
        <f ca="1">_xll.OBJECT.CURVE.HELPER.OVERNIGHT.SWAP(LEFT(I21,LEN(I21)-6),fedFund,K21,L21,TODAY())</f>
        <v>USSO5 #0023</v>
      </c>
      <c r="N21" s="9">
        <f ca="1">_xll.CURVE.ZERO.RATE(oisCurve,K21,cTreasuries)</f>
        <v>6.1369814482219454E-3</v>
      </c>
    </row>
    <row r="22" spans="2:23" ht="10.55" x14ac:dyDescent="0.35">
      <c r="B22" s="8" t="s">
        <v>34</v>
      </c>
      <c r="C22" s="8" t="s">
        <v>13</v>
      </c>
      <c r="D22" s="17">
        <f ca="1">_xll.CALENDAR.GAP(pricingDate,C22,"USD","Unadjusted",FALSE)</f>
        <v>42914</v>
      </c>
      <c r="E22" s="9">
        <v>9.5899999999999996E-3</v>
      </c>
      <c r="F22" s="9" t="str">
        <f ca="1">_xll.OBJECT.CURVE.HELPER.SWAP(B22,C22,"USD",2,"Semi-Annual","ACT/ACT",E22,"Quarterly","ACT/360",libor3M,oisCurve)</f>
        <v>USSWAP5  Curncy#0023</v>
      </c>
      <c r="G22" s="9">
        <f ca="1">_xll.CURVE.ZERO.RATE(swapCurve,D22,cTreasuries)</f>
        <v>9.5670234593048242E-3</v>
      </c>
      <c r="I22" s="8" t="s">
        <v>82</v>
      </c>
      <c r="J22" s="8" t="s">
        <v>15</v>
      </c>
      <c r="K22" s="17">
        <f ca="1">_xll.CALENDAR.GAP(pricingDate,J22,"USD","Following",FALSE)</f>
        <v>43644</v>
      </c>
      <c r="L22" s="9">
        <v>9.7400000000000004E-3</v>
      </c>
      <c r="M22" s="9" t="str">
        <f ca="1">_xll.OBJECT.CURVE.HELPER.OVERNIGHT.SWAP(LEFT(I22,LEN(I22)-6),fedFund,K22,L22,TODAY())</f>
        <v>USSO7 #0023</v>
      </c>
      <c r="N22" s="9">
        <f ca="1">_xll.CURVE.ZERO.RATE(oisCurve,K22,cTreasuries)</f>
        <v>9.9986228435735569E-3</v>
      </c>
      <c r="P22" s="34"/>
      <c r="Q22" s="46" t="s">
        <v>99</v>
      </c>
      <c r="R22" s="42" t="s">
        <v>93</v>
      </c>
      <c r="S22" s="42" t="s">
        <v>56</v>
      </c>
      <c r="T22" s="42" t="s">
        <v>10</v>
      </c>
      <c r="U22" s="42" t="s">
        <v>11</v>
      </c>
      <c r="V22" s="42" t="s">
        <v>12</v>
      </c>
      <c r="W22" s="43" t="s">
        <v>13</v>
      </c>
    </row>
    <row r="23" spans="2:23" ht="10.55" x14ac:dyDescent="0.35">
      <c r="B23" s="8" t="s">
        <v>35</v>
      </c>
      <c r="C23" s="8" t="s">
        <v>14</v>
      </c>
      <c r="D23" s="17">
        <f ca="1">_xll.CALENDAR.GAP(pricingDate,C23,"USD","Unadjusted",FALSE)</f>
        <v>43279</v>
      </c>
      <c r="E23" s="9">
        <v>1.1422000000000002E-2</v>
      </c>
      <c r="F23" s="9" t="str">
        <f ca="1">_xll.OBJECT.CURVE.HELPER.SWAP(B23,C23,"USD",2,"Semi-Annual","ACT/ACT",E23,"Quarterly","ACT/360",libor3M,oisCurve)</f>
        <v>USSWAP6  Curncy#0023</v>
      </c>
      <c r="G23" s="9">
        <f ca="1">_xll.CURVE.ZERO.RATE(swapCurve,D23,cTreasuries)</f>
        <v>1.1437312924580834E-2</v>
      </c>
      <c r="I23" s="8" t="s">
        <v>81</v>
      </c>
      <c r="J23" s="8" t="s">
        <v>18</v>
      </c>
      <c r="K23" s="17">
        <f ca="1">_xll.CALENDAR.GAP(pricingDate,J23,"USD","Following",FALSE)</f>
        <v>44740</v>
      </c>
      <c r="L23" s="9">
        <v>1.4150000000000001E-2</v>
      </c>
      <c r="M23" s="9" t="str">
        <f ca="1">_xll.OBJECT.CURVE.HELPER.OVERNIGHT.SWAP(LEFT(I23,LEN(I23)-6),fedFund,K23,L23,TODAY())</f>
        <v>USSO10 #0023</v>
      </c>
      <c r="N23" s="9">
        <f ca="1">_xll.CURVE.ZERO.RATE(oisCurve,K23,cTreasuries)</f>
        <v>1.4694520058514904E-2</v>
      </c>
      <c r="P23" s="37" t="s">
        <v>8</v>
      </c>
      <c r="Q23" s="38">
        <f ca="1">_xll.CALENDAR.GAP(pricingDate,P23,"USD","Following",FALSE)</f>
        <v>41120</v>
      </c>
      <c r="R23" s="19">
        <f ca="1">S3</f>
        <v>1.724346493690618E-3</v>
      </c>
      <c r="S23" s="19">
        <f ca="1">_xll.CURVE.FORWARD.RATE(oisCurve,$Q3,_xll.CALENDAR.GAP($Q3,S$22,"USD","unadjusted",FALSE),cTreasuries)</f>
        <v>1.8663869344930362E-3</v>
      </c>
      <c r="T23" s="19">
        <f ca="1">_xll.CURVE.FORWARD.RATE(oisCurve,$Q3,_xll.CALENDAR.GAP($Q3,T$22,"USD","unadjusted",FALSE),cTreasuries)</f>
        <v>2.1171581263512707E-3</v>
      </c>
      <c r="U23" s="19">
        <f ca="1">_xll.CURVE.FORWARD.RATE(oisCurve,$Q3,_xll.CALENDAR.GAP($Q3,U$22,"USD","unadjusted",FALSE),cTreasuries)</f>
        <v>2.7362042767884454E-3</v>
      </c>
      <c r="V23" s="19">
        <f ca="1">_xll.CURVE.FORWARD.RATE(oisCurve,$Q3,_xll.CALENDAR.GAP($Q3,V$22,"USD","unadjusted",FALSE),cTreasuries)</f>
        <v>4.4402488814458962E-3</v>
      </c>
      <c r="W23" s="44">
        <f ca="1">_xll.CURVE.FORWARD.RATE(oisCurve,$Q3,_xll.CALENDAR.GAP($Q3,W$22,"USD","unadjusted",FALSE),cTreasuries)</f>
        <v>6.3899604641446395E-3</v>
      </c>
    </row>
    <row r="24" spans="2:23" ht="10.55" x14ac:dyDescent="0.35">
      <c r="B24" s="8" t="s">
        <v>36</v>
      </c>
      <c r="C24" s="8" t="s">
        <v>15</v>
      </c>
      <c r="D24" s="17">
        <f ca="1">_xll.CALENDAR.GAP(pricingDate,C24,"USD","Unadjusted",FALSE)</f>
        <v>43644</v>
      </c>
      <c r="E24" s="9">
        <v>1.3385000000000001E-2</v>
      </c>
      <c r="F24" s="9" t="str">
        <f ca="1">_xll.OBJECT.CURVE.HELPER.SWAP(B24,C24,"USD",2,"Semi-Annual","ACT/ACT",E24,"Quarterly","ACT/360",libor3M,oisCurve)</f>
        <v>USSWAP7 Curncy#0023</v>
      </c>
      <c r="G24" s="9">
        <f ca="1">_xll.CURVE.ZERO.RATE(swapCurve,D24,cTreasuries)</f>
        <v>1.3470041651591824E-2</v>
      </c>
      <c r="I24" s="8" t="s">
        <v>90</v>
      </c>
      <c r="J24" s="8" t="s">
        <v>20</v>
      </c>
      <c r="K24" s="17">
        <f ca="1">_xll.CALENDAR.GAP(pricingDate,J24,"USD","Following",FALSE)</f>
        <v>46566</v>
      </c>
      <c r="L24" s="9">
        <v>1.864E-2</v>
      </c>
      <c r="M24" s="9" t="str">
        <f ca="1">_xll.OBJECT.CURVE.HELPER.OVERNIGHT.SWAP(LEFT(I24,LEN(I24)-6),fedFund,K24,L24,TODAY())</f>
        <v>USSO15 #0023</v>
      </c>
      <c r="N24" s="9">
        <f ca="1">_xll.CURVE.ZERO.RATE(oisCurve,K24,cTreasuries)</f>
        <v>1.9656959351165515E-2</v>
      </c>
      <c r="P24" s="37" t="s">
        <v>9</v>
      </c>
      <c r="Q24" s="38">
        <f ca="1">_xll.CALENDAR.GAP(pricingDate,P24,"USD","Following",FALSE)</f>
        <v>41149</v>
      </c>
      <c r="R24" s="19">
        <f t="shared" ref="R24:R29" ca="1" si="1">S4</f>
        <v>1.772242052909601E-3</v>
      </c>
      <c r="S24" s="19">
        <f ca="1">_xll.CURVE.FORWARD.RATE(oisCurve,$Q4,_xll.CALENDAR.GAP($Q4,S$22,"USD","unadjusted",FALSE),cTreasuries)</f>
        <v>1.8764377368856167E-3</v>
      </c>
      <c r="T24" s="19">
        <f ca="1">_xll.CURVE.FORWARD.RATE(oisCurve,$Q4,_xll.CALENDAR.GAP($Q4,T$22,"USD","unadjusted",FALSE),cTreasuries)</f>
        <v>2.1493182804506183E-3</v>
      </c>
      <c r="U24" s="19">
        <f ca="1">_xll.CURVE.FORWARD.RATE(oisCurve,$Q4,_xll.CALENDAR.GAP($Q4,U$22,"USD","unadjusted",FALSE),cTreasuries)</f>
        <v>2.8686766084158322E-3</v>
      </c>
      <c r="V24" s="19">
        <f ca="1">_xll.CURVE.FORWARD.RATE(oisCurve,$Q4,_xll.CALENDAR.GAP($Q4,V$22,"USD","unadjusted",FALSE),cTreasuries)</f>
        <v>4.6464637727732239E-3</v>
      </c>
      <c r="W24" s="44">
        <f ca="1">_xll.CURVE.FORWARD.RATE(oisCurve,$Q4,_xll.CALENDAR.GAP($Q4,W$22,"USD","unadjusted",FALSE),cTreasuries)</f>
        <v>6.6232962684247276E-3</v>
      </c>
    </row>
    <row r="25" spans="2:23" ht="10.55" x14ac:dyDescent="0.35">
      <c r="B25" s="8" t="s">
        <v>37</v>
      </c>
      <c r="C25" s="8" t="s">
        <v>16</v>
      </c>
      <c r="D25" s="17">
        <f ca="1">_xll.CALENDAR.GAP(pricingDate,C25,"USD","Unadjusted",FALSE)</f>
        <v>44010</v>
      </c>
      <c r="E25" s="9">
        <v>1.4959999999999999E-2</v>
      </c>
      <c r="F25" s="9" t="str">
        <f ca="1">_xll.OBJECT.CURVE.HELPER.SWAP(B25,C25,"USD",2,"Semi-Annual","ACT/ACT",E25,"Quarterly","ACT/360",libor3M,oisCurve)</f>
        <v>USSWAP8  Curncy#0023</v>
      </c>
      <c r="G25" s="9">
        <f ca="1">_xll.CURVE.ZERO.RATE(swapCurve,D25,cTreasuries)</f>
        <v>1.5117450403667743E-2</v>
      </c>
      <c r="I25" s="8" t="s">
        <v>91</v>
      </c>
      <c r="J25" s="8" t="s">
        <v>21</v>
      </c>
      <c r="K25" s="17">
        <f ca="1">_xll.CALENDAR.GAP(pricingDate,J25,"USD","Following",FALSE)</f>
        <v>48393</v>
      </c>
      <c r="L25" s="9">
        <v>2.051E-2</v>
      </c>
      <c r="M25" s="9" t="str">
        <f ca="1">_xll.OBJECT.CURVE.HELPER.OVERNIGHT.SWAP(LEFT(I25,LEN(I25)-6),fedFund,K25,L25,TODAY())</f>
        <v>USSO20 #0023</v>
      </c>
      <c r="N25" s="9">
        <f ca="1">_xll.CURVE.ZERO.RATE(oisCurve,K25,cTreasuries)</f>
        <v>2.174675184043684E-2</v>
      </c>
      <c r="P25" s="37" t="s">
        <v>1</v>
      </c>
      <c r="Q25" s="38">
        <f ca="1">_xll.CALENDAR.GAP(pricingDate,P25,"USD","Following",FALSE)</f>
        <v>41180</v>
      </c>
      <c r="R25" s="19">
        <f t="shared" ca="1" si="1"/>
        <v>1.7813166160123774E-3</v>
      </c>
      <c r="S25" s="19">
        <f ca="1">_xll.CURVE.FORWARD.RATE(oisCurve,$Q5,_xll.CALENDAR.GAP($Q5,S$22,"USD","unadjusted",FALSE),cTreasuries)</f>
        <v>1.8925430977883018E-3</v>
      </c>
      <c r="T25" s="19">
        <f ca="1">_xll.CURVE.FORWARD.RATE(oisCurve,$Q5,_xll.CALENDAR.GAP($Q5,T$22,"USD","unadjusted",FALSE),cTreasuries)</f>
        <v>2.1875699032318785E-3</v>
      </c>
      <c r="U25" s="19">
        <f ca="1">_xll.CURVE.FORWARD.RATE(oisCurve,$Q5,_xll.CALENDAR.GAP($Q5,U$22,"USD","unadjusted",FALSE),cTreasuries)</f>
        <v>3.026492659577773E-3</v>
      </c>
      <c r="V25" s="19">
        <f ca="1">_xll.CURVE.FORWARD.RATE(oisCurve,$Q5,_xll.CALENDAR.GAP($Q5,V$22,"USD","unadjusted",FALSE),cTreasuries)</f>
        <v>4.8749293607421862E-3</v>
      </c>
      <c r="W25" s="44">
        <f ca="1">_xll.CURVE.FORWARD.RATE(oisCurve,$Q5,_xll.CALENDAR.GAP($Q5,W$22,"USD","unadjusted",FALSE),cTreasuries)</f>
        <v>6.8790136925196421E-3</v>
      </c>
    </row>
    <row r="26" spans="2:23" ht="10.55" x14ac:dyDescent="0.35">
      <c r="B26" s="8" t="s">
        <v>38</v>
      </c>
      <c r="C26" s="8" t="s">
        <v>17</v>
      </c>
      <c r="D26" s="17">
        <f ca="1">_xll.CALENDAR.GAP(pricingDate,C26,"USD","Unadjusted",FALSE)</f>
        <v>44375</v>
      </c>
      <c r="E26" s="9">
        <v>1.6354999999999998E-2</v>
      </c>
      <c r="F26" s="9" t="str">
        <f ca="1">_xll.OBJECT.CURVE.HELPER.SWAP(B26,C26,"USD",2,"Semi-Annual","ACT/ACT",E26,"Quarterly","ACT/360",libor3M,oisCurve)</f>
        <v>USSWAP9  Curncy#0023</v>
      </c>
      <c r="G26" s="9">
        <f ca="1">_xll.CURVE.ZERO.RATE(swapCurve,D26,cTreasuries)</f>
        <v>1.6593209037842449E-2</v>
      </c>
      <c r="I26" s="8" t="s">
        <v>92</v>
      </c>
      <c r="J26" s="8" t="s">
        <v>22</v>
      </c>
      <c r="K26" s="17">
        <f ca="1">_xll.CALENDAR.GAP(pricingDate,J26,"USD","Following",FALSE)</f>
        <v>50220</v>
      </c>
      <c r="L26" s="9">
        <v>2.147E-2</v>
      </c>
      <c r="M26" s="9" t="str">
        <f ca="1">_xll.OBJECT.CURVE.HELPER.OVERNIGHT.SWAP(LEFT(I26,LEN(I26)-6),fedFund,K26,L26,TODAY())</f>
        <v>USSO25 #0023</v>
      </c>
      <c r="N26" s="9">
        <f ca="1">_xll.CURVE.ZERO.RATE(oisCurve,K26,cTreasuries)</f>
        <v>2.2813928544723971E-2</v>
      </c>
      <c r="P26" s="37" t="s">
        <v>2</v>
      </c>
      <c r="Q26" s="38">
        <f ca="1">_xll.CALENDAR.GAP(pricingDate,P26,"USD","Following",FALSE)</f>
        <v>41271</v>
      </c>
      <c r="R26" s="19">
        <f t="shared" ca="1" si="1"/>
        <v>1.8107480099236462E-3</v>
      </c>
      <c r="S26" s="19">
        <f ca="1">_xll.CURVE.FORWARD.RATE(oisCurve,$Q6,_xll.CALENDAR.GAP($Q6,S$22,"USD","unadjusted",FALSE),cTreasuries)</f>
        <v>1.9692229081336166E-3</v>
      </c>
      <c r="T26" s="19">
        <f ca="1">_xll.CURVE.FORWARD.RATE(oisCurve,$Q6,_xll.CALENDAR.GAP($Q6,T$22,"USD","unadjusted",FALSE),cTreasuries)</f>
        <v>2.3330909447545345E-3</v>
      </c>
      <c r="U26" s="19">
        <f ca="1">_xll.CURVE.FORWARD.RATE(oisCurve,$Q6,_xll.CALENDAR.GAP($Q6,U$22,"USD","unadjusted",FALSE),cTreasuries)</f>
        <v>3.5731804046941207E-3</v>
      </c>
      <c r="V26" s="19">
        <f ca="1">_xll.CURVE.FORWARD.RATE(oisCurve,$Q6,_xll.CALENDAR.GAP($Q6,V$22,"USD","unadjusted",FALSE),cTreasuries)</f>
        <v>5.5878157161473041E-3</v>
      </c>
      <c r="W26" s="44">
        <f ca="1">_xll.CURVE.FORWARD.RATE(oisCurve,$Q6,_xll.CALENDAR.GAP($Q6,W$22,"USD","unadjusted",FALSE),cTreasuries)</f>
        <v>7.6613591754446375E-3</v>
      </c>
    </row>
    <row r="27" spans="2:23" ht="10.55" x14ac:dyDescent="0.35">
      <c r="B27" s="8" t="s">
        <v>39</v>
      </c>
      <c r="C27" s="8" t="s">
        <v>18</v>
      </c>
      <c r="D27" s="17">
        <f ca="1">_xll.CALENDAR.GAP(pricingDate,C27,"USD","Unadjusted",FALSE)</f>
        <v>44740</v>
      </c>
      <c r="E27" s="9">
        <v>1.762E-2</v>
      </c>
      <c r="F27" s="9" t="str">
        <f ca="1">_xll.OBJECT.CURVE.HELPER.SWAP(B27,C27,"USD",2,"Semi-Annual","ACT/ACT",E27,"Quarterly","ACT/360",libor3M,oisCurve)</f>
        <v>USSWAP10  Curncy#0023</v>
      </c>
      <c r="G27" s="9">
        <f ca="1">_xll.CURVE.ZERO.RATE(swapCurve,D27,cTreasuries)</f>
        <v>1.7953820958399813E-2</v>
      </c>
      <c r="I27" s="60" t="s">
        <v>64</v>
      </c>
      <c r="J27" s="60" t="s">
        <v>23</v>
      </c>
      <c r="K27" s="61">
        <f ca="1">_xll.CALENDAR.GAP(pricingDate,J27,"USD","Following",FALSE)</f>
        <v>52047</v>
      </c>
      <c r="L27" s="62">
        <v>2.2069999999999999E-2</v>
      </c>
      <c r="M27" s="62" t="str">
        <f ca="1">_xll.OBJECT.CURVE.HELPER.OVERNIGHT.SWAP(LEFT(I27,LEN(I27)-6),fedFund,K27,L27,TODAY())</f>
        <v>USSO30 #0023</v>
      </c>
      <c r="N27" s="62">
        <f ca="1">_xll.CURVE.ZERO.RATE(oisCurve,K27,cTreasuries)</f>
        <v>2.3481773272282958E-2</v>
      </c>
      <c r="P27" s="37" t="s">
        <v>55</v>
      </c>
      <c r="Q27" s="38">
        <f ca="1">_xll.CALENDAR.GAP(pricingDate,P27,"USD","Following",FALSE)</f>
        <v>41361</v>
      </c>
      <c r="R27" s="19">
        <f t="shared" ca="1" si="1"/>
        <v>1.8185809848061396E-3</v>
      </c>
      <c r="S27" s="19">
        <f ca="1">_xll.CURVE.FORWARD.RATE(oisCurve,$Q7,_xll.CALENDAR.GAP($Q7,S$22,"USD","unadjusted",FALSE),cTreasuries)</f>
        <v>2.1290678751912928E-3</v>
      </c>
      <c r="T27" s="19">
        <f ca="1">_xll.CURVE.FORWARD.RATE(oisCurve,$Q7,_xll.CALENDAR.GAP($Q7,T$22,"USD","unadjusted",FALSE),cTreasuries)</f>
        <v>2.5790664856466528E-3</v>
      </c>
      <c r="U27" s="19">
        <f ca="1">_xll.CURVE.FORWARD.RATE(oisCurve,$Q7,_xll.CALENDAR.GAP($Q7,U$22,"USD","unadjusted",FALSE),cTreasuries)</f>
        <v>4.2374815016246181E-3</v>
      </c>
      <c r="V27" s="19">
        <f ca="1">_xll.CURVE.FORWARD.RATE(oisCurve,$Q7,_xll.CALENDAR.GAP($Q7,V$22,"USD","unadjusted",FALSE),cTreasuries)</f>
        <v>6.3589461544997228E-3</v>
      </c>
      <c r="W27" s="44">
        <f ca="1">_xll.CURVE.FORWARD.RATE(oisCurve,$Q7,_xll.CALENDAR.GAP($Q7,W$22,"USD","unadjusted",FALSE),cTreasuries)</f>
        <v>8.4833395568830738E-3</v>
      </c>
    </row>
    <row r="28" spans="2:23" ht="10.55" x14ac:dyDescent="0.35">
      <c r="B28" s="8" t="s">
        <v>40</v>
      </c>
      <c r="C28" s="8" t="s">
        <v>48</v>
      </c>
      <c r="D28" s="17">
        <f ca="1">_xll.CALENDAR.GAP(pricingDate,C28,"USD","Unadjusted",FALSE)</f>
        <v>45105</v>
      </c>
      <c r="E28" s="9">
        <v>1.8680000000000002E-2</v>
      </c>
      <c r="F28" s="9" t="str">
        <f ca="1">_xll.OBJECT.CURVE.HELPER.SWAP(B28,C28,"USD",2,"Semi-Annual","ACT/ACT",E28,"Quarterly","ACT/360",libor3M,oisCurve)</f>
        <v>USSWAP11  Curncy#0023</v>
      </c>
      <c r="G28" s="9">
        <f ca="1">_xll.CURVE.ZERO.RATE(swapCurve,D28,cTreasuries)</f>
        <v>1.910072220193415E-2</v>
      </c>
      <c r="I28" s="7"/>
      <c r="J28" s="8"/>
      <c r="K28" s="17"/>
      <c r="L28" s="9"/>
      <c r="M28" s="9"/>
      <c r="N28" s="10"/>
      <c r="P28" s="37" t="s">
        <v>56</v>
      </c>
      <c r="Q28" s="38">
        <f ca="1">_xll.CALENDAR.GAP(pricingDate,P28,"USD","Following",FALSE)</f>
        <v>41453</v>
      </c>
      <c r="R28" s="19">
        <f t="shared" ca="1" si="1"/>
        <v>1.8475553911780906E-3</v>
      </c>
      <c r="S28" s="19">
        <f ca="1">_xll.CURVE.FORWARD.RATE(oisCurve,$Q8,_xll.CALENDAR.GAP($Q8,S$22,"USD","unadjusted",FALSE),cTreasuries)</f>
        <v>2.3078150239363993E-3</v>
      </c>
      <c r="T28" s="19">
        <f ca="1">_xll.CURVE.FORWARD.RATE(oisCurve,$Q8,_xll.CALENDAR.GAP($Q8,T$22,"USD","unadjusted",FALSE),cTreasuries)</f>
        <v>2.9816775483917368E-3</v>
      </c>
      <c r="U28" s="19">
        <f ca="1">_xll.CURVE.FORWARD.RATE(oisCurve,$Q8,_xll.CALENDAR.GAP($Q8,U$22,"USD","unadjusted",FALSE),cTreasuries)</f>
        <v>5.0077314692216213E-3</v>
      </c>
      <c r="V28" s="19">
        <f ca="1">_xll.CURVE.FORWARD.RATE(oisCurve,$Q8,_xll.CALENDAR.GAP($Q8,V$22,"USD","unadjusted",FALSE),cTreasuries)</f>
        <v>7.2092698016308354E-3</v>
      </c>
      <c r="W28" s="44">
        <f ca="1">_xll.CURVE.FORWARD.RATE(oisCurve,$Q8,_xll.CALENDAR.GAP($Q8,W$22,"USD","unadjusted",FALSE),cTreasuries)</f>
        <v>9.3641074251022971E-3</v>
      </c>
    </row>
    <row r="29" spans="2:23" ht="10.55" x14ac:dyDescent="0.35">
      <c r="B29" s="8" t="s">
        <v>41</v>
      </c>
      <c r="C29" s="8" t="s">
        <v>19</v>
      </c>
      <c r="D29" s="17">
        <f ca="1">_xll.CALENDAR.GAP(pricingDate,C29,"USD","Unadjusted",FALSE)</f>
        <v>45471</v>
      </c>
      <c r="E29" s="9">
        <v>1.9699999999999999E-2</v>
      </c>
      <c r="F29" s="9" t="str">
        <f ca="1">_xll.OBJECT.CURVE.HELPER.SWAP(B29,C29,"USD",2,"Semi-Annual","ACT/ACT",E29,"Quarterly","ACT/360",libor3M,oisCurve)</f>
        <v>USSWAP12  Curncy#0023</v>
      </c>
      <c r="G29" s="9">
        <f ca="1">_xll.CURVE.ZERO.RATE(swapCurve,D29,cTreasuries)</f>
        <v>2.0219678170500632E-2</v>
      </c>
      <c r="I29" s="51" t="str">
        <f ca="1">_xll.OBJECT.CURVE.INTERPOLATE("OIS_CURVE",pricingDate,"USD",M3:M27)</f>
        <v>OIS_CURVE#0023</v>
      </c>
      <c r="J29" s="12"/>
      <c r="K29" s="12"/>
      <c r="L29" s="12"/>
      <c r="M29" s="12"/>
      <c r="N29" s="13"/>
      <c r="P29" s="37" t="s">
        <v>98</v>
      </c>
      <c r="Q29" s="38">
        <f ca="1">_xll.CALENDAR.GAP(pricingDate,P29,"USD","Following",FALSE)</f>
        <v>41547</v>
      </c>
      <c r="R29" s="19">
        <f t="shared" ca="1" si="1"/>
        <v>1.8709139921013751E-3</v>
      </c>
      <c r="S29" s="19">
        <f ca="1">_xll.CURVE.FORWARD.RATE(oisCurve,$Q9,_xll.CALENDAR.GAP($Q9,S$22,"USD","unadjusted",FALSE),cTreasuries)</f>
        <v>2.4864712156809077E-3</v>
      </c>
      <c r="T29" s="19">
        <f ca="1">_xll.CURVE.FORWARD.RATE(oisCurve,$Q9,_xll.CALENDAR.GAP($Q9,T$22,"USD","unadjusted",FALSE),cTreasuries)</f>
        <v>3.6087890350429142E-3</v>
      </c>
      <c r="U29" s="19">
        <f ca="1">_xll.CURVE.FORWARD.RATE(oisCurve,$Q9,_xll.CALENDAR.GAP($Q9,U$22,"USD","unadjusted",FALSE),cTreasuries)</f>
        <v>5.8887329623926732E-3</v>
      </c>
      <c r="V29" s="19">
        <f ca="1">_xll.CURVE.FORWARD.RATE(oisCurve,$Q9,_xll.CALENDAR.GAP($Q9,V$22,"USD","unadjusted",FALSE),cTreasuries)</f>
        <v>8.1472885145905671E-3</v>
      </c>
      <c r="W29" s="44">
        <f ca="1">_xll.CURVE.FORWARD.RATE(oisCurve,$Q9,_xll.CALENDAR.GAP($Q9,W$22,"USD","unadjusted",FALSE),cTreasuries)</f>
        <v>1.0306745242977033E-2</v>
      </c>
    </row>
    <row r="30" spans="2:23" ht="10.55" x14ac:dyDescent="0.35">
      <c r="B30" s="8" t="s">
        <v>42</v>
      </c>
      <c r="C30" s="8" t="s">
        <v>20</v>
      </c>
      <c r="D30" s="17">
        <f ca="1">_xll.CALENDAR.GAP(pricingDate,C30,"USD","Unadjusted",FALSE)</f>
        <v>46566</v>
      </c>
      <c r="E30" s="9">
        <v>2.1739999999999999E-2</v>
      </c>
      <c r="F30" s="9" t="str">
        <f ca="1">_xll.OBJECT.CURVE.HELPER.SWAP(B30,C30,"USD",2,"Semi-Annual","ACT/ACT",E30,"Quarterly","ACT/360",libor3M,oisCurve)</f>
        <v>USSWAP15  Curncy#0023</v>
      </c>
      <c r="G30" s="9">
        <f ca="1">_xll.CURVE.ZERO.RATE(swapCurve,D30,cTreasuries)</f>
        <v>2.2484323331474432E-2</v>
      </c>
      <c r="P30" s="37" t="s">
        <v>62</v>
      </c>
      <c r="Q30" s="38">
        <f ca="1">_xll.CALENDAR.GAP(pricingDate,P30,"USD","Following",FALSE)</f>
        <v>41638</v>
      </c>
      <c r="R30" s="19">
        <f t="shared" ref="R30:R39" ca="1" si="2">S10</f>
        <v>1.9178686169314396E-3</v>
      </c>
      <c r="S30" s="19">
        <f ca="1">_xll.CURVE.FORWARD.RATE(oisCurve,$Q10,_xll.CALENDAR.GAP($Q10,S$22,"USD","unadjusted",FALSE),cTreasuries)</f>
        <v>2.7026663983686916E-3</v>
      </c>
      <c r="T30" s="19">
        <f ca="1">_xll.CURVE.FORWARD.RATE(oisCurve,$Q10,_xll.CALENDAR.GAP($Q10,T$22,"USD","unadjusted",FALSE),cTreasuries)</f>
        <v>4.3944087766782935E-3</v>
      </c>
      <c r="U30" s="19">
        <f ca="1">_xll.CURVE.FORWARD.RATE(oisCurve,$Q10,_xll.CALENDAR.GAP($Q10,U$22,"USD","unadjusted",FALSE),cTreasuries)</f>
        <v>6.8164686115537165E-3</v>
      </c>
      <c r="V30" s="19">
        <f ca="1">_xll.CURVE.FORWARD.RATE(oisCurve,$Q10,_xll.CALENDAR.GAP($Q10,V$22,"USD","unadjusted",FALSE),cTreasuries)</f>
        <v>9.1084331184188017E-3</v>
      </c>
      <c r="W30" s="44">
        <f ca="1">_xll.CURVE.FORWARD.RATE(oisCurve,$Q10,_xll.CALENDAR.GAP($Q10,W$22,"USD","unadjusted",FALSE),cTreasuries)</f>
        <v>1.1248957731657683E-2</v>
      </c>
    </row>
    <row r="31" spans="2:23" ht="10.55" x14ac:dyDescent="0.35">
      <c r="B31" s="8" t="s">
        <v>43</v>
      </c>
      <c r="C31" s="8" t="s">
        <v>21</v>
      </c>
      <c r="D31" s="17">
        <f ca="1">_xll.CALENDAR.GAP(pricingDate,C31,"USD","Unadjusted",FALSE)</f>
        <v>48393</v>
      </c>
      <c r="E31" s="9">
        <v>2.3429999999999999E-2</v>
      </c>
      <c r="F31" s="9" t="str">
        <f ca="1">_xll.OBJECT.CURVE.HELPER.SWAP(B31,C31,"USD",2,"Semi-Annual","ACT/ACT",E31,"Quarterly","ACT/360",libor3M,oisCurve)</f>
        <v>USSWAP20  Curncy#0023</v>
      </c>
      <c r="G31" s="9">
        <f ca="1">_xll.CURVE.ZERO.RATE(swapCurve,D31,cTreasuries)</f>
        <v>2.4370744078558104E-2</v>
      </c>
      <c r="P31" s="37" t="s">
        <v>10</v>
      </c>
      <c r="Q31" s="38">
        <f ca="1">_xll.CALENDAR.GAP(pricingDate,P31,"USD","Following",FALSE)</f>
        <v>41820</v>
      </c>
      <c r="R31" s="19">
        <f t="shared" ca="1" si="2"/>
        <v>2.0793506488350211E-3</v>
      </c>
      <c r="S31" s="19">
        <f ca="1">_xll.CURVE.FORWARD.RATE(oisCurve,$Q11,_xll.CALENDAR.GAP($Q11,S$22,"USD","unadjusted",FALSE),cTreasuries)</f>
        <v>3.6740199972813414E-3</v>
      </c>
      <c r="T31" s="19">
        <f ca="1">_xll.CURVE.FORWARD.RATE(oisCurve,$Q11,_xll.CALENDAR.GAP($Q11,T$22,"USD","unadjusted",FALSE),cTreasuries)</f>
        <v>6.3829229664276177E-3</v>
      </c>
      <c r="U31" s="19">
        <f ca="1">_xll.CURVE.FORWARD.RATE(oisCurve,$Q11,_xll.CALENDAR.GAP($Q11,U$22,"USD","unadjusted",FALSE),cTreasuries)</f>
        <v>8.870166348667663E-3</v>
      </c>
      <c r="V31" s="19">
        <f ca="1">_xll.CURVE.FORWARD.RATE(oisCurve,$Q11,_xll.CALENDAR.GAP($Q11,V$22,"USD","unadjusted",FALSE),cTreasuries)</f>
        <v>1.1155664224708151E-2</v>
      </c>
      <c r="W31" s="44">
        <f ca="1">_xll.CURVE.FORWARD.RATE(oisCurve,$Q11,_xll.CALENDAR.GAP($Q11,W$22,"USD","unadjusted",FALSE),cTreasuries)</f>
        <v>1.319548019356187E-2</v>
      </c>
    </row>
    <row r="32" spans="2:23" ht="10.55" x14ac:dyDescent="0.35">
      <c r="B32" s="8" t="s">
        <v>44</v>
      </c>
      <c r="C32" s="8" t="s">
        <v>22</v>
      </c>
      <c r="D32" s="17">
        <f ca="1">_xll.CALENDAR.GAP(pricingDate,C32,"USD","Unadjusted",FALSE)</f>
        <v>50219</v>
      </c>
      <c r="E32" s="9">
        <v>2.4235000000000003E-2</v>
      </c>
      <c r="F32" s="9" t="str">
        <f ca="1">_xll.OBJECT.CURVE.HELPER.SWAP(B32,C32,"USD",2,"Semi-Annual","ACT/ACT",E32,"Quarterly","ACT/360",libor3M,oisCurve)</f>
        <v>USSWAP25  Curncy#0023</v>
      </c>
      <c r="G32" s="9">
        <f ca="1">_xll.CURVE.ZERO.RATE(swapCurve,D32,cTreasuries)</f>
        <v>2.5249401582628561E-2</v>
      </c>
      <c r="P32" s="37" t="s">
        <v>11</v>
      </c>
      <c r="Q32" s="38">
        <f ca="1">_xll.CALENDAR.GAP(pricingDate,P32,"USD","Following",FALSE)</f>
        <v>42184</v>
      </c>
      <c r="R32" s="19">
        <f t="shared" ca="1" si="2"/>
        <v>2.6069752352713138E-3</v>
      </c>
      <c r="S32" s="19">
        <f ca="1">_xll.CURVE.FORWARD.RATE(oisCurve,$Q12,_xll.CALENDAR.GAP($Q12,S$22,"USD","unadjusted",FALSE),cTreasuries)</f>
        <v>9.0760333786161773E-3</v>
      </c>
      <c r="T32" s="19">
        <f ca="1">_xll.CURVE.FORWARD.RATE(oisCurve,$Q12,_xll.CALENDAR.GAP($Q12,T$22,"USD","unadjusted",FALSE),cTreasuries)</f>
        <v>1.1459542981739901E-2</v>
      </c>
      <c r="U32" s="19">
        <f ca="1">_xll.CURVE.FORWARD.RATE(oisCurve,$Q12,_xll.CALENDAR.GAP($Q12,U$22,"USD","unadjusted",FALSE),cTreasuries)</f>
        <v>1.3643056620585181E-2</v>
      </c>
      <c r="V32" s="19">
        <f ca="1">_xll.CURVE.FORWARD.RATE(oisCurve,$Q12,_xll.CALENDAR.GAP($Q12,V$22,"USD","unadjusted",FALSE),cTreasuries)</f>
        <v>1.5571440285122584E-2</v>
      </c>
      <c r="W32" s="44">
        <f ca="1">_xll.CURVE.FORWARD.RATE(oisCurve,$Q12,_xll.CALENDAR.GAP($Q12,W$22,"USD","unadjusted",FALSE),cTreasuries)</f>
        <v>1.7224973341491534E-2</v>
      </c>
    </row>
    <row r="33" spans="2:23" ht="10.55" x14ac:dyDescent="0.35">
      <c r="B33" s="8" t="s">
        <v>45</v>
      </c>
      <c r="C33" s="8" t="s">
        <v>23</v>
      </c>
      <c r="D33" s="17">
        <f ca="1">_xll.CALENDAR.GAP(pricingDate,C33,"USD","Unadjusted",FALSE)</f>
        <v>52045</v>
      </c>
      <c r="E33" s="9">
        <v>2.4735E-2</v>
      </c>
      <c r="F33" s="9" t="str">
        <f ca="1">_xll.OBJECT.CURVE.HELPER.SWAP(B33,C33,"USD",2,"Semi-Annual","ACT/ACT",E33,"Quarterly","ACT/360",libor3M,oisCurve)</f>
        <v>USSWAP30  Curncy#0023</v>
      </c>
      <c r="G33" s="9">
        <f ca="1">_xll.CURVE.ZERO.RATE(swapCurve,D33,cTreasuries)</f>
        <v>2.5790805750232959E-2</v>
      </c>
      <c r="P33" s="37" t="s">
        <v>12</v>
      </c>
      <c r="Q33" s="38">
        <f ca="1">_xll.CALENDAR.GAP(pricingDate,P33,"USD","Following",FALSE)</f>
        <v>42549</v>
      </c>
      <c r="R33" s="19">
        <f t="shared" ca="1" si="2"/>
        <v>4.2183264062036763E-3</v>
      </c>
      <c r="S33" s="19">
        <f ca="1">_xll.CURVE.FORWARD.RATE(oisCurve,$Q13,_xll.CALENDAR.GAP($Q13,S$22,"USD","unadjusted",FALSE),cTreasuries)</f>
        <v>1.3840791138321595E-2</v>
      </c>
      <c r="T33" s="19">
        <f ca="1">_xll.CURVE.FORWARD.RATE(oisCurve,$Q13,_xll.CALENDAR.GAP($Q13,T$22,"USD","unadjusted",FALSE),cTreasuries)</f>
        <v>1.5924086365629808E-2</v>
      </c>
      <c r="U33" s="19">
        <f ca="1">_xll.CURVE.FORWARD.RATE(oisCurve,$Q13,_xll.CALENDAR.GAP($Q13,U$22,"USD","unadjusted",FALSE),cTreasuries)</f>
        <v>1.7735242202915114E-2</v>
      </c>
      <c r="V33" s="19">
        <f ca="1">_xll.CURVE.FORWARD.RATE(oisCurve,$Q13,_xll.CALENDAR.GAP($Q13,V$22,"USD","unadjusted",FALSE),cTreasuries)</f>
        <v>1.9261178850166871E-2</v>
      </c>
      <c r="W33" s="44">
        <f ca="1">_xll.CURVE.FORWARD.RATE(oisCurve,$Q13,_xll.CALENDAR.GAP($Q13,W$22,"USD","unadjusted",FALSE),cTreasuries)</f>
        <v>2.0570718349173678E-2</v>
      </c>
    </row>
    <row r="34" spans="2:23" ht="10.55" x14ac:dyDescent="0.35">
      <c r="B34" s="8" t="s">
        <v>46</v>
      </c>
      <c r="C34" s="8" t="s">
        <v>49</v>
      </c>
      <c r="D34" s="17">
        <f ca="1">_xll.CALENDAR.GAP(pricingDate,C34,"USD","Unadjusted",FALSE)</f>
        <v>55698</v>
      </c>
      <c r="E34" s="9">
        <v>2.4855000000000002E-2</v>
      </c>
      <c r="F34" s="9" t="str">
        <f ca="1">_xll.OBJECT.CURVE.HELPER.SWAP(B34,C34,"USD",2,"Semi-Annual","ACT/ACT",E34,"Quarterly","ACT/360",libor3M,oisCurve)</f>
        <v>USSWAP40  Curncy#0023</v>
      </c>
      <c r="G34" s="9">
        <f ca="1">_xll.CURVE.ZERO.RATE(swapCurve,D34,cTreasuries)</f>
        <v>2.64687807690418E-2</v>
      </c>
      <c r="P34" s="37" t="s">
        <v>13</v>
      </c>
      <c r="Q34" s="38">
        <f ca="1">_xll.CALENDAR.GAP(pricingDate,P34,"USD","Following",FALSE)</f>
        <v>42914</v>
      </c>
      <c r="R34" s="19">
        <f t="shared" ca="1" si="2"/>
        <v>6.1369814482219454E-3</v>
      </c>
      <c r="S34" s="19">
        <f ca="1">_xll.CURVE.FORWARD.RATE(oisCurve,$Q14,_xll.CALENDAR.GAP($Q14,S$22,"USD","unadjusted",FALSE),cTreasuries)</f>
        <v>1.8006616006025933E-2</v>
      </c>
      <c r="T34" s="19">
        <f ca="1">_xll.CURVE.FORWARD.RATE(oisCurve,$Q14,_xll.CALENDAR.GAP($Q14,T$22,"USD","unadjusted",FALSE),cTreasuries)</f>
        <v>1.968256004069513E-2</v>
      </c>
      <c r="U34" s="19">
        <f ca="1">_xll.CURVE.FORWARD.RATE(oisCurve,$Q14,_xll.CALENDAR.GAP($Q14,U$22,"USD","unadjusted",FALSE),cTreasuries)</f>
        <v>2.1067836693311914E-2</v>
      </c>
      <c r="V34" s="19">
        <f ca="1">_xll.CURVE.FORWARD.RATE(oisCurve,$Q14,_xll.CALENDAR.GAP($Q14,V$22,"USD","unadjusted",FALSE),cTreasuries)</f>
        <v>2.2254350287475688E-2</v>
      </c>
      <c r="W34" s="44">
        <f ca="1">_xll.CURVE.FORWARD.RATE(oisCurve,$Q14,_xll.CALENDAR.GAP($Q14,W$22,"USD","unadjusted",FALSE),cTreasuries)</f>
        <v>2.3286151270788924E-2</v>
      </c>
    </row>
    <row r="35" spans="2:23" ht="10.55" x14ac:dyDescent="0.35">
      <c r="B35" s="60" t="s">
        <v>47</v>
      </c>
      <c r="C35" s="60" t="s">
        <v>50</v>
      </c>
      <c r="D35" s="61">
        <f ca="1">_xll.CALENDAR.GAP(pricingDate,C35,"USD","Unadjusted",FALSE)</f>
        <v>59350</v>
      </c>
      <c r="E35" s="62">
        <v>2.4729999999999999E-2</v>
      </c>
      <c r="F35" s="62" t="str">
        <f ca="1">_xll.OBJECT.CURVE.HELPER.SWAP(B35,C35,"USD",2,"Semi-Annual","ACT/ACT",E35,"Quarterly","ACT/360",libor3M,oisCurve)</f>
        <v>USSWAP50  Curncy#0023</v>
      </c>
      <c r="G35" s="62">
        <f ca="1">_xll.CURVE.ZERO.RATE(swapCurve,D35,cTreasuries)</f>
        <v>2.6875588609069023E-2</v>
      </c>
      <c r="P35" s="37" t="s">
        <v>14</v>
      </c>
      <c r="Q35" s="38">
        <f ca="1">_xll.CALENDAR.GAP(pricingDate,P35,"USD","Following",FALSE)</f>
        <v>43279</v>
      </c>
      <c r="R35" s="19">
        <f t="shared" ca="1" si="2"/>
        <v>8.1108551805431084E-3</v>
      </c>
      <c r="S35" s="19">
        <f ca="1">_xll.CURVE.FORWARD.RATE(oisCurve,$Q15,_xll.CALENDAR.GAP($Q15,S$22,"USD","unadjusted",FALSE),cTreasuries)</f>
        <v>2.1359895938198648E-2</v>
      </c>
      <c r="T35" s="19">
        <f ca="1">_xll.CURVE.FORWARD.RATE(oisCurve,$Q15,_xll.CALENDAR.GAP($Q15,T$22,"USD","unadjusted",FALSE),cTreasuries)</f>
        <v>2.2599115842032003E-2</v>
      </c>
      <c r="U35" s="19">
        <f ca="1">_xll.CURVE.FORWARD.RATE(oisCurve,$Q15,_xll.CALENDAR.GAP($Q15,U$22,"USD","unadjusted",FALSE),cTreasuries)</f>
        <v>2.3672247702391402E-2</v>
      </c>
      <c r="V35" s="19">
        <f ca="1">_xll.CURVE.FORWARD.RATE(oisCurve,$Q15,_xll.CALENDAR.GAP($Q15,V$22,"USD","unadjusted",FALSE),cTreasuries)</f>
        <v>2.4608191862823592E-2</v>
      </c>
      <c r="W35" s="44">
        <f ca="1">_xll.CURVE.FORWARD.RATE(oisCurve,$Q15,_xll.CALENDAR.GAP($Q15,W$22,"USD","unadjusted",FALSE),cTreasuries)</f>
        <v>2.5423554553415162E-2</v>
      </c>
    </row>
    <row r="36" spans="2:23" ht="10.55" x14ac:dyDescent="0.35">
      <c r="B36" s="7"/>
      <c r="C36" s="8"/>
      <c r="D36" s="8"/>
      <c r="E36" s="9"/>
      <c r="F36" s="9"/>
      <c r="G36" s="10"/>
      <c r="P36" s="37" t="s">
        <v>15</v>
      </c>
      <c r="Q36" s="38">
        <f ca="1">_xll.CALENDAR.GAP(pricingDate,P36,"USD","Following",FALSE)</f>
        <v>43644</v>
      </c>
      <c r="R36" s="19">
        <f t="shared" ca="1" si="2"/>
        <v>9.9986228435735569E-3</v>
      </c>
      <c r="S36" s="19">
        <f ca="1">_xll.CURVE.FORWARD.RATE(oisCurve,$Q16,_xll.CALENDAR.GAP($Q16,S$22,"USD","unadjusted",FALSE),cTreasuries)</f>
        <v>2.3837361630775877E-2</v>
      </c>
      <c r="T36" s="19">
        <f ca="1">_xll.CURVE.FORWARD.RATE(oisCurve,$Q16,_xll.CALENDAR.GAP($Q16,T$22,"USD","unadjusted",FALSE),cTreasuries)</f>
        <v>2.4829415358332163E-2</v>
      </c>
      <c r="U36" s="19">
        <f ca="1">_xll.CURVE.FORWARD.RATE(oisCurve,$Q16,_xll.CALENDAR.GAP($Q16,U$22,"USD","unadjusted",FALSE),cTreasuries)</f>
        <v>2.569211674912486E-2</v>
      </c>
      <c r="V36" s="19">
        <f ca="1">_xll.CURVE.FORWARD.RATE(oisCurve,$Q16,_xll.CALENDAR.GAP($Q16,V$22,"USD","unadjusted",FALSE),cTreasuries)</f>
        <v>2.6440745036832247E-2</v>
      </c>
      <c r="W36" s="44">
        <f ca="1">_xll.CURVE.FORWARD.RATE(oisCurve,$Q16,_xll.CALENDAR.GAP($Q16,W$22,"USD","unadjusted",FALSE),cTreasuries)</f>
        <v>2.7072364610561728E-2</v>
      </c>
    </row>
    <row r="37" spans="2:23" ht="10.55" x14ac:dyDescent="0.35">
      <c r="B37" s="63" t="s">
        <v>24</v>
      </c>
      <c r="C37" s="8"/>
      <c r="D37" s="8"/>
      <c r="E37" s="9"/>
      <c r="F37" s="9"/>
      <c r="G37" s="18">
        <v>8.9800000000000001E-3</v>
      </c>
      <c r="P37" s="37" t="s">
        <v>16</v>
      </c>
      <c r="Q37" s="38">
        <f ca="1">_xll.CALENDAR.GAP(pricingDate,P37,"USD","Following",FALSE)</f>
        <v>44011</v>
      </c>
      <c r="R37" s="19">
        <f t="shared" ca="1" si="2"/>
        <v>1.1730184835308854E-2</v>
      </c>
      <c r="S37" s="19">
        <f ca="1">_xll.CURVE.FORWARD.RATE(oisCurve,$Q17,_xll.CALENDAR.GAP($Q17,S$22,"USD","unadjusted",FALSE),cTreasuries)</f>
        <v>2.5829495526720869E-2</v>
      </c>
      <c r="T37" s="19">
        <f ca="1">_xll.CURVE.FORWARD.RATE(oisCurve,$Q17,_xll.CALENDAR.GAP($Q17,T$22,"USD","unadjusted",FALSE),cTreasuries)</f>
        <v>2.6626449954789688E-2</v>
      </c>
      <c r="U37" s="19">
        <f ca="1">_xll.CURVE.FORWARD.RATE(oisCurve,$Q17,_xll.CALENDAR.GAP($Q17,U$22,"USD","unadjusted",FALSE),cTreasuries)</f>
        <v>2.7314796397475583E-2</v>
      </c>
      <c r="V37" s="19">
        <f ca="1">_xll.CURVE.FORWARD.RATE(oisCurve,$Q17,_xll.CALENDAR.GAP($Q17,V$22,"USD","unadjusted",FALSE),cTreasuries)</f>
        <v>2.7886479294384259E-2</v>
      </c>
      <c r="W37" s="44">
        <f ca="1">_xll.CURVE.FORWARD.RATE(oisCurve,$Q17,_xll.CALENDAR.GAP($Q17,W$22,"USD","unadjusted",FALSE),cTreasuries)</f>
        <v>2.831983676317984E-2</v>
      </c>
    </row>
    <row r="38" spans="2:23" ht="10.55" x14ac:dyDescent="0.35">
      <c r="B38" s="63" t="s">
        <v>25</v>
      </c>
      <c r="C38" s="8"/>
      <c r="D38" s="8"/>
      <c r="E38" s="9"/>
      <c r="F38" s="9"/>
      <c r="G38" s="18">
        <v>0.03</v>
      </c>
      <c r="P38" s="37" t="s">
        <v>17</v>
      </c>
      <c r="Q38" s="38">
        <f ca="1">_xll.CALENDAR.GAP(pricingDate,P38,"USD","Following",FALSE)</f>
        <v>44375</v>
      </c>
      <c r="R38" s="19">
        <f t="shared" ca="1" si="2"/>
        <v>1.3285450444618707E-2</v>
      </c>
      <c r="S38" s="19">
        <f ca="1">_xll.CURVE.FORWARD.RATE(oisCurve,$Q18,_xll.CALENDAR.GAP($Q18,S$22,"USD","unadjusted",FALSE),cTreasuries)</f>
        <v>2.7418622378263091E-2</v>
      </c>
      <c r="T38" s="19">
        <f ca="1">_xll.CURVE.FORWARD.RATE(oisCurve,$Q18,_xll.CALENDAR.GAP($Q18,T$22,"USD","unadjusted",FALSE),cTreasuries)</f>
        <v>2.8053356987959077E-2</v>
      </c>
      <c r="U38" s="19">
        <f ca="1">_xll.CURVE.FORWARD.RATE(oisCurve,$Q18,_xll.CALENDAR.GAP($Q18,U$22,"USD","unadjusted",FALSE),cTreasuries)</f>
        <v>2.8568345971186737E-2</v>
      </c>
      <c r="V38" s="19">
        <f ca="1">_xll.CURVE.FORWARD.RATE(oisCurve,$Q18,_xll.CALENDAR.GAP($Q18,V$22,"USD","unadjusted",FALSE),cTreasuries)</f>
        <v>2.8939675828888678E-2</v>
      </c>
      <c r="W38" s="44">
        <f ca="1">_xll.CURVE.FORWARD.RATE(oisCurve,$Q18,_xll.CALENDAR.GAP($Q18,W$22,"USD","unadjusted",FALSE),cTreasuries)</f>
        <v>2.9163082762105663E-2</v>
      </c>
    </row>
    <row r="39" spans="2:23" ht="10.95" thickBot="1" x14ac:dyDescent="0.4">
      <c r="B39" s="51" t="str">
        <f ca="1">_xll.OBJECT.CURVE.INTERPOLATE("SWAP_CURVE",pricingDate,"USD",F3:F32)</f>
        <v>SWAP_CURVE#0022</v>
      </c>
      <c r="C39" s="12"/>
      <c r="D39" s="12"/>
      <c r="E39" s="12"/>
      <c r="F39" s="12"/>
      <c r="G39" s="13"/>
      <c r="P39" s="39" t="s">
        <v>18</v>
      </c>
      <c r="Q39" s="40">
        <f ca="1">_xll.CALENDAR.GAP(pricingDate,P39,"USD","Following",FALSE)</f>
        <v>44740</v>
      </c>
      <c r="R39" s="41">
        <f t="shared" ca="1" si="2"/>
        <v>1.4694520058514904E-2</v>
      </c>
      <c r="S39" s="41">
        <f ca="1">_xll.CURVE.FORWARD.RATE(oisCurve,$Q19,_xll.CALENDAR.GAP($Q19,S$22,"USD","unadjusted",FALSE),cTreasuries)</f>
        <v>2.868829031735709E-2</v>
      </c>
      <c r="T39" s="41">
        <f ca="1">_xll.CURVE.FORWARD.RATE(oisCurve,$Q19,_xll.CALENDAR.GAP($Q19,T$22,"USD","unadjusted",FALSE),cTreasuries)</f>
        <v>2.9143049948343602E-2</v>
      </c>
      <c r="U39" s="41">
        <f ca="1">_xll.CURVE.FORWARD.RATE(oisCurve,$Q19,_xll.CALENDAR.GAP($Q19,U$22,"USD","unadjusted",FALSE),cTreasuries)</f>
        <v>2.9446947194013973E-2</v>
      </c>
      <c r="V39" s="41">
        <f ca="1">_xll.CURVE.FORWARD.RATE(oisCurve,$Q19,_xll.CALENDAR.GAP($Q19,V$22,"USD","unadjusted",FALSE),cTreasuries)</f>
        <v>2.9599432337859E-2</v>
      </c>
      <c r="W39" s="45">
        <f ca="1">_xll.CURVE.FORWARD.RATE(oisCurve,$Q19,_xll.CALENDAR.GAP($Q19,W$22,"USD","unadjusted",FALSE),cTreasuries)</f>
        <v>2.9617139470469844E-2</v>
      </c>
    </row>
    <row r="41" spans="2:23" x14ac:dyDescent="0.3">
      <c r="B41" s="53" t="s">
        <v>96</v>
      </c>
      <c r="I41" s="53" t="s">
        <v>96</v>
      </c>
    </row>
    <row r="42" spans="2:23" ht="10.55" x14ac:dyDescent="0.35">
      <c r="B42" s="25" t="str">
        <f ca="1">_xll.OBJECT.IBOR.INDEX("US0003M",C42,"3M",2,"USD LIBOR","following",FALSE,"ACT/360")</f>
        <v>US0003M#0023</v>
      </c>
      <c r="C42" s="26" t="str">
        <f ca="1">_xll.OBJECT.TIME.SERIES("H_US0003M",B43,D43,TODAY())</f>
        <v>H_US0003M#0023</v>
      </c>
      <c r="D42" s="27"/>
      <c r="E42" s="14"/>
      <c r="I42" s="25" t="str">
        <f ca="1">_xll.OBJECT.OVERNIGHT.INDEX("FEDL01",J42,0,"USD","ACT/360")</f>
        <v>FEDL01#0023</v>
      </c>
      <c r="J42" s="26" t="str">
        <f ca="1">_xll.OBJECT.TIME.SERIES("H_FEDL01",I43:I49,K43:K49,TODAY())</f>
        <v>H_FEDL01#0023</v>
      </c>
      <c r="K42" s="27"/>
    </row>
    <row r="43" spans="2:23" ht="10.55" x14ac:dyDescent="0.35">
      <c r="B43" s="28">
        <v>41088</v>
      </c>
      <c r="C43" s="29">
        <v>0.46060000000000001</v>
      </c>
      <c r="D43" s="30">
        <f>IF(C43="","",C43/100)</f>
        <v>4.6059999999999999E-3</v>
      </c>
      <c r="E43" s="16"/>
      <c r="I43" s="28">
        <v>41088</v>
      </c>
      <c r="J43" s="29">
        <v>0.15</v>
      </c>
      <c r="K43" s="30">
        <f>IF(J43="","",J43/100)</f>
        <v>1.5E-3</v>
      </c>
    </row>
    <row r="44" spans="2:23" ht="10.55" x14ac:dyDescent="0.35">
      <c r="B44" s="28">
        <v>41087</v>
      </c>
      <c r="C44" s="29">
        <v>0.46060000000000001</v>
      </c>
      <c r="D44" s="30">
        <f t="shared" ref="D44:D50" si="3">IF(C44="","",C44/100)</f>
        <v>4.6059999999999999E-3</v>
      </c>
      <c r="E44" s="16"/>
      <c r="I44" s="28">
        <v>41087</v>
      </c>
      <c r="J44" s="29">
        <v>0.15</v>
      </c>
      <c r="K44" s="30">
        <f>IF(J44="","",J44/100)</f>
        <v>1.5E-3</v>
      </c>
    </row>
    <row r="45" spans="2:23" ht="10.55" x14ac:dyDescent="0.35">
      <c r="B45" s="28">
        <v>41086</v>
      </c>
      <c r="C45" s="29">
        <v>0.46060000000000001</v>
      </c>
      <c r="D45" s="30">
        <f t="shared" si="3"/>
        <v>4.6059999999999999E-3</v>
      </c>
      <c r="E45" s="16"/>
      <c r="I45" s="28">
        <v>41086</v>
      </c>
      <c r="J45" s="29">
        <v>0.16</v>
      </c>
      <c r="K45" s="30">
        <f t="shared" ref="K45:K49" si="4">IF(J45="","",J45/100)</f>
        <v>1.6000000000000001E-3</v>
      </c>
    </row>
    <row r="46" spans="2:23" ht="10.55" x14ac:dyDescent="0.35">
      <c r="B46" s="28">
        <v>41085</v>
      </c>
      <c r="C46" s="29">
        <v>0.46060000000000001</v>
      </c>
      <c r="D46" s="30">
        <f t="shared" si="3"/>
        <v>4.6059999999999999E-3</v>
      </c>
      <c r="E46" s="16"/>
      <c r="I46" s="28">
        <v>41085</v>
      </c>
      <c r="J46" s="29">
        <v>0.17</v>
      </c>
      <c r="K46" s="30">
        <f t="shared" si="4"/>
        <v>1.7000000000000001E-3</v>
      </c>
    </row>
    <row r="47" spans="2:23" ht="10.55" x14ac:dyDescent="0.35">
      <c r="B47" s="28">
        <v>41082</v>
      </c>
      <c r="C47" s="29">
        <v>0.46160000000000001</v>
      </c>
      <c r="D47" s="30">
        <f t="shared" si="3"/>
        <v>4.6160000000000003E-3</v>
      </c>
      <c r="E47" s="16"/>
      <c r="I47" s="28">
        <v>41082</v>
      </c>
      <c r="J47" s="29">
        <v>0.17</v>
      </c>
      <c r="K47" s="30">
        <f t="shared" si="4"/>
        <v>1.7000000000000001E-3</v>
      </c>
    </row>
    <row r="48" spans="2:23" ht="10.55" x14ac:dyDescent="0.35">
      <c r="B48" s="28">
        <v>41081</v>
      </c>
      <c r="C48" s="29">
        <v>0.46760000000000002</v>
      </c>
      <c r="D48" s="30">
        <f t="shared" si="3"/>
        <v>4.6760000000000005E-3</v>
      </c>
      <c r="E48" s="16"/>
      <c r="I48" s="28">
        <v>41081</v>
      </c>
      <c r="J48" s="29">
        <v>0.17</v>
      </c>
      <c r="K48" s="30">
        <f t="shared" si="4"/>
        <v>1.7000000000000001E-3</v>
      </c>
    </row>
    <row r="49" spans="2:20" ht="10.55" x14ac:dyDescent="0.35">
      <c r="B49" s="28">
        <v>41080</v>
      </c>
      <c r="C49" s="29">
        <v>0.46760000000000002</v>
      </c>
      <c r="D49" s="30">
        <f t="shared" si="3"/>
        <v>4.6760000000000005E-3</v>
      </c>
      <c r="I49" s="31">
        <v>41080</v>
      </c>
      <c r="J49" s="32">
        <v>0.16</v>
      </c>
      <c r="K49" s="33">
        <f t="shared" si="4"/>
        <v>1.6000000000000001E-3</v>
      </c>
    </row>
    <row r="50" spans="2:20" ht="10.55" x14ac:dyDescent="0.35">
      <c r="B50" s="31">
        <v>41079</v>
      </c>
      <c r="C50" s="32">
        <v>0.46784999999999999</v>
      </c>
      <c r="D50" s="33">
        <f t="shared" si="3"/>
        <v>4.6784999999999995E-3</v>
      </c>
    </row>
    <row r="51" spans="2:20" ht="10.55" x14ac:dyDescent="0.35">
      <c r="B51" s="15"/>
      <c r="C51" s="14"/>
      <c r="D51" s="16"/>
    </row>
    <row r="52" spans="2:20" ht="10.55" x14ac:dyDescent="0.35">
      <c r="B52" s="15"/>
      <c r="C52" s="14"/>
      <c r="D52" s="16"/>
    </row>
    <row r="64" spans="2:20" x14ac:dyDescent="0.3">
      <c r="S64" s="2"/>
      <c r="T64" s="21"/>
    </row>
    <row r="65" spans="19:20" x14ac:dyDescent="0.3">
      <c r="S65" s="2"/>
      <c r="T65" s="21"/>
    </row>
    <row r="66" spans="19:20" x14ac:dyDescent="0.3">
      <c r="S66" s="2"/>
      <c r="T66" s="21"/>
    </row>
    <row r="67" spans="19:20" x14ac:dyDescent="0.3">
      <c r="S67" s="2"/>
      <c r="T67" s="21"/>
    </row>
    <row r="68" spans="19:20" x14ac:dyDescent="0.3">
      <c r="S68" s="2"/>
      <c r="T68" s="21"/>
    </row>
    <row r="69" spans="19:20" x14ac:dyDescent="0.3">
      <c r="S69" s="2"/>
      <c r="T69" s="21"/>
    </row>
    <row r="70" spans="19:20" x14ac:dyDescent="0.3">
      <c r="S70" s="2"/>
      <c r="T70" s="21"/>
    </row>
    <row r="71" spans="19:20" x14ac:dyDescent="0.3">
      <c r="S71" s="2"/>
      <c r="T71" s="21"/>
    </row>
    <row r="72" spans="19:20" x14ac:dyDescent="0.3">
      <c r="S72" s="2"/>
      <c r="T72" s="21"/>
    </row>
    <row r="73" spans="19:20" x14ac:dyDescent="0.3">
      <c r="S73" s="2"/>
      <c r="T73" s="21"/>
    </row>
    <row r="74" spans="19:20" x14ac:dyDescent="0.3">
      <c r="S74" s="2"/>
      <c r="T74" s="21"/>
    </row>
    <row r="75" spans="19:20" x14ac:dyDescent="0.3">
      <c r="S75" s="2"/>
      <c r="T75" s="21"/>
    </row>
    <row r="76" spans="19:20" x14ac:dyDescent="0.3">
      <c r="S76" s="2"/>
      <c r="T76" s="21"/>
    </row>
    <row r="77" spans="19:20" x14ac:dyDescent="0.3">
      <c r="S77" s="2"/>
      <c r="T77" s="21"/>
    </row>
    <row r="78" spans="19:20" x14ac:dyDescent="0.3">
      <c r="S78" s="2"/>
      <c r="T78" s="21"/>
    </row>
    <row r="79" spans="19:20" x14ac:dyDescent="0.3">
      <c r="S79" s="2"/>
      <c r="T79" s="21"/>
    </row>
    <row r="80" spans="19:20" x14ac:dyDescent="0.3">
      <c r="S80" s="2"/>
      <c r="T80" s="21"/>
    </row>
    <row r="81" spans="19:20" x14ac:dyDescent="0.3">
      <c r="S81" s="2"/>
      <c r="T81" s="21"/>
    </row>
    <row r="82" spans="19:20" x14ac:dyDescent="0.3">
      <c r="S82" s="2"/>
      <c r="T82" s="21"/>
    </row>
    <row r="83" spans="19:20" x14ac:dyDescent="0.3">
      <c r="S83" s="2"/>
      <c r="T83" s="21"/>
    </row>
    <row r="84" spans="19:20" x14ac:dyDescent="0.3">
      <c r="S84" s="2"/>
      <c r="T84" s="21"/>
    </row>
    <row r="85" spans="19:20" x14ac:dyDescent="0.3">
      <c r="S85" s="2"/>
      <c r="T85" s="21"/>
    </row>
    <row r="86" spans="19:20" x14ac:dyDescent="0.3">
      <c r="S86" s="2"/>
      <c r="T86" s="21"/>
    </row>
    <row r="87" spans="19:20" x14ac:dyDescent="0.3">
      <c r="S87" s="2"/>
      <c r="T87" s="21"/>
    </row>
    <row r="88" spans="19:20" x14ac:dyDescent="0.3">
      <c r="S88" s="2"/>
      <c r="T88" s="21"/>
    </row>
    <row r="89" spans="19:20" x14ac:dyDescent="0.3">
      <c r="S89" s="2"/>
      <c r="T89" s="21"/>
    </row>
    <row r="90" spans="19:20" x14ac:dyDescent="0.3">
      <c r="S90" s="2"/>
      <c r="T90" s="21"/>
    </row>
    <row r="91" spans="19:20" x14ac:dyDescent="0.3">
      <c r="S91" s="2"/>
      <c r="T91" s="21"/>
    </row>
    <row r="92" spans="19:20" x14ac:dyDescent="0.3">
      <c r="S92" s="2"/>
      <c r="T92" s="21"/>
    </row>
    <row r="93" spans="19:20" x14ac:dyDescent="0.3">
      <c r="S93" s="2"/>
      <c r="T93" s="21"/>
    </row>
    <row r="94" spans="19:20" x14ac:dyDescent="0.3">
      <c r="S94" s="2"/>
      <c r="T94" s="21"/>
    </row>
    <row r="95" spans="19:20" x14ac:dyDescent="0.3">
      <c r="S95" s="2"/>
      <c r="T95" s="21"/>
    </row>
    <row r="96" spans="19:20" x14ac:dyDescent="0.3">
      <c r="S96" s="2"/>
      <c r="T96" s="21"/>
    </row>
    <row r="97" spans="19:20" x14ac:dyDescent="0.3">
      <c r="S97" s="2"/>
      <c r="T97" s="21"/>
    </row>
    <row r="98" spans="19:20" x14ac:dyDescent="0.3">
      <c r="S98" s="2"/>
      <c r="T98" s="21"/>
    </row>
    <row r="99" spans="19:20" x14ac:dyDescent="0.3">
      <c r="S99" s="2"/>
      <c r="T99" s="21"/>
    </row>
    <row r="100" spans="19:20" x14ac:dyDescent="0.3">
      <c r="S100" s="2"/>
      <c r="T100" s="21"/>
    </row>
    <row r="101" spans="19:20" x14ac:dyDescent="0.3">
      <c r="S101" s="2"/>
      <c r="T101" s="21"/>
    </row>
    <row r="102" spans="19:20" x14ac:dyDescent="0.3">
      <c r="S102" s="2"/>
      <c r="T102" s="21"/>
    </row>
    <row r="103" spans="19:20" x14ac:dyDescent="0.3">
      <c r="S103" s="2"/>
      <c r="T103" s="21"/>
    </row>
    <row r="104" spans="19:20" x14ac:dyDescent="0.3">
      <c r="S104" s="2"/>
      <c r="T104" s="21"/>
    </row>
    <row r="105" spans="19:20" x14ac:dyDescent="0.3">
      <c r="S105" s="2"/>
      <c r="T105" s="21"/>
    </row>
    <row r="106" spans="19:20" x14ac:dyDescent="0.3">
      <c r="S106" s="2"/>
      <c r="T106" s="21"/>
    </row>
    <row r="107" spans="19:20" x14ac:dyDescent="0.3">
      <c r="S107" s="2"/>
      <c r="T107" s="21"/>
    </row>
    <row r="108" spans="19:20" x14ac:dyDescent="0.3">
      <c r="S108" s="2"/>
      <c r="T108" s="21"/>
    </row>
    <row r="109" spans="19:20" x14ac:dyDescent="0.3">
      <c r="S109" s="2"/>
      <c r="T109" s="21"/>
    </row>
    <row r="110" spans="19:20" x14ac:dyDescent="0.3">
      <c r="S110" s="2"/>
      <c r="T110" s="21"/>
    </row>
    <row r="111" spans="19:20" x14ac:dyDescent="0.3">
      <c r="S111" s="2"/>
      <c r="T111" s="21"/>
    </row>
    <row r="112" spans="19:20" x14ac:dyDescent="0.3">
      <c r="S112" s="2"/>
      <c r="T112" s="21"/>
    </row>
    <row r="113" spans="19:20" x14ac:dyDescent="0.3">
      <c r="S113" s="2"/>
      <c r="T113" s="21"/>
    </row>
    <row r="114" spans="19:20" x14ac:dyDescent="0.3">
      <c r="S114" s="2"/>
      <c r="T114" s="21"/>
    </row>
    <row r="115" spans="19:20" x14ac:dyDescent="0.3">
      <c r="S115" s="2"/>
      <c r="T115" s="21"/>
    </row>
    <row r="116" spans="19:20" x14ac:dyDescent="0.3">
      <c r="S116" s="2"/>
      <c r="T116" s="21"/>
    </row>
    <row r="117" spans="19:20" x14ac:dyDescent="0.3">
      <c r="S117" s="2"/>
      <c r="T117" s="21"/>
    </row>
    <row r="118" spans="19:20" x14ac:dyDescent="0.3">
      <c r="S118" s="2"/>
      <c r="T118" s="21"/>
    </row>
    <row r="119" spans="19:20" x14ac:dyDescent="0.3">
      <c r="S119" s="2"/>
      <c r="T119" s="21"/>
    </row>
    <row r="120" spans="19:20" x14ac:dyDescent="0.3">
      <c r="S120" s="2"/>
      <c r="T120" s="21"/>
    </row>
    <row r="121" spans="19:20" x14ac:dyDescent="0.3">
      <c r="S121" s="2"/>
      <c r="T121" s="21"/>
    </row>
    <row r="122" spans="19:20" x14ac:dyDescent="0.3">
      <c r="S122" s="2"/>
      <c r="T122" s="21"/>
    </row>
    <row r="123" spans="19:20" x14ac:dyDescent="0.3">
      <c r="S123" s="2"/>
      <c r="T123" s="21"/>
    </row>
    <row r="124" spans="19:20" x14ac:dyDescent="0.3">
      <c r="S124" s="2"/>
      <c r="T124" s="21"/>
    </row>
    <row r="125" spans="19:20" x14ac:dyDescent="0.3">
      <c r="S125" s="2"/>
      <c r="T125" s="21"/>
    </row>
    <row r="126" spans="19:20" x14ac:dyDescent="0.3">
      <c r="S126" s="2"/>
      <c r="T126" s="21"/>
    </row>
    <row r="127" spans="19:20" x14ac:dyDescent="0.3">
      <c r="S127" s="2"/>
      <c r="T127" s="21"/>
    </row>
    <row r="128" spans="19:20" x14ac:dyDescent="0.3">
      <c r="S128" s="2"/>
      <c r="T128" s="21"/>
    </row>
    <row r="129" spans="19:20" x14ac:dyDescent="0.3">
      <c r="S129" s="2"/>
      <c r="T129" s="21"/>
    </row>
    <row r="130" spans="19:20" x14ac:dyDescent="0.3">
      <c r="S130" s="2"/>
      <c r="T130" s="21"/>
    </row>
    <row r="131" spans="19:20" x14ac:dyDescent="0.3">
      <c r="S131" s="2"/>
      <c r="T131" s="21"/>
    </row>
    <row r="132" spans="19:20" x14ac:dyDescent="0.3">
      <c r="S132" s="2"/>
      <c r="T132" s="21"/>
    </row>
    <row r="133" spans="19:20" x14ac:dyDescent="0.3">
      <c r="S133" s="2"/>
      <c r="T133" s="21"/>
    </row>
    <row r="134" spans="19:20" x14ac:dyDescent="0.3">
      <c r="S134" s="2"/>
      <c r="T134" s="21"/>
    </row>
    <row r="135" spans="19:20" x14ac:dyDescent="0.3">
      <c r="S135" s="2"/>
      <c r="T135" s="21"/>
    </row>
    <row r="136" spans="19:20" x14ac:dyDescent="0.3">
      <c r="S136" s="2"/>
      <c r="T136" s="21"/>
    </row>
    <row r="137" spans="19:20" x14ac:dyDescent="0.3">
      <c r="S137" s="2"/>
      <c r="T137" s="21"/>
    </row>
    <row r="138" spans="19:20" x14ac:dyDescent="0.3">
      <c r="S138" s="2"/>
      <c r="T138" s="21"/>
    </row>
    <row r="139" spans="19:20" x14ac:dyDescent="0.3">
      <c r="S139" s="2"/>
      <c r="T139" s="21"/>
    </row>
    <row r="140" spans="19:20" x14ac:dyDescent="0.3">
      <c r="S140" s="2"/>
      <c r="T140" s="21"/>
    </row>
    <row r="141" spans="19:20" x14ac:dyDescent="0.3">
      <c r="S141" s="2"/>
      <c r="T141" s="21"/>
    </row>
    <row r="142" spans="19:20" x14ac:dyDescent="0.3">
      <c r="S142" s="2"/>
      <c r="T142" s="21"/>
    </row>
    <row r="143" spans="19:20" x14ac:dyDescent="0.3">
      <c r="S143" s="2"/>
      <c r="T143" s="21"/>
    </row>
    <row r="144" spans="19:20" x14ac:dyDescent="0.3">
      <c r="S144" s="2"/>
      <c r="T144" s="21"/>
    </row>
    <row r="145" spans="19:20" x14ac:dyDescent="0.3">
      <c r="S145" s="2"/>
      <c r="T145" s="21"/>
    </row>
    <row r="146" spans="19:20" x14ac:dyDescent="0.3">
      <c r="S146" s="2"/>
      <c r="T146" s="21"/>
    </row>
    <row r="147" spans="19:20" x14ac:dyDescent="0.3">
      <c r="S147" s="2"/>
      <c r="T147" s="21"/>
    </row>
    <row r="148" spans="19:20" x14ac:dyDescent="0.3">
      <c r="S148" s="2"/>
      <c r="T148" s="21"/>
    </row>
    <row r="149" spans="19:20" x14ac:dyDescent="0.3">
      <c r="S149" s="2"/>
      <c r="T149" s="21"/>
    </row>
    <row r="150" spans="19:20" x14ac:dyDescent="0.3">
      <c r="S150" s="2"/>
      <c r="T150" s="21"/>
    </row>
    <row r="151" spans="19:20" x14ac:dyDescent="0.3">
      <c r="S151" s="2"/>
      <c r="T151" s="21"/>
    </row>
    <row r="152" spans="19:20" x14ac:dyDescent="0.3">
      <c r="S152" s="2"/>
      <c r="T152" s="21"/>
    </row>
    <row r="153" spans="19:20" x14ac:dyDescent="0.3">
      <c r="S153" s="2"/>
      <c r="T153" s="21"/>
    </row>
    <row r="154" spans="19:20" x14ac:dyDescent="0.3">
      <c r="S154" s="2"/>
      <c r="T154" s="21"/>
    </row>
    <row r="155" spans="19:20" x14ac:dyDescent="0.3">
      <c r="S155" s="2"/>
      <c r="T155" s="21"/>
    </row>
    <row r="156" spans="19:20" x14ac:dyDescent="0.3">
      <c r="S156" s="2"/>
      <c r="T156" s="21"/>
    </row>
    <row r="157" spans="19:20" x14ac:dyDescent="0.3">
      <c r="S157" s="2"/>
      <c r="T157" s="21"/>
    </row>
    <row r="158" spans="19:20" x14ac:dyDescent="0.3">
      <c r="S158" s="2"/>
      <c r="T158" s="21"/>
    </row>
    <row r="159" spans="19:20" x14ac:dyDescent="0.3">
      <c r="S159" s="2"/>
      <c r="T159" s="21"/>
    </row>
    <row r="160" spans="19:20" x14ac:dyDescent="0.3">
      <c r="S160" s="2"/>
      <c r="T160" s="21"/>
    </row>
    <row r="161" spans="19:20" x14ac:dyDescent="0.3">
      <c r="S161" s="2"/>
      <c r="T161" s="21"/>
    </row>
    <row r="162" spans="19:20" x14ac:dyDescent="0.3">
      <c r="S162" s="2"/>
      <c r="T162" s="21"/>
    </row>
    <row r="163" spans="19:20" x14ac:dyDescent="0.3">
      <c r="S163" s="2"/>
      <c r="T163" s="21"/>
    </row>
    <row r="164" spans="19:20" x14ac:dyDescent="0.3">
      <c r="S164" s="2"/>
      <c r="T164" s="21"/>
    </row>
    <row r="165" spans="19:20" x14ac:dyDescent="0.3">
      <c r="S165" s="2"/>
      <c r="T165" s="21"/>
    </row>
    <row r="166" spans="19:20" x14ac:dyDescent="0.3">
      <c r="S166" s="2"/>
      <c r="T166" s="21"/>
    </row>
    <row r="167" spans="19:20" x14ac:dyDescent="0.3">
      <c r="S167" s="2"/>
      <c r="T167" s="21"/>
    </row>
    <row r="168" spans="19:20" x14ac:dyDescent="0.3">
      <c r="S168" s="2"/>
      <c r="T168" s="21"/>
    </row>
    <row r="169" spans="19:20" x14ac:dyDescent="0.3">
      <c r="S169" s="2"/>
      <c r="T169" s="21"/>
    </row>
    <row r="170" spans="19:20" x14ac:dyDescent="0.3">
      <c r="S170" s="2"/>
      <c r="T170" s="21"/>
    </row>
    <row r="171" spans="19:20" x14ac:dyDescent="0.3">
      <c r="S171" s="2"/>
      <c r="T171" s="21"/>
    </row>
    <row r="172" spans="19:20" x14ac:dyDescent="0.3">
      <c r="S172" s="2"/>
      <c r="T172" s="21"/>
    </row>
    <row r="173" spans="19:20" x14ac:dyDescent="0.3">
      <c r="S173" s="2"/>
      <c r="T173" s="21"/>
    </row>
    <row r="174" spans="19:20" x14ac:dyDescent="0.3">
      <c r="S174" s="2"/>
      <c r="T174" s="21"/>
    </row>
    <row r="175" spans="19:20" x14ac:dyDescent="0.3">
      <c r="S175" s="2"/>
      <c r="T175" s="21"/>
    </row>
    <row r="176" spans="19:20" x14ac:dyDescent="0.3">
      <c r="S176" s="2"/>
      <c r="T176" s="21"/>
    </row>
    <row r="177" spans="19:20" x14ac:dyDescent="0.3">
      <c r="S177" s="2"/>
      <c r="T177" s="21"/>
    </row>
    <row r="178" spans="19:20" x14ac:dyDescent="0.3">
      <c r="S178" s="2"/>
      <c r="T178" s="21"/>
    </row>
    <row r="179" spans="19:20" x14ac:dyDescent="0.3">
      <c r="S179" s="2"/>
      <c r="T179" s="21"/>
    </row>
    <row r="180" spans="19:20" x14ac:dyDescent="0.3">
      <c r="S180" s="2"/>
      <c r="T180" s="21"/>
    </row>
    <row r="181" spans="19:20" x14ac:dyDescent="0.3">
      <c r="S181" s="2"/>
      <c r="T181" s="21"/>
    </row>
    <row r="182" spans="19:20" x14ac:dyDescent="0.3">
      <c r="S182" s="2"/>
      <c r="T182" s="21"/>
    </row>
    <row r="183" spans="19:20" x14ac:dyDescent="0.3">
      <c r="S183" s="2"/>
      <c r="T183" s="21"/>
    </row>
    <row r="184" spans="19:20" x14ac:dyDescent="0.3">
      <c r="S184" s="2"/>
      <c r="T184" s="21"/>
    </row>
    <row r="185" spans="19:20" x14ac:dyDescent="0.3">
      <c r="S185" s="2"/>
      <c r="T185" s="21"/>
    </row>
    <row r="186" spans="19:20" x14ac:dyDescent="0.3">
      <c r="S186" s="2"/>
      <c r="T186" s="21"/>
    </row>
    <row r="187" spans="19:20" x14ac:dyDescent="0.3">
      <c r="S187" s="2"/>
      <c r="T187" s="21"/>
    </row>
    <row r="188" spans="19:20" x14ac:dyDescent="0.3">
      <c r="S188" s="2"/>
      <c r="T188" s="21"/>
    </row>
    <row r="189" spans="19:20" x14ac:dyDescent="0.3">
      <c r="S189" s="2"/>
      <c r="T189" s="21"/>
    </row>
    <row r="190" spans="19:20" x14ac:dyDescent="0.3">
      <c r="S190" s="2"/>
      <c r="T190" s="21"/>
    </row>
    <row r="191" spans="19:20" x14ac:dyDescent="0.3">
      <c r="S191" s="2"/>
      <c r="T191" s="21"/>
    </row>
    <row r="192" spans="19:20" x14ac:dyDescent="0.3">
      <c r="S192" s="2"/>
      <c r="T192" s="21"/>
    </row>
    <row r="193" spans="19:20" x14ac:dyDescent="0.3">
      <c r="S193" s="2"/>
      <c r="T193" s="21"/>
    </row>
    <row r="194" spans="19:20" x14ac:dyDescent="0.3">
      <c r="S194" s="2"/>
      <c r="T194" s="21"/>
    </row>
    <row r="195" spans="19:20" x14ac:dyDescent="0.3">
      <c r="S195" s="2"/>
      <c r="T195" s="21"/>
    </row>
    <row r="196" spans="19:20" x14ac:dyDescent="0.3">
      <c r="S196" s="2"/>
      <c r="T196" s="21"/>
    </row>
    <row r="197" spans="19:20" x14ac:dyDescent="0.3">
      <c r="S197" s="2"/>
      <c r="T197" s="21"/>
    </row>
    <row r="198" spans="19:20" x14ac:dyDescent="0.3">
      <c r="S198" s="2"/>
      <c r="T198" s="21"/>
    </row>
    <row r="199" spans="19:20" x14ac:dyDescent="0.3">
      <c r="S199" s="2"/>
      <c r="T199" s="21"/>
    </row>
    <row r="200" spans="19:20" x14ac:dyDescent="0.3">
      <c r="S200" s="2"/>
      <c r="T200" s="21"/>
    </row>
    <row r="201" spans="19:20" x14ac:dyDescent="0.3">
      <c r="S201" s="2"/>
      <c r="T201" s="21"/>
    </row>
    <row r="202" spans="19:20" x14ac:dyDescent="0.3">
      <c r="S202" s="2"/>
      <c r="T202" s="21"/>
    </row>
    <row r="203" spans="19:20" x14ac:dyDescent="0.3">
      <c r="S203" s="2"/>
      <c r="T203" s="21"/>
    </row>
    <row r="204" spans="19:20" x14ac:dyDescent="0.3">
      <c r="S204" s="2"/>
      <c r="T204" s="21"/>
    </row>
    <row r="205" spans="19:20" x14ac:dyDescent="0.3">
      <c r="S205" s="2"/>
      <c r="T205" s="21"/>
    </row>
    <row r="206" spans="19:20" x14ac:dyDescent="0.3">
      <c r="S206" s="2"/>
      <c r="T206" s="21"/>
    </row>
    <row r="207" spans="19:20" x14ac:dyDescent="0.3">
      <c r="S207" s="2"/>
      <c r="T207" s="21"/>
    </row>
    <row r="208" spans="19:20" x14ac:dyDescent="0.3">
      <c r="S208" s="2"/>
      <c r="T208" s="21"/>
    </row>
    <row r="209" spans="19:20" x14ac:dyDescent="0.3">
      <c r="S209" s="2"/>
      <c r="T209" s="21"/>
    </row>
    <row r="210" spans="19:20" x14ac:dyDescent="0.3">
      <c r="S210" s="2"/>
      <c r="T210" s="21"/>
    </row>
    <row r="211" spans="19:20" x14ac:dyDescent="0.3">
      <c r="S211" s="2"/>
      <c r="T211" s="21"/>
    </row>
    <row r="212" spans="19:20" x14ac:dyDescent="0.3">
      <c r="S212" s="2"/>
      <c r="T212" s="21"/>
    </row>
    <row r="213" spans="19:20" x14ac:dyDescent="0.3">
      <c r="S213" s="2"/>
      <c r="T213" s="21"/>
    </row>
    <row r="214" spans="19:20" x14ac:dyDescent="0.3">
      <c r="S214" s="2"/>
      <c r="T214" s="21"/>
    </row>
    <row r="215" spans="19:20" x14ac:dyDescent="0.3">
      <c r="S215" s="2"/>
      <c r="T215" s="21"/>
    </row>
    <row r="216" spans="19:20" x14ac:dyDescent="0.3">
      <c r="S216" s="2"/>
      <c r="T216" s="21"/>
    </row>
    <row r="217" spans="19:20" x14ac:dyDescent="0.3">
      <c r="S217" s="2"/>
      <c r="T217" s="21"/>
    </row>
    <row r="218" spans="19:20" x14ac:dyDescent="0.3">
      <c r="S218" s="2"/>
      <c r="T218" s="21"/>
    </row>
    <row r="219" spans="19:20" x14ac:dyDescent="0.3">
      <c r="S219" s="2"/>
      <c r="T219" s="21"/>
    </row>
    <row r="220" spans="19:20" x14ac:dyDescent="0.3">
      <c r="S220" s="2"/>
      <c r="T220" s="21"/>
    </row>
    <row r="221" spans="19:20" x14ac:dyDescent="0.3">
      <c r="S221" s="2"/>
      <c r="T221" s="21"/>
    </row>
    <row r="222" spans="19:20" x14ac:dyDescent="0.3">
      <c r="S222" s="2"/>
      <c r="T222" s="21"/>
    </row>
    <row r="223" spans="19:20" x14ac:dyDescent="0.3">
      <c r="S223" s="2"/>
      <c r="T223" s="21"/>
    </row>
    <row r="224" spans="19:20" x14ac:dyDescent="0.3">
      <c r="S224" s="2"/>
      <c r="T224" s="21"/>
    </row>
    <row r="225" spans="19:20" x14ac:dyDescent="0.3">
      <c r="S225" s="2"/>
      <c r="T225" s="21"/>
    </row>
    <row r="226" spans="19:20" x14ac:dyDescent="0.3">
      <c r="S226" s="2"/>
      <c r="T226" s="21"/>
    </row>
    <row r="227" spans="19:20" x14ac:dyDescent="0.3">
      <c r="S227" s="2"/>
      <c r="T227" s="21"/>
    </row>
    <row r="228" spans="19:20" x14ac:dyDescent="0.3">
      <c r="S228" s="2"/>
      <c r="T228" s="21"/>
    </row>
    <row r="229" spans="19:20" x14ac:dyDescent="0.3">
      <c r="S229" s="2"/>
      <c r="T229" s="21"/>
    </row>
    <row r="230" spans="19:20" x14ac:dyDescent="0.3">
      <c r="S230" s="2"/>
      <c r="T230" s="21"/>
    </row>
    <row r="231" spans="19:20" x14ac:dyDescent="0.3">
      <c r="S231" s="2"/>
      <c r="T231" s="21"/>
    </row>
    <row r="232" spans="19:20" x14ac:dyDescent="0.3">
      <c r="S232" s="2"/>
      <c r="T232" s="21"/>
    </row>
    <row r="233" spans="19:20" x14ac:dyDescent="0.3">
      <c r="S233" s="2"/>
      <c r="T233" s="21"/>
    </row>
    <row r="234" spans="19:20" x14ac:dyDescent="0.3">
      <c r="S234" s="2"/>
      <c r="T234" s="21"/>
    </row>
    <row r="235" spans="19:20" x14ac:dyDescent="0.3">
      <c r="S235" s="2"/>
      <c r="T235" s="21"/>
    </row>
    <row r="236" spans="19:20" x14ac:dyDescent="0.3">
      <c r="S236" s="2"/>
      <c r="T236" s="21"/>
    </row>
    <row r="237" spans="19:20" x14ac:dyDescent="0.3">
      <c r="S237" s="2"/>
      <c r="T237" s="21"/>
    </row>
    <row r="238" spans="19:20" x14ac:dyDescent="0.3">
      <c r="S238" s="2"/>
      <c r="T238" s="21"/>
    </row>
    <row r="239" spans="19:20" x14ac:dyDescent="0.3">
      <c r="S239" s="2"/>
      <c r="T239" s="21"/>
    </row>
    <row r="240" spans="19:20" x14ac:dyDescent="0.3">
      <c r="S240" s="2"/>
      <c r="T240" s="21"/>
    </row>
    <row r="241" spans="19:20" x14ac:dyDescent="0.3">
      <c r="S241" s="2"/>
      <c r="T241" s="21"/>
    </row>
    <row r="242" spans="19:20" x14ac:dyDescent="0.3">
      <c r="S242" s="2"/>
      <c r="T242" s="21"/>
    </row>
    <row r="243" spans="19:20" x14ac:dyDescent="0.3">
      <c r="S243" s="2"/>
      <c r="T243" s="21"/>
    </row>
    <row r="244" spans="19:20" x14ac:dyDescent="0.3">
      <c r="S244" s="2"/>
      <c r="T244" s="21"/>
    </row>
    <row r="245" spans="19:20" x14ac:dyDescent="0.3">
      <c r="S245" s="2"/>
      <c r="T245" s="21"/>
    </row>
    <row r="246" spans="19:20" x14ac:dyDescent="0.3">
      <c r="S246" s="2"/>
      <c r="T246" s="21"/>
    </row>
    <row r="247" spans="19:20" x14ac:dyDescent="0.3">
      <c r="S247" s="2"/>
      <c r="T247" s="21"/>
    </row>
    <row r="248" spans="19:20" x14ac:dyDescent="0.3">
      <c r="S248" s="2"/>
      <c r="T248" s="21"/>
    </row>
    <row r="249" spans="19:20" x14ac:dyDescent="0.3">
      <c r="S249" s="2"/>
      <c r="T249" s="21"/>
    </row>
    <row r="250" spans="19:20" x14ac:dyDescent="0.3">
      <c r="S250" s="2"/>
      <c r="T250" s="21"/>
    </row>
    <row r="251" spans="19:20" x14ac:dyDescent="0.3">
      <c r="S251" s="2"/>
      <c r="T251" s="21"/>
    </row>
    <row r="252" spans="19:20" x14ac:dyDescent="0.3">
      <c r="S252" s="2"/>
      <c r="T252" s="21"/>
    </row>
    <row r="253" spans="19:20" x14ac:dyDescent="0.3">
      <c r="S253" s="2"/>
      <c r="T253" s="21"/>
    </row>
    <row r="254" spans="19:20" x14ac:dyDescent="0.3">
      <c r="S254" s="2"/>
      <c r="T254" s="21"/>
    </row>
    <row r="255" spans="19:20" x14ac:dyDescent="0.3">
      <c r="S255" s="2"/>
      <c r="T255" s="21"/>
    </row>
    <row r="256" spans="19:20" x14ac:dyDescent="0.3">
      <c r="S256" s="2"/>
      <c r="T256" s="21"/>
    </row>
    <row r="257" spans="19:20" x14ac:dyDescent="0.3">
      <c r="S257" s="2"/>
      <c r="T257" s="21"/>
    </row>
    <row r="258" spans="19:20" x14ac:dyDescent="0.3">
      <c r="S258" s="2"/>
      <c r="T258" s="21"/>
    </row>
    <row r="259" spans="19:20" x14ac:dyDescent="0.3">
      <c r="S259" s="2"/>
      <c r="T259" s="21"/>
    </row>
    <row r="260" spans="19:20" x14ac:dyDescent="0.3">
      <c r="S260" s="2"/>
      <c r="T260" s="21"/>
    </row>
    <row r="261" spans="19:20" x14ac:dyDescent="0.3">
      <c r="S261" s="2"/>
      <c r="T261" s="21"/>
    </row>
    <row r="262" spans="19:20" x14ac:dyDescent="0.3">
      <c r="S262" s="2"/>
      <c r="T262" s="21"/>
    </row>
    <row r="263" spans="19:20" x14ac:dyDescent="0.3">
      <c r="S263" s="2"/>
      <c r="T263" s="21"/>
    </row>
    <row r="264" spans="19:20" x14ac:dyDescent="0.3">
      <c r="S264" s="2"/>
      <c r="T264" s="21"/>
    </row>
    <row r="265" spans="19:20" x14ac:dyDescent="0.3">
      <c r="S265" s="2"/>
      <c r="T265" s="21"/>
    </row>
    <row r="266" spans="19:20" x14ac:dyDescent="0.3">
      <c r="S266" s="2"/>
      <c r="T266" s="21"/>
    </row>
    <row r="267" spans="19:20" x14ac:dyDescent="0.3">
      <c r="S267" s="2"/>
      <c r="T267" s="21"/>
    </row>
    <row r="268" spans="19:20" x14ac:dyDescent="0.3">
      <c r="S268" s="2"/>
      <c r="T268" s="21"/>
    </row>
    <row r="269" spans="19:20" x14ac:dyDescent="0.3">
      <c r="S269" s="2"/>
      <c r="T269" s="21"/>
    </row>
    <row r="270" spans="19:20" x14ac:dyDescent="0.3">
      <c r="S270" s="2"/>
      <c r="T270" s="21"/>
    </row>
    <row r="271" spans="19:20" x14ac:dyDescent="0.3">
      <c r="S271" s="2"/>
      <c r="T271" s="21"/>
    </row>
    <row r="272" spans="19:20" x14ac:dyDescent="0.3">
      <c r="S272" s="2"/>
      <c r="T272" s="21"/>
    </row>
    <row r="273" spans="19:20" x14ac:dyDescent="0.3">
      <c r="S273" s="2"/>
      <c r="T273" s="21"/>
    </row>
    <row r="274" spans="19:20" x14ac:dyDescent="0.3">
      <c r="S274" s="2"/>
      <c r="T274" s="21"/>
    </row>
    <row r="275" spans="19:20" x14ac:dyDescent="0.3">
      <c r="S275" s="2"/>
      <c r="T275" s="21"/>
    </row>
    <row r="276" spans="19:20" x14ac:dyDescent="0.3">
      <c r="S276" s="2"/>
      <c r="T276" s="21"/>
    </row>
    <row r="277" spans="19:20" x14ac:dyDescent="0.3">
      <c r="S277" s="2"/>
      <c r="T277" s="21"/>
    </row>
    <row r="278" spans="19:20" x14ac:dyDescent="0.3">
      <c r="S278" s="2"/>
      <c r="T278" s="21"/>
    </row>
    <row r="279" spans="19:20" x14ac:dyDescent="0.3">
      <c r="S279" s="2"/>
      <c r="T279" s="21"/>
    </row>
    <row r="280" spans="19:20" x14ac:dyDescent="0.3">
      <c r="S280" s="2"/>
      <c r="T280" s="21"/>
    </row>
    <row r="281" spans="19:20" x14ac:dyDescent="0.3">
      <c r="S281" s="2"/>
      <c r="T281" s="21"/>
    </row>
    <row r="282" spans="19:20" x14ac:dyDescent="0.3">
      <c r="S282" s="2"/>
      <c r="T282" s="21"/>
    </row>
    <row r="283" spans="19:20" x14ac:dyDescent="0.3">
      <c r="S283" s="2"/>
      <c r="T283" s="21"/>
    </row>
    <row r="284" spans="19:20" x14ac:dyDescent="0.3">
      <c r="S284" s="2"/>
      <c r="T284" s="21"/>
    </row>
    <row r="285" spans="19:20" x14ac:dyDescent="0.3">
      <c r="S285" s="2"/>
      <c r="T285" s="21"/>
    </row>
    <row r="286" spans="19:20" x14ac:dyDescent="0.3">
      <c r="S286" s="2"/>
      <c r="T286" s="21"/>
    </row>
    <row r="287" spans="19:20" x14ac:dyDescent="0.3">
      <c r="S287" s="2"/>
      <c r="T287" s="21"/>
    </row>
    <row r="288" spans="19:20" x14ac:dyDescent="0.3">
      <c r="S288" s="2"/>
      <c r="T288" s="21"/>
    </row>
    <row r="289" spans="19:20" x14ac:dyDescent="0.3">
      <c r="S289" s="2"/>
      <c r="T289" s="21"/>
    </row>
    <row r="290" spans="19:20" x14ac:dyDescent="0.3">
      <c r="S290" s="2"/>
      <c r="T290" s="21"/>
    </row>
    <row r="291" spans="19:20" x14ac:dyDescent="0.3">
      <c r="S291" s="2"/>
      <c r="T291" s="21"/>
    </row>
    <row r="292" spans="19:20" x14ac:dyDescent="0.3">
      <c r="S292" s="2"/>
      <c r="T292" s="21"/>
    </row>
    <row r="293" spans="19:20" x14ac:dyDescent="0.3">
      <c r="S293" s="2"/>
      <c r="T293" s="21"/>
    </row>
    <row r="294" spans="19:20" x14ac:dyDescent="0.3">
      <c r="S294" s="2"/>
      <c r="T294" s="21"/>
    </row>
    <row r="295" spans="19:20" x14ac:dyDescent="0.3">
      <c r="S295" s="2"/>
      <c r="T295" s="21"/>
    </row>
    <row r="296" spans="19:20" x14ac:dyDescent="0.3">
      <c r="S296" s="2"/>
      <c r="T296" s="21"/>
    </row>
    <row r="297" spans="19:20" x14ac:dyDescent="0.3">
      <c r="S297" s="2"/>
      <c r="T297" s="21"/>
    </row>
    <row r="298" spans="19:20" x14ac:dyDescent="0.3">
      <c r="S298" s="2"/>
      <c r="T298" s="21"/>
    </row>
    <row r="299" spans="19:20" x14ac:dyDescent="0.3">
      <c r="S299" s="2"/>
      <c r="T299" s="21"/>
    </row>
    <row r="300" spans="19:20" x14ac:dyDescent="0.3">
      <c r="S300" s="2"/>
      <c r="T300" s="21"/>
    </row>
    <row r="301" spans="19:20" x14ac:dyDescent="0.3">
      <c r="S301" s="2"/>
      <c r="T301" s="21"/>
    </row>
    <row r="302" spans="19:20" x14ac:dyDescent="0.3">
      <c r="S302" s="2"/>
      <c r="T302" s="21"/>
    </row>
    <row r="303" spans="19:20" x14ac:dyDescent="0.3">
      <c r="S303" s="2"/>
      <c r="T303" s="21"/>
    </row>
    <row r="304" spans="19:20" x14ac:dyDescent="0.3">
      <c r="S304" s="2"/>
      <c r="T304" s="21"/>
    </row>
    <row r="305" spans="19:20" x14ac:dyDescent="0.3">
      <c r="S305" s="2"/>
      <c r="T305" s="21"/>
    </row>
    <row r="306" spans="19:20" x14ac:dyDescent="0.3">
      <c r="S306" s="2"/>
      <c r="T306" s="21"/>
    </row>
    <row r="307" spans="19:20" x14ac:dyDescent="0.3">
      <c r="S307" s="2"/>
      <c r="T307" s="21"/>
    </row>
    <row r="308" spans="19:20" x14ac:dyDescent="0.3">
      <c r="S308" s="2"/>
      <c r="T308" s="21"/>
    </row>
    <row r="309" spans="19:20" x14ac:dyDescent="0.3">
      <c r="S309" s="2"/>
      <c r="T309" s="21"/>
    </row>
    <row r="310" spans="19:20" x14ac:dyDescent="0.3">
      <c r="S310" s="2"/>
      <c r="T310" s="21"/>
    </row>
    <row r="311" spans="19:20" x14ac:dyDescent="0.3">
      <c r="S311" s="2"/>
      <c r="T311" s="21"/>
    </row>
    <row r="312" spans="19:20" x14ac:dyDescent="0.3">
      <c r="S312" s="2"/>
      <c r="T312" s="21"/>
    </row>
    <row r="313" spans="19:20" x14ac:dyDescent="0.3">
      <c r="S313" s="2"/>
      <c r="T313" s="21"/>
    </row>
    <row r="314" spans="19:20" x14ac:dyDescent="0.3">
      <c r="S314" s="2"/>
      <c r="T314" s="21"/>
    </row>
    <row r="315" spans="19:20" x14ac:dyDescent="0.3">
      <c r="S315" s="2"/>
      <c r="T315" s="21"/>
    </row>
    <row r="316" spans="19:20" x14ac:dyDescent="0.3">
      <c r="S316" s="2"/>
      <c r="T316" s="21"/>
    </row>
    <row r="317" spans="19:20" x14ac:dyDescent="0.3">
      <c r="S317" s="2"/>
      <c r="T317" s="21"/>
    </row>
    <row r="318" spans="19:20" x14ac:dyDescent="0.3">
      <c r="S318" s="2"/>
      <c r="T318" s="21"/>
    </row>
    <row r="319" spans="19:20" x14ac:dyDescent="0.3">
      <c r="S319" s="2"/>
      <c r="T319" s="21"/>
    </row>
    <row r="320" spans="19:20" x14ac:dyDescent="0.3">
      <c r="S320" s="2"/>
      <c r="T320" s="21"/>
    </row>
    <row r="321" spans="19:20" x14ac:dyDescent="0.3">
      <c r="S321" s="2"/>
      <c r="T321" s="21"/>
    </row>
  </sheetData>
  <mergeCells count="2">
    <mergeCell ref="I1:N1"/>
    <mergeCell ref="B1:G1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M72"/>
  <sheetViews>
    <sheetView tabSelected="1" workbookViewId="0">
      <selection activeCell="P12" sqref="P12"/>
    </sheetView>
  </sheetViews>
  <sheetFormatPr baseColWidth="10" defaultRowHeight="10.199999999999999" x14ac:dyDescent="0.3"/>
  <cols>
    <col min="1" max="1" width="12.796875" style="1" bestFit="1" customWidth="1"/>
    <col min="2" max="2" width="8.265625" style="1" customWidth="1"/>
    <col min="3" max="3" width="8.06640625" style="1" customWidth="1"/>
    <col min="4" max="4" width="11.59765625" style="2" customWidth="1"/>
    <col min="5" max="5" width="11.3984375" style="2" customWidth="1"/>
    <col min="6" max="6" width="12" style="54" customWidth="1"/>
    <col min="7" max="7" width="6.796875" style="1" bestFit="1" customWidth="1"/>
    <col min="8" max="8" width="12.19921875" style="1" customWidth="1"/>
    <col min="9" max="9" width="10.9296875" style="1" customWidth="1"/>
    <col min="10" max="10" width="10.59765625" style="1" customWidth="1"/>
    <col min="11" max="11" width="10.265625" style="1" bestFit="1" customWidth="1"/>
    <col min="12" max="12" width="16.86328125" style="1" customWidth="1"/>
    <col min="13" max="13" width="3.06640625" style="1" customWidth="1"/>
    <col min="14" max="16384" width="10.6640625" style="1"/>
  </cols>
  <sheetData>
    <row r="1" spans="1:12" s="55" customFormat="1" ht="47.5" x14ac:dyDescent="0.35">
      <c r="A1" s="55" t="s">
        <v>101</v>
      </c>
      <c r="B1" s="55" t="s">
        <v>103</v>
      </c>
      <c r="C1" s="55" t="s">
        <v>102</v>
      </c>
      <c r="D1" s="56" t="s">
        <v>114</v>
      </c>
      <c r="E1" s="56" t="s">
        <v>115</v>
      </c>
      <c r="F1" s="57" t="s">
        <v>109</v>
      </c>
      <c r="G1" s="55" t="s">
        <v>104</v>
      </c>
      <c r="H1" s="55" t="s">
        <v>105</v>
      </c>
      <c r="I1" s="55" t="s">
        <v>106</v>
      </c>
      <c r="J1" s="55" t="s">
        <v>107</v>
      </c>
      <c r="K1" s="55" t="s">
        <v>116</v>
      </c>
      <c r="L1" s="55" t="s">
        <v>108</v>
      </c>
    </row>
    <row r="2" spans="1:12" x14ac:dyDescent="0.3">
      <c r="A2" s="1" t="str">
        <f>"swaption_" &amp; B2 &amp; "_" &amp; B2</f>
        <v>swaption_3M_3M</v>
      </c>
      <c r="B2" s="1" t="s">
        <v>1</v>
      </c>
      <c r="C2" s="1" t="s">
        <v>56</v>
      </c>
      <c r="D2" s="2">
        <f ca="1">_xll.CALENDAR.GAP(pricingDate,B2,"USD Libor","Modified following",TRUE)</f>
        <v>41180</v>
      </c>
      <c r="E2" s="2">
        <f ca="1">_xll.CALENDAR.GAP(D2,C2,"USD Libor","Modified following",TRUE)</f>
        <v>41547</v>
      </c>
      <c r="F2" s="54">
        <v>54.475000000000001</v>
      </c>
      <c r="G2" s="1" t="s">
        <v>110</v>
      </c>
      <c r="H2" s="1" t="s">
        <v>2</v>
      </c>
      <c r="I2" s="1" t="s">
        <v>111</v>
      </c>
      <c r="J2" s="1" t="s">
        <v>112</v>
      </c>
      <c r="K2" s="1" t="s">
        <v>113</v>
      </c>
      <c r="L2" s="1" t="str">
        <f ca="1">_xll.OBJECT.VOLATILITY.SURFACE.SWAPTION.HELPER(A2,D2,E2,F2,G2,H2,I2,J2,K2,,,,)</f>
        <v>swaption_3M_3M#0022</v>
      </c>
    </row>
    <row r="3" spans="1:12" x14ac:dyDescent="0.3">
      <c r="A3" s="1" t="str">
        <f t="shared" ref="A3:A66" si="0">"swaption_" &amp; B3 &amp; "_" &amp; B3</f>
        <v>swaption_6M_6M</v>
      </c>
      <c r="B3" s="1" t="s">
        <v>2</v>
      </c>
      <c r="C3" s="1" t="s">
        <v>56</v>
      </c>
      <c r="D3" s="2">
        <f ca="1">_xll.CALENDAR.GAP(pricingDate,B3,"USD Libor","Modified following",TRUE)</f>
        <v>41271</v>
      </c>
      <c r="E3" s="2">
        <f ca="1">_xll.CALENDAR.GAP(D3,C3,"USD Libor","Modified following",TRUE)</f>
        <v>41638</v>
      </c>
      <c r="F3" s="54">
        <v>63.35</v>
      </c>
      <c r="G3" s="1" t="s">
        <v>110</v>
      </c>
      <c r="H3" s="1" t="s">
        <v>2</v>
      </c>
      <c r="I3" s="1" t="s">
        <v>111</v>
      </c>
      <c r="J3" s="1" t="s">
        <v>112</v>
      </c>
      <c r="K3" s="1" t="s">
        <v>113</v>
      </c>
      <c r="L3" s="1" t="str">
        <f ca="1">_xll.OBJECT.VOLATILITY.SURFACE.SWAPTION.HELPER(A3,D3,E3,F3,G3,H3,I3,J3,K3,,,,)</f>
        <v>swaption_6M_6M#0016</v>
      </c>
    </row>
    <row r="4" spans="1:12" x14ac:dyDescent="0.3">
      <c r="A4" s="1" t="str">
        <f t="shared" si="0"/>
        <v>swaption_6Y_6Y</v>
      </c>
      <c r="B4" s="1" t="s">
        <v>14</v>
      </c>
      <c r="C4" s="1" t="s">
        <v>56</v>
      </c>
      <c r="D4" s="2">
        <f ca="1">_xll.CALENDAR.GAP(pricingDate,B4,"USD Libor","Modified following",TRUE)</f>
        <v>43279</v>
      </c>
      <c r="E4" s="2">
        <f ca="1">_xll.CALENDAR.GAP(D4,C4,"USD Libor","Modified following",TRUE)</f>
        <v>43644</v>
      </c>
      <c r="F4" s="54">
        <v>26.5</v>
      </c>
      <c r="G4" s="1" t="s">
        <v>110</v>
      </c>
      <c r="H4" s="1" t="s">
        <v>2</v>
      </c>
      <c r="I4" s="1" t="s">
        <v>111</v>
      </c>
      <c r="J4" s="1" t="s">
        <v>112</v>
      </c>
      <c r="K4" s="1" t="s">
        <v>113</v>
      </c>
      <c r="L4" s="1" t="str">
        <f ca="1">_xll.OBJECT.VOLATILITY.SURFACE.SWAPTION.HELPER(A4,D4,E4,F4,G4,H4,I4,J4,K4,,,,)</f>
        <v>swaption_6Y_6Y#0016</v>
      </c>
    </row>
    <row r="5" spans="1:12" x14ac:dyDescent="0.3">
      <c r="A5" s="1" t="str">
        <f t="shared" si="0"/>
        <v>swaption_7Y_7Y</v>
      </c>
      <c r="B5" s="1" t="s">
        <v>15</v>
      </c>
      <c r="C5" s="1" t="s">
        <v>56</v>
      </c>
      <c r="D5" s="2">
        <f ca="1">_xll.CALENDAR.GAP(pricingDate,B5,"USD Libor","Modified following",TRUE)</f>
        <v>43644</v>
      </c>
      <c r="E5" s="2">
        <f ca="1">_xll.CALENDAR.GAP(D5,C5,"USD Libor","Modified following",TRUE)</f>
        <v>44012</v>
      </c>
      <c r="F5" s="54">
        <v>24.625</v>
      </c>
      <c r="G5" s="1" t="s">
        <v>110</v>
      </c>
      <c r="H5" s="1" t="s">
        <v>2</v>
      </c>
      <c r="I5" s="1" t="s">
        <v>111</v>
      </c>
      <c r="J5" s="1" t="s">
        <v>112</v>
      </c>
      <c r="K5" s="1" t="s">
        <v>113</v>
      </c>
      <c r="L5" s="1" t="str">
        <f ca="1">_xll.OBJECT.VOLATILITY.SURFACE.SWAPTION.HELPER(A5,D5,E5,F5,G5,H5,I5,J5,K5,,,,)</f>
        <v>swaption_7Y_7Y#0016</v>
      </c>
    </row>
    <row r="6" spans="1:12" x14ac:dyDescent="0.3">
      <c r="A6" s="1" t="str">
        <f t="shared" si="0"/>
        <v>swaption_8Y_8Y</v>
      </c>
      <c r="B6" s="1" t="s">
        <v>16</v>
      </c>
      <c r="C6" s="1" t="s">
        <v>56</v>
      </c>
      <c r="D6" s="2">
        <f ca="1">_xll.CALENDAR.GAP(pricingDate,B6,"USD Libor","Modified following",TRUE)</f>
        <v>44011</v>
      </c>
      <c r="E6" s="2">
        <f ca="1">_xll.CALENDAR.GAP(D6,C6,"USD Libor","Modified following",TRUE)</f>
        <v>44376</v>
      </c>
      <c r="F6" s="54">
        <v>23.5</v>
      </c>
      <c r="G6" s="1" t="s">
        <v>110</v>
      </c>
      <c r="H6" s="1" t="s">
        <v>2</v>
      </c>
      <c r="I6" s="1" t="s">
        <v>111</v>
      </c>
      <c r="J6" s="1" t="s">
        <v>112</v>
      </c>
      <c r="K6" s="1" t="s">
        <v>113</v>
      </c>
      <c r="L6" s="1" t="str">
        <f ca="1">_xll.OBJECT.VOLATILITY.SURFACE.SWAPTION.HELPER(A6,D6,E6,F6,G6,H6,I6,J6,K6,,,,)</f>
        <v>swaption_8Y_8Y#0016</v>
      </c>
    </row>
    <row r="7" spans="1:12" x14ac:dyDescent="0.3">
      <c r="A7" s="1" t="str">
        <f t="shared" si="0"/>
        <v>swaption_9Y_9Y</v>
      </c>
      <c r="B7" s="1" t="s">
        <v>17</v>
      </c>
      <c r="C7" s="1" t="s">
        <v>56</v>
      </c>
      <c r="D7" s="2">
        <f ca="1">_xll.CALENDAR.GAP(pricingDate,B7,"USD Libor","Modified following",TRUE)</f>
        <v>44375</v>
      </c>
      <c r="E7" s="2">
        <f ca="1">_xll.CALENDAR.GAP(D7,C7,"USD Libor","Modified following",TRUE)</f>
        <v>44740</v>
      </c>
      <c r="F7" s="54">
        <v>22.55</v>
      </c>
      <c r="G7" s="1" t="s">
        <v>110</v>
      </c>
      <c r="H7" s="1" t="s">
        <v>2</v>
      </c>
      <c r="I7" s="1" t="s">
        <v>111</v>
      </c>
      <c r="J7" s="1" t="s">
        <v>112</v>
      </c>
      <c r="K7" s="1" t="s">
        <v>113</v>
      </c>
      <c r="L7" s="1" t="str">
        <f ca="1">_xll.OBJECT.VOLATILITY.SURFACE.SWAPTION.HELPER(A7,D7,E7,F7,G7,H7,I7,J7,K7,,,,)</f>
        <v>swaption_9Y_9Y#0018</v>
      </c>
    </row>
    <row r="8" spans="1:12" x14ac:dyDescent="0.3">
      <c r="A8" s="1" t="str">
        <f t="shared" si="0"/>
        <v>swaption_10Y_10Y</v>
      </c>
      <c r="B8" s="1" t="s">
        <v>18</v>
      </c>
      <c r="C8" s="1" t="s">
        <v>56</v>
      </c>
      <c r="D8" s="2">
        <f ca="1">_xll.CALENDAR.GAP(pricingDate,B8,"USD Libor","Modified following",TRUE)</f>
        <v>44740</v>
      </c>
      <c r="E8" s="2">
        <f ca="1">_xll.CALENDAR.GAP(D8,C8,"USD Libor","Modified following",TRUE)</f>
        <v>45105</v>
      </c>
      <c r="F8" s="54">
        <v>21.15</v>
      </c>
      <c r="G8" s="1" t="s">
        <v>110</v>
      </c>
      <c r="H8" s="1" t="s">
        <v>2</v>
      </c>
      <c r="I8" s="1" t="s">
        <v>111</v>
      </c>
      <c r="J8" s="1" t="s">
        <v>112</v>
      </c>
      <c r="K8" s="1" t="s">
        <v>113</v>
      </c>
      <c r="L8" s="1" t="str">
        <f ca="1">_xll.OBJECT.VOLATILITY.SURFACE.SWAPTION.HELPER(A8,D8,E8,F8,G8,H8,I8,J8,K8,,,,)</f>
        <v>swaption_10Y_10Y#0016</v>
      </c>
    </row>
    <row r="9" spans="1:12" x14ac:dyDescent="0.3">
      <c r="A9" s="1" t="str">
        <f t="shared" si="0"/>
        <v>swaption_3M_3M</v>
      </c>
      <c r="B9" s="1" t="s">
        <v>1</v>
      </c>
      <c r="C9" s="1" t="s">
        <v>10</v>
      </c>
      <c r="D9" s="2">
        <f ca="1">_xll.CALENDAR.GAP(pricingDate,B9,"USD Libor","Modified following",TRUE)</f>
        <v>41180</v>
      </c>
      <c r="E9" s="2">
        <f ca="1">_xll.CALENDAR.GAP(D9,C9,"USD Libor","Modified following",TRUE)</f>
        <v>41912</v>
      </c>
      <c r="F9" s="54">
        <v>55.7</v>
      </c>
      <c r="G9" s="1" t="s">
        <v>110</v>
      </c>
      <c r="H9" s="1" t="s">
        <v>2</v>
      </c>
      <c r="I9" s="1" t="s">
        <v>111</v>
      </c>
      <c r="J9" s="1" t="s">
        <v>112</v>
      </c>
      <c r="K9" s="1" t="s">
        <v>113</v>
      </c>
      <c r="L9" s="1" t="str">
        <f ca="1">_xll.OBJECT.VOLATILITY.SURFACE.SWAPTION.HELPER(A9,D9,E9,F9,G9,H9,I9,J9,K9,,,,)</f>
        <v>swaption_3M_3M#0014</v>
      </c>
    </row>
    <row r="10" spans="1:12" x14ac:dyDescent="0.3">
      <c r="A10" s="1" t="str">
        <f t="shared" si="0"/>
        <v>swaption_6M_6M</v>
      </c>
      <c r="B10" s="1" t="s">
        <v>2</v>
      </c>
      <c r="C10" s="1" t="s">
        <v>10</v>
      </c>
      <c r="D10" s="2">
        <f ca="1">_xll.CALENDAR.GAP(pricingDate,B10,"USD Libor","Modified following",TRUE)</f>
        <v>41271</v>
      </c>
      <c r="E10" s="2">
        <f ca="1">_xll.CALENDAR.GAP(D10,C10,"USD Libor","Modified following",TRUE)</f>
        <v>42002</v>
      </c>
      <c r="F10" s="54">
        <v>58.1</v>
      </c>
      <c r="G10" s="1" t="s">
        <v>110</v>
      </c>
      <c r="H10" s="1" t="s">
        <v>2</v>
      </c>
      <c r="I10" s="1" t="s">
        <v>111</v>
      </c>
      <c r="J10" s="1" t="s">
        <v>112</v>
      </c>
      <c r="K10" s="1" t="s">
        <v>113</v>
      </c>
      <c r="L10" s="1" t="str">
        <f ca="1">_xll.OBJECT.VOLATILITY.SURFACE.SWAPTION.HELPER(A10,D10,E10,F10,G10,H10,I10,J10,K10,,,,)</f>
        <v>swaption_6M_6M#0014</v>
      </c>
    </row>
    <row r="11" spans="1:12" x14ac:dyDescent="0.3">
      <c r="A11" s="1" t="str">
        <f t="shared" si="0"/>
        <v>swaption_1M_1M</v>
      </c>
      <c r="B11" s="1" t="s">
        <v>8</v>
      </c>
      <c r="C11" s="1" t="s">
        <v>10</v>
      </c>
      <c r="D11" s="2">
        <f ca="1">_xll.CALENDAR.GAP(pricingDate,B11,"USD Libor","Modified following",TRUE)</f>
        <v>41120</v>
      </c>
      <c r="E11" s="2">
        <f ca="1">_xll.CALENDAR.GAP(D11,C11,"USD Libor","Modified following",TRUE)</f>
        <v>41850</v>
      </c>
      <c r="F11" s="54">
        <v>56.55</v>
      </c>
      <c r="G11" s="1" t="s">
        <v>110</v>
      </c>
      <c r="H11" s="1" t="s">
        <v>2</v>
      </c>
      <c r="I11" s="1" t="s">
        <v>111</v>
      </c>
      <c r="J11" s="1" t="s">
        <v>112</v>
      </c>
      <c r="K11" s="1" t="s">
        <v>113</v>
      </c>
      <c r="L11" s="1" t="str">
        <f ca="1">_xll.OBJECT.VOLATILITY.SURFACE.SWAPTION.HELPER(A11,D11,E11,F11,G11,H11,I11,J11,K11,,,,)</f>
        <v>swaption_1M_1M#0014</v>
      </c>
    </row>
    <row r="12" spans="1:12" x14ac:dyDescent="0.3">
      <c r="A12" s="1" t="str">
        <f t="shared" si="0"/>
        <v>swaption_5Y_5Y</v>
      </c>
      <c r="B12" s="1" t="s">
        <v>13</v>
      </c>
      <c r="C12" s="1" t="s">
        <v>10</v>
      </c>
      <c r="D12" s="2">
        <f ca="1">_xll.CALENDAR.GAP(pricingDate,B12,"USD Libor","Modified following",TRUE)</f>
        <v>42914</v>
      </c>
      <c r="E12" s="2">
        <f ca="1">_xll.CALENDAR.GAP(D12,C12,"USD Libor","Modified following",TRUE)</f>
        <v>43644</v>
      </c>
      <c r="F12" s="54">
        <v>26.9</v>
      </c>
      <c r="G12" s="1" t="s">
        <v>110</v>
      </c>
      <c r="H12" s="1" t="s">
        <v>2</v>
      </c>
      <c r="I12" s="1" t="s">
        <v>111</v>
      </c>
      <c r="J12" s="1" t="s">
        <v>112</v>
      </c>
      <c r="K12" s="1" t="s">
        <v>113</v>
      </c>
      <c r="L12" s="1" t="str">
        <f ca="1">_xll.OBJECT.VOLATILITY.SURFACE.SWAPTION.HELPER(A12,D12,E12,F12,G12,H12,I12,J12,K12,,,,)</f>
        <v>swaption_5Y_5Y#0014</v>
      </c>
    </row>
    <row r="13" spans="1:12" x14ac:dyDescent="0.3">
      <c r="A13" s="1" t="str">
        <f t="shared" si="0"/>
        <v>swaption_6Y_6Y</v>
      </c>
      <c r="B13" s="1" t="s">
        <v>14</v>
      </c>
      <c r="C13" s="1" t="s">
        <v>10</v>
      </c>
      <c r="D13" s="2">
        <f ca="1">_xll.CALENDAR.GAP(pricingDate,B13,"USD Libor","Modified following",TRUE)</f>
        <v>43279</v>
      </c>
      <c r="E13" s="2">
        <f ca="1">_xll.CALENDAR.GAP(D13,C13,"USD Libor","Modified following",TRUE)</f>
        <v>44011</v>
      </c>
      <c r="F13" s="54">
        <v>25.05</v>
      </c>
      <c r="G13" s="1" t="s">
        <v>110</v>
      </c>
      <c r="H13" s="1" t="s">
        <v>2</v>
      </c>
      <c r="I13" s="1" t="s">
        <v>111</v>
      </c>
      <c r="J13" s="1" t="s">
        <v>112</v>
      </c>
      <c r="K13" s="1" t="s">
        <v>113</v>
      </c>
      <c r="L13" s="1" t="str">
        <f ca="1">_xll.OBJECT.VOLATILITY.SURFACE.SWAPTION.HELPER(A13,D13,E13,F13,G13,H13,I13,J13,K13,,,,)</f>
        <v>swaption_6Y_6Y#0014</v>
      </c>
    </row>
    <row r="14" spans="1:12" x14ac:dyDescent="0.3">
      <c r="A14" s="1" t="str">
        <f t="shared" si="0"/>
        <v>swaption_7Y_7Y</v>
      </c>
      <c r="B14" s="1" t="s">
        <v>15</v>
      </c>
      <c r="C14" s="1" t="s">
        <v>10</v>
      </c>
      <c r="D14" s="2">
        <f ca="1">_xll.CALENDAR.GAP(pricingDate,B14,"USD Libor","Modified following",TRUE)</f>
        <v>43644</v>
      </c>
      <c r="E14" s="2">
        <f ca="1">_xll.CALENDAR.GAP(D14,C14,"USD Libor","Modified following",TRUE)</f>
        <v>44377</v>
      </c>
      <c r="F14" s="54">
        <v>23.8</v>
      </c>
      <c r="G14" s="1" t="s">
        <v>110</v>
      </c>
      <c r="H14" s="1" t="s">
        <v>2</v>
      </c>
      <c r="I14" s="1" t="s">
        <v>111</v>
      </c>
      <c r="J14" s="1" t="s">
        <v>112</v>
      </c>
      <c r="K14" s="1" t="s">
        <v>113</v>
      </c>
      <c r="L14" s="1" t="str">
        <f ca="1">_xll.OBJECT.VOLATILITY.SURFACE.SWAPTION.HELPER(A14,D14,E14,F14,G14,H14,I14,J14,K14,,,,)</f>
        <v>swaption_7Y_7Y#0014</v>
      </c>
    </row>
    <row r="15" spans="1:12" x14ac:dyDescent="0.3">
      <c r="A15" s="1" t="str">
        <f t="shared" si="0"/>
        <v>swaption_8Y_8Y</v>
      </c>
      <c r="B15" s="1" t="s">
        <v>16</v>
      </c>
      <c r="C15" s="1" t="s">
        <v>10</v>
      </c>
      <c r="D15" s="2">
        <f ca="1">_xll.CALENDAR.GAP(pricingDate,B15,"USD Libor","Modified following",TRUE)</f>
        <v>44011</v>
      </c>
      <c r="E15" s="2">
        <f ca="1">_xll.CALENDAR.GAP(D15,C15,"USD Libor","Modified following",TRUE)</f>
        <v>44741</v>
      </c>
      <c r="F15" s="54">
        <v>22.7</v>
      </c>
      <c r="G15" s="1" t="s">
        <v>110</v>
      </c>
      <c r="H15" s="1" t="s">
        <v>2</v>
      </c>
      <c r="I15" s="1" t="s">
        <v>111</v>
      </c>
      <c r="J15" s="1" t="s">
        <v>112</v>
      </c>
      <c r="K15" s="1" t="s">
        <v>113</v>
      </c>
      <c r="L15" s="1" t="str">
        <f ca="1">_xll.OBJECT.VOLATILITY.SURFACE.SWAPTION.HELPER(A15,D15,E15,F15,G15,H15,I15,J15,K15,,,,)</f>
        <v>swaption_8Y_8Y#0014</v>
      </c>
    </row>
    <row r="16" spans="1:12" x14ac:dyDescent="0.3">
      <c r="A16" s="1" t="str">
        <f t="shared" si="0"/>
        <v>swaption_9Y_9Y</v>
      </c>
      <c r="B16" s="1" t="s">
        <v>17</v>
      </c>
      <c r="C16" s="1" t="s">
        <v>10</v>
      </c>
      <c r="D16" s="2">
        <f ca="1">_xll.CALENDAR.GAP(pricingDate,B16,"USD Libor","Modified following",TRUE)</f>
        <v>44375</v>
      </c>
      <c r="E16" s="2">
        <f ca="1">_xll.CALENDAR.GAP(D16,C16,"USD Libor","Modified following",TRUE)</f>
        <v>45105</v>
      </c>
      <c r="F16" s="54">
        <v>21.6</v>
      </c>
      <c r="G16" s="1" t="s">
        <v>110</v>
      </c>
      <c r="H16" s="1" t="s">
        <v>2</v>
      </c>
      <c r="I16" s="1" t="s">
        <v>111</v>
      </c>
      <c r="J16" s="1" t="s">
        <v>112</v>
      </c>
      <c r="K16" s="1" t="s">
        <v>113</v>
      </c>
      <c r="L16" s="1" t="str">
        <f ca="1">_xll.OBJECT.VOLATILITY.SURFACE.SWAPTION.HELPER(A16,D16,E16,F16,G16,H16,I16,J16,K16,,,,)</f>
        <v>swaption_9Y_9Y#0014</v>
      </c>
    </row>
    <row r="17" spans="1:12" x14ac:dyDescent="0.3">
      <c r="A17" s="1" t="str">
        <f t="shared" si="0"/>
        <v>swaption_1M_1M</v>
      </c>
      <c r="B17" s="1" t="s">
        <v>8</v>
      </c>
      <c r="C17" s="1" t="s">
        <v>11</v>
      </c>
      <c r="D17" s="2">
        <f ca="1">_xll.CALENDAR.GAP(pricingDate,B17,"USD Libor","Modified following",TRUE)</f>
        <v>41120</v>
      </c>
      <c r="E17" s="2">
        <f ca="1">_xll.CALENDAR.GAP(D17,C17,"USD Libor","Modified following",TRUE)</f>
        <v>42215</v>
      </c>
      <c r="F17" s="54">
        <v>51.05</v>
      </c>
      <c r="G17" s="1" t="s">
        <v>110</v>
      </c>
      <c r="H17" s="1" t="s">
        <v>2</v>
      </c>
      <c r="I17" s="1" t="s">
        <v>111</v>
      </c>
      <c r="J17" s="1" t="s">
        <v>112</v>
      </c>
      <c r="K17" s="1" t="s">
        <v>113</v>
      </c>
      <c r="L17" s="1" t="str">
        <f ca="1">_xll.OBJECT.VOLATILITY.SURFACE.SWAPTION.HELPER(A17,D17,E17,F17,G17,H17,I17,J17,K17,,,,)</f>
        <v>swaption_1M_1M#0013</v>
      </c>
    </row>
    <row r="18" spans="1:12" x14ac:dyDescent="0.3">
      <c r="A18" s="1" t="str">
        <f t="shared" si="0"/>
        <v>swaption_3M_3M</v>
      </c>
      <c r="B18" s="1" t="s">
        <v>1</v>
      </c>
      <c r="C18" s="1" t="s">
        <v>11</v>
      </c>
      <c r="D18" s="2">
        <f ca="1">_xll.CALENDAR.GAP(pricingDate,B18,"USD Libor","Modified following",TRUE)</f>
        <v>41180</v>
      </c>
      <c r="E18" s="2">
        <f ca="1">_xll.CALENDAR.GAP(D18,C18,"USD Libor","Modified following",TRUE)</f>
        <v>42277</v>
      </c>
      <c r="F18" s="54">
        <v>48.3</v>
      </c>
      <c r="G18" s="1" t="s">
        <v>110</v>
      </c>
      <c r="H18" s="1" t="s">
        <v>2</v>
      </c>
      <c r="I18" s="1" t="s">
        <v>111</v>
      </c>
      <c r="J18" s="1" t="s">
        <v>112</v>
      </c>
      <c r="K18" s="1" t="s">
        <v>113</v>
      </c>
      <c r="L18" s="1" t="str">
        <f ca="1">_xll.OBJECT.VOLATILITY.SURFACE.SWAPTION.HELPER(A18,D18,E18,F18,G18,H18,I18,J18,K18,,,,)</f>
        <v>swaption_3M_3M#0013</v>
      </c>
    </row>
    <row r="19" spans="1:12" x14ac:dyDescent="0.3">
      <c r="A19" s="1" t="str">
        <f t="shared" si="0"/>
        <v>swaption_6M_6M</v>
      </c>
      <c r="B19" s="1" t="s">
        <v>2</v>
      </c>
      <c r="C19" s="1" t="s">
        <v>11</v>
      </c>
      <c r="D19" s="2">
        <f ca="1">_xll.CALENDAR.GAP(pricingDate,B19,"USD Libor","Modified following",TRUE)</f>
        <v>41271</v>
      </c>
      <c r="E19" s="2">
        <f ca="1">_xll.CALENDAR.GAP(D19,C19,"USD Libor","Modified following",TRUE)</f>
        <v>42367</v>
      </c>
      <c r="F19" s="54">
        <v>48.9</v>
      </c>
      <c r="G19" s="1" t="s">
        <v>110</v>
      </c>
      <c r="H19" s="1" t="s">
        <v>2</v>
      </c>
      <c r="I19" s="1" t="s">
        <v>111</v>
      </c>
      <c r="J19" s="1" t="s">
        <v>112</v>
      </c>
      <c r="K19" s="1" t="s">
        <v>113</v>
      </c>
      <c r="L19" s="1" t="str">
        <f ca="1">_xll.OBJECT.VOLATILITY.SURFACE.SWAPTION.HELPER(A19,D19,E19,F19,G19,H19,I19,J19,K19,,,,)</f>
        <v>swaption_6M_6M#0013</v>
      </c>
    </row>
    <row r="20" spans="1:12" x14ac:dyDescent="0.3">
      <c r="A20" s="1" t="str">
        <f t="shared" si="0"/>
        <v>swaption_1Y_1Y</v>
      </c>
      <c r="B20" s="1" t="s">
        <v>56</v>
      </c>
      <c r="C20" s="1" t="s">
        <v>11</v>
      </c>
      <c r="D20" s="2">
        <f ca="1">_xll.CALENDAR.GAP(pricingDate,B20,"USD Libor","Modified following",TRUE)</f>
        <v>41453</v>
      </c>
      <c r="E20" s="2">
        <f ca="1">_xll.CALENDAR.GAP(D20,C20,"USD Libor","Modified following",TRUE)</f>
        <v>42551</v>
      </c>
      <c r="F20" s="54">
        <v>47</v>
      </c>
      <c r="G20" s="1" t="s">
        <v>110</v>
      </c>
      <c r="H20" s="1" t="s">
        <v>2</v>
      </c>
      <c r="I20" s="1" t="s">
        <v>111</v>
      </c>
      <c r="J20" s="1" t="s">
        <v>112</v>
      </c>
      <c r="K20" s="1" t="s">
        <v>113</v>
      </c>
      <c r="L20" s="1" t="str">
        <f ca="1">_xll.OBJECT.VOLATILITY.SURFACE.SWAPTION.HELPER(A20,D20,E20,F20,G20,H20,I20,J20,K20,,,,)</f>
        <v>swaption_1Y_1Y#0012</v>
      </c>
    </row>
    <row r="21" spans="1:12" x14ac:dyDescent="0.3">
      <c r="A21" s="1" t="str">
        <f t="shared" si="0"/>
        <v>swaption_4Y_4Y</v>
      </c>
      <c r="B21" s="1" t="s">
        <v>12</v>
      </c>
      <c r="C21" s="1" t="s">
        <v>11</v>
      </c>
      <c r="D21" s="2">
        <f ca="1">_xll.CALENDAR.GAP(pricingDate,B21,"USD Libor","Modified following",TRUE)</f>
        <v>42549</v>
      </c>
      <c r="E21" s="2">
        <f ca="1">_xll.CALENDAR.GAP(D21,C21,"USD Libor","Modified following",TRUE)</f>
        <v>43644</v>
      </c>
      <c r="F21" s="54">
        <v>27.65</v>
      </c>
      <c r="G21" s="1" t="s">
        <v>110</v>
      </c>
      <c r="H21" s="1" t="s">
        <v>2</v>
      </c>
      <c r="I21" s="1" t="s">
        <v>111</v>
      </c>
      <c r="J21" s="1" t="s">
        <v>112</v>
      </c>
      <c r="K21" s="1" t="s">
        <v>113</v>
      </c>
      <c r="L21" s="1" t="str">
        <f ca="1">_xll.OBJECT.VOLATILITY.SURFACE.SWAPTION.HELPER(A21,D21,E21,F21,G21,H21,I21,J21,K21,,,,)</f>
        <v>swaption_4Y_4Y#0012</v>
      </c>
    </row>
    <row r="22" spans="1:12" x14ac:dyDescent="0.3">
      <c r="A22" s="1" t="str">
        <f t="shared" si="0"/>
        <v>swaption_5Y_5Y</v>
      </c>
      <c r="B22" s="1" t="s">
        <v>13</v>
      </c>
      <c r="C22" s="1" t="s">
        <v>11</v>
      </c>
      <c r="D22" s="2">
        <f ca="1">_xll.CALENDAR.GAP(pricingDate,B22,"USD Libor","Modified following",TRUE)</f>
        <v>42914</v>
      </c>
      <c r="E22" s="2">
        <f ca="1">_xll.CALENDAR.GAP(D22,C22,"USD Libor","Modified following",TRUE)</f>
        <v>44011</v>
      </c>
      <c r="F22" s="54">
        <v>25.65</v>
      </c>
      <c r="G22" s="1" t="s">
        <v>110</v>
      </c>
      <c r="H22" s="1" t="s">
        <v>2</v>
      </c>
      <c r="I22" s="1" t="s">
        <v>111</v>
      </c>
      <c r="J22" s="1" t="s">
        <v>112</v>
      </c>
      <c r="K22" s="1" t="s">
        <v>113</v>
      </c>
      <c r="L22" s="1" t="str">
        <f ca="1">_xll.OBJECT.VOLATILITY.SURFACE.SWAPTION.HELPER(A22,D22,E22,F22,G22,H22,I22,J22,K22,,,,)</f>
        <v>swaption_5Y_5Y#0012</v>
      </c>
    </row>
    <row r="23" spans="1:12" x14ac:dyDescent="0.3">
      <c r="A23" s="1" t="str">
        <f t="shared" si="0"/>
        <v>swaption_6Y_6Y</v>
      </c>
      <c r="B23" s="1" t="s">
        <v>14</v>
      </c>
      <c r="C23" s="1" t="s">
        <v>11</v>
      </c>
      <c r="D23" s="2">
        <f ca="1">_xll.CALENDAR.GAP(pricingDate,B23,"USD Libor","Modified following",TRUE)</f>
        <v>43279</v>
      </c>
      <c r="E23" s="2">
        <f ca="1">_xll.CALENDAR.GAP(D23,C23,"USD Libor","Modified following",TRUE)</f>
        <v>44375</v>
      </c>
      <c r="F23" s="54">
        <v>24.2</v>
      </c>
      <c r="G23" s="1" t="s">
        <v>110</v>
      </c>
      <c r="H23" s="1" t="s">
        <v>2</v>
      </c>
      <c r="I23" s="1" t="s">
        <v>111</v>
      </c>
      <c r="J23" s="1" t="s">
        <v>112</v>
      </c>
      <c r="K23" s="1" t="s">
        <v>113</v>
      </c>
      <c r="L23" s="1" t="str">
        <f ca="1">_xll.OBJECT.VOLATILITY.SURFACE.SWAPTION.HELPER(A23,D23,E23,F23,G23,H23,I23,J23,K23,,,,)</f>
        <v>swaption_6Y_6Y#0012</v>
      </c>
    </row>
    <row r="24" spans="1:12" x14ac:dyDescent="0.3">
      <c r="A24" s="1" t="str">
        <f t="shared" si="0"/>
        <v>swaption_7Y_7Y</v>
      </c>
      <c r="B24" s="1" t="s">
        <v>15</v>
      </c>
      <c r="C24" s="1" t="s">
        <v>11</v>
      </c>
      <c r="D24" s="2">
        <f ca="1">_xll.CALENDAR.GAP(pricingDate,B24,"USD Libor","Modified following",TRUE)</f>
        <v>43644</v>
      </c>
      <c r="E24" s="2">
        <f ca="1">_xll.CALENDAR.GAP(D24,C24,"USD Libor","Modified following",TRUE)</f>
        <v>44742</v>
      </c>
      <c r="F24" s="54">
        <v>23.5</v>
      </c>
      <c r="G24" s="1" t="s">
        <v>110</v>
      </c>
      <c r="H24" s="1" t="s">
        <v>2</v>
      </c>
      <c r="I24" s="1" t="s">
        <v>111</v>
      </c>
      <c r="J24" s="1" t="s">
        <v>112</v>
      </c>
      <c r="K24" s="1" t="s">
        <v>113</v>
      </c>
      <c r="L24" s="1" t="str">
        <f ca="1">_xll.OBJECT.VOLATILITY.SURFACE.SWAPTION.HELPER(A24,D24,E24,F24,G24,H24,I24,J24,K24,,,,)</f>
        <v>swaption_7Y_7Y#0012</v>
      </c>
    </row>
    <row r="25" spans="1:12" x14ac:dyDescent="0.3">
      <c r="A25" s="1" t="str">
        <f t="shared" si="0"/>
        <v>swaption_8Y_8Y</v>
      </c>
      <c r="B25" s="1" t="s">
        <v>16</v>
      </c>
      <c r="C25" s="1" t="s">
        <v>11</v>
      </c>
      <c r="D25" s="2">
        <f ca="1">_xll.CALENDAR.GAP(pricingDate,B25,"USD Libor","Modified following",TRUE)</f>
        <v>44011</v>
      </c>
      <c r="E25" s="2">
        <f ca="1">_xll.CALENDAR.GAP(D25,C25,"USD Libor","Modified following",TRUE)</f>
        <v>45106</v>
      </c>
      <c r="F25" s="54">
        <v>22.05</v>
      </c>
      <c r="G25" s="1" t="s">
        <v>110</v>
      </c>
      <c r="H25" s="1" t="s">
        <v>2</v>
      </c>
      <c r="I25" s="1" t="s">
        <v>111</v>
      </c>
      <c r="J25" s="1" t="s">
        <v>112</v>
      </c>
      <c r="K25" s="1" t="s">
        <v>113</v>
      </c>
      <c r="L25" s="1" t="str">
        <f ca="1">_xll.OBJECT.VOLATILITY.SURFACE.SWAPTION.HELPER(A25,D25,E25,F25,G25,H25,I25,J25,K25,,,,)</f>
        <v>swaption_8Y_8Y#0012</v>
      </c>
    </row>
    <row r="26" spans="1:12" x14ac:dyDescent="0.3">
      <c r="A26" s="1" t="str">
        <f t="shared" si="0"/>
        <v>swaption_1M_1M</v>
      </c>
      <c r="B26" s="1" t="s">
        <v>8</v>
      </c>
      <c r="C26" s="1" t="s">
        <v>12</v>
      </c>
      <c r="D26" s="2">
        <f ca="1">_xll.CALENDAR.GAP(pricingDate,B26,"USD Libor","Modified following",TRUE)</f>
        <v>41120</v>
      </c>
      <c r="E26" s="2">
        <f ca="1">_xll.CALENDAR.GAP(D26,C26,"USD Libor","Modified following",TRUE)</f>
        <v>42580</v>
      </c>
      <c r="F26" s="54">
        <v>40.799999999999997</v>
      </c>
      <c r="G26" s="1" t="s">
        <v>110</v>
      </c>
      <c r="H26" s="1" t="s">
        <v>2</v>
      </c>
      <c r="I26" s="1" t="s">
        <v>111</v>
      </c>
      <c r="J26" s="1" t="s">
        <v>112</v>
      </c>
      <c r="K26" s="1" t="s">
        <v>113</v>
      </c>
      <c r="L26" s="1" t="str">
        <f ca="1">_xll.OBJECT.VOLATILITY.SURFACE.SWAPTION.HELPER(A26,D26,E26,F26,G26,H26,I26,J26,K26,,,,)</f>
        <v>swaption_1M_1M#0011</v>
      </c>
    </row>
    <row r="27" spans="1:12" x14ac:dyDescent="0.3">
      <c r="A27" s="1" t="str">
        <f t="shared" si="0"/>
        <v>swaption_3M_3M</v>
      </c>
      <c r="B27" s="1" t="s">
        <v>1</v>
      </c>
      <c r="C27" s="1" t="s">
        <v>12</v>
      </c>
      <c r="D27" s="2">
        <f ca="1">_xll.CALENDAR.GAP(pricingDate,B27,"USD Libor","Modified following",TRUE)</f>
        <v>41180</v>
      </c>
      <c r="E27" s="2">
        <f ca="1">_xll.CALENDAR.GAP(D27,C27,"USD Libor","Modified following",TRUE)</f>
        <v>42643</v>
      </c>
      <c r="F27" s="54">
        <v>40.225000000000001</v>
      </c>
      <c r="G27" s="1" t="s">
        <v>110</v>
      </c>
      <c r="H27" s="1" t="s">
        <v>2</v>
      </c>
      <c r="I27" s="1" t="s">
        <v>111</v>
      </c>
      <c r="J27" s="1" t="s">
        <v>112</v>
      </c>
      <c r="K27" s="1" t="s">
        <v>113</v>
      </c>
      <c r="L27" s="1" t="str">
        <f ca="1">_xll.OBJECT.VOLATILITY.SURFACE.SWAPTION.HELPER(A27,D27,E27,F27,G27,H27,I27,J27,K27,,,,)</f>
        <v>swaption_3M_3M#0011</v>
      </c>
    </row>
    <row r="28" spans="1:12" x14ac:dyDescent="0.3">
      <c r="A28" s="1" t="str">
        <f t="shared" si="0"/>
        <v>swaption_6M_6M</v>
      </c>
      <c r="B28" s="1" t="s">
        <v>2</v>
      </c>
      <c r="C28" s="1" t="s">
        <v>12</v>
      </c>
      <c r="D28" s="2">
        <f ca="1">_xll.CALENDAR.GAP(pricingDate,B28,"USD Libor","Modified following",TRUE)</f>
        <v>41271</v>
      </c>
      <c r="E28" s="2">
        <f ca="1">_xll.CALENDAR.GAP(D28,C28,"USD Libor","Modified following",TRUE)</f>
        <v>42732</v>
      </c>
      <c r="F28" s="54">
        <v>40.200000000000003</v>
      </c>
      <c r="G28" s="1" t="s">
        <v>110</v>
      </c>
      <c r="H28" s="1" t="s">
        <v>2</v>
      </c>
      <c r="I28" s="1" t="s">
        <v>111</v>
      </c>
      <c r="J28" s="1" t="s">
        <v>112</v>
      </c>
      <c r="K28" s="1" t="s">
        <v>113</v>
      </c>
      <c r="L28" s="1" t="str">
        <f ca="1">_xll.OBJECT.VOLATILITY.SURFACE.SWAPTION.HELPER(A28,D28,E28,F28,G28,H28,I28,J28,K28,,,,)</f>
        <v>swaption_6M_6M#0011</v>
      </c>
    </row>
    <row r="29" spans="1:12" x14ac:dyDescent="0.3">
      <c r="A29" s="1" t="str">
        <f t="shared" si="0"/>
        <v>swaption_1Y_1Y</v>
      </c>
      <c r="B29" s="1" t="s">
        <v>56</v>
      </c>
      <c r="C29" s="1" t="s">
        <v>12</v>
      </c>
      <c r="D29" s="2">
        <f ca="1">_xll.CALENDAR.GAP(pricingDate,B29,"USD Libor","Modified following",TRUE)</f>
        <v>41453</v>
      </c>
      <c r="E29" s="2">
        <f ca="1">_xll.CALENDAR.GAP(D29,C29,"USD Libor","Modified following",TRUE)</f>
        <v>42916</v>
      </c>
      <c r="F29" s="54">
        <v>39.299999999999997</v>
      </c>
      <c r="G29" s="1" t="s">
        <v>110</v>
      </c>
      <c r="H29" s="1" t="s">
        <v>2</v>
      </c>
      <c r="I29" s="1" t="s">
        <v>111</v>
      </c>
      <c r="J29" s="1" t="s">
        <v>112</v>
      </c>
      <c r="K29" s="1" t="s">
        <v>113</v>
      </c>
      <c r="L29" s="1" t="str">
        <f ca="1">_xll.OBJECT.VOLATILITY.SURFACE.SWAPTION.HELPER(A29,D29,E29,F29,G29,H29,I29,J29,K29,,,,)</f>
        <v>swaption_1Y_1Y#0011</v>
      </c>
    </row>
    <row r="30" spans="1:12" x14ac:dyDescent="0.3">
      <c r="A30" s="1" t="str">
        <f t="shared" si="0"/>
        <v>swaption_3Y_3Y</v>
      </c>
      <c r="B30" s="1" t="s">
        <v>11</v>
      </c>
      <c r="C30" s="1" t="s">
        <v>12</v>
      </c>
      <c r="D30" s="2">
        <f ca="1">_xll.CALENDAR.GAP(pricingDate,B30,"USD Libor","Modified following",TRUE)</f>
        <v>42184</v>
      </c>
      <c r="E30" s="2">
        <f ca="1">_xll.CALENDAR.GAP(D30,C30,"USD Libor","Modified following",TRUE)</f>
        <v>43644</v>
      </c>
      <c r="F30" s="54">
        <v>28.925000000000001</v>
      </c>
      <c r="G30" s="1" t="s">
        <v>110</v>
      </c>
      <c r="H30" s="1" t="s">
        <v>2</v>
      </c>
      <c r="I30" s="1" t="s">
        <v>111</v>
      </c>
      <c r="J30" s="1" t="s">
        <v>112</v>
      </c>
      <c r="K30" s="1" t="s">
        <v>113</v>
      </c>
      <c r="L30" s="1" t="str">
        <f ca="1">_xll.OBJECT.VOLATILITY.SURFACE.SWAPTION.HELPER(A30,D30,E30,F30,G30,H30,I30,J30,K30,,,,)</f>
        <v>swaption_3Y_3Y#0011</v>
      </c>
    </row>
    <row r="31" spans="1:12" x14ac:dyDescent="0.3">
      <c r="A31" s="1" t="str">
        <f t="shared" si="0"/>
        <v>swaption_4Y_4Y</v>
      </c>
      <c r="B31" s="1" t="s">
        <v>12</v>
      </c>
      <c r="C31" s="1" t="s">
        <v>12</v>
      </c>
      <c r="D31" s="2">
        <f ca="1">_xll.CALENDAR.GAP(pricingDate,B31,"USD Libor","Modified following",TRUE)</f>
        <v>42549</v>
      </c>
      <c r="E31" s="2">
        <f ca="1">_xll.CALENDAR.GAP(D31,C31,"USD Libor","Modified following",TRUE)</f>
        <v>44011</v>
      </c>
      <c r="F31" s="54">
        <v>26.15</v>
      </c>
      <c r="G31" s="1" t="s">
        <v>110</v>
      </c>
      <c r="H31" s="1" t="s">
        <v>2</v>
      </c>
      <c r="I31" s="1" t="s">
        <v>111</v>
      </c>
      <c r="J31" s="1" t="s">
        <v>112</v>
      </c>
      <c r="K31" s="1" t="s">
        <v>113</v>
      </c>
      <c r="L31" s="1" t="str">
        <f ca="1">_xll.OBJECT.VOLATILITY.SURFACE.SWAPTION.HELPER(A31,D31,E31,F31,G31,H31,I31,J31,K31,,,,)</f>
        <v>swaption_4Y_4Y#0011</v>
      </c>
    </row>
    <row r="32" spans="1:12" x14ac:dyDescent="0.3">
      <c r="A32" s="1" t="str">
        <f t="shared" si="0"/>
        <v>swaption_5Y_5Y</v>
      </c>
      <c r="B32" s="1" t="s">
        <v>13</v>
      </c>
      <c r="C32" s="1" t="s">
        <v>12</v>
      </c>
      <c r="D32" s="2">
        <f ca="1">_xll.CALENDAR.GAP(pricingDate,B32,"USD Libor","Modified following",TRUE)</f>
        <v>42914</v>
      </c>
      <c r="E32" s="2">
        <f ca="1">_xll.CALENDAR.GAP(D32,C32,"USD Libor","Modified following",TRUE)</f>
        <v>44375</v>
      </c>
      <c r="F32" s="54">
        <v>24.65</v>
      </c>
      <c r="G32" s="1" t="s">
        <v>110</v>
      </c>
      <c r="H32" s="1" t="s">
        <v>2</v>
      </c>
      <c r="I32" s="1" t="s">
        <v>111</v>
      </c>
      <c r="J32" s="1" t="s">
        <v>112</v>
      </c>
      <c r="K32" s="1" t="s">
        <v>113</v>
      </c>
      <c r="L32" s="1" t="str">
        <f ca="1">_xll.OBJECT.VOLATILITY.SURFACE.SWAPTION.HELPER(A32,D32,E32,F32,G32,H32,I32,J32,K32,,,,)</f>
        <v>swaption_5Y_5Y#0011</v>
      </c>
    </row>
    <row r="33" spans="1:12" x14ac:dyDescent="0.3">
      <c r="A33" s="1" t="str">
        <f t="shared" si="0"/>
        <v>swaption_6Y_6Y</v>
      </c>
      <c r="B33" s="1" t="s">
        <v>14</v>
      </c>
      <c r="C33" s="1" t="s">
        <v>12</v>
      </c>
      <c r="D33" s="2">
        <f ca="1">_xll.CALENDAR.GAP(pricingDate,B33,"USD Libor","Modified following",TRUE)</f>
        <v>43279</v>
      </c>
      <c r="E33" s="2">
        <f ca="1">_xll.CALENDAR.GAP(D33,C33,"USD Libor","Modified following",TRUE)</f>
        <v>44740</v>
      </c>
      <c r="F33" s="54">
        <v>23.5</v>
      </c>
      <c r="G33" s="1" t="s">
        <v>110</v>
      </c>
      <c r="H33" s="1" t="s">
        <v>2</v>
      </c>
      <c r="I33" s="1" t="s">
        <v>111</v>
      </c>
      <c r="J33" s="1" t="s">
        <v>112</v>
      </c>
      <c r="K33" s="1" t="s">
        <v>113</v>
      </c>
      <c r="L33" s="1" t="str">
        <f ca="1">_xll.OBJECT.VOLATILITY.SURFACE.SWAPTION.HELPER(A33,D33,E33,F33,G33,H33,I33,J33,K33,,,,)</f>
        <v>swaption_6Y_6Y#0011</v>
      </c>
    </row>
    <row r="34" spans="1:12" x14ac:dyDescent="0.3">
      <c r="A34" s="1" t="str">
        <f t="shared" si="0"/>
        <v>swaption_7Y_7Y</v>
      </c>
      <c r="B34" s="1" t="s">
        <v>15</v>
      </c>
      <c r="C34" s="1" t="s">
        <v>12</v>
      </c>
      <c r="D34" s="2">
        <f ca="1">_xll.CALENDAR.GAP(pricingDate,B34,"USD Libor","Modified following",TRUE)</f>
        <v>43644</v>
      </c>
      <c r="E34" s="2">
        <f ca="1">_xll.CALENDAR.GAP(D34,C34,"USD Libor","Modified following",TRUE)</f>
        <v>45107</v>
      </c>
      <c r="F34" s="54">
        <v>22.35</v>
      </c>
      <c r="G34" s="1" t="s">
        <v>110</v>
      </c>
      <c r="H34" s="1" t="s">
        <v>2</v>
      </c>
      <c r="I34" s="1" t="s">
        <v>111</v>
      </c>
      <c r="J34" s="1" t="s">
        <v>112</v>
      </c>
      <c r="K34" s="1" t="s">
        <v>113</v>
      </c>
      <c r="L34" s="1" t="str">
        <f ca="1">_xll.OBJECT.VOLATILITY.SURFACE.SWAPTION.HELPER(A34,D34,E34,F34,G34,H34,I34,J34,K34,,,,)</f>
        <v>swaption_7Y_7Y#0011</v>
      </c>
    </row>
    <row r="35" spans="1:12" x14ac:dyDescent="0.3">
      <c r="A35" s="1" t="str">
        <f t="shared" si="0"/>
        <v>swaption_1M_1M</v>
      </c>
      <c r="B35" s="1" t="s">
        <v>8</v>
      </c>
      <c r="C35" s="1" t="s">
        <v>13</v>
      </c>
      <c r="D35" s="2">
        <f ca="1">_xll.CALENDAR.GAP(pricingDate,B35,"USD Libor","Modified following",TRUE)</f>
        <v>41120</v>
      </c>
      <c r="E35" s="2">
        <f ca="1">_xll.CALENDAR.GAP(D35,C35,"USD Libor","Modified following",TRUE)</f>
        <v>42947</v>
      </c>
      <c r="F35" s="54">
        <v>36.024999999999999</v>
      </c>
      <c r="G35" s="1" t="s">
        <v>110</v>
      </c>
      <c r="H35" s="1" t="s">
        <v>2</v>
      </c>
      <c r="I35" s="1" t="s">
        <v>111</v>
      </c>
      <c r="J35" s="1" t="s">
        <v>112</v>
      </c>
      <c r="K35" s="1" t="s">
        <v>113</v>
      </c>
      <c r="L35" s="1" t="str">
        <f ca="1">_xll.OBJECT.VOLATILITY.SURFACE.SWAPTION.HELPER(A35,D35,E35,F35,G35,H35,I35,J35,K35,,,,)</f>
        <v>swaption_1M_1M#0008</v>
      </c>
    </row>
    <row r="36" spans="1:12" x14ac:dyDescent="0.3">
      <c r="A36" s="1" t="str">
        <f t="shared" si="0"/>
        <v>swaption_3M_3M</v>
      </c>
      <c r="B36" s="1" t="s">
        <v>1</v>
      </c>
      <c r="C36" s="1" t="s">
        <v>13</v>
      </c>
      <c r="D36" s="2">
        <f ca="1">_xll.CALENDAR.GAP(pricingDate,B36,"USD Libor","Modified following",TRUE)</f>
        <v>41180</v>
      </c>
      <c r="E36" s="2">
        <f ca="1">_xll.CALENDAR.GAP(D36,C36,"USD Libor","Modified following",TRUE)</f>
        <v>43007</v>
      </c>
      <c r="F36" s="54">
        <v>35.6</v>
      </c>
      <c r="G36" s="1" t="s">
        <v>110</v>
      </c>
      <c r="H36" s="1" t="s">
        <v>2</v>
      </c>
      <c r="I36" s="1" t="s">
        <v>111</v>
      </c>
      <c r="J36" s="1" t="s">
        <v>112</v>
      </c>
      <c r="K36" s="1" t="s">
        <v>113</v>
      </c>
      <c r="L36" s="1" t="str">
        <f ca="1">_xll.OBJECT.VOLATILITY.SURFACE.SWAPTION.HELPER(A36,D36,E36,F36,G36,H36,I36,J36,K36,,,,)</f>
        <v>swaption_3M_3M#0008</v>
      </c>
    </row>
    <row r="37" spans="1:12" x14ac:dyDescent="0.3">
      <c r="A37" s="1" t="str">
        <f t="shared" si="0"/>
        <v>swaption_6M_6M</v>
      </c>
      <c r="B37" s="1" t="s">
        <v>2</v>
      </c>
      <c r="C37" s="1" t="s">
        <v>13</v>
      </c>
      <c r="D37" s="2">
        <f ca="1">_xll.CALENDAR.GAP(pricingDate,B37,"USD Libor","Modified following",TRUE)</f>
        <v>41271</v>
      </c>
      <c r="E37" s="2">
        <f ca="1">_xll.CALENDAR.GAP(D37,C37,"USD Libor","Modified following",TRUE)</f>
        <v>43097</v>
      </c>
      <c r="F37" s="54">
        <v>35.424999999999997</v>
      </c>
      <c r="G37" s="1" t="s">
        <v>110</v>
      </c>
      <c r="H37" s="1" t="s">
        <v>2</v>
      </c>
      <c r="I37" s="1" t="s">
        <v>111</v>
      </c>
      <c r="J37" s="1" t="s">
        <v>112</v>
      </c>
      <c r="K37" s="1" t="s">
        <v>113</v>
      </c>
      <c r="L37" s="1" t="str">
        <f ca="1">_xll.OBJECT.VOLATILITY.SURFACE.SWAPTION.HELPER(A37,D37,E37,F37,G37,H37,I37,J37,K37,,,,)</f>
        <v>swaption_6M_6M#0008</v>
      </c>
    </row>
    <row r="38" spans="1:12" x14ac:dyDescent="0.3">
      <c r="A38" s="1" t="str">
        <f t="shared" si="0"/>
        <v>swaption_1Y_1Y</v>
      </c>
      <c r="B38" s="1" t="s">
        <v>56</v>
      </c>
      <c r="C38" s="1" t="s">
        <v>13</v>
      </c>
      <c r="D38" s="2">
        <f ca="1">_xll.CALENDAR.GAP(pricingDate,B38,"USD Libor","Modified following",TRUE)</f>
        <v>41453</v>
      </c>
      <c r="E38" s="2">
        <f ca="1">_xll.CALENDAR.GAP(D38,C38,"USD Libor","Modified following",TRUE)</f>
        <v>43280</v>
      </c>
      <c r="F38" s="54">
        <v>34.25</v>
      </c>
      <c r="G38" s="1" t="s">
        <v>110</v>
      </c>
      <c r="H38" s="1" t="s">
        <v>2</v>
      </c>
      <c r="I38" s="1" t="s">
        <v>111</v>
      </c>
      <c r="J38" s="1" t="s">
        <v>112</v>
      </c>
      <c r="K38" s="1" t="s">
        <v>113</v>
      </c>
      <c r="L38" s="1" t="str">
        <f ca="1">_xll.OBJECT.VOLATILITY.SURFACE.SWAPTION.HELPER(A38,D38,E38,F38,G38,H38,I38,J38,K38,,,,)</f>
        <v>swaption_1Y_1Y#0008</v>
      </c>
    </row>
    <row r="39" spans="1:12" x14ac:dyDescent="0.3">
      <c r="A39" s="1" t="str">
        <f t="shared" si="0"/>
        <v>swaption_2Y_2Y</v>
      </c>
      <c r="B39" s="1" t="s">
        <v>10</v>
      </c>
      <c r="C39" s="1" t="s">
        <v>13</v>
      </c>
      <c r="D39" s="2">
        <f ca="1">_xll.CALENDAR.GAP(pricingDate,B39,"USD Libor","Modified following",TRUE)</f>
        <v>41820</v>
      </c>
      <c r="E39" s="2">
        <f ca="1">_xll.CALENDAR.GAP(D39,C39,"USD Libor","Modified following",TRUE)</f>
        <v>43644</v>
      </c>
      <c r="F39" s="54">
        <v>29.85</v>
      </c>
      <c r="G39" s="1" t="s">
        <v>110</v>
      </c>
      <c r="H39" s="1" t="s">
        <v>2</v>
      </c>
      <c r="I39" s="1" t="s">
        <v>111</v>
      </c>
      <c r="J39" s="1" t="s">
        <v>112</v>
      </c>
      <c r="K39" s="1" t="s">
        <v>113</v>
      </c>
      <c r="L39" s="1" t="str">
        <f ca="1">_xll.OBJECT.VOLATILITY.SURFACE.SWAPTION.HELPER(A39,D39,E39,F39,G39,H39,I39,J39,K39,,,,)</f>
        <v>swaption_2Y_2Y#0008</v>
      </c>
    </row>
    <row r="40" spans="1:12" x14ac:dyDescent="0.3">
      <c r="A40" s="1" t="str">
        <f t="shared" si="0"/>
        <v>swaption_3Y_3Y</v>
      </c>
      <c r="B40" s="1" t="s">
        <v>11</v>
      </c>
      <c r="C40" s="1" t="s">
        <v>13</v>
      </c>
      <c r="D40" s="2">
        <f ca="1">_xll.CALENDAR.GAP(pricingDate,B40,"USD Libor","Modified following",TRUE)</f>
        <v>42184</v>
      </c>
      <c r="E40" s="2">
        <f ca="1">_xll.CALENDAR.GAP(D40,C40,"USD Libor","Modified following",TRUE)</f>
        <v>44011</v>
      </c>
      <c r="F40" s="54">
        <v>26.9</v>
      </c>
      <c r="G40" s="1" t="s">
        <v>110</v>
      </c>
      <c r="H40" s="1" t="s">
        <v>2</v>
      </c>
      <c r="I40" s="1" t="s">
        <v>111</v>
      </c>
      <c r="J40" s="1" t="s">
        <v>112</v>
      </c>
      <c r="K40" s="1" t="s">
        <v>113</v>
      </c>
      <c r="L40" s="1" t="str">
        <f ca="1">_xll.OBJECT.VOLATILITY.SURFACE.SWAPTION.HELPER(A40,D40,E40,F40,G40,H40,I40,J40,K40,,,,)</f>
        <v>swaption_3Y_3Y#0008</v>
      </c>
    </row>
    <row r="41" spans="1:12" x14ac:dyDescent="0.3">
      <c r="A41" s="1" t="str">
        <f t="shared" si="0"/>
        <v>swaption_4Y_4Y</v>
      </c>
      <c r="B41" s="1" t="s">
        <v>12</v>
      </c>
      <c r="C41" s="1" t="s">
        <v>13</v>
      </c>
      <c r="D41" s="2">
        <f ca="1">_xll.CALENDAR.GAP(pricingDate,B41,"USD Libor","Modified following",TRUE)</f>
        <v>42549</v>
      </c>
      <c r="E41" s="2">
        <f ca="1">_xll.CALENDAR.GAP(D41,C41,"USD Libor","Modified following",TRUE)</f>
        <v>44375</v>
      </c>
      <c r="F41" s="54">
        <v>24.925000000000001</v>
      </c>
      <c r="G41" s="1" t="s">
        <v>110</v>
      </c>
      <c r="H41" s="1" t="s">
        <v>2</v>
      </c>
      <c r="I41" s="1" t="s">
        <v>111</v>
      </c>
      <c r="J41" s="1" t="s">
        <v>112</v>
      </c>
      <c r="K41" s="1" t="s">
        <v>113</v>
      </c>
      <c r="L41" s="1" t="str">
        <f ca="1">_xll.OBJECT.VOLATILITY.SURFACE.SWAPTION.HELPER(A41,D41,E41,F41,G41,H41,I41,J41,K41,,,,)</f>
        <v>swaption_4Y_4Y#0008</v>
      </c>
    </row>
    <row r="42" spans="1:12" x14ac:dyDescent="0.3">
      <c r="A42" s="1" t="str">
        <f t="shared" si="0"/>
        <v>swaption_5Y_5Y</v>
      </c>
      <c r="B42" s="1" t="s">
        <v>13</v>
      </c>
      <c r="C42" s="1" t="s">
        <v>13</v>
      </c>
      <c r="D42" s="2">
        <f ca="1">_xll.CALENDAR.GAP(pricingDate,B42,"USD Libor","Modified following",TRUE)</f>
        <v>42914</v>
      </c>
      <c r="E42" s="2">
        <f ca="1">_xll.CALENDAR.GAP(D42,C42,"USD Libor","Modified following",TRUE)</f>
        <v>44740</v>
      </c>
      <c r="F42" s="54">
        <v>23.7</v>
      </c>
      <c r="G42" s="1" t="s">
        <v>110</v>
      </c>
      <c r="H42" s="1" t="s">
        <v>2</v>
      </c>
      <c r="I42" s="1" t="s">
        <v>111</v>
      </c>
      <c r="J42" s="1" t="s">
        <v>112</v>
      </c>
      <c r="K42" s="1" t="s">
        <v>113</v>
      </c>
      <c r="L42" s="1" t="str">
        <f ca="1">_xll.OBJECT.VOLATILITY.SURFACE.SWAPTION.HELPER(A42,D42,E42,F42,G42,H42,I42,J42,K42,,,,)</f>
        <v>swaption_5Y_5Y#0008</v>
      </c>
    </row>
    <row r="43" spans="1:12" x14ac:dyDescent="0.3">
      <c r="A43" s="1" t="str">
        <f t="shared" si="0"/>
        <v>swaption_6Y_6Y</v>
      </c>
      <c r="B43" s="1" t="s">
        <v>14</v>
      </c>
      <c r="C43" s="1" t="s">
        <v>13</v>
      </c>
      <c r="D43" s="2">
        <f ca="1">_xll.CALENDAR.GAP(pricingDate,B43,"USD Libor","Modified following",TRUE)</f>
        <v>43279</v>
      </c>
      <c r="E43" s="2">
        <f ca="1">_xll.CALENDAR.GAP(D43,C43,"USD Libor","Modified following",TRUE)</f>
        <v>45105</v>
      </c>
      <c r="F43" s="54">
        <v>22.75</v>
      </c>
      <c r="G43" s="1" t="s">
        <v>110</v>
      </c>
      <c r="H43" s="1" t="s">
        <v>2</v>
      </c>
      <c r="I43" s="1" t="s">
        <v>111</v>
      </c>
      <c r="J43" s="1" t="s">
        <v>112</v>
      </c>
      <c r="K43" s="1" t="s">
        <v>113</v>
      </c>
      <c r="L43" s="1" t="str">
        <f ca="1">_xll.OBJECT.VOLATILITY.SURFACE.SWAPTION.HELPER(A43,D43,E43,F43,G43,H43,I43,J43,K43,,,,)</f>
        <v>swaption_6Y_6Y#0008</v>
      </c>
    </row>
    <row r="44" spans="1:12" x14ac:dyDescent="0.3">
      <c r="A44" s="1" t="str">
        <f t="shared" si="0"/>
        <v>swaption_1M_1M</v>
      </c>
      <c r="B44" s="1" t="s">
        <v>8</v>
      </c>
      <c r="C44" s="1" t="s">
        <v>14</v>
      </c>
      <c r="D44" s="2">
        <f ca="1">_xll.CALENDAR.GAP(pricingDate,B44,"USD Libor","Modified following",TRUE)</f>
        <v>41120</v>
      </c>
      <c r="E44" s="2">
        <f ca="1">_xll.CALENDAR.GAP(D44,C44,"USD Libor","Modified following",TRUE)</f>
        <v>43311</v>
      </c>
      <c r="F44" s="54">
        <v>30.8</v>
      </c>
      <c r="G44" s="1" t="s">
        <v>110</v>
      </c>
      <c r="H44" s="1" t="s">
        <v>2</v>
      </c>
      <c r="I44" s="1" t="s">
        <v>111</v>
      </c>
      <c r="J44" s="1" t="s">
        <v>112</v>
      </c>
      <c r="K44" s="1" t="s">
        <v>113</v>
      </c>
      <c r="L44" s="1" t="str">
        <f ca="1">_xll.OBJECT.VOLATILITY.SURFACE.SWAPTION.HELPER(A44,D44,E44,F44,G44,H44,I44,J44,K44,,,,)</f>
        <v>swaption_1M_1M#0006</v>
      </c>
    </row>
    <row r="45" spans="1:12" x14ac:dyDescent="0.3">
      <c r="A45" s="1" t="str">
        <f t="shared" si="0"/>
        <v>swaption_3M_3M</v>
      </c>
      <c r="B45" s="1" t="s">
        <v>1</v>
      </c>
      <c r="C45" s="1" t="s">
        <v>14</v>
      </c>
      <c r="D45" s="2">
        <f ca="1">_xll.CALENDAR.GAP(pricingDate,B45,"USD Libor","Modified following",TRUE)</f>
        <v>41180</v>
      </c>
      <c r="E45" s="2">
        <f ca="1">_xll.CALENDAR.GAP(D45,C45,"USD Libor","Modified following",TRUE)</f>
        <v>43371</v>
      </c>
      <c r="F45" s="54">
        <v>30.7</v>
      </c>
      <c r="G45" s="1" t="s">
        <v>110</v>
      </c>
      <c r="H45" s="1" t="s">
        <v>2</v>
      </c>
      <c r="I45" s="1" t="s">
        <v>111</v>
      </c>
      <c r="J45" s="1" t="s">
        <v>112</v>
      </c>
      <c r="K45" s="1" t="s">
        <v>113</v>
      </c>
      <c r="L45" s="1" t="str">
        <f ca="1">_xll.OBJECT.VOLATILITY.SURFACE.SWAPTION.HELPER(A45,D45,E45,F45,G45,H45,I45,J45,K45,,,,)</f>
        <v>swaption_3M_3M#0006</v>
      </c>
    </row>
    <row r="46" spans="1:12" x14ac:dyDescent="0.3">
      <c r="A46" s="1" t="str">
        <f t="shared" si="0"/>
        <v>swaption_1Y_1Y</v>
      </c>
      <c r="B46" s="1" t="s">
        <v>56</v>
      </c>
      <c r="C46" s="1" t="s">
        <v>14</v>
      </c>
      <c r="D46" s="2">
        <f ca="1">_xll.CALENDAR.GAP(pricingDate,B46,"USD Libor","Modified following",TRUE)</f>
        <v>41453</v>
      </c>
      <c r="E46" s="2">
        <f ca="1">_xll.CALENDAR.GAP(D46,C46,"USD Libor","Modified following",TRUE)</f>
        <v>43644</v>
      </c>
      <c r="F46" s="54">
        <v>30.75</v>
      </c>
      <c r="G46" s="1" t="s">
        <v>110</v>
      </c>
      <c r="H46" s="1" t="s">
        <v>2</v>
      </c>
      <c r="I46" s="1" t="s">
        <v>111</v>
      </c>
      <c r="J46" s="1" t="s">
        <v>112</v>
      </c>
      <c r="K46" s="1" t="s">
        <v>113</v>
      </c>
      <c r="L46" s="1" t="str">
        <f ca="1">_xll.OBJECT.VOLATILITY.SURFACE.SWAPTION.HELPER(A46,D46,E46,F46,G46,H46,I46,J46,K46,,,,)</f>
        <v>swaption_1Y_1Y#0006</v>
      </c>
    </row>
    <row r="47" spans="1:12" x14ac:dyDescent="0.3">
      <c r="A47" s="1" t="str">
        <f t="shared" si="0"/>
        <v>swaption_2Y_2Y</v>
      </c>
      <c r="B47" s="1" t="s">
        <v>10</v>
      </c>
      <c r="C47" s="1" t="s">
        <v>14</v>
      </c>
      <c r="D47" s="2">
        <f ca="1">_xll.CALENDAR.GAP(pricingDate,B47,"USD Libor","Modified following",TRUE)</f>
        <v>41820</v>
      </c>
      <c r="E47" s="2">
        <f ca="1">_xll.CALENDAR.GAP(D47,C47,"USD Libor","Modified following",TRUE)</f>
        <v>44012</v>
      </c>
      <c r="F47" s="54">
        <v>27.85</v>
      </c>
      <c r="G47" s="1" t="s">
        <v>110</v>
      </c>
      <c r="H47" s="1" t="s">
        <v>2</v>
      </c>
      <c r="I47" s="1" t="s">
        <v>111</v>
      </c>
      <c r="J47" s="1" t="s">
        <v>112</v>
      </c>
      <c r="K47" s="1" t="s">
        <v>113</v>
      </c>
      <c r="L47" s="1" t="str">
        <f ca="1">_xll.OBJECT.VOLATILITY.SURFACE.SWAPTION.HELPER(A47,D47,E47,F47,G47,H47,I47,J47,K47,,,,)</f>
        <v>swaption_2Y_2Y#0006</v>
      </c>
    </row>
    <row r="48" spans="1:12" x14ac:dyDescent="0.3">
      <c r="A48" s="1" t="str">
        <f t="shared" si="0"/>
        <v>swaption_3Y_3Y</v>
      </c>
      <c r="B48" s="1" t="s">
        <v>11</v>
      </c>
      <c r="C48" s="1" t="s">
        <v>14</v>
      </c>
      <c r="D48" s="2">
        <f ca="1">_xll.CALENDAR.GAP(pricingDate,B48,"USD Libor","Modified following",TRUE)</f>
        <v>42184</v>
      </c>
      <c r="E48" s="2">
        <f ca="1">_xll.CALENDAR.GAP(D48,C48,"USD Libor","Modified following",TRUE)</f>
        <v>44376</v>
      </c>
      <c r="F48" s="54">
        <v>25.774999999999999</v>
      </c>
      <c r="G48" s="1" t="s">
        <v>110</v>
      </c>
      <c r="H48" s="1" t="s">
        <v>2</v>
      </c>
      <c r="I48" s="1" t="s">
        <v>111</v>
      </c>
      <c r="J48" s="1" t="s">
        <v>112</v>
      </c>
      <c r="K48" s="1" t="s">
        <v>113</v>
      </c>
      <c r="L48" s="1" t="str">
        <f ca="1">_xll.OBJECT.VOLATILITY.SURFACE.SWAPTION.HELPER(A48,D48,E48,F48,G48,H48,I48,J48,K48,,,,)</f>
        <v>swaption_3Y_3Y#0006</v>
      </c>
    </row>
    <row r="49" spans="1:12" x14ac:dyDescent="0.3">
      <c r="A49" s="1" t="str">
        <f t="shared" si="0"/>
        <v>swaption_4Y_4Y</v>
      </c>
      <c r="B49" s="1" t="s">
        <v>12</v>
      </c>
      <c r="C49" s="1" t="s">
        <v>14</v>
      </c>
      <c r="D49" s="2">
        <f ca="1">_xll.CALENDAR.GAP(pricingDate,B49,"USD Libor","Modified following",TRUE)</f>
        <v>42549</v>
      </c>
      <c r="E49" s="2">
        <f ca="1">_xll.CALENDAR.GAP(D49,C49,"USD Libor","Modified following",TRUE)</f>
        <v>44740</v>
      </c>
      <c r="F49" s="54">
        <v>24.125</v>
      </c>
      <c r="G49" s="1" t="s">
        <v>110</v>
      </c>
      <c r="H49" s="1" t="s">
        <v>2</v>
      </c>
      <c r="I49" s="1" t="s">
        <v>111</v>
      </c>
      <c r="J49" s="1" t="s">
        <v>112</v>
      </c>
      <c r="K49" s="1" t="s">
        <v>113</v>
      </c>
      <c r="L49" s="1" t="str">
        <f ca="1">_xll.OBJECT.VOLATILITY.SURFACE.SWAPTION.HELPER(A49,D49,E49,F49,G49,H49,I49,J49,K49,,,,)</f>
        <v>swaption_4Y_4Y#0006</v>
      </c>
    </row>
    <row r="50" spans="1:12" x14ac:dyDescent="0.3">
      <c r="A50" s="1" t="str">
        <f t="shared" si="0"/>
        <v>swaption_5Y_5Y</v>
      </c>
      <c r="B50" s="1" t="s">
        <v>13</v>
      </c>
      <c r="C50" s="1" t="s">
        <v>14</v>
      </c>
      <c r="D50" s="2">
        <f ca="1">_xll.CALENDAR.GAP(pricingDate,B50,"USD Libor","Modified following",TRUE)</f>
        <v>42914</v>
      </c>
      <c r="E50" s="2">
        <f ca="1">_xll.CALENDAR.GAP(D50,C50,"USD Libor","Modified following",TRUE)</f>
        <v>45105</v>
      </c>
      <c r="F50" s="54">
        <v>23.1</v>
      </c>
      <c r="G50" s="1" t="s">
        <v>110</v>
      </c>
      <c r="H50" s="1" t="s">
        <v>2</v>
      </c>
      <c r="I50" s="1" t="s">
        <v>111</v>
      </c>
      <c r="J50" s="1" t="s">
        <v>112</v>
      </c>
      <c r="K50" s="1" t="s">
        <v>113</v>
      </c>
      <c r="L50" s="1" t="str">
        <f ca="1">_xll.OBJECT.VOLATILITY.SURFACE.SWAPTION.HELPER(A50,D50,E50,F50,G50,H50,I50,J50,K50,,,,)</f>
        <v>swaption_5Y_5Y#0006</v>
      </c>
    </row>
    <row r="51" spans="1:12" x14ac:dyDescent="0.3">
      <c r="A51" s="1" t="str">
        <f t="shared" si="0"/>
        <v>swaption_1M_1M</v>
      </c>
      <c r="B51" s="1" t="s">
        <v>8</v>
      </c>
      <c r="C51" s="1" t="s">
        <v>15</v>
      </c>
      <c r="D51" s="2">
        <f ca="1">_xll.CALENDAR.GAP(pricingDate,B51,"USD Libor","Modified following",TRUE)</f>
        <v>41120</v>
      </c>
      <c r="E51" s="2">
        <f ca="1">_xll.CALENDAR.GAP(D51,C51,"USD Libor","Modified following",TRUE)</f>
        <v>43676</v>
      </c>
      <c r="F51" s="54">
        <v>27.6</v>
      </c>
      <c r="G51" s="1" t="s">
        <v>110</v>
      </c>
      <c r="H51" s="1" t="s">
        <v>2</v>
      </c>
      <c r="I51" s="1" t="s">
        <v>111</v>
      </c>
      <c r="J51" s="1" t="s">
        <v>112</v>
      </c>
      <c r="K51" s="1" t="s">
        <v>113</v>
      </c>
      <c r="L51" s="1" t="str">
        <f ca="1">_xll.OBJECT.VOLATILITY.SURFACE.SWAPTION.HELPER(A51,D51,E51,F51,G51,H51,I51,J51,K51,,,,)</f>
        <v>swaption_1M_1M#0004</v>
      </c>
    </row>
    <row r="52" spans="1:12" x14ac:dyDescent="0.3">
      <c r="A52" s="1" t="str">
        <f t="shared" si="0"/>
        <v>swaption_3M_3M</v>
      </c>
      <c r="B52" s="1" t="s">
        <v>1</v>
      </c>
      <c r="C52" s="1" t="s">
        <v>15</v>
      </c>
      <c r="D52" s="2">
        <f ca="1">_xll.CALENDAR.GAP(pricingDate,B52,"USD Libor","Modified following",TRUE)</f>
        <v>41180</v>
      </c>
      <c r="E52" s="2">
        <f ca="1">_xll.CALENDAR.GAP(D52,C52,"USD Libor","Modified following",TRUE)</f>
        <v>43738</v>
      </c>
      <c r="F52" s="54">
        <v>27.75</v>
      </c>
      <c r="G52" s="1" t="s">
        <v>110</v>
      </c>
      <c r="H52" s="1" t="s">
        <v>2</v>
      </c>
      <c r="I52" s="1" t="s">
        <v>111</v>
      </c>
      <c r="J52" s="1" t="s">
        <v>112</v>
      </c>
      <c r="K52" s="1" t="s">
        <v>113</v>
      </c>
      <c r="L52" s="1" t="str">
        <f ca="1">_xll.OBJECT.VOLATILITY.SURFACE.SWAPTION.HELPER(A52,D52,E52,F52,G52,H52,I52,J52,K52,,,,)</f>
        <v>swaption_3M_3M#0004</v>
      </c>
    </row>
    <row r="53" spans="1:12" x14ac:dyDescent="0.3">
      <c r="A53" s="1" t="str">
        <f t="shared" si="0"/>
        <v>swaption_6M_6M</v>
      </c>
      <c r="B53" s="1" t="s">
        <v>2</v>
      </c>
      <c r="C53" s="1" t="s">
        <v>15</v>
      </c>
      <c r="D53" s="2">
        <f ca="1">_xll.CALENDAR.GAP(pricingDate,B53,"USD Libor","Modified following",TRUE)</f>
        <v>41271</v>
      </c>
      <c r="E53" s="2">
        <f ca="1">_xll.CALENDAR.GAP(D53,C53,"USD Libor","Modified following",TRUE)</f>
        <v>43829</v>
      </c>
      <c r="F53" s="54">
        <v>28.35</v>
      </c>
      <c r="G53" s="1" t="s">
        <v>110</v>
      </c>
      <c r="H53" s="1" t="s">
        <v>2</v>
      </c>
      <c r="I53" s="1" t="s">
        <v>111</v>
      </c>
      <c r="J53" s="1" t="s">
        <v>112</v>
      </c>
      <c r="K53" s="1" t="s">
        <v>113</v>
      </c>
      <c r="L53" s="1" t="str">
        <f ca="1">_xll.OBJECT.VOLATILITY.SURFACE.SWAPTION.HELPER(A53,D53,E53,F53,G53,H53,I53,J53,K53,,,,)</f>
        <v>swaption_6M_6M#0004</v>
      </c>
    </row>
    <row r="54" spans="1:12" x14ac:dyDescent="0.3">
      <c r="A54" s="1" t="str">
        <f t="shared" si="0"/>
        <v>swaption_1Y_1Y</v>
      </c>
      <c r="B54" s="1" t="s">
        <v>56</v>
      </c>
      <c r="C54" s="1" t="s">
        <v>15</v>
      </c>
      <c r="D54" s="2">
        <f ca="1">_xll.CALENDAR.GAP(pricingDate,B54,"USD Libor","Modified following",TRUE)</f>
        <v>41453</v>
      </c>
      <c r="E54" s="2">
        <f ca="1">_xll.CALENDAR.GAP(D54,C54,"USD Libor","Modified following",TRUE)</f>
        <v>44012</v>
      </c>
      <c r="F54" s="54">
        <v>28.2</v>
      </c>
      <c r="G54" s="1" t="s">
        <v>110</v>
      </c>
      <c r="H54" s="1" t="s">
        <v>2</v>
      </c>
      <c r="I54" s="1" t="s">
        <v>111</v>
      </c>
      <c r="J54" s="1" t="s">
        <v>112</v>
      </c>
      <c r="K54" s="1" t="s">
        <v>113</v>
      </c>
      <c r="L54" s="1" t="str">
        <f ca="1">_xll.OBJECT.VOLATILITY.SURFACE.SWAPTION.HELPER(A54,D54,E54,F54,G54,H54,I54,J54,K54,,,,)</f>
        <v>swaption_1Y_1Y#0004</v>
      </c>
    </row>
    <row r="55" spans="1:12" x14ac:dyDescent="0.3">
      <c r="A55" s="1" t="str">
        <f t="shared" si="0"/>
        <v>swaption_2Y_2Y</v>
      </c>
      <c r="B55" s="1" t="s">
        <v>10</v>
      </c>
      <c r="C55" s="1" t="s">
        <v>15</v>
      </c>
      <c r="D55" s="2">
        <f ca="1">_xll.CALENDAR.GAP(pricingDate,B55,"USD Libor","Modified following",TRUE)</f>
        <v>41820</v>
      </c>
      <c r="E55" s="2">
        <f ca="1">_xll.CALENDAR.GAP(D55,C55,"USD Libor","Modified following",TRUE)</f>
        <v>44377</v>
      </c>
      <c r="F55" s="54">
        <v>26.4</v>
      </c>
      <c r="G55" s="1" t="s">
        <v>110</v>
      </c>
      <c r="H55" s="1" t="s">
        <v>2</v>
      </c>
      <c r="I55" s="1" t="s">
        <v>111</v>
      </c>
      <c r="J55" s="1" t="s">
        <v>112</v>
      </c>
      <c r="K55" s="1" t="s">
        <v>113</v>
      </c>
      <c r="L55" s="1" t="str">
        <f ca="1">_xll.OBJECT.VOLATILITY.SURFACE.SWAPTION.HELPER(A55,D55,E55,F55,G55,H55,I55,J55,K55,,,,)</f>
        <v>swaption_2Y_2Y#0004</v>
      </c>
    </row>
    <row r="56" spans="1:12" x14ac:dyDescent="0.3">
      <c r="A56" s="1" t="str">
        <f t="shared" si="0"/>
        <v>swaption_3Y_3Y</v>
      </c>
      <c r="B56" s="1" t="s">
        <v>11</v>
      </c>
      <c r="C56" s="1" t="s">
        <v>15</v>
      </c>
      <c r="D56" s="2">
        <f ca="1">_xll.CALENDAR.GAP(pricingDate,B56,"USD Libor","Modified following",TRUE)</f>
        <v>42184</v>
      </c>
      <c r="E56" s="2">
        <f ca="1">_xll.CALENDAR.GAP(D56,C56,"USD Libor","Modified following",TRUE)</f>
        <v>44741</v>
      </c>
      <c r="F56" s="54">
        <v>24.75</v>
      </c>
      <c r="G56" s="1" t="s">
        <v>110</v>
      </c>
      <c r="H56" s="1" t="s">
        <v>2</v>
      </c>
      <c r="I56" s="1" t="s">
        <v>111</v>
      </c>
      <c r="J56" s="1" t="s">
        <v>112</v>
      </c>
      <c r="K56" s="1" t="s">
        <v>113</v>
      </c>
      <c r="L56" s="1" t="str">
        <f ca="1">_xll.OBJECT.VOLATILITY.SURFACE.SWAPTION.HELPER(A56,D56,E56,F56,G56,H56,I56,J56,K56,,,,)</f>
        <v>swaption_3Y_3Y#0004</v>
      </c>
    </row>
    <row r="57" spans="1:12" x14ac:dyDescent="0.3">
      <c r="A57" s="1" t="str">
        <f t="shared" si="0"/>
        <v>swaption_4Y_4Y</v>
      </c>
      <c r="B57" s="1" t="s">
        <v>12</v>
      </c>
      <c r="C57" s="1" t="s">
        <v>16</v>
      </c>
      <c r="D57" s="2">
        <f ca="1">_xll.CALENDAR.GAP(pricingDate,B57,"USD Libor","Modified following",TRUE)</f>
        <v>42549</v>
      </c>
      <c r="E57" s="2">
        <f ca="1">_xll.CALENDAR.GAP(D57,C57,"USD Libor","Modified following",TRUE)</f>
        <v>45471</v>
      </c>
      <c r="F57" s="54">
        <v>23.4</v>
      </c>
      <c r="G57" s="1" t="s">
        <v>110</v>
      </c>
      <c r="H57" s="1" t="s">
        <v>2</v>
      </c>
      <c r="I57" s="1" t="s">
        <v>111</v>
      </c>
      <c r="J57" s="1" t="s">
        <v>112</v>
      </c>
      <c r="K57" s="1" t="s">
        <v>113</v>
      </c>
      <c r="L57" s="1" t="str">
        <f ca="1">_xll.OBJECT.VOLATILITY.SURFACE.SWAPTION.HELPER(A57,D57,E57,F57,G57,H57,I57,J57,K57,,,,)</f>
        <v>swaption_4Y_4Y#0004</v>
      </c>
    </row>
    <row r="58" spans="1:12" x14ac:dyDescent="0.3">
      <c r="A58" s="1" t="str">
        <f t="shared" si="0"/>
        <v>swaption_1M_1M</v>
      </c>
      <c r="B58" s="1" t="s">
        <v>8</v>
      </c>
      <c r="C58" s="1" t="s">
        <v>16</v>
      </c>
      <c r="D58" s="2">
        <f ca="1">_xll.CALENDAR.GAP(pricingDate,B58,"USD Libor","Modified following",TRUE)</f>
        <v>41120</v>
      </c>
      <c r="E58" s="2">
        <f ca="1">_xll.CALENDAR.GAP(D58,C58,"USD Libor","Modified following",TRUE)</f>
        <v>44042</v>
      </c>
      <c r="F58" s="54">
        <v>25.25</v>
      </c>
      <c r="G58" s="1" t="s">
        <v>110</v>
      </c>
      <c r="H58" s="1" t="s">
        <v>2</v>
      </c>
      <c r="I58" s="1" t="s">
        <v>111</v>
      </c>
      <c r="J58" s="1" t="s">
        <v>112</v>
      </c>
      <c r="K58" s="1" t="s">
        <v>113</v>
      </c>
      <c r="L58" s="1" t="str">
        <f ca="1">_xll.OBJECT.VOLATILITY.SURFACE.SWAPTION.HELPER(A58,D58,E58,F58,G58,H58,I58,J58,K58,,,,)</f>
        <v>swaption_1M_1M#0002</v>
      </c>
    </row>
    <row r="59" spans="1:12" x14ac:dyDescent="0.3">
      <c r="A59" s="1" t="str">
        <f t="shared" si="0"/>
        <v>swaption_3M_3M</v>
      </c>
      <c r="B59" s="1" t="s">
        <v>1</v>
      </c>
      <c r="C59" s="1" t="s">
        <v>16</v>
      </c>
      <c r="D59" s="2">
        <f ca="1">_xll.CALENDAR.GAP(pricingDate,B59,"USD Libor","Modified following",TRUE)</f>
        <v>41180</v>
      </c>
      <c r="E59" s="2">
        <f ca="1">_xll.CALENDAR.GAP(D59,C59,"USD Libor","Modified following",TRUE)</f>
        <v>44104</v>
      </c>
      <c r="F59" s="54">
        <v>25.45</v>
      </c>
      <c r="G59" s="1" t="s">
        <v>110</v>
      </c>
      <c r="H59" s="1" t="s">
        <v>2</v>
      </c>
      <c r="I59" s="1" t="s">
        <v>111</v>
      </c>
      <c r="J59" s="1" t="s">
        <v>112</v>
      </c>
      <c r="K59" s="1" t="s">
        <v>113</v>
      </c>
      <c r="L59" s="1" t="str">
        <f ca="1">_xll.OBJECT.VOLATILITY.SURFACE.SWAPTION.HELPER(A59,D59,E59,F59,G59,H59,I59,J59,K59,,,,)</f>
        <v>swaption_3M_3M#0002</v>
      </c>
    </row>
    <row r="60" spans="1:12" x14ac:dyDescent="0.3">
      <c r="A60" s="1" t="str">
        <f t="shared" si="0"/>
        <v>swaption_6M_6M</v>
      </c>
      <c r="B60" s="1" t="s">
        <v>2</v>
      </c>
      <c r="C60" s="1" t="s">
        <v>16</v>
      </c>
      <c r="D60" s="2">
        <f ca="1">_xll.CALENDAR.GAP(pricingDate,B60,"USD Libor","Modified following",TRUE)</f>
        <v>41271</v>
      </c>
      <c r="E60" s="2">
        <f ca="1">_xll.CALENDAR.GAP(D60,C60,"USD Libor","Modified following",TRUE)</f>
        <v>44194</v>
      </c>
      <c r="F60" s="54">
        <v>26</v>
      </c>
      <c r="G60" s="1" t="s">
        <v>110</v>
      </c>
      <c r="H60" s="1" t="s">
        <v>2</v>
      </c>
      <c r="I60" s="1" t="s">
        <v>111</v>
      </c>
      <c r="J60" s="1" t="s">
        <v>112</v>
      </c>
      <c r="K60" s="1" t="s">
        <v>113</v>
      </c>
      <c r="L60" s="1" t="str">
        <f ca="1">_xll.OBJECT.VOLATILITY.SURFACE.SWAPTION.HELPER(A60,D60,E60,F60,G60,H60,I60,J60,K60,,,,)</f>
        <v>swaption_6M_6M#0002</v>
      </c>
    </row>
    <row r="61" spans="1:12" x14ac:dyDescent="0.3">
      <c r="A61" s="1" t="str">
        <f t="shared" si="0"/>
        <v>swaption_1Y_1Y</v>
      </c>
      <c r="B61" s="1" t="s">
        <v>56</v>
      </c>
      <c r="C61" s="1" t="s">
        <v>16</v>
      </c>
      <c r="D61" s="2">
        <f ca="1">_xll.CALENDAR.GAP(pricingDate,B61,"USD Libor","Modified following",TRUE)</f>
        <v>41453</v>
      </c>
      <c r="E61" s="2">
        <f ca="1">_xll.CALENDAR.GAP(D61,C61,"USD Libor","Modified following",TRUE)</f>
        <v>44377</v>
      </c>
      <c r="F61" s="54">
        <v>26.25</v>
      </c>
      <c r="G61" s="1" t="s">
        <v>110</v>
      </c>
      <c r="H61" s="1" t="s">
        <v>2</v>
      </c>
      <c r="I61" s="1" t="s">
        <v>111</v>
      </c>
      <c r="J61" s="1" t="s">
        <v>112</v>
      </c>
      <c r="K61" s="1" t="s">
        <v>113</v>
      </c>
      <c r="L61" s="1" t="str">
        <f ca="1">_xll.OBJECT.VOLATILITY.SURFACE.SWAPTION.HELPER(A61,D61,E61,F61,G61,H61,I61,J61,K61,,,,)</f>
        <v>swaption_1Y_1Y#0002</v>
      </c>
    </row>
    <row r="62" spans="1:12" x14ac:dyDescent="0.3">
      <c r="A62" s="1" t="str">
        <f t="shared" si="0"/>
        <v>swaption_2Y_2Y</v>
      </c>
      <c r="B62" s="1" t="s">
        <v>10</v>
      </c>
      <c r="C62" s="1" t="s">
        <v>16</v>
      </c>
      <c r="D62" s="2">
        <f ca="1">_xll.CALENDAR.GAP(pricingDate,B62,"USD Libor","Modified following",TRUE)</f>
        <v>41820</v>
      </c>
      <c r="E62" s="2">
        <f ca="1">_xll.CALENDAR.GAP(D62,C62,"USD Libor","Modified following",TRUE)</f>
        <v>44742</v>
      </c>
      <c r="F62" s="54">
        <v>25.225000000000001</v>
      </c>
      <c r="G62" s="1" t="s">
        <v>110</v>
      </c>
      <c r="H62" s="1" t="s">
        <v>2</v>
      </c>
      <c r="I62" s="1" t="s">
        <v>111</v>
      </c>
      <c r="J62" s="1" t="s">
        <v>112</v>
      </c>
      <c r="K62" s="1" t="s">
        <v>113</v>
      </c>
      <c r="L62" s="1" t="str">
        <f ca="1">_xll.OBJECT.VOLATILITY.SURFACE.SWAPTION.HELPER(A62,D62,E62,F62,G62,H62,I62,J62,K62,,,,)</f>
        <v>swaption_2Y_2Y#0002</v>
      </c>
    </row>
    <row r="63" spans="1:12" x14ac:dyDescent="0.3">
      <c r="A63" s="1" t="str">
        <f t="shared" si="0"/>
        <v>swaption_3Y_3Y</v>
      </c>
      <c r="B63" s="1" t="s">
        <v>11</v>
      </c>
      <c r="C63" s="1" t="s">
        <v>16</v>
      </c>
      <c r="D63" s="2">
        <f ca="1">_xll.CALENDAR.GAP(pricingDate,B63,"USD Libor","Modified following",TRUE)</f>
        <v>42184</v>
      </c>
      <c r="E63" s="2">
        <f ca="1">_xll.CALENDAR.GAP(D63,C63,"USD Libor","Modified following",TRUE)</f>
        <v>45106</v>
      </c>
      <c r="F63" s="54">
        <v>23.875</v>
      </c>
      <c r="G63" s="1" t="s">
        <v>110</v>
      </c>
      <c r="H63" s="1" t="s">
        <v>2</v>
      </c>
      <c r="I63" s="1" t="s">
        <v>111</v>
      </c>
      <c r="J63" s="1" t="s">
        <v>112</v>
      </c>
      <c r="K63" s="1" t="s">
        <v>113</v>
      </c>
      <c r="L63" s="1" t="str">
        <f ca="1">_xll.OBJECT.VOLATILITY.SURFACE.SWAPTION.HELPER(A63,D63,E63,F63,G63,H63,I63,J63,K63,,,,)</f>
        <v>swaption_3Y_3Y#0002</v>
      </c>
    </row>
    <row r="64" spans="1:12" x14ac:dyDescent="0.3">
      <c r="A64" s="1" t="str">
        <f t="shared" si="0"/>
        <v>swaption_1M_1M</v>
      </c>
      <c r="B64" s="1" t="s">
        <v>8</v>
      </c>
      <c r="C64" s="1" t="s">
        <v>17</v>
      </c>
      <c r="D64" s="2">
        <f ca="1">_xll.CALENDAR.GAP(pricingDate,B64,"USD Libor","Modified following",TRUE)</f>
        <v>41120</v>
      </c>
      <c r="E64" s="2">
        <f ca="1">_xll.CALENDAR.GAP(D64,C64,"USD Libor","Modified following",TRUE)</f>
        <v>44407</v>
      </c>
      <c r="F64" s="54">
        <v>23.574999999999999</v>
      </c>
      <c r="G64" s="1" t="s">
        <v>110</v>
      </c>
      <c r="H64" s="1" t="s">
        <v>2</v>
      </c>
      <c r="I64" s="1" t="s">
        <v>111</v>
      </c>
      <c r="J64" s="1" t="s">
        <v>112</v>
      </c>
      <c r="K64" s="1" t="s">
        <v>113</v>
      </c>
      <c r="L64" s="1" t="str">
        <f ca="1">_xll.OBJECT.VOLATILITY.SURFACE.SWAPTION.HELPER(A64,D64,E64,F64,G64,H64,I64,J64,K64,,,,)</f>
        <v>swaption_1M_1M#0001</v>
      </c>
    </row>
    <row r="65" spans="1:12" x14ac:dyDescent="0.3">
      <c r="A65" s="1" t="str">
        <f t="shared" si="0"/>
        <v>swaption_3M_3M</v>
      </c>
      <c r="B65" s="1" t="s">
        <v>1</v>
      </c>
      <c r="C65" s="1" t="s">
        <v>17</v>
      </c>
      <c r="D65" s="2">
        <f ca="1">_xll.CALENDAR.GAP(pricingDate,B65,"USD Libor","Modified following",TRUE)</f>
        <v>41180</v>
      </c>
      <c r="E65" s="2">
        <f ca="1">_xll.CALENDAR.GAP(D65,C65,"USD Libor","Modified following",TRUE)</f>
        <v>44469</v>
      </c>
      <c r="F65" s="54">
        <v>23.574999999999999</v>
      </c>
      <c r="G65" s="1" t="s">
        <v>110</v>
      </c>
      <c r="H65" s="1" t="s">
        <v>2</v>
      </c>
      <c r="I65" s="1" t="s">
        <v>111</v>
      </c>
      <c r="J65" s="1" t="s">
        <v>112</v>
      </c>
      <c r="K65" s="1" t="s">
        <v>113</v>
      </c>
      <c r="L65" s="1" t="str">
        <f ca="1">_xll.OBJECT.VOLATILITY.SURFACE.SWAPTION.HELPER(A65,D65,E65,F65,G65,H65,I65,J65,K65,,,,)</f>
        <v>swaption_3M_3M#0001</v>
      </c>
    </row>
    <row r="66" spans="1:12" x14ac:dyDescent="0.3">
      <c r="A66" s="1" t="str">
        <f t="shared" si="0"/>
        <v>swaption_6M_6M</v>
      </c>
      <c r="B66" s="1" t="s">
        <v>2</v>
      </c>
      <c r="C66" s="1" t="s">
        <v>17</v>
      </c>
      <c r="D66" s="2">
        <f ca="1">_xll.CALENDAR.GAP(pricingDate,B66,"USD Libor","Modified following",TRUE)</f>
        <v>41271</v>
      </c>
      <c r="E66" s="2">
        <f ca="1">_xll.CALENDAR.GAP(D66,C66,"USD Libor","Modified following",TRUE)</f>
        <v>44559</v>
      </c>
      <c r="F66" s="54">
        <v>24.6</v>
      </c>
      <c r="G66" s="1" t="s">
        <v>110</v>
      </c>
      <c r="H66" s="1" t="s">
        <v>2</v>
      </c>
      <c r="I66" s="1" t="s">
        <v>111</v>
      </c>
      <c r="J66" s="1" t="s">
        <v>112</v>
      </c>
      <c r="K66" s="1" t="s">
        <v>113</v>
      </c>
      <c r="L66" s="1" t="str">
        <f ca="1">_xll.OBJECT.VOLATILITY.SURFACE.SWAPTION.HELPER(A66,D66,E66,F66,G66,H66,I66,J66,K66,,,,)</f>
        <v>swaption_6M_6M#0001</v>
      </c>
    </row>
    <row r="67" spans="1:12" x14ac:dyDescent="0.3">
      <c r="A67" s="1" t="str">
        <f t="shared" ref="A67:A72" si="1">"swaption_" &amp; B67 &amp; "_" &amp; B67</f>
        <v>swaption_1Y_1Y</v>
      </c>
      <c r="B67" s="1" t="s">
        <v>56</v>
      </c>
      <c r="C67" s="1" t="s">
        <v>17</v>
      </c>
      <c r="D67" s="2">
        <f ca="1">_xll.CALENDAR.GAP(pricingDate,B67,"USD Libor","Modified following",TRUE)</f>
        <v>41453</v>
      </c>
      <c r="E67" s="2">
        <f ca="1">_xll.CALENDAR.GAP(D67,C67,"USD Libor","Modified following",TRUE)</f>
        <v>44742</v>
      </c>
      <c r="F67" s="54">
        <v>24.8</v>
      </c>
      <c r="G67" s="1" t="s">
        <v>110</v>
      </c>
      <c r="H67" s="1" t="s">
        <v>2</v>
      </c>
      <c r="I67" s="1" t="s">
        <v>111</v>
      </c>
      <c r="J67" s="1" t="s">
        <v>112</v>
      </c>
      <c r="K67" s="1" t="s">
        <v>113</v>
      </c>
      <c r="L67" s="1" t="str">
        <f ca="1">_xll.OBJECT.VOLATILITY.SURFACE.SWAPTION.HELPER(A67,D67,E67,F67,G67,H67,I67,J67,K67,,,,)</f>
        <v>swaption_1Y_1Y#0001</v>
      </c>
    </row>
    <row r="68" spans="1:12" x14ac:dyDescent="0.3">
      <c r="A68" s="1" t="str">
        <f t="shared" si="1"/>
        <v>swaption_2Y_2Y</v>
      </c>
      <c r="B68" s="1" t="s">
        <v>10</v>
      </c>
      <c r="C68" s="1" t="s">
        <v>17</v>
      </c>
      <c r="D68" s="2">
        <f ca="1">_xll.CALENDAR.GAP(pricingDate,B68,"USD Libor","Modified following",TRUE)</f>
        <v>41820</v>
      </c>
      <c r="E68" s="2">
        <f ca="1">_xll.CALENDAR.GAP(D68,C68,"USD Libor","Modified following",TRUE)</f>
        <v>45107</v>
      </c>
      <c r="F68" s="54">
        <v>24.15</v>
      </c>
      <c r="G68" s="1" t="s">
        <v>110</v>
      </c>
      <c r="H68" s="1" t="s">
        <v>2</v>
      </c>
      <c r="I68" s="1" t="s">
        <v>111</v>
      </c>
      <c r="J68" s="1" t="s">
        <v>112</v>
      </c>
      <c r="K68" s="1" t="s">
        <v>113</v>
      </c>
      <c r="L68" s="1" t="str">
        <f ca="1">_xll.OBJECT.VOLATILITY.SURFACE.SWAPTION.HELPER(A68,D68,E68,F68,G68,H68,I68,J68,K68,,,,)</f>
        <v>swaption_2Y_2Y#0001</v>
      </c>
    </row>
    <row r="69" spans="1:12" x14ac:dyDescent="0.3">
      <c r="A69" s="1" t="str">
        <f t="shared" si="1"/>
        <v>swaption_1M_1M</v>
      </c>
      <c r="B69" s="1" t="s">
        <v>8</v>
      </c>
      <c r="C69" s="1" t="s">
        <v>18</v>
      </c>
      <c r="D69" s="2">
        <f ca="1">_xll.CALENDAR.GAP(pricingDate,B69,"USD Libor","Modified following",TRUE)</f>
        <v>41120</v>
      </c>
      <c r="E69" s="2">
        <f ca="1">_xll.CALENDAR.GAP(D69,C69,"USD Libor","Modified following",TRUE)</f>
        <v>44771</v>
      </c>
      <c r="F69" s="54">
        <v>22.274999999999999</v>
      </c>
      <c r="G69" s="1" t="s">
        <v>110</v>
      </c>
      <c r="H69" s="1" t="s">
        <v>2</v>
      </c>
      <c r="I69" s="1" t="s">
        <v>111</v>
      </c>
      <c r="J69" s="1" t="s">
        <v>112</v>
      </c>
      <c r="K69" s="1" t="s">
        <v>113</v>
      </c>
      <c r="L69" s="1" t="str">
        <f ca="1">_xll.OBJECT.VOLATILITY.SURFACE.SWAPTION.HELPER(A69,D69,E69,F69,G69,H69,I69,J69,K69,,,,)</f>
        <v>swaption_1M_1M#0001</v>
      </c>
    </row>
    <row r="70" spans="1:12" x14ac:dyDescent="0.3">
      <c r="A70" s="1" t="str">
        <f t="shared" si="1"/>
        <v>swaption_3M_3M</v>
      </c>
      <c r="B70" s="1" t="s">
        <v>1</v>
      </c>
      <c r="C70" s="1" t="s">
        <v>18</v>
      </c>
      <c r="D70" s="2">
        <f ca="1">_xll.CALENDAR.GAP(pricingDate,B70,"USD Libor","Modified following",TRUE)</f>
        <v>41180</v>
      </c>
      <c r="E70" s="2">
        <f ca="1">_xll.CALENDAR.GAP(D70,C70,"USD Libor","Modified following",TRUE)</f>
        <v>44834</v>
      </c>
      <c r="F70" s="54">
        <v>22.125</v>
      </c>
      <c r="G70" s="1" t="s">
        <v>110</v>
      </c>
      <c r="H70" s="1" t="s">
        <v>2</v>
      </c>
      <c r="I70" s="1" t="s">
        <v>111</v>
      </c>
      <c r="J70" s="1" t="s">
        <v>112</v>
      </c>
      <c r="K70" s="1" t="s">
        <v>113</v>
      </c>
      <c r="L70" s="1" t="str">
        <f ca="1">_xll.OBJECT.VOLATILITY.SURFACE.SWAPTION.HELPER(A70,D70,E70,F70,G70,H70,I70,J70,K70,,,,)</f>
        <v>swaption_3M_3M#0001</v>
      </c>
    </row>
    <row r="71" spans="1:12" x14ac:dyDescent="0.3">
      <c r="A71" s="1" t="str">
        <f t="shared" si="1"/>
        <v>swaption_6M_6M</v>
      </c>
      <c r="B71" s="1" t="s">
        <v>2</v>
      </c>
      <c r="C71" s="1" t="s">
        <v>18</v>
      </c>
      <c r="D71" s="2">
        <f ca="1">_xll.CALENDAR.GAP(pricingDate,B71,"USD Libor","Modified following",TRUE)</f>
        <v>41271</v>
      </c>
      <c r="E71" s="2">
        <f ca="1">_xll.CALENDAR.GAP(D71,C71,"USD Libor","Modified following",TRUE)</f>
        <v>44923</v>
      </c>
      <c r="F71" s="54">
        <v>23.3</v>
      </c>
      <c r="G71" s="1" t="s">
        <v>110</v>
      </c>
      <c r="H71" s="1" t="s">
        <v>2</v>
      </c>
      <c r="I71" s="1" t="s">
        <v>111</v>
      </c>
      <c r="J71" s="1" t="s">
        <v>112</v>
      </c>
      <c r="K71" s="1" t="s">
        <v>113</v>
      </c>
      <c r="L71" s="1" t="str">
        <f ca="1">_xll.OBJECT.VOLATILITY.SURFACE.SWAPTION.HELPER(A71,D71,E71,F71,G71,H71,I71,J71,K71,,,,)</f>
        <v>swaption_6M_6M#0001</v>
      </c>
    </row>
    <row r="72" spans="1:12" x14ac:dyDescent="0.3">
      <c r="A72" s="1" t="str">
        <f t="shared" si="1"/>
        <v>swaption_1Y_1Y</v>
      </c>
      <c r="B72" s="1" t="s">
        <v>56</v>
      </c>
      <c r="C72" s="1" t="s">
        <v>18</v>
      </c>
      <c r="D72" s="2">
        <f ca="1">_xll.CALENDAR.GAP(pricingDate,B72,"USD Libor","Modified following",TRUE)</f>
        <v>41453</v>
      </c>
      <c r="E72" s="2">
        <f ca="1">_xll.CALENDAR.GAP(D72,C72,"USD Libor","Modified following",TRUE)</f>
        <v>45107</v>
      </c>
      <c r="F72" s="54">
        <v>23.6</v>
      </c>
      <c r="G72" s="1" t="s">
        <v>110</v>
      </c>
      <c r="H72" s="1" t="s">
        <v>2</v>
      </c>
      <c r="I72" s="1" t="s">
        <v>111</v>
      </c>
      <c r="J72" s="1" t="s">
        <v>112</v>
      </c>
      <c r="K72" s="1" t="s">
        <v>113</v>
      </c>
      <c r="L72" s="1" t="str">
        <f ca="1">_xll.OBJECT.VOLATILITY.SURFACE.SWAPTION.HELPER(A72,D72,E72,F72,G72,H72,I72,J72,K72,,,,)</f>
        <v>swaption_1Y_1Y#0001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15</vt:i4>
      </vt:variant>
    </vt:vector>
  </HeadingPairs>
  <TitlesOfParts>
    <vt:vector size="19" baseType="lpstr">
      <vt:lpstr>monitors</vt:lpstr>
      <vt:lpstr>controls</vt:lpstr>
      <vt:lpstr>curves</vt:lpstr>
      <vt:lpstr>swaptions</vt:lpstr>
      <vt:lpstr>cAnnual</vt:lpstr>
      <vt:lpstr>cContinuous</vt:lpstr>
      <vt:lpstr>cMmkt</vt:lpstr>
      <vt:lpstr>convAdj</vt:lpstr>
      <vt:lpstr>cSemi</vt:lpstr>
      <vt:lpstr>cSimple</vt:lpstr>
      <vt:lpstr>cTreasuries</vt:lpstr>
      <vt:lpstr>cTrueYield</vt:lpstr>
      <vt:lpstr>fedFund</vt:lpstr>
      <vt:lpstr>libor3M</vt:lpstr>
      <vt:lpstr>meanRev</vt:lpstr>
      <vt:lpstr>oisCurve</vt:lpstr>
      <vt:lpstr>pricingDate</vt:lpstr>
      <vt:lpstr>ratioPV</vt:lpstr>
      <vt:lpstr>swapCurve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2014-10-11T13:06:04Z</dcterms:modified>
</cp:coreProperties>
</file>